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EstaPasta_de_trabalho" autoCompressPictures="0"/>
  <mc:AlternateContent xmlns:mc="http://schemas.openxmlformats.org/markup-compatibility/2006">
    <mc:Choice Requires="x15">
      <x15ac:absPath xmlns:x15ac="http://schemas.microsoft.com/office/spreadsheetml/2010/11/ac" url="C:\Users\20121144010583\Dropbox\SECRETARIA ACADÊMICA - PARNAMIRIM\CONTROLE DE REQUERIMENTO\"/>
    </mc:Choice>
  </mc:AlternateContent>
  <bookViews>
    <workbookView xWindow="0" yWindow="1440" windowWidth="19440" windowHeight="10320" tabRatio="500"/>
  </bookViews>
  <sheets>
    <sheet name="Registros" sheetId="2" r:id="rId1"/>
    <sheet name="Aproveitamento" sheetId="7" r:id="rId2"/>
    <sheet name="Certificação" sheetId="8" r:id="rId3"/>
    <sheet name="Clientes" sheetId="4" state="hidden" r:id="rId4"/>
    <sheet name="Configurações" sheetId="3" state="hidden" r:id="rId5"/>
  </sheets>
  <externalReferences>
    <externalReference r:id="rId6"/>
    <externalReference r:id="rId7"/>
  </externalReferences>
  <definedNames>
    <definedName name="_xlnm._FilterDatabase" localSheetId="3" hidden="1">Clientes!$A$1:$G$48</definedName>
    <definedName name="_xlnm._FilterDatabase" localSheetId="0" hidden="1">Registros!$A$3:$U$300</definedName>
    <definedName name="Atendente">OFFSET(Configurações!$C$2,0,0,COUNTA(Configurações!$C:$C)-1,1)</definedName>
    <definedName name="Cliente">OFFSET(Clientes!$A$3,0,0,COUNTA(Clientes!$A:$A)-1,1)</definedName>
    <definedName name="Motivo">OFFSET(Configurações!$E$2,0,0,COUNTA(Configurações!$E:$E)-1,1)</definedName>
    <definedName name="Situacao">OFFSET(Configurações!$A$2,0,0,COUNTA(Configurações!$A:$A)-1,1)</definedName>
  </definedNames>
  <calcPr calcId="152511"/>
</workbook>
</file>

<file path=xl/calcChain.xml><?xml version="1.0" encoding="utf-8"?>
<calcChain xmlns="http://schemas.openxmlformats.org/spreadsheetml/2006/main">
  <c r="B810" i="2" l="1"/>
  <c r="B812" i="2" s="1"/>
  <c r="A810" i="2"/>
  <c r="A808" i="2"/>
  <c r="B813" i="2" l="1"/>
  <c r="A812" i="2"/>
  <c r="B8" i="2"/>
  <c r="B9" i="2" s="1"/>
  <c r="B155" i="2"/>
  <c r="B156" i="2" s="1"/>
  <c r="B633" i="2"/>
  <c r="A632" i="2"/>
  <c r="A73" i="4"/>
  <c r="A63" i="4"/>
  <c r="A48" i="4"/>
  <c r="A24" i="4"/>
  <c r="A17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8" i="4"/>
  <c r="A19" i="4"/>
  <c r="A20" i="4"/>
  <c r="A21" i="4"/>
  <c r="A22" i="4"/>
  <c r="A23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4" i="4"/>
  <c r="A65" i="4"/>
  <c r="A66" i="4"/>
  <c r="A67" i="4"/>
  <c r="A68" i="4"/>
  <c r="A69" i="4"/>
  <c r="A70" i="4"/>
  <c r="A71" i="4"/>
  <c r="A72" i="4"/>
  <c r="A74" i="4"/>
  <c r="A75" i="4"/>
  <c r="A76" i="4"/>
  <c r="A77" i="4"/>
  <c r="A78" i="4"/>
  <c r="A79" i="4"/>
  <c r="A80" i="4"/>
  <c r="A81" i="4"/>
  <c r="A154" i="2"/>
  <c r="B7" i="8"/>
  <c r="B8" i="8"/>
  <c r="B9" i="8"/>
  <c r="B10" i="8"/>
  <c r="B11" i="8"/>
  <c r="B12" i="8"/>
  <c r="B13" i="8"/>
  <c r="B14" i="8"/>
  <c r="B15" i="8"/>
  <c r="B16" i="8"/>
  <c r="B17" i="8"/>
  <c r="B19" i="8"/>
  <c r="B20" i="8"/>
  <c r="B21" i="8"/>
  <c r="B22" i="8"/>
  <c r="B23" i="8"/>
  <c r="B24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6" i="8"/>
  <c r="A10" i="8"/>
  <c r="A8" i="8"/>
  <c r="A7" i="8"/>
  <c r="A9" i="8"/>
  <c r="B6" i="7"/>
  <c r="B7" i="7"/>
  <c r="B8" i="7"/>
  <c r="B9" i="7"/>
  <c r="B10" i="7"/>
  <c r="B11" i="7"/>
  <c r="B12" i="7"/>
  <c r="B13" i="7"/>
  <c r="A43" i="7"/>
  <c r="A6" i="7"/>
  <c r="A7" i="7"/>
  <c r="A8" i="7"/>
  <c r="A9" i="7"/>
  <c r="A10" i="7"/>
  <c r="A11" i="7"/>
  <c r="A12" i="7"/>
  <c r="A13" i="7"/>
  <c r="A17" i="7"/>
  <c r="A18" i="7"/>
  <c r="A19" i="7"/>
  <c r="A20" i="7"/>
  <c r="A22" i="7"/>
  <c r="A23" i="7"/>
  <c r="A24" i="7"/>
  <c r="A25" i="7"/>
  <c r="A26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B4" i="8"/>
  <c r="A4" i="8"/>
  <c r="W1" i="8"/>
  <c r="B4" i="7"/>
  <c r="A4" i="7"/>
  <c r="AE1" i="7"/>
  <c r="F1" i="7"/>
  <c r="K1" i="2"/>
  <c r="B4" i="2"/>
  <c r="B5" i="2" s="1"/>
  <c r="A5" i="2" s="1"/>
  <c r="A5" i="8"/>
  <c r="A5" i="7"/>
  <c r="A6" i="2"/>
  <c r="B814" i="2" l="1"/>
  <c r="A813" i="2"/>
  <c r="A8" i="2"/>
  <c r="B11" i="2"/>
  <c r="A11" i="2" s="1"/>
  <c r="A9" i="2"/>
  <c r="A155" i="2"/>
  <c r="A4" i="2"/>
  <c r="A633" i="2"/>
  <c r="B634" i="2"/>
  <c r="B157" i="2"/>
  <c r="A156" i="2"/>
  <c r="A814" i="2" l="1"/>
  <c r="B815" i="2"/>
  <c r="B12" i="2"/>
  <c r="B15" i="2" s="1"/>
  <c r="A12" i="2"/>
  <c r="A634" i="2"/>
  <c r="B636" i="2"/>
  <c r="B158" i="2"/>
  <c r="A157" i="2"/>
  <c r="B816" i="2" l="1"/>
  <c r="A815" i="2"/>
  <c r="B16" i="2"/>
  <c r="A15" i="2"/>
  <c r="A636" i="2"/>
  <c r="B638" i="2"/>
  <c r="B159" i="2"/>
  <c r="A158" i="2"/>
  <c r="B818" i="2" l="1"/>
  <c r="A816" i="2"/>
  <c r="A16" i="2"/>
  <c r="B17" i="2"/>
  <c r="A638" i="2"/>
  <c r="B639" i="2"/>
  <c r="A159" i="2"/>
  <c r="B160" i="2"/>
  <c r="B819" i="2" l="1"/>
  <c r="A818" i="2"/>
  <c r="A17" i="2"/>
  <c r="B18" i="2"/>
  <c r="B161" i="2"/>
  <c r="A160" i="2"/>
  <c r="B640" i="2"/>
  <c r="A639" i="2"/>
  <c r="A819" i="2" l="1"/>
  <c r="B820" i="2"/>
  <c r="A18" i="2"/>
  <c r="B19" i="2"/>
  <c r="A640" i="2"/>
  <c r="B641" i="2"/>
  <c r="B162" i="2"/>
  <c r="A161" i="2"/>
  <c r="A820" i="2" l="1"/>
  <c r="B821" i="2"/>
  <c r="A19" i="2"/>
  <c r="B20" i="2"/>
  <c r="B642" i="2"/>
  <c r="A641" i="2"/>
  <c r="B163" i="2"/>
  <c r="A162" i="2"/>
  <c r="A821" i="2" l="1"/>
  <c r="B822" i="2"/>
  <c r="B21" i="2"/>
  <c r="A20" i="2"/>
  <c r="B164" i="2"/>
  <c r="A163" i="2"/>
  <c r="B643" i="2"/>
  <c r="A642" i="2"/>
  <c r="A822" i="2" l="1"/>
  <c r="B823" i="2"/>
  <c r="A21" i="2"/>
  <c r="B22" i="2"/>
  <c r="A643" i="2"/>
  <c r="B644" i="2"/>
  <c r="A164" i="2"/>
  <c r="B165" i="2"/>
  <c r="A823" i="2" l="1"/>
  <c r="B824" i="2"/>
  <c r="B23" i="2"/>
  <c r="A22" i="2"/>
  <c r="B166" i="2"/>
  <c r="A165" i="2"/>
  <c r="A644" i="2"/>
  <c r="B645" i="2"/>
  <c r="A824" i="2" l="1"/>
  <c r="B825" i="2"/>
  <c r="B24" i="2"/>
  <c r="A23" i="2"/>
  <c r="A645" i="2"/>
  <c r="B646" i="2"/>
  <c r="B167" i="2"/>
  <c r="A166" i="2"/>
  <c r="B826" i="2" l="1"/>
  <c r="A825" i="2"/>
  <c r="A24" i="2"/>
  <c r="B25" i="2"/>
  <c r="A646" i="2"/>
  <c r="B647" i="2"/>
  <c r="B168" i="2"/>
  <c r="A167" i="2"/>
  <c r="A826" i="2" l="1"/>
  <c r="B827" i="2"/>
  <c r="A25" i="2"/>
  <c r="B26" i="2"/>
  <c r="B648" i="2"/>
  <c r="A647" i="2"/>
  <c r="B169" i="2"/>
  <c r="A168" i="2"/>
  <c r="B828" i="2" l="1"/>
  <c r="A827" i="2"/>
  <c r="B27" i="2"/>
  <c r="A26" i="2"/>
  <c r="B170" i="2"/>
  <c r="A169" i="2"/>
  <c r="B649" i="2"/>
  <c r="A648" i="2"/>
  <c r="B829" i="2" l="1"/>
  <c r="A828" i="2"/>
  <c r="B28" i="2"/>
  <c r="A27" i="2"/>
  <c r="B650" i="2"/>
  <c r="A649" i="2"/>
  <c r="B171" i="2"/>
  <c r="A170" i="2"/>
  <c r="B830" i="2" l="1"/>
  <c r="A829" i="2"/>
  <c r="B29" i="2"/>
  <c r="A28" i="2"/>
  <c r="B172" i="2"/>
  <c r="A171" i="2"/>
  <c r="A650" i="2"/>
  <c r="B651" i="2"/>
  <c r="B831" i="2" l="1"/>
  <c r="A830" i="2"/>
  <c r="A29" i="2"/>
  <c r="B30" i="2"/>
  <c r="A651" i="2"/>
  <c r="B652" i="2"/>
  <c r="A172" i="2"/>
  <c r="B173" i="2"/>
  <c r="B832" i="2" l="1"/>
  <c r="A831" i="2"/>
  <c r="A30" i="2"/>
  <c r="B31" i="2"/>
  <c r="B174" i="2"/>
  <c r="A173" i="2"/>
  <c r="A652" i="2"/>
  <c r="B653" i="2"/>
  <c r="B833" i="2" l="1"/>
  <c r="A832" i="2"/>
  <c r="A31" i="2"/>
  <c r="B33" i="2"/>
  <c r="B654" i="2"/>
  <c r="A653" i="2"/>
  <c r="B175" i="2"/>
  <c r="A174" i="2"/>
  <c r="A833" i="2" l="1"/>
  <c r="B834" i="2"/>
  <c r="B35" i="2"/>
  <c r="A33" i="2"/>
  <c r="B176" i="2"/>
  <c r="A175" i="2"/>
  <c r="B655" i="2"/>
  <c r="A654" i="2"/>
  <c r="B835" i="2" l="1"/>
  <c r="A834" i="2"/>
  <c r="A35" i="2"/>
  <c r="B36" i="2"/>
  <c r="A655" i="2"/>
  <c r="B656" i="2"/>
  <c r="B177" i="2"/>
  <c r="A176" i="2"/>
  <c r="A835" i="2" l="1"/>
  <c r="B836" i="2"/>
  <c r="B37" i="2"/>
  <c r="A36" i="2"/>
  <c r="B657" i="2"/>
  <c r="A656" i="2"/>
  <c r="B178" i="2"/>
  <c r="A177" i="2"/>
  <c r="A836" i="2" l="1"/>
  <c r="B838" i="2"/>
  <c r="A37" i="2"/>
  <c r="B38" i="2"/>
  <c r="B179" i="2"/>
  <c r="A178" i="2"/>
  <c r="B658" i="2"/>
  <c r="A657" i="2"/>
  <c r="A838" i="2" l="1"/>
  <c r="B839" i="2"/>
  <c r="A38" i="2"/>
  <c r="B39" i="2"/>
  <c r="B659" i="2"/>
  <c r="A658" i="2"/>
  <c r="A179" i="2"/>
  <c r="B180" i="2"/>
  <c r="A839" i="2" l="1"/>
  <c r="B840" i="2"/>
  <c r="B40" i="2"/>
  <c r="A39" i="2"/>
  <c r="B181" i="2"/>
  <c r="A180" i="2"/>
  <c r="B660" i="2"/>
  <c r="A659" i="2"/>
  <c r="A840" i="2" l="1"/>
  <c r="B841" i="2"/>
  <c r="B41" i="2"/>
  <c r="A40" i="2"/>
  <c r="B661" i="2"/>
  <c r="A660" i="2"/>
  <c r="A181" i="2"/>
  <c r="B182" i="2"/>
  <c r="B842" i="2" l="1"/>
  <c r="A841" i="2"/>
  <c r="B43" i="2"/>
  <c r="A41" i="2"/>
  <c r="A182" i="2"/>
  <c r="B183" i="2"/>
  <c r="B662" i="2"/>
  <c r="A661" i="2"/>
  <c r="A842" i="2" l="1"/>
  <c r="B843" i="2"/>
  <c r="A43" i="2"/>
  <c r="B45" i="2"/>
  <c r="A183" i="2"/>
  <c r="B185" i="2"/>
  <c r="A662" i="2"/>
  <c r="B663" i="2"/>
  <c r="B844" i="2" l="1"/>
  <c r="A843" i="2"/>
  <c r="B46" i="2"/>
  <c r="A45" i="2"/>
  <c r="B664" i="2"/>
  <c r="A663" i="2"/>
  <c r="A185" i="2"/>
  <c r="B186" i="2"/>
  <c r="A844" i="2" l="1"/>
  <c r="B845" i="2"/>
  <c r="A46" i="2"/>
  <c r="B47" i="2"/>
  <c r="A186" i="2"/>
  <c r="B187" i="2"/>
  <c r="B665" i="2"/>
  <c r="A664" i="2"/>
  <c r="A845" i="2" l="1"/>
  <c r="B846" i="2"/>
  <c r="A47" i="2"/>
  <c r="B48" i="2"/>
  <c r="A187" i="2"/>
  <c r="B188" i="2"/>
  <c r="B666" i="2"/>
  <c r="A665" i="2"/>
  <c r="A846" i="2" l="1"/>
  <c r="B847" i="2"/>
  <c r="A48" i="2"/>
  <c r="B49" i="2"/>
  <c r="A188" i="2"/>
  <c r="B189" i="2"/>
  <c r="A666" i="2"/>
  <c r="B667" i="2"/>
  <c r="A847" i="2" l="1"/>
  <c r="B848" i="2"/>
  <c r="B50" i="2"/>
  <c r="A49" i="2"/>
  <c r="B668" i="2"/>
  <c r="A667" i="2"/>
  <c r="B190" i="2"/>
  <c r="A189" i="2"/>
  <c r="A848" i="2" l="1"/>
  <c r="B849" i="2"/>
  <c r="B51" i="2"/>
  <c r="A50" i="2"/>
  <c r="B191" i="2"/>
  <c r="A190" i="2"/>
  <c r="A668" i="2"/>
  <c r="B669" i="2"/>
  <c r="A849" i="2" l="1"/>
  <c r="B850" i="2"/>
  <c r="B52" i="2"/>
  <c r="A51" i="2"/>
  <c r="B670" i="2"/>
  <c r="A669" i="2"/>
  <c r="A191" i="2"/>
  <c r="B193" i="2"/>
  <c r="A850" i="2" l="1"/>
  <c r="B851" i="2"/>
  <c r="A52" i="2"/>
  <c r="B54" i="2"/>
  <c r="A193" i="2"/>
  <c r="B195" i="2"/>
  <c r="A670" i="2"/>
  <c r="B671" i="2"/>
  <c r="A851" i="2" l="1"/>
  <c r="B852" i="2"/>
  <c r="B55" i="2"/>
  <c r="A54" i="2"/>
  <c r="B672" i="2"/>
  <c r="A671" i="2"/>
  <c r="A195" i="2"/>
  <c r="B196" i="2"/>
  <c r="A852" i="2" l="1"/>
  <c r="B853" i="2"/>
  <c r="A55" i="2"/>
  <c r="B56" i="2"/>
  <c r="A196" i="2"/>
  <c r="B197" i="2"/>
  <c r="A672" i="2"/>
  <c r="B673" i="2"/>
  <c r="B854" i="2" l="1"/>
  <c r="A853" i="2"/>
  <c r="A56" i="2"/>
  <c r="B57" i="2"/>
  <c r="B674" i="2"/>
  <c r="A673" i="2"/>
  <c r="A197" i="2"/>
  <c r="B198" i="2"/>
  <c r="A854" i="2" l="1"/>
  <c r="B856" i="2"/>
  <c r="A57" i="2"/>
  <c r="B58" i="2"/>
  <c r="A198" i="2"/>
  <c r="B199" i="2"/>
  <c r="B675" i="2"/>
  <c r="A674" i="2"/>
  <c r="A856" i="2" l="1"/>
  <c r="B857" i="2"/>
  <c r="B59" i="2"/>
  <c r="A58" i="2"/>
  <c r="B200" i="2"/>
  <c r="A199" i="2"/>
  <c r="B676" i="2"/>
  <c r="A675" i="2"/>
  <c r="B858" i="2" l="1"/>
  <c r="A857" i="2"/>
  <c r="A59" i="2"/>
  <c r="B60" i="2"/>
  <c r="B677" i="2"/>
  <c r="A676" i="2"/>
  <c r="A200" i="2"/>
  <c r="B201" i="2"/>
  <c r="A858" i="2" l="1"/>
  <c r="B859" i="2"/>
  <c r="A60" i="2"/>
  <c r="B61" i="2"/>
  <c r="A201" i="2"/>
  <c r="B202" i="2"/>
  <c r="B678" i="2"/>
  <c r="A677" i="2"/>
  <c r="A859" i="2" l="1"/>
  <c r="B862" i="2"/>
  <c r="B62" i="2"/>
  <c r="A61" i="2"/>
  <c r="A202" i="2"/>
  <c r="B203" i="2"/>
  <c r="B679" i="2"/>
  <c r="A678" i="2"/>
  <c r="B863" i="2" l="1"/>
  <c r="A862" i="2"/>
  <c r="B63" i="2"/>
  <c r="A62" i="2"/>
  <c r="A203" i="2"/>
  <c r="B205" i="2"/>
  <c r="A679" i="2"/>
  <c r="B680" i="2"/>
  <c r="B864" i="2" l="1"/>
  <c r="A863" i="2"/>
  <c r="A63" i="2"/>
  <c r="B64" i="2"/>
  <c r="B681" i="2"/>
  <c r="A680" i="2"/>
  <c r="A205" i="2"/>
  <c r="B207" i="2"/>
  <c r="A864" i="2" l="1"/>
  <c r="B865" i="2"/>
  <c r="A64" i="2"/>
  <c r="B65" i="2"/>
  <c r="A207" i="2"/>
  <c r="B209" i="2"/>
  <c r="B682" i="2"/>
  <c r="A681" i="2"/>
  <c r="A865" i="2" l="1"/>
  <c r="B866" i="2"/>
  <c r="A65" i="2"/>
  <c r="B66" i="2"/>
  <c r="A209" i="2"/>
  <c r="B211" i="2"/>
  <c r="B683" i="2"/>
  <c r="A682" i="2"/>
  <c r="A866" i="2" l="1"/>
  <c r="B867" i="2"/>
  <c r="B67" i="2"/>
  <c r="A66" i="2"/>
  <c r="A211" i="2"/>
  <c r="B212" i="2"/>
  <c r="B684" i="2"/>
  <c r="A683" i="2"/>
  <c r="B869" i="2" l="1"/>
  <c r="A867" i="2"/>
  <c r="A67" i="2"/>
  <c r="B68" i="2"/>
  <c r="B214" i="2"/>
  <c r="A212" i="2"/>
  <c r="B685" i="2"/>
  <c r="A684" i="2"/>
  <c r="B870" i="2" l="1"/>
  <c r="A869" i="2"/>
  <c r="A68" i="2"/>
  <c r="B69" i="2"/>
  <c r="B686" i="2"/>
  <c r="A685" i="2"/>
  <c r="A214" i="2"/>
  <c r="B215" i="2"/>
  <c r="A870" i="2" l="1"/>
  <c r="B871" i="2"/>
  <c r="A69" i="2"/>
  <c r="B70" i="2"/>
  <c r="A215" i="2"/>
  <c r="B216" i="2"/>
  <c r="B687" i="2"/>
  <c r="A686" i="2"/>
  <c r="B872" i="2" l="1"/>
  <c r="A871" i="2"/>
  <c r="B71" i="2"/>
  <c r="A70" i="2"/>
  <c r="A216" i="2"/>
  <c r="B217" i="2"/>
  <c r="B688" i="2"/>
  <c r="A687" i="2"/>
  <c r="A872" i="2" l="1"/>
  <c r="B873" i="2"/>
  <c r="A71" i="2"/>
  <c r="B72" i="2"/>
  <c r="A217" i="2"/>
  <c r="B218" i="2"/>
  <c r="B689" i="2"/>
  <c r="A688" i="2"/>
  <c r="A873" i="2" l="1"/>
  <c r="B874" i="2"/>
  <c r="A72" i="2"/>
  <c r="B73" i="2"/>
  <c r="A218" i="2"/>
  <c r="B219" i="2"/>
  <c r="B691" i="2"/>
  <c r="A689" i="2"/>
  <c r="A874" i="2" l="1"/>
  <c r="B875" i="2"/>
  <c r="B74" i="2"/>
  <c r="A73" i="2"/>
  <c r="B220" i="2"/>
  <c r="A219" i="2"/>
  <c r="B692" i="2"/>
  <c r="A691" i="2"/>
  <c r="B876" i="2" l="1"/>
  <c r="A875" i="2"/>
  <c r="A74" i="2"/>
  <c r="B75" i="2"/>
  <c r="B693" i="2"/>
  <c r="A692" i="2"/>
  <c r="B221" i="2"/>
  <c r="A220" i="2"/>
  <c r="A876" i="2" l="1"/>
  <c r="B877" i="2"/>
  <c r="A75" i="2"/>
  <c r="B77" i="2"/>
  <c r="B222" i="2"/>
  <c r="A221" i="2"/>
  <c r="B694" i="2"/>
  <c r="A693" i="2"/>
  <c r="B878" i="2" l="1"/>
  <c r="A877" i="2"/>
  <c r="A77" i="2"/>
  <c r="B79" i="2"/>
  <c r="B695" i="2"/>
  <c r="A694" i="2"/>
  <c r="B223" i="2"/>
  <c r="A222" i="2"/>
  <c r="A878" i="2" l="1"/>
  <c r="B879" i="2"/>
  <c r="A79" i="2"/>
  <c r="B80" i="2"/>
  <c r="B225" i="2"/>
  <c r="A223" i="2"/>
  <c r="B696" i="2"/>
  <c r="A695" i="2"/>
  <c r="A879" i="2" l="1"/>
  <c r="B880" i="2"/>
  <c r="B81" i="2"/>
  <c r="A80" i="2"/>
  <c r="B697" i="2"/>
  <c r="A696" i="2"/>
  <c r="B226" i="2"/>
  <c r="A225" i="2"/>
  <c r="B881" i="2" l="1"/>
  <c r="A880" i="2"/>
  <c r="A81" i="2"/>
  <c r="B82" i="2"/>
  <c r="B227" i="2"/>
  <c r="A226" i="2"/>
  <c r="B698" i="2"/>
  <c r="A697" i="2"/>
  <c r="A881" i="2" l="1"/>
  <c r="B882" i="2"/>
  <c r="B83" i="2"/>
  <c r="A82" i="2"/>
  <c r="B699" i="2"/>
  <c r="A698" i="2"/>
  <c r="B228" i="2"/>
  <c r="A227" i="2"/>
  <c r="A882" i="2" l="1"/>
  <c r="B883" i="2"/>
  <c r="B84" i="2"/>
  <c r="A83" i="2"/>
  <c r="B229" i="2"/>
  <c r="A228" i="2"/>
  <c r="B700" i="2"/>
  <c r="A699" i="2"/>
  <c r="A883" i="2" l="1"/>
  <c r="B885" i="2"/>
  <c r="B85" i="2"/>
  <c r="A84" i="2"/>
  <c r="B701" i="2"/>
  <c r="A700" i="2"/>
  <c r="B230" i="2"/>
  <c r="A229" i="2"/>
  <c r="A885" i="2" l="1"/>
  <c r="B887" i="2"/>
  <c r="B86" i="2"/>
  <c r="A85" i="2"/>
  <c r="A230" i="2"/>
  <c r="B231" i="2"/>
  <c r="B702" i="2"/>
  <c r="A701" i="2"/>
  <c r="A887" i="2" l="1"/>
  <c r="B888" i="2"/>
  <c r="A86" i="2"/>
  <c r="B87" i="2"/>
  <c r="B232" i="2"/>
  <c r="A231" i="2"/>
  <c r="B703" i="2"/>
  <c r="A702" i="2"/>
  <c r="A888" i="2" l="1"/>
  <c r="B890" i="2"/>
  <c r="B88" i="2"/>
  <c r="A87" i="2"/>
  <c r="B704" i="2"/>
  <c r="A703" i="2"/>
  <c r="B233" i="2"/>
  <c r="A232" i="2"/>
  <c r="A890" i="2" l="1"/>
  <c r="B891" i="2"/>
  <c r="A88" i="2"/>
  <c r="B89" i="2"/>
  <c r="B234" i="2"/>
  <c r="A233" i="2"/>
  <c r="B705" i="2"/>
  <c r="A704" i="2"/>
  <c r="A891" i="2" l="1"/>
  <c r="B893" i="2"/>
  <c r="A89" i="2"/>
  <c r="B90" i="2"/>
  <c r="B706" i="2"/>
  <c r="A705" i="2"/>
  <c r="B236" i="2"/>
  <c r="A234" i="2"/>
  <c r="A893" i="2" l="1"/>
  <c r="B895" i="2"/>
  <c r="B91" i="2"/>
  <c r="A90" i="2"/>
  <c r="B237" i="2"/>
  <c r="A236" i="2"/>
  <c r="B707" i="2"/>
  <c r="A706" i="2"/>
  <c r="A895" i="2" l="1"/>
  <c r="B897" i="2"/>
  <c r="B92" i="2"/>
  <c r="A91" i="2"/>
  <c r="B709" i="2"/>
  <c r="A707" i="2"/>
  <c r="B238" i="2"/>
  <c r="A237" i="2"/>
  <c r="A897" i="2" l="1"/>
  <c r="B898" i="2"/>
  <c r="A92" i="2"/>
  <c r="B94" i="2"/>
  <c r="B239" i="2"/>
  <c r="A238" i="2"/>
  <c r="B710" i="2"/>
  <c r="A709" i="2"/>
  <c r="A898" i="2" l="1"/>
  <c r="B899" i="2"/>
  <c r="B95" i="2"/>
  <c r="A94" i="2"/>
  <c r="A710" i="2"/>
  <c r="B711" i="2"/>
  <c r="B241" i="2"/>
  <c r="A239" i="2"/>
  <c r="A899" i="2" l="1"/>
  <c r="B900" i="2"/>
  <c r="B96" i="2"/>
  <c r="A95" i="2"/>
  <c r="A711" i="2"/>
  <c r="B712" i="2"/>
  <c r="B242" i="2"/>
  <c r="A241" i="2"/>
  <c r="A900" i="2" l="1"/>
  <c r="B901" i="2"/>
  <c r="B97" i="2"/>
  <c r="A96" i="2"/>
  <c r="A712" i="2"/>
  <c r="B713" i="2"/>
  <c r="B243" i="2"/>
  <c r="A242" i="2"/>
  <c r="A901" i="2" l="1"/>
  <c r="B903" i="2"/>
  <c r="A97" i="2"/>
  <c r="B98" i="2"/>
  <c r="B714" i="2"/>
  <c r="A713" i="2"/>
  <c r="B244" i="2"/>
  <c r="A243" i="2"/>
  <c r="A903" i="2" l="1"/>
  <c r="B904" i="2"/>
  <c r="B99" i="2"/>
  <c r="A98" i="2"/>
  <c r="B245" i="2"/>
  <c r="A244" i="2"/>
  <c r="B715" i="2"/>
  <c r="A714" i="2"/>
  <c r="A904" i="2" l="1"/>
  <c r="B905" i="2"/>
  <c r="A99" i="2"/>
  <c r="B100" i="2"/>
  <c r="B716" i="2"/>
  <c r="A715" i="2"/>
  <c r="B246" i="2"/>
  <c r="A245" i="2"/>
  <c r="A905" i="2" l="1"/>
  <c r="B906" i="2"/>
  <c r="B101" i="2"/>
  <c r="A100" i="2"/>
  <c r="B247" i="2"/>
  <c r="A246" i="2"/>
  <c r="A716" i="2"/>
  <c r="B717" i="2"/>
  <c r="A906" i="2" l="1"/>
  <c r="B908" i="2"/>
  <c r="B102" i="2"/>
  <c r="A101" i="2"/>
  <c r="A717" i="2"/>
  <c r="B718" i="2"/>
  <c r="B248" i="2"/>
  <c r="A247" i="2"/>
  <c r="A908" i="2" l="1"/>
  <c r="B910" i="2"/>
  <c r="B103" i="2"/>
  <c r="A102" i="2"/>
  <c r="B719" i="2"/>
  <c r="A718" i="2"/>
  <c r="A248" i="2"/>
  <c r="B249" i="2"/>
  <c r="B911" i="2" l="1"/>
  <c r="A910" i="2"/>
  <c r="B105" i="2"/>
  <c r="A103" i="2"/>
  <c r="A249" i="2"/>
  <c r="B250" i="2"/>
  <c r="A719" i="2"/>
  <c r="B720" i="2"/>
  <c r="A911" i="2" l="1"/>
  <c r="B912" i="2"/>
  <c r="A105" i="2"/>
  <c r="B106" i="2"/>
  <c r="B721" i="2"/>
  <c r="A720" i="2"/>
  <c r="A250" i="2"/>
  <c r="B251" i="2"/>
  <c r="A912" i="2" l="1"/>
  <c r="B913" i="2"/>
  <c r="B107" i="2"/>
  <c r="A106" i="2"/>
  <c r="A251" i="2"/>
  <c r="B252" i="2"/>
  <c r="A721" i="2"/>
  <c r="B722" i="2"/>
  <c r="B914" i="2" l="1"/>
  <c r="A913" i="2"/>
  <c r="B108" i="2"/>
  <c r="A107" i="2"/>
  <c r="A722" i="2"/>
  <c r="B723" i="2"/>
  <c r="A252" i="2"/>
  <c r="B253" i="2"/>
  <c r="A914" i="2" l="1"/>
  <c r="B915" i="2"/>
  <c r="B109" i="2"/>
  <c r="A108" i="2"/>
  <c r="A253" i="2"/>
  <c r="B254" i="2"/>
  <c r="B724" i="2"/>
  <c r="A723" i="2"/>
  <c r="A915" i="2" l="1"/>
  <c r="B916" i="2"/>
  <c r="A109" i="2"/>
  <c r="B110" i="2"/>
  <c r="B255" i="2"/>
  <c r="A254" i="2"/>
  <c r="B725" i="2"/>
  <c r="A724" i="2"/>
  <c r="A916" i="2" l="1"/>
  <c r="B918" i="2"/>
  <c r="B111" i="2"/>
  <c r="A110" i="2"/>
  <c r="A725" i="2"/>
  <c r="B726" i="2"/>
  <c r="B256" i="2"/>
  <c r="A255" i="2"/>
  <c r="B919" i="2" l="1"/>
  <c r="A918" i="2"/>
  <c r="A111" i="2"/>
  <c r="B112" i="2"/>
  <c r="A726" i="2"/>
  <c r="B727" i="2"/>
  <c r="B257" i="2"/>
  <c r="A256" i="2"/>
  <c r="B920" i="2" l="1"/>
  <c r="A919" i="2"/>
  <c r="A112" i="2"/>
  <c r="B113" i="2"/>
  <c r="B728" i="2"/>
  <c r="A727" i="2"/>
  <c r="B258" i="2"/>
  <c r="A257" i="2"/>
  <c r="A920" i="2" l="1"/>
  <c r="B921" i="2"/>
  <c r="A113" i="2"/>
  <c r="B114" i="2"/>
  <c r="B259" i="2"/>
  <c r="A258" i="2"/>
  <c r="A728" i="2"/>
  <c r="B729" i="2"/>
  <c r="A921" i="2" l="1"/>
  <c r="B922" i="2"/>
  <c r="A114" i="2"/>
  <c r="B115" i="2"/>
  <c r="A729" i="2"/>
  <c r="B730" i="2"/>
  <c r="B260" i="2"/>
  <c r="A259" i="2"/>
  <c r="A922" i="2" l="1"/>
  <c r="B923" i="2"/>
  <c r="B116" i="2"/>
  <c r="A115" i="2"/>
  <c r="B731" i="2"/>
  <c r="A730" i="2"/>
  <c r="B261" i="2"/>
  <c r="A260" i="2"/>
  <c r="A923" i="2" l="1"/>
  <c r="B924" i="2"/>
  <c r="A116" i="2"/>
  <c r="B117" i="2"/>
  <c r="B262" i="2"/>
  <c r="A261" i="2"/>
  <c r="A731" i="2"/>
  <c r="B732" i="2"/>
  <c r="B925" i="2" l="1"/>
  <c r="A924" i="2"/>
  <c r="B118" i="2"/>
  <c r="A117" i="2"/>
  <c r="A732" i="2"/>
  <c r="B733" i="2"/>
  <c r="B263" i="2"/>
  <c r="A262" i="2"/>
  <c r="A925" i="2" l="1"/>
  <c r="B926" i="2"/>
  <c r="A118" i="2"/>
  <c r="B119" i="2"/>
  <c r="B734" i="2"/>
  <c r="A733" i="2"/>
  <c r="B264" i="2"/>
  <c r="A263" i="2"/>
  <c r="A926" i="2" l="1"/>
  <c r="B928" i="2"/>
  <c r="B120" i="2"/>
  <c r="A119" i="2"/>
  <c r="A264" i="2"/>
  <c r="B265" i="2"/>
  <c r="A734" i="2"/>
  <c r="B735" i="2"/>
  <c r="B929" i="2" l="1"/>
  <c r="A928" i="2"/>
  <c r="A120" i="2"/>
  <c r="B121" i="2"/>
  <c r="B736" i="2"/>
  <c r="A735" i="2"/>
  <c r="B267" i="2"/>
  <c r="A265" i="2"/>
  <c r="A929" i="2" l="1"/>
  <c r="B931" i="2"/>
  <c r="A121" i="2"/>
  <c r="B122" i="2"/>
  <c r="B268" i="2"/>
  <c r="A267" i="2"/>
  <c r="B737" i="2"/>
  <c r="A736" i="2"/>
  <c r="A931" i="2" l="1"/>
  <c r="B932" i="2"/>
  <c r="B123" i="2"/>
  <c r="A122" i="2"/>
  <c r="A737" i="2"/>
  <c r="B738" i="2"/>
  <c r="B269" i="2"/>
  <c r="A268" i="2"/>
  <c r="A932" i="2" l="1"/>
  <c r="B933" i="2"/>
  <c r="B124" i="2"/>
  <c r="A123" i="2"/>
  <c r="B739" i="2"/>
  <c r="A738" i="2"/>
  <c r="B270" i="2"/>
  <c r="A269" i="2"/>
  <c r="A933" i="2" l="1"/>
  <c r="B934" i="2"/>
  <c r="A124" i="2"/>
  <c r="B125" i="2"/>
  <c r="B271" i="2"/>
  <c r="A270" i="2"/>
  <c r="A739" i="2"/>
  <c r="B740" i="2"/>
  <c r="A934" i="2" l="1"/>
  <c r="B935" i="2"/>
  <c r="A935" i="2" s="1"/>
  <c r="B126" i="2"/>
  <c r="A125" i="2"/>
  <c r="A740" i="2"/>
  <c r="B741" i="2"/>
  <c r="B272" i="2"/>
  <c r="A271" i="2"/>
  <c r="B127" i="2" l="1"/>
  <c r="A126" i="2"/>
  <c r="A741" i="2"/>
  <c r="B742" i="2"/>
  <c r="B273" i="2"/>
  <c r="A272" i="2"/>
  <c r="A127" i="2" l="1"/>
  <c r="B128" i="2"/>
  <c r="B743" i="2"/>
  <c r="A742" i="2"/>
  <c r="B274" i="2"/>
  <c r="A273" i="2"/>
  <c r="B129" i="2" l="1"/>
  <c r="A128" i="2"/>
  <c r="B275" i="2"/>
  <c r="A274" i="2"/>
  <c r="B744" i="2"/>
  <c r="A743" i="2"/>
  <c r="A129" i="2" l="1"/>
  <c r="B130" i="2"/>
  <c r="B745" i="2"/>
  <c r="B746" i="2" s="1"/>
  <c r="A744" i="2"/>
  <c r="B276" i="2"/>
  <c r="A275" i="2"/>
  <c r="B131" i="2" l="1"/>
  <c r="A130" i="2"/>
  <c r="B278" i="2"/>
  <c r="A276" i="2"/>
  <c r="A745" i="2"/>
  <c r="A131" i="2" l="1"/>
  <c r="B132" i="2"/>
  <c r="B747" i="2"/>
  <c r="A746" i="2"/>
  <c r="B279" i="2"/>
  <c r="A278" i="2"/>
  <c r="A132" i="2" l="1"/>
  <c r="B133" i="2"/>
  <c r="B280" i="2"/>
  <c r="A279" i="2"/>
  <c r="B748" i="2"/>
  <c r="A747" i="2"/>
  <c r="A133" i="2" l="1"/>
  <c r="B134" i="2"/>
  <c r="B749" i="2"/>
  <c r="A748" i="2"/>
  <c r="B281" i="2"/>
  <c r="A280" i="2"/>
  <c r="B135" i="2" l="1"/>
  <c r="A134" i="2"/>
  <c r="B283" i="2"/>
  <c r="A281" i="2"/>
  <c r="B751" i="2"/>
  <c r="A749" i="2"/>
  <c r="B136" i="2" l="1"/>
  <c r="A135" i="2"/>
  <c r="B753" i="2"/>
  <c r="A751" i="2"/>
  <c r="B284" i="2"/>
  <c r="A283" i="2"/>
  <c r="A136" i="2" l="1"/>
  <c r="B137" i="2"/>
  <c r="A753" i="2"/>
  <c r="B755" i="2"/>
  <c r="B285" i="2"/>
  <c r="A284" i="2"/>
  <c r="A137" i="2" l="1"/>
  <c r="B138" i="2"/>
  <c r="B757" i="2"/>
  <c r="A755" i="2"/>
  <c r="B286" i="2"/>
  <c r="A285" i="2"/>
  <c r="B139" i="2" l="1"/>
  <c r="A138" i="2"/>
  <c r="A757" i="2"/>
  <c r="B759" i="2"/>
  <c r="B287" i="2"/>
  <c r="A286" i="2"/>
  <c r="B140" i="2" l="1"/>
  <c r="A139" i="2"/>
  <c r="B760" i="2"/>
  <c r="A759" i="2"/>
  <c r="B288" i="2"/>
  <c r="A287" i="2"/>
  <c r="B141" i="2" l="1"/>
  <c r="A140" i="2"/>
  <c r="B761" i="2"/>
  <c r="A760" i="2"/>
  <c r="B289" i="2"/>
  <c r="A288" i="2"/>
  <c r="A141" i="2" l="1"/>
  <c r="B142" i="2"/>
  <c r="A761" i="2"/>
  <c r="B762" i="2"/>
  <c r="B290" i="2"/>
  <c r="A289" i="2"/>
  <c r="B143" i="2" l="1"/>
  <c r="A142" i="2"/>
  <c r="B763" i="2"/>
  <c r="A762" i="2"/>
  <c r="B291" i="2"/>
  <c r="A290" i="2"/>
  <c r="A143" i="2" l="1"/>
  <c r="B144" i="2"/>
  <c r="A763" i="2"/>
  <c r="B764" i="2"/>
  <c r="B292" i="2"/>
  <c r="A291" i="2"/>
  <c r="A144" i="2" l="1"/>
  <c r="B146" i="2"/>
  <c r="B765" i="2"/>
  <c r="A764" i="2"/>
  <c r="B293" i="2"/>
  <c r="A292" i="2"/>
  <c r="B147" i="2" l="1"/>
  <c r="A146" i="2"/>
  <c r="A765" i="2"/>
  <c r="B766" i="2"/>
  <c r="B767" i="2" s="1"/>
  <c r="B294" i="2"/>
  <c r="A293" i="2"/>
  <c r="B148" i="2" l="1"/>
  <c r="A147" i="2"/>
  <c r="A767" i="2"/>
  <c r="B768" i="2"/>
  <c r="B295" i="2"/>
  <c r="A294" i="2"/>
  <c r="B149" i="2" l="1"/>
  <c r="A148" i="2"/>
  <c r="B770" i="2"/>
  <c r="A768" i="2"/>
  <c r="B296" i="2"/>
  <c r="A295" i="2"/>
  <c r="B150" i="2" l="1"/>
  <c r="A149" i="2"/>
  <c r="A770" i="2"/>
  <c r="B771" i="2"/>
  <c r="B298" i="2"/>
  <c r="A296" i="2"/>
  <c r="B151" i="2" l="1"/>
  <c r="A150" i="2"/>
  <c r="B774" i="2"/>
  <c r="A771" i="2"/>
  <c r="B299" i="2"/>
  <c r="A298" i="2"/>
  <c r="A774" i="2" l="1"/>
  <c r="B776" i="2"/>
  <c r="B152" i="2"/>
  <c r="A152" i="2" s="1"/>
  <c r="A151" i="2"/>
  <c r="A299" i="2"/>
  <c r="B300" i="2"/>
  <c r="B777" i="2" l="1"/>
  <c r="A776" i="2"/>
  <c r="B302" i="2"/>
  <c r="A300" i="2"/>
  <c r="A777" i="2" l="1"/>
  <c r="B778" i="2"/>
  <c r="B303" i="2"/>
  <c r="A302" i="2"/>
  <c r="A778" i="2" l="1"/>
  <c r="B779" i="2"/>
  <c r="A303" i="2"/>
  <c r="B304" i="2"/>
  <c r="B780" i="2" l="1"/>
  <c r="A779" i="2"/>
  <c r="A304" i="2"/>
  <c r="B305" i="2"/>
  <c r="B781" i="2" l="1"/>
  <c r="A780" i="2"/>
  <c r="A305" i="2"/>
  <c r="B306" i="2"/>
  <c r="B782" i="2" l="1"/>
  <c r="A781" i="2"/>
  <c r="A306" i="2"/>
  <c r="B307" i="2"/>
  <c r="B783" i="2" l="1"/>
  <c r="A782" i="2"/>
  <c r="A307" i="2"/>
  <c r="B308" i="2"/>
  <c r="A783" i="2" l="1"/>
  <c r="B784" i="2"/>
  <c r="A308" i="2"/>
  <c r="B309" i="2"/>
  <c r="A784" i="2" l="1"/>
  <c r="B785" i="2"/>
  <c r="A309" i="2"/>
  <c r="B310" i="2"/>
  <c r="A785" i="2" l="1"/>
  <c r="B786" i="2"/>
  <c r="A310" i="2"/>
  <c r="B311" i="2"/>
  <c r="B787" i="2" l="1"/>
  <c r="A786" i="2"/>
  <c r="A311" i="2"/>
  <c r="B312" i="2"/>
  <c r="B789" i="2" l="1"/>
  <c r="A787" i="2"/>
  <c r="A312" i="2"/>
  <c r="B313" i="2"/>
  <c r="A789" i="2" l="1"/>
  <c r="B790" i="2"/>
  <c r="A313" i="2"/>
  <c r="B314" i="2"/>
  <c r="B791" i="2" l="1"/>
  <c r="A790" i="2"/>
  <c r="A314" i="2"/>
  <c r="B315" i="2"/>
  <c r="A791" i="2" l="1"/>
  <c r="B792" i="2"/>
  <c r="A315" i="2"/>
  <c r="B316" i="2"/>
  <c r="B793" i="2" l="1"/>
  <c r="A792" i="2"/>
  <c r="B317" i="2"/>
  <c r="A316" i="2"/>
  <c r="B794" i="2" l="1"/>
  <c r="A793" i="2"/>
  <c r="A317" i="2"/>
  <c r="B318" i="2"/>
  <c r="A794" i="2" l="1"/>
  <c r="B795" i="2"/>
  <c r="A318" i="2"/>
  <c r="B319" i="2"/>
  <c r="B796" i="2" l="1"/>
  <c r="A795" i="2"/>
  <c r="A319" i="2"/>
  <c r="B320" i="2"/>
  <c r="A796" i="2" l="1"/>
  <c r="B797" i="2"/>
  <c r="A320" i="2"/>
  <c r="B321" i="2"/>
  <c r="A797" i="2" l="1"/>
  <c r="B798" i="2"/>
  <c r="A321" i="2"/>
  <c r="B322" i="2"/>
  <c r="B799" i="2" l="1"/>
  <c r="A798" i="2"/>
  <c r="A322" i="2"/>
  <c r="B323" i="2"/>
  <c r="A799" i="2" l="1"/>
  <c r="B802" i="2"/>
  <c r="B803" i="2" s="1"/>
  <c r="A323" i="2"/>
  <c r="B324" i="2"/>
  <c r="A803" i="2" l="1"/>
  <c r="B805" i="2"/>
  <c r="A805" i="2" s="1"/>
  <c r="A324" i="2"/>
  <c r="B325" i="2"/>
  <c r="A325" i="2" l="1"/>
  <c r="B326" i="2"/>
  <c r="A326" i="2" l="1"/>
  <c r="B327" i="2"/>
  <c r="A327" i="2" l="1"/>
  <c r="B328" i="2"/>
  <c r="A328" i="2" l="1"/>
  <c r="B329" i="2"/>
  <c r="A329" i="2" l="1"/>
  <c r="B330" i="2"/>
  <c r="A330" i="2" l="1"/>
  <c r="B331" i="2"/>
  <c r="A331" i="2" l="1"/>
  <c r="B332" i="2"/>
  <c r="B333" i="2" l="1"/>
  <c r="A332" i="2"/>
  <c r="B334" i="2" l="1"/>
  <c r="A333" i="2"/>
  <c r="A334" i="2" l="1"/>
  <c r="B335" i="2"/>
  <c r="A335" i="2" l="1"/>
  <c r="B337" i="2"/>
  <c r="A337" i="2" l="1"/>
  <c r="B338" i="2"/>
  <c r="A338" i="2" l="1"/>
  <c r="B339" i="2"/>
  <c r="A339" i="2" l="1"/>
  <c r="B340" i="2"/>
  <c r="A340" i="2" l="1"/>
  <c r="B342" i="2"/>
  <c r="A342" i="2" l="1"/>
  <c r="B343" i="2"/>
  <c r="A343" i="2" l="1"/>
  <c r="B344" i="2"/>
  <c r="A344" i="2" l="1"/>
  <c r="B345" i="2"/>
  <c r="A345" i="2" l="1"/>
  <c r="B346" i="2"/>
  <c r="A346" i="2" l="1"/>
  <c r="B347" i="2"/>
  <c r="A347" i="2" l="1"/>
  <c r="B349" i="2"/>
  <c r="A349" i="2" l="1"/>
  <c r="B350" i="2"/>
  <c r="A350" i="2" l="1"/>
  <c r="B351" i="2"/>
  <c r="B352" i="2" l="1"/>
  <c r="A351" i="2"/>
  <c r="A352" i="2" l="1"/>
  <c r="B354" i="2"/>
  <c r="A354" i="2" l="1"/>
  <c r="B356" i="2"/>
  <c r="A356" i="2" l="1"/>
  <c r="B358" i="2"/>
  <c r="A358" i="2" l="1"/>
  <c r="B359" i="2"/>
  <c r="A359" i="2" l="1"/>
  <c r="B360" i="2"/>
  <c r="A360" i="2" l="1"/>
  <c r="B361" i="2"/>
  <c r="A361" i="2" l="1"/>
  <c r="B362" i="2"/>
  <c r="A362" i="2" l="1"/>
  <c r="B363" i="2"/>
  <c r="A363" i="2" l="1"/>
  <c r="B364" i="2"/>
  <c r="A364" i="2" l="1"/>
  <c r="B366" i="2"/>
  <c r="A366" i="2" l="1"/>
  <c r="B367" i="2"/>
  <c r="A367" i="2" l="1"/>
  <c r="B368" i="2"/>
  <c r="A368" i="2" l="1"/>
  <c r="B369" i="2"/>
  <c r="A369" i="2" l="1"/>
  <c r="B370" i="2"/>
  <c r="A370" i="2" l="1"/>
  <c r="B372" i="2"/>
  <c r="A372" i="2" l="1"/>
  <c r="B374" i="2"/>
  <c r="B375" i="2" l="1"/>
  <c r="A374" i="2"/>
  <c r="A375" i="2" l="1"/>
  <c r="B376" i="2"/>
  <c r="A376" i="2" l="1"/>
  <c r="B377" i="2"/>
  <c r="A377" i="2" l="1"/>
  <c r="B378" i="2"/>
  <c r="A378" i="2" l="1"/>
  <c r="B379" i="2"/>
  <c r="A379" i="2" l="1"/>
  <c r="B380" i="2"/>
  <c r="A380" i="2" l="1"/>
  <c r="B381" i="2"/>
  <c r="A381" i="2" l="1"/>
  <c r="B382" i="2"/>
  <c r="A382" i="2" l="1"/>
  <c r="B383" i="2"/>
  <c r="A383" i="2" l="1"/>
  <c r="B384" i="2"/>
  <c r="A384" i="2" l="1"/>
  <c r="B385" i="2"/>
  <c r="A385" i="2" l="1"/>
  <c r="B386" i="2"/>
  <c r="A386" i="2" l="1"/>
  <c r="B387" i="2"/>
  <c r="A387" i="2" l="1"/>
  <c r="B388" i="2"/>
  <c r="A388" i="2" l="1"/>
  <c r="B389" i="2"/>
  <c r="A389" i="2" l="1"/>
  <c r="B390" i="2"/>
  <c r="A390" i="2" l="1"/>
  <c r="B392" i="2"/>
  <c r="A392" i="2" l="1"/>
  <c r="B393" i="2"/>
  <c r="A393" i="2" l="1"/>
  <c r="B394" i="2"/>
  <c r="A394" i="2" l="1"/>
  <c r="B395" i="2"/>
  <c r="A395" i="2" l="1"/>
  <c r="B396" i="2"/>
  <c r="A396" i="2" l="1"/>
  <c r="B397" i="2"/>
  <c r="A397" i="2" l="1"/>
  <c r="B398" i="2"/>
  <c r="A398" i="2" l="1"/>
  <c r="B399" i="2"/>
  <c r="A399" i="2" l="1"/>
  <c r="B400" i="2"/>
  <c r="A400" i="2" l="1"/>
  <c r="B401" i="2"/>
  <c r="A401" i="2" l="1"/>
  <c r="B402" i="2"/>
  <c r="A402" i="2" l="1"/>
  <c r="B403" i="2"/>
  <c r="A403" i="2" l="1"/>
  <c r="B405" i="2"/>
  <c r="A405" i="2" l="1"/>
  <c r="B406" i="2"/>
  <c r="A406" i="2" l="1"/>
  <c r="B407" i="2"/>
  <c r="A407" i="2" l="1"/>
  <c r="B408" i="2"/>
  <c r="A408" i="2" l="1"/>
  <c r="B409" i="2"/>
  <c r="A409" i="2" l="1"/>
  <c r="B410" i="2"/>
  <c r="A410" i="2" l="1"/>
  <c r="B411" i="2"/>
  <c r="A411" i="2" l="1"/>
  <c r="B413" i="2"/>
  <c r="A413" i="2" l="1"/>
  <c r="B414" i="2"/>
  <c r="A414" i="2" l="1"/>
  <c r="B415" i="2"/>
  <c r="A415" i="2" l="1"/>
  <c r="B416" i="2"/>
  <c r="A416" i="2" l="1"/>
  <c r="B417" i="2"/>
  <c r="A417" i="2" l="1"/>
  <c r="B418" i="2"/>
  <c r="A418" i="2" l="1"/>
  <c r="B419" i="2"/>
  <c r="A419" i="2" l="1"/>
  <c r="B420" i="2"/>
  <c r="A420" i="2" l="1"/>
  <c r="B421" i="2"/>
  <c r="A421" i="2" l="1"/>
  <c r="B422" i="2"/>
  <c r="A422" i="2" l="1"/>
  <c r="B423" i="2"/>
  <c r="A423" i="2" l="1"/>
  <c r="B424" i="2"/>
  <c r="A424" i="2" l="1"/>
  <c r="B425" i="2"/>
  <c r="A425" i="2" l="1"/>
  <c r="B426" i="2"/>
  <c r="A426" i="2" l="1"/>
  <c r="B427" i="2"/>
  <c r="A427" i="2" l="1"/>
  <c r="B429" i="2"/>
  <c r="A429" i="2" l="1"/>
  <c r="B430" i="2"/>
  <c r="A430" i="2" l="1"/>
  <c r="B431" i="2"/>
  <c r="A431" i="2" l="1"/>
  <c r="B432" i="2"/>
  <c r="A432" i="2" l="1"/>
  <c r="B433" i="2"/>
  <c r="A433" i="2" l="1"/>
  <c r="B434" i="2"/>
  <c r="A434" i="2" l="1"/>
  <c r="B435" i="2"/>
  <c r="A435" i="2" l="1"/>
  <c r="B436" i="2"/>
  <c r="A436" i="2" l="1"/>
  <c r="B437" i="2"/>
  <c r="A437" i="2" l="1"/>
  <c r="B438" i="2"/>
  <c r="A438" i="2" l="1"/>
  <c r="B439" i="2"/>
  <c r="A439" i="2" l="1"/>
  <c r="B440" i="2"/>
  <c r="A440" i="2" l="1"/>
  <c r="B441" i="2"/>
  <c r="A441" i="2" l="1"/>
  <c r="B442" i="2"/>
  <c r="B443" i="2" l="1"/>
  <c r="A442" i="2"/>
  <c r="A443" i="2" l="1"/>
  <c r="B444" i="2"/>
  <c r="A444" i="2" l="1"/>
  <c r="B445" i="2"/>
  <c r="A445" i="2" l="1"/>
  <c r="B446" i="2"/>
  <c r="A446" i="2" l="1"/>
  <c r="B447" i="2"/>
  <c r="A447" i="2" l="1"/>
  <c r="B448" i="2"/>
  <c r="A448" i="2" l="1"/>
  <c r="B449" i="2"/>
  <c r="A449" i="2" l="1"/>
  <c r="B450" i="2"/>
  <c r="A450" i="2" l="1"/>
  <c r="B451" i="2"/>
  <c r="A451" i="2" l="1"/>
  <c r="B453" i="2"/>
  <c r="A453" i="2" l="1"/>
  <c r="B454" i="2"/>
  <c r="A454" i="2" l="1"/>
  <c r="B455" i="2"/>
  <c r="A455" i="2" l="1"/>
  <c r="B456" i="2"/>
  <c r="B457" i="2" l="1"/>
  <c r="A456" i="2"/>
  <c r="B458" i="2" l="1"/>
  <c r="A457" i="2"/>
  <c r="A458" i="2" l="1"/>
  <c r="B459" i="2"/>
  <c r="A459" i="2" l="1"/>
  <c r="B460" i="2"/>
  <c r="B461" i="2" l="1"/>
  <c r="A460" i="2"/>
  <c r="B462" i="2" l="1"/>
  <c r="A461" i="2"/>
  <c r="B463" i="2" l="1"/>
  <c r="A462" i="2"/>
  <c r="B464" i="2" l="1"/>
  <c r="A463" i="2"/>
  <c r="B465" i="2" l="1"/>
  <c r="A464" i="2"/>
  <c r="B466" i="2" l="1"/>
  <c r="A465" i="2"/>
  <c r="A466" i="2" l="1"/>
  <c r="B467" i="2"/>
  <c r="B468" i="2" l="1"/>
  <c r="A467" i="2"/>
  <c r="B469" i="2" l="1"/>
  <c r="A468" i="2"/>
  <c r="B470" i="2" l="1"/>
  <c r="A469" i="2"/>
  <c r="B471" i="2" l="1"/>
  <c r="A470" i="2"/>
  <c r="B472" i="2" l="1"/>
  <c r="A471" i="2"/>
  <c r="B473" i="2" l="1"/>
  <c r="A472" i="2"/>
  <c r="B474" i="2" l="1"/>
  <c r="A473" i="2"/>
  <c r="A474" i="2" l="1"/>
  <c r="B475" i="2"/>
  <c r="A475" i="2" l="1"/>
  <c r="B476" i="2"/>
  <c r="B477" i="2" l="1"/>
  <c r="A476" i="2"/>
  <c r="B478" i="2" l="1"/>
  <c r="A477" i="2"/>
  <c r="B479" i="2" l="1"/>
  <c r="A478" i="2"/>
  <c r="B480" i="2" l="1"/>
  <c r="A479" i="2"/>
  <c r="B481" i="2" l="1"/>
  <c r="A480" i="2"/>
  <c r="B482" i="2" l="1"/>
  <c r="A481" i="2"/>
  <c r="A482" i="2" l="1"/>
  <c r="B483" i="2"/>
  <c r="B485" i="2" l="1"/>
  <c r="A483" i="2"/>
  <c r="B486" i="2" l="1"/>
  <c r="A485" i="2"/>
  <c r="B488" i="2" l="1"/>
  <c r="A486" i="2"/>
  <c r="B491" i="2" l="1"/>
  <c r="A488" i="2"/>
  <c r="B492" i="2" l="1"/>
  <c r="A491" i="2"/>
  <c r="B493" i="2" l="1"/>
  <c r="A492" i="2"/>
  <c r="B494" i="2" l="1"/>
  <c r="A493" i="2"/>
  <c r="A494" i="2" l="1"/>
  <c r="B495" i="2"/>
  <c r="A495" i="2" l="1"/>
  <c r="B496" i="2"/>
  <c r="B497" i="2" l="1"/>
  <c r="A496" i="2"/>
  <c r="B498" i="2" l="1"/>
  <c r="A497" i="2"/>
  <c r="B499" i="2" l="1"/>
  <c r="A498" i="2"/>
  <c r="B501" i="2" l="1"/>
  <c r="A499" i="2"/>
  <c r="B503" i="2" l="1"/>
  <c r="A501" i="2"/>
  <c r="B506" i="2" l="1"/>
  <c r="A503" i="2"/>
  <c r="B509" i="2" l="1"/>
  <c r="A506" i="2"/>
  <c r="A509" i="2" l="1"/>
  <c r="B510" i="2"/>
  <c r="B511" i="2" l="1"/>
  <c r="A510" i="2"/>
  <c r="B512" i="2" l="1"/>
  <c r="A511" i="2"/>
  <c r="B513" i="2" l="1"/>
  <c r="A512" i="2"/>
  <c r="B514" i="2" l="1"/>
  <c r="A513" i="2"/>
  <c r="B515" i="2" l="1"/>
  <c r="A514" i="2"/>
  <c r="B516" i="2" l="1"/>
  <c r="A515" i="2"/>
  <c r="B518" i="2" l="1"/>
  <c r="A516" i="2"/>
  <c r="A518" i="2" l="1"/>
  <c r="B520" i="2"/>
  <c r="B522" i="2" l="1"/>
  <c r="A520" i="2"/>
  <c r="B523" i="2" l="1"/>
  <c r="A522" i="2"/>
  <c r="B525" i="2" l="1"/>
  <c r="A523" i="2"/>
  <c r="B527" i="2" l="1"/>
  <c r="A525" i="2"/>
  <c r="B529" i="2" l="1"/>
  <c r="A527" i="2"/>
  <c r="B530" i="2" l="1"/>
  <c r="A529" i="2"/>
  <c r="B531" i="2" l="1"/>
  <c r="A530" i="2"/>
  <c r="B532" i="2" l="1"/>
  <c r="A531" i="2"/>
  <c r="A532" i="2" l="1"/>
  <c r="B533" i="2"/>
  <c r="B534" i="2" l="1"/>
  <c r="A533" i="2"/>
  <c r="B535" i="2" l="1"/>
  <c r="A534" i="2"/>
  <c r="B536" i="2" l="1"/>
  <c r="A535" i="2"/>
  <c r="B537" i="2" l="1"/>
  <c r="A536" i="2"/>
  <c r="B538" i="2" l="1"/>
  <c r="A537" i="2"/>
  <c r="B539" i="2" l="1"/>
  <c r="A538" i="2"/>
  <c r="A539" i="2" l="1"/>
  <c r="B540" i="2"/>
  <c r="A540" i="2" l="1"/>
  <c r="B541" i="2"/>
  <c r="B542" i="2" l="1"/>
  <c r="A541" i="2"/>
  <c r="B544" i="2" l="1"/>
  <c r="A542" i="2"/>
  <c r="B545" i="2" l="1"/>
  <c r="A544" i="2"/>
  <c r="B546" i="2" l="1"/>
  <c r="A545" i="2"/>
  <c r="B547" i="2" l="1"/>
  <c r="A546" i="2"/>
  <c r="B548" i="2" l="1"/>
  <c r="A547" i="2"/>
  <c r="A548" i="2" l="1"/>
  <c r="B549" i="2"/>
  <c r="B550" i="2" l="1"/>
  <c r="A549" i="2"/>
  <c r="B551" i="2" l="1"/>
  <c r="A550" i="2"/>
  <c r="B552" i="2" l="1"/>
  <c r="A551" i="2"/>
  <c r="B553" i="2" l="1"/>
  <c r="A552" i="2"/>
  <c r="B554" i="2" l="1"/>
  <c r="A553" i="2"/>
  <c r="B555" i="2" l="1"/>
  <c r="A554" i="2"/>
  <c r="B556" i="2" l="1"/>
  <c r="A555" i="2"/>
  <c r="A556" i="2" l="1"/>
  <c r="B557" i="2"/>
  <c r="A557" i="2" l="1"/>
  <c r="B558" i="2"/>
  <c r="A558" i="2" l="1"/>
  <c r="B559" i="2"/>
  <c r="B560" i="2" l="1"/>
  <c r="A559" i="2"/>
  <c r="B561" i="2" l="1"/>
  <c r="A560" i="2"/>
  <c r="B562" i="2" l="1"/>
  <c r="A561" i="2"/>
  <c r="A562" i="2" l="1"/>
  <c r="B563" i="2"/>
  <c r="B564" i="2" l="1"/>
  <c r="A563" i="2"/>
  <c r="A564" i="2" l="1"/>
  <c r="B565" i="2"/>
  <c r="A565" i="2" l="1"/>
  <c r="B567" i="2"/>
  <c r="A567" i="2" l="1"/>
  <c r="B568" i="2"/>
  <c r="B569" i="2" l="1"/>
  <c r="A568" i="2"/>
  <c r="B570" i="2" l="1"/>
  <c r="A569" i="2"/>
  <c r="B571" i="2" l="1"/>
  <c r="A570" i="2"/>
  <c r="A571" i="2" l="1"/>
  <c r="B572" i="2"/>
  <c r="B573" i="2" l="1"/>
  <c r="A572" i="2"/>
  <c r="A573" i="2" l="1"/>
  <c r="B574" i="2"/>
  <c r="A574" i="2" l="1"/>
  <c r="B575" i="2"/>
  <c r="A575" i="2" l="1"/>
  <c r="B576" i="2"/>
  <c r="B577" i="2" l="1"/>
  <c r="A576" i="2"/>
  <c r="B578" i="2" l="1"/>
  <c r="A577" i="2"/>
  <c r="B580" i="2" l="1"/>
  <c r="A578" i="2"/>
  <c r="A580" i="2" l="1"/>
  <c r="B582" i="2"/>
  <c r="B584" i="2" l="1"/>
  <c r="A582" i="2"/>
  <c r="A584" i="2" l="1"/>
  <c r="B585" i="2"/>
  <c r="A585" i="2" l="1"/>
  <c r="B586" i="2"/>
  <c r="A586" i="2" l="1"/>
  <c r="B587" i="2"/>
  <c r="B588" i="2" l="1"/>
  <c r="A587" i="2"/>
  <c r="B589" i="2" l="1"/>
  <c r="A588" i="2"/>
  <c r="B590" i="2" l="1"/>
  <c r="A589" i="2"/>
  <c r="A590" i="2" l="1"/>
  <c r="B591" i="2"/>
  <c r="B592" i="2" l="1"/>
  <c r="A591" i="2"/>
  <c r="A592" i="2" l="1"/>
  <c r="B593" i="2"/>
  <c r="A593" i="2" l="1"/>
  <c r="B594" i="2"/>
  <c r="A594" i="2" l="1"/>
  <c r="B595" i="2"/>
  <c r="B596" i="2" l="1"/>
  <c r="A595" i="2"/>
  <c r="B597" i="2" l="1"/>
  <c r="A596" i="2"/>
  <c r="B598" i="2" l="1"/>
  <c r="A597" i="2"/>
  <c r="A598" i="2" l="1"/>
  <c r="B599" i="2"/>
  <c r="B600" i="2" l="1"/>
  <c r="A599" i="2"/>
  <c r="A600" i="2" l="1"/>
  <c r="B601" i="2"/>
  <c r="A601" i="2" l="1"/>
  <c r="B602" i="2"/>
  <c r="A602" i="2" l="1"/>
  <c r="B603" i="2"/>
  <c r="B604" i="2" l="1"/>
  <c r="A603" i="2"/>
  <c r="B608" i="2" l="1"/>
  <c r="A604" i="2"/>
  <c r="B610" i="2" l="1"/>
  <c r="A608" i="2"/>
  <c r="A610" i="2" l="1"/>
  <c r="B612" i="2"/>
  <c r="B613" i="2" l="1"/>
  <c r="A612" i="2"/>
  <c r="A613" i="2" l="1"/>
  <c r="B617" i="2"/>
  <c r="A617" i="2" l="1"/>
  <c r="B618" i="2"/>
  <c r="A618" i="2" l="1"/>
  <c r="B619" i="2"/>
  <c r="B620" i="2" l="1"/>
  <c r="A619" i="2"/>
  <c r="B622" i="2" l="1"/>
  <c r="A620" i="2"/>
  <c r="B623" i="2" l="1"/>
  <c r="A622" i="2"/>
  <c r="B624" i="2" l="1"/>
  <c r="A623" i="2"/>
  <c r="A624" i="2" l="1"/>
  <c r="B625" i="2"/>
  <c r="A625" i="2" l="1"/>
  <c r="B626" i="2"/>
  <c r="B627" i="2" l="1"/>
  <c r="A626" i="2"/>
  <c r="B628" i="2" l="1"/>
  <c r="A627" i="2"/>
  <c r="A628" i="2" l="1"/>
  <c r="B629" i="2"/>
  <c r="B630" i="2" l="1"/>
  <c r="A629" i="2"/>
  <c r="B631" i="2" l="1"/>
  <c r="A631" i="2" s="1"/>
  <c r="A630" i="2"/>
</calcChain>
</file>

<file path=xl/sharedStrings.xml><?xml version="1.0" encoding="utf-8"?>
<sst xmlns="http://schemas.openxmlformats.org/spreadsheetml/2006/main" count="7203" uniqueCount="1467">
  <si>
    <t>Solução Adotada</t>
  </si>
  <si>
    <t>Cancelado</t>
  </si>
  <si>
    <t>Atendente</t>
  </si>
  <si>
    <t>Situação</t>
  </si>
  <si>
    <t>Telefone</t>
  </si>
  <si>
    <t>Cód. Cliente</t>
  </si>
  <si>
    <t>Combinado</t>
  </si>
  <si>
    <t>Motivo</t>
  </si>
  <si>
    <t>Menu</t>
  </si>
  <si>
    <t>Solicitante</t>
  </si>
  <si>
    <t>Anexo</t>
  </si>
  <si>
    <t>Setor</t>
  </si>
  <si>
    <t>Celular</t>
  </si>
  <si>
    <t>Alberto Alexandre Lima de Almeida</t>
  </si>
  <si>
    <t>DIAC/PAR</t>
  </si>
  <si>
    <t>Alison Pereira Batista</t>
  </si>
  <si>
    <t> DIAC/PAR</t>
  </si>
  <si>
    <t>Alvaro Hermano da Silva</t>
  </si>
  <si>
    <t>Andrea Pereira da Silva</t>
  </si>
  <si>
    <t>Andre Gustavo Duarte de Almeida</t>
  </si>
  <si>
    <t>Andre Quintiliano Bezerra Silva</t>
  </si>
  <si>
    <t>Antonio Henrique Nepomuceno Coelho</t>
  </si>
  <si>
    <t>Arlindo Lopes Barbosa</t>
  </si>
  <si>
    <t>Carlos Alberto de Negreiro</t>
  </si>
  <si>
    <t>Carlos Magno Lima Fernandes e Silva</t>
  </si>
  <si>
    <t>Deborah Vieira de Alencar Maia</t>
  </si>
  <si>
    <t>Demostenes Santos de Sena</t>
  </si>
  <si>
    <t>Eduardo Sergio de Medeiros Pereira</t>
  </si>
  <si>
    <t>Fabia Maria Gomes de Meneses</t>
  </si>
  <si>
    <t>Filipe de Oliveira Quintaes</t>
  </si>
  <si>
    <t>Francarlos Martins de Carvalho</t>
  </si>
  <si>
    <t>Gilmara Coutinho Pereira</t>
  </si>
  <si>
    <t>Gustavo Fontoura de Souza</t>
  </si>
  <si>
    <t>Irapuan Medeiros de Lucena</t>
  </si>
  <si>
    <t>Jose Soares Batista Lopes</t>
  </si>
  <si>
    <t>Jurandy Martins Soares Junior</t>
  </si>
  <si>
    <t>Lucifrance Figueredo da Cunha</t>
  </si>
  <si>
    <t>Marcelo Varela de Souza</t>
  </si>
  <si>
    <t>Moroni Neres Vieira</t>
  </si>
  <si>
    <t>Paulo Vitor Silva</t>
  </si>
  <si>
    <t>Priscila Tiziana Seabra Marques da Silva</t>
  </si>
  <si>
    <t>Roberto Klecius Mendonca Fernandes</t>
  </si>
  <si>
    <t>Romero Rossano Tertulino da Silva</t>
  </si>
  <si>
    <t>Rubenigue de Souza Silva</t>
  </si>
  <si>
    <t>Valdemiro Severiano Junior</t>
  </si>
  <si>
    <t>Victor Costa de Andrade Pimentel</t>
  </si>
  <si>
    <t>Anexos</t>
  </si>
  <si>
    <t>Registros</t>
  </si>
  <si>
    <t>Observação</t>
  </si>
  <si>
    <t xml:space="preserve"> </t>
  </si>
  <si>
    <t>Nome</t>
  </si>
  <si>
    <t>Nº Requerimento</t>
  </si>
  <si>
    <t>Matrícula</t>
  </si>
  <si>
    <t>Turma</t>
  </si>
  <si>
    <t>Requisição</t>
  </si>
  <si>
    <t>Data de Entrada</t>
  </si>
  <si>
    <t>Justificativa de Falta</t>
  </si>
  <si>
    <t>Reposição de Atividade</t>
  </si>
  <si>
    <t>Justificativa de Falta/Reposição de Atividade</t>
  </si>
  <si>
    <t>Mudança de curso / turma / turno</t>
  </si>
  <si>
    <t>Transferência Interna</t>
  </si>
  <si>
    <t>Transferência Externa</t>
  </si>
  <si>
    <t>Lançamento ou revisão de faltas / notas / situação</t>
  </si>
  <si>
    <t>Renovação / Reabertura de Matrícula</t>
  </si>
  <si>
    <t>Trancamento de Matrícula</t>
  </si>
  <si>
    <t>Trancamento de Matrícula Compulsório</t>
  </si>
  <si>
    <t>Cancelamento de Matrícula</t>
  </si>
  <si>
    <t>Atendimento Domiciliar</t>
  </si>
  <si>
    <t>Dispensa de atividades</t>
  </si>
  <si>
    <t>Adequação de Horários / Estudo Individualizado</t>
  </si>
  <si>
    <t>Inclusão / Remoção de Disciplinas</t>
  </si>
  <si>
    <t>DOCUMENTO EM ANEXO</t>
  </si>
  <si>
    <t>Atestado Médico</t>
  </si>
  <si>
    <t>Declaração de Comparecimento</t>
  </si>
  <si>
    <t>Declaração do Trabalho</t>
  </si>
  <si>
    <t>Declaração de Ausência de Transporte</t>
  </si>
  <si>
    <t>Folha de frequencia Mensal</t>
  </si>
  <si>
    <t>Nada Consta</t>
  </si>
  <si>
    <t>Encaminhado para: Setor - Pessoa</t>
  </si>
  <si>
    <t>Data de Finalização</t>
  </si>
  <si>
    <t>Situação do Requerimento</t>
  </si>
  <si>
    <t>Deferido</t>
  </si>
  <si>
    <t>Indeferido</t>
  </si>
  <si>
    <t>Tramitando</t>
  </si>
  <si>
    <t>SEAC/PAR - Secretaria Acadêmica</t>
  </si>
  <si>
    <t>Professor 01</t>
  </si>
  <si>
    <t>Posicionamento 01</t>
  </si>
  <si>
    <t>Professor 02</t>
  </si>
  <si>
    <t>Posicionamento 02</t>
  </si>
  <si>
    <t>Professor 03</t>
  </si>
  <si>
    <t>Posicionamento 03</t>
  </si>
  <si>
    <t>Professor 04</t>
  </si>
  <si>
    <t>Posicionamento 04</t>
  </si>
  <si>
    <t>Givanaldo Rocha de Souza</t>
  </si>
  <si>
    <t>Disciplina a ser Aproveitada 01</t>
  </si>
  <si>
    <t>Situação do Aproveitamento 01</t>
  </si>
  <si>
    <t>Professor(a) Avaliador(a) 01</t>
  </si>
  <si>
    <t>Disciplina a ser Aproveitada 02</t>
  </si>
  <si>
    <t>Situação do Aproveitamento 02</t>
  </si>
  <si>
    <t>Professor(a) Avaliador(a) 02</t>
  </si>
  <si>
    <t>Disciplina a ser Aproveitada 03</t>
  </si>
  <si>
    <t>Situação do Aproveitamento 03</t>
  </si>
  <si>
    <t>Professor(a) Avaliador(a) 03</t>
  </si>
  <si>
    <t>Disciplina a ser Aproveitada 04</t>
  </si>
  <si>
    <t>Situação do Aproveitamento 04</t>
  </si>
  <si>
    <t>Professor(a) Avaliador(a) 04</t>
  </si>
  <si>
    <t>Disciplina a ser Aproveitada 05</t>
  </si>
  <si>
    <t>Situação do Aproveitamento 05</t>
  </si>
  <si>
    <t>Professor(a) Avaliador(a) 05</t>
  </si>
  <si>
    <t>Disciplina a ser Aproveitada 06</t>
  </si>
  <si>
    <t>Situação do Aproveitamento 06</t>
  </si>
  <si>
    <t>Professor(a) Avaliador(a) 06</t>
  </si>
  <si>
    <t>Disciplina a ser Aproveitada 07</t>
  </si>
  <si>
    <t>Situação do Aproveitamento 07</t>
  </si>
  <si>
    <t>Professor(a) Avaliador(a) 07</t>
  </si>
  <si>
    <t>Disciplina a ser Aproveitada 08</t>
  </si>
  <si>
    <t>Situação do Aproveitamento 08</t>
  </si>
  <si>
    <t>Professor(a) Avaliador(a) 08</t>
  </si>
  <si>
    <t>Controle de Aproveitamento - SEAC/PAR 2014</t>
  </si>
  <si>
    <t>Disciplina a ser Certificada 01</t>
  </si>
  <si>
    <t>Data da Prova 01</t>
  </si>
  <si>
    <t>Resultado 01</t>
  </si>
  <si>
    <t>Disciplina a ser Certificada 02</t>
  </si>
  <si>
    <t>Data da Prova 02</t>
  </si>
  <si>
    <t>Resultado 02</t>
  </si>
  <si>
    <t>Disciplina a ser Certificada 03</t>
  </si>
  <si>
    <t>Data da Prova 03</t>
  </si>
  <si>
    <t>Resultado 03</t>
  </si>
  <si>
    <t>Disciplina a ser Certificada 04</t>
  </si>
  <si>
    <t>Data da Prova 04</t>
  </si>
  <si>
    <t>Resultado 04</t>
  </si>
  <si>
    <t>REDES DE COMPUTADORES</t>
  </si>
  <si>
    <t>Bruno Emerson Gurgel Gomes</t>
  </si>
  <si>
    <t>Washington Luiz da Silva Martins</t>
  </si>
  <si>
    <t>Eduardo Galvão Ramalho</t>
  </si>
  <si>
    <t>Raphael Siqueira Fontes</t>
  </si>
  <si>
    <t>Anna Catharina da Costa Dantas</t>
  </si>
  <si>
    <t>Marta Helena Feitosa Silva</t>
  </si>
  <si>
    <t>Carlos Eduardo de Lima Duarte</t>
  </si>
  <si>
    <t>Rogerio Gomes Alves</t>
  </si>
  <si>
    <t>Disciplina</t>
  </si>
  <si>
    <t>Glenda Michelle Marques Fonseca Ferreira Dantas</t>
  </si>
  <si>
    <t xml:space="preserve">Airton Araujo de Souza Junior </t>
  </si>
  <si>
    <t>Xenia Silva Gomes Brandao</t>
  </si>
  <si>
    <t xml:space="preserve">Jefferson Doolan Fernandes </t>
  </si>
  <si>
    <t>Antonio Andre Alves</t>
  </si>
  <si>
    <t>Maria Aparecida da Silva Fernandes Trindade</t>
  </si>
  <si>
    <t>Zulmar Jofli dos Santos Junior</t>
  </si>
  <si>
    <t>Frank Victor Amorim</t>
  </si>
  <si>
    <t>Luiz Ricardo Rodrigues Araujo</t>
  </si>
  <si>
    <t>Diego da Silva Pereira</t>
  </si>
  <si>
    <t>Fabio Augusto Procópio de Paiva</t>
  </si>
  <si>
    <t>Joao Maria Araujo do Nascimento</t>
  </si>
  <si>
    <t>Valerio Gutemberg de Medeiros Junior</t>
  </si>
  <si>
    <t>Lucia de Fatima Vieira da Costa</t>
  </si>
  <si>
    <t>Francy Izanny de Brito Barbosa Martins</t>
  </si>
  <si>
    <t>Jose Everaldo Pereira</t>
  </si>
  <si>
    <t>Gustavo Fernandes de Lima</t>
  </si>
  <si>
    <t>Rodrigo Siqueira Martins</t>
  </si>
  <si>
    <t>Aylanna Raquel da Costa Oliveira</t>
  </si>
  <si>
    <t>Tiago Costa de Araujo</t>
  </si>
  <si>
    <t>Filipe Campos de Alcantara Lins</t>
  </si>
  <si>
    <t>Aline Gomes da Silva</t>
  </si>
  <si>
    <t>Tadeu Ferreira Oliveira</t>
  </si>
  <si>
    <t>Carlos Henrique Pessoa Cunha</t>
  </si>
  <si>
    <t>Wigna Eriony Aparecida de Morais Lustosa</t>
  </si>
  <si>
    <t>Anderson Eugenio Silva da Costa</t>
  </si>
  <si>
    <t>Jaciana Silva de Santana</t>
  </si>
  <si>
    <t>Diogo Henrique Duarte Bezerra</t>
  </si>
  <si>
    <t>Ricardo Fernandes de Souza</t>
  </si>
  <si>
    <t>1939058</t>
  </si>
  <si>
    <t>1551765</t>
  </si>
  <si>
    <t>2375965</t>
  </si>
  <si>
    <t>2050960</t>
  </si>
  <si>
    <t>1995307</t>
  </si>
  <si>
    <t>2069333</t>
  </si>
  <si>
    <t>1972058</t>
  </si>
  <si>
    <t>2008470</t>
  </si>
  <si>
    <t>2044257</t>
  </si>
  <si>
    <t>ADMINISTRAÇÃO</t>
  </si>
  <si>
    <t>BIOLOGIA</t>
  </si>
  <si>
    <t>DIDÁTICA</t>
  </si>
  <si>
    <t>EDUCAÇÃO FÍSICA</t>
  </si>
  <si>
    <t>ELETROELETRÔNICA</t>
  </si>
  <si>
    <t>ELETROELETRÔNICA, INSTALAÇÕES ELÉTRICAS E SEGURANÇA DO TRABALHO</t>
  </si>
  <si>
    <t>ELETROTÉCNICA</t>
  </si>
  <si>
    <t>FILOSOFIA</t>
  </si>
  <si>
    <t>FÍSICA</t>
  </si>
  <si>
    <t>FÍSICA / ELETROTÉCNICA</t>
  </si>
  <si>
    <t>GEOGRAFIA</t>
  </si>
  <si>
    <t>HISTÓRIA</t>
  </si>
  <si>
    <t>LINGUA INGLESA</t>
  </si>
  <si>
    <t>LÍNGUA INGLESA</t>
  </si>
  <si>
    <t>LÍNGUA PORTUGUESA E LITERATURA BRASILEIRA</t>
  </si>
  <si>
    <t>MANUTENÇÃO DE EQUIPAMENTOS DE INFORMÁTICA</t>
  </si>
  <si>
    <t>MATEMÁTICA</t>
  </si>
  <si>
    <t>MECÂNICA</t>
  </si>
  <si>
    <t>QUÍMICA</t>
  </si>
  <si>
    <t>SISTEMAS DE INFORMAÇÃO</t>
  </si>
  <si>
    <t>SOCIOLOGIA</t>
  </si>
  <si>
    <t>ARTES</t>
  </si>
  <si>
    <t>CONTROLE DE PROCESSOS</t>
  </si>
  <si>
    <t>LÍNGUA ESPANHOLA</t>
  </si>
  <si>
    <t>SISTEMAS DE INFORMAÇÃO (Redes de Computadores)</t>
  </si>
  <si>
    <t>PEDAGOGIA</t>
  </si>
  <si>
    <t>COORDENAÇÃO DE CURSO</t>
  </si>
  <si>
    <t>Rosineide Soares Silva Ferreira</t>
  </si>
  <si>
    <t>Artes</t>
  </si>
  <si>
    <t>EMÍDIO JOSÉ GOMES</t>
  </si>
  <si>
    <t>Planejamento e Projeto de Redes</t>
  </si>
  <si>
    <t>ELTHON JOHN RODRIGUES DE MEDEIROS</t>
  </si>
  <si>
    <t>DIAC/***</t>
  </si>
  <si>
    <t>Matemática I</t>
  </si>
  <si>
    <t>Controle de Certificação - SEAC/PAR 2015</t>
  </si>
  <si>
    <t>20151.14113.1AM</t>
  </si>
  <si>
    <t>20151.14113.1BV</t>
  </si>
  <si>
    <t>20151.14113.1CM</t>
  </si>
  <si>
    <t>20151.14113.2AM</t>
  </si>
  <si>
    <t>20151.14113.2BV</t>
  </si>
  <si>
    <t>20151.14113.3AM</t>
  </si>
  <si>
    <t>20151.14113.3BM</t>
  </si>
  <si>
    <t>20151.14113.4AV</t>
  </si>
  <si>
    <t>20151.14113.4BV</t>
  </si>
  <si>
    <t>20151.14120.1N</t>
  </si>
  <si>
    <t>20151.14120.2N</t>
  </si>
  <si>
    <t>20151.14401.1AM</t>
  </si>
  <si>
    <t>20151.14401.1BV</t>
  </si>
  <si>
    <t>20151.14401.1CM</t>
  </si>
  <si>
    <t>20151.14401.2AM</t>
  </si>
  <si>
    <t>20151.14401.2BV</t>
  </si>
  <si>
    <t>20151.14401.3AM</t>
  </si>
  <si>
    <t>20151.14401.3BM</t>
  </si>
  <si>
    <t>20151.14401.4AV</t>
  </si>
  <si>
    <t>20151.14401.4BV</t>
  </si>
  <si>
    <t>20151.14403.1N</t>
  </si>
  <si>
    <t>20151.14403.2N</t>
  </si>
  <si>
    <t>20151.14403.3N</t>
  </si>
  <si>
    <t>20151.14403.4N</t>
  </si>
  <si>
    <t>20151.14806.1V</t>
  </si>
  <si>
    <t>20151.14806.2V</t>
  </si>
  <si>
    <t>20131141130810</t>
  </si>
  <si>
    <t xml:space="preserve">MAURICIO HORIUTI COSTA </t>
  </si>
  <si>
    <t>1.14113.2BV</t>
  </si>
  <si>
    <t>20121141130294</t>
  </si>
  <si>
    <t xml:space="preserve">ARTHUR VICTOR XAVIER DA SILVA </t>
  </si>
  <si>
    <t>20131144010327</t>
  </si>
  <si>
    <t xml:space="preserve">JOÃO VICTOR PADILHA DO AMARAL </t>
  </si>
  <si>
    <t>1.14401.2BV</t>
  </si>
  <si>
    <t>20131141130143</t>
  </si>
  <si>
    <t>1.14113.1CM</t>
  </si>
  <si>
    <t xml:space="preserve">LHAYANA VIEIRA DE MACEDO </t>
  </si>
  <si>
    <t>20131144010599</t>
  </si>
  <si>
    <t xml:space="preserve">ANA ELOISE DA SILVA ROCHA </t>
  </si>
  <si>
    <t>1.14401.1CM</t>
  </si>
  <si>
    <t>20121141130758</t>
  </si>
  <si>
    <t xml:space="preserve">LUIZ FERNANDO BEZERRA </t>
  </si>
  <si>
    <t>20131144010742</t>
  </si>
  <si>
    <t xml:space="preserve">JOÃO VICTOR PADILHA DO AMARAL  </t>
  </si>
  <si>
    <t>20131144010831</t>
  </si>
  <si>
    <t>ANTONIO JOSÉ FONSECA DOS SANTOS</t>
  </si>
  <si>
    <t>20132144030385</t>
  </si>
  <si>
    <t xml:space="preserve">ZILENE EDINETE  DO NASCIMENTO </t>
  </si>
  <si>
    <t>20131141130763</t>
  </si>
  <si>
    <t>LEOJ PHABLLO ALVES SILVA</t>
  </si>
  <si>
    <t>20121141130529</t>
  </si>
  <si>
    <t>JEFFERSON AUGUSTO FERREIRA DE SOUSA</t>
  </si>
  <si>
    <t>20131141130232</t>
  </si>
  <si>
    <t xml:space="preserve">CALÍO REGIS SANTOS DE FREITAS SILVA </t>
  </si>
  <si>
    <t>20121144010087</t>
  </si>
  <si>
    <t>JULIANA DA SILVA</t>
  </si>
  <si>
    <t>MÁRCIA EDUARDA DORNELES TEIXEIRA</t>
  </si>
  <si>
    <t>20121144010265</t>
  </si>
  <si>
    <t xml:space="preserve">PATRICIA FERNANDES DOS SANTOS </t>
  </si>
  <si>
    <t>20141144010901</t>
  </si>
  <si>
    <t>JÁRCIA BEZERRA SOARES</t>
  </si>
  <si>
    <t xml:space="preserve">MARCOS FARIAS SILVA </t>
  </si>
  <si>
    <t>20142141200090</t>
  </si>
  <si>
    <t>LEANDRO FERREIRA DE AZEVEDO</t>
  </si>
  <si>
    <t>20131144010335</t>
  </si>
  <si>
    <t xml:space="preserve">AROLDO FELIX PEREIRA JUNIOR  </t>
  </si>
  <si>
    <t>CERTIFICADO DE ALISTAMENTO MILITAR</t>
  </si>
  <si>
    <t>20121141130162</t>
  </si>
  <si>
    <t>JACIARA DA SILVA HELENO</t>
  </si>
  <si>
    <t>20131144010750</t>
  </si>
  <si>
    <t xml:space="preserve">PEDRO RENATO DOS SANTOS CAVALCANTI </t>
  </si>
  <si>
    <t>OUTRO</t>
  </si>
  <si>
    <t>MUDANÇA DE HORARIO DE ALGORITMO</t>
  </si>
  <si>
    <t>20131144010726</t>
  </si>
  <si>
    <t xml:space="preserve">KARINA DAYANE MATIAS DO NASCIMENTO </t>
  </si>
  <si>
    <t>20151141200243</t>
  </si>
  <si>
    <t>RODRIGO BARBOSA LOBATO</t>
  </si>
  <si>
    <t>2.1</t>
  </si>
  <si>
    <t>20142141200066</t>
  </si>
  <si>
    <t>FLÁVIA LAÍS MOHR OKAEDA</t>
  </si>
  <si>
    <t>20142144030323</t>
  </si>
  <si>
    <t xml:space="preserve">EDUARDO MIRANDA DA SILVA </t>
  </si>
  <si>
    <t>BOLETIM</t>
  </si>
  <si>
    <t>20151144030187</t>
  </si>
  <si>
    <t>JEFFERSON AUGUSTO DA SILVA</t>
  </si>
  <si>
    <t>E JUSTIFICATIVA DE FALTA</t>
  </si>
  <si>
    <t>22.1</t>
  </si>
  <si>
    <t>20141144030260</t>
  </si>
  <si>
    <t>GABRIEL DE CARVALHO SILVA</t>
  </si>
  <si>
    <t>20131141130690</t>
  </si>
  <si>
    <t>RAFAELA MEDEIROS DE MORAIS</t>
  </si>
  <si>
    <t>20131144010246</t>
  </si>
  <si>
    <t>MATEUS VINÍCIUS SILVA BEZERRA</t>
  </si>
  <si>
    <t xml:space="preserve"> JUSTIFICATIVA DE FALTA E ADEQUAÇÃO DE HORÁRIOS </t>
  </si>
  <si>
    <t>20141144010170</t>
  </si>
  <si>
    <t>JOÃO PAULO FONSECA GOMES</t>
  </si>
  <si>
    <t>23.3</t>
  </si>
  <si>
    <t>20132144030261</t>
  </si>
  <si>
    <t>ROBERTO WAGNER SILVA DIAS</t>
  </si>
  <si>
    <t>JUSTIFICATIVA DE FALTAS</t>
  </si>
  <si>
    <t>20121144010192</t>
  </si>
  <si>
    <t>MARYANNE ALICE DE FREITAS TAVARES</t>
  </si>
  <si>
    <t>31.1</t>
  </si>
  <si>
    <t>20151144010470</t>
  </si>
  <si>
    <t>MARIA DOS PRAZERES DE OLIVEIRA TEIXEIRA</t>
  </si>
  <si>
    <t>20131144030379</t>
  </si>
  <si>
    <t>BRENO VITO DUARTE</t>
  </si>
  <si>
    <t>20151148060013</t>
  </si>
  <si>
    <t>EUGENIO CARLOS DOS SANTOS BEZERRA</t>
  </si>
  <si>
    <t>20151144030110</t>
  </si>
  <si>
    <t>FRANCISCO EWERTON DE ARAÚJO SILVA</t>
  </si>
  <si>
    <t>CERTIFICAÇÃO DE CONHECIMENTO</t>
  </si>
  <si>
    <t>QUALIDADE DE VIDA</t>
  </si>
  <si>
    <t>20121144010389</t>
  </si>
  <si>
    <t>ANA LETÍCIA LIMA DOS SANTOS</t>
  </si>
  <si>
    <t>20121141130065</t>
  </si>
  <si>
    <t>JERFFSON MARINHEIRO DA SILA COSTA</t>
  </si>
  <si>
    <t>20151144010593</t>
  </si>
  <si>
    <t>MARIA TALLITHA MARTINS DA SILVA</t>
  </si>
  <si>
    <t>20121141130626</t>
  </si>
  <si>
    <t>LUCAS PEREIRA TREVISAN</t>
  </si>
  <si>
    <t xml:space="preserve">ALCIFRAN MEDEIROS DOS SANTOS </t>
  </si>
  <si>
    <t>ELETRICIDADE/MATERIAIS CONSTRUÇÃO</t>
  </si>
  <si>
    <t>DESENHO TECNICO/ELETRICIDADE</t>
  </si>
  <si>
    <t>ELETRICIDADE/DESENHO TECNICO</t>
  </si>
  <si>
    <t>20151144030268</t>
  </si>
  <si>
    <t>NILDSON BRENO BEZERRA HERCULINO</t>
  </si>
  <si>
    <t>20142148060278</t>
  </si>
  <si>
    <t>JOSE JOSSINY FERREIRA CLAUDINO</t>
  </si>
  <si>
    <t>20142144030161</t>
  </si>
  <si>
    <t>MARCOS PAULO RODRIGUES</t>
  </si>
  <si>
    <t>20132144030202</t>
  </si>
  <si>
    <t>WANNE RACILLY VIEIRA BARBOSA</t>
  </si>
  <si>
    <t>20151148060188</t>
  </si>
  <si>
    <t>GERSON DA SILVA VICENTE</t>
  </si>
  <si>
    <t>2013144030180</t>
  </si>
  <si>
    <t>FABIANO DO NASCIMENTO CELESTINO</t>
  </si>
  <si>
    <t>20131144010823</t>
  </si>
  <si>
    <t xml:space="preserve">ANDRÉ LUIZ TEIXEIRA LOPES </t>
  </si>
  <si>
    <t>ORGANIZAÇÃO DIDÁTICA IFRN</t>
  </si>
  <si>
    <t>20121144010451</t>
  </si>
  <si>
    <t>BRUNA DA COSTA ROCHA</t>
  </si>
  <si>
    <t>5.1</t>
  </si>
  <si>
    <t>20131144010610</t>
  </si>
  <si>
    <t>JOSÉ WELLINGTON DE LIMA OLIVEIRA</t>
  </si>
  <si>
    <t>30.1</t>
  </si>
  <si>
    <t>JAÁRCIA BEZERRA SOARES</t>
  </si>
  <si>
    <t>20132255020351</t>
  </si>
  <si>
    <t>LUÍS FELIPE LIBERATO GUIMARÃES</t>
  </si>
  <si>
    <t>20151144030047</t>
  </si>
  <si>
    <t>20151144010313</t>
  </si>
  <si>
    <t>THIAGO VINÍCIUS AZEVEDO DE OLIVEIRA</t>
  </si>
  <si>
    <t>20141144010804</t>
  </si>
  <si>
    <t>ALLAIN ERLER SILVA DE SOUZA</t>
  </si>
  <si>
    <t>Franklin Rodolfo Batista Pontes Galdino</t>
  </si>
  <si>
    <t>PORTUGUES</t>
  </si>
  <si>
    <t>INFORMÁTICA</t>
  </si>
  <si>
    <t>ELETRICIDADE</t>
  </si>
  <si>
    <t>DESENHOTÉCNICO</t>
  </si>
  <si>
    <t>20151141200170</t>
  </si>
  <si>
    <t>LEANDRO RAMOS MARTINS</t>
  </si>
  <si>
    <t>20121144110405</t>
  </si>
  <si>
    <t>JAMES DEAN CABRAL RIBEIRO</t>
  </si>
  <si>
    <t>20151144030195</t>
  </si>
  <si>
    <t>CICERO SILVIO DA SILVA ROCHA</t>
  </si>
  <si>
    <t>INFORMÁTICA BÁSICA</t>
  </si>
  <si>
    <t>APROVADO</t>
  </si>
  <si>
    <t>20151144030080</t>
  </si>
  <si>
    <t>JERFFESON MAURÍCIO DOS SANTOS</t>
  </si>
  <si>
    <t>20151144030173</t>
  </si>
  <si>
    <t>JORDAN HUGO DA SILVA ROSENDO</t>
  </si>
  <si>
    <t>20151144030101</t>
  </si>
  <si>
    <t>JOAO VICTOR RIBEIRO DOS SANTOS</t>
  </si>
  <si>
    <t>20151144030071</t>
  </si>
  <si>
    <t>LEANDRO ERNESTO DO NASCIMENTO</t>
  </si>
  <si>
    <t>20151144030039</t>
  </si>
  <si>
    <t>PEDRO BARROS DE PONTES</t>
  </si>
  <si>
    <t>GUALTER PEREIRA SILVA DE OLIVEIRA</t>
  </si>
  <si>
    <t>20151144030233</t>
  </si>
  <si>
    <t>JOAO WALESON PAIVA PIMENTA</t>
  </si>
  <si>
    <t>20151144030012</t>
  </si>
  <si>
    <t>MARIA BEATRIZ DE PONTES SOUZA</t>
  </si>
  <si>
    <t>20151144030128</t>
  </si>
  <si>
    <t>MYCKELANGELO DEANGELIS NASCIMENTO DE MELO</t>
  </si>
  <si>
    <t>20151144030136</t>
  </si>
  <si>
    <t>TASSYO VIRGINIO BATISTA</t>
  </si>
  <si>
    <t>20151144030160</t>
  </si>
  <si>
    <t>DANIEL BARBOSA SILVA</t>
  </si>
  <si>
    <t>20151144030098</t>
  </si>
  <si>
    <t>PLÁCIDO DONADONE NASCIMENTO DE MELO</t>
  </si>
  <si>
    <t>20151144030152</t>
  </si>
  <si>
    <t>GABRIEL ALVES BRITO</t>
  </si>
  <si>
    <t>20142141200163</t>
  </si>
  <si>
    <t>LINGUA PORTUGUESA</t>
  </si>
  <si>
    <t>20151144030250</t>
  </si>
  <si>
    <t>JOSIANA DE MEDEIROS MORAIS</t>
  </si>
  <si>
    <t>20151144030055</t>
  </si>
  <si>
    <t>RONALDO DA SILVA NASCIMENTO</t>
  </si>
  <si>
    <t>ELAYNE APARECIDA DA SILVA</t>
  </si>
  <si>
    <t>WILIANE DA SILVA LIMA</t>
  </si>
  <si>
    <t>SÉRVULO MARCELINO DA SILVA PINTO</t>
  </si>
  <si>
    <t>REPROVADO</t>
  </si>
  <si>
    <t>MARCOS FARIAS SILVA</t>
  </si>
  <si>
    <t>DAFNIS LINO DE LYRA</t>
  </si>
  <si>
    <t>ABIMAX MARCELINO DA SILVA</t>
  </si>
  <si>
    <t>20121144010460</t>
  </si>
  <si>
    <t>RAFAELEM FÉLIPE DA SILVA</t>
  </si>
  <si>
    <t>62.1</t>
  </si>
  <si>
    <t>20131141130267</t>
  </si>
  <si>
    <t>ALICE LEONORA DE SOUSA E SILVA</t>
  </si>
  <si>
    <t>20121141130340</t>
  </si>
  <si>
    <t>JEFFERSON MOURA AMADOR DE OLIVEIRA</t>
  </si>
  <si>
    <t>20142148060146</t>
  </si>
  <si>
    <t>RENATA DA SILVA CRUZ</t>
  </si>
  <si>
    <t>20151141130679</t>
  </si>
  <si>
    <t>EMILY BATISTA DA SILVA</t>
  </si>
  <si>
    <t>20151148060234</t>
  </si>
  <si>
    <t>JOSIEL SANTOS DE SOUZA</t>
  </si>
  <si>
    <t>INFORMATICA BASICA</t>
  </si>
  <si>
    <t>20142141200198</t>
  </si>
  <si>
    <t>MATHEUS RICARDO DE PAULA</t>
  </si>
  <si>
    <t>20131144030026</t>
  </si>
  <si>
    <t>JOSIEIDY VERAS DINIS FERNANDES</t>
  </si>
  <si>
    <t>DOCUMENTO EM ANEXO CERTIDÃO</t>
  </si>
  <si>
    <t>20142148060057</t>
  </si>
  <si>
    <t>DANIEL BELCHIOR DOS SANTOS</t>
  </si>
  <si>
    <t>KALYNE RODRIGUES DE MELO</t>
  </si>
  <si>
    <t xml:space="preserve">INFORMATICA </t>
  </si>
  <si>
    <t>MATEUS EIDER MOURA SILVA DOS PRAZERES</t>
  </si>
  <si>
    <t>INFORMATICA</t>
  </si>
  <si>
    <t>20142144030110</t>
  </si>
  <si>
    <t>THIAGO AUGUSTO SILVA DE OLIVEIRA</t>
  </si>
  <si>
    <t>20142144030129</t>
  </si>
  <si>
    <t>AURICA FANY CORDEIRO BATISTA</t>
  </si>
  <si>
    <t>20151141200324</t>
  </si>
  <si>
    <t>ALCIFRAN MEDEIROS DOS SANTOS</t>
  </si>
  <si>
    <t>20142144030226</t>
  </si>
  <si>
    <t>LUAN DOS SANTOS ROCHA</t>
  </si>
  <si>
    <t>20142144030293</t>
  </si>
  <si>
    <t>SALATIEL GALDINO DE OLIVEIRA JÚNIOR</t>
  </si>
  <si>
    <t>SOCUMENTO EM ANEXO RECEITUÁRIO</t>
  </si>
  <si>
    <t>61.1</t>
  </si>
  <si>
    <t>20141144030341</t>
  </si>
  <si>
    <t>GABRIEL RAMOS SEILHE</t>
  </si>
  <si>
    <t>20121144010478</t>
  </si>
  <si>
    <t>ANDREZZA LUÍZA SILVA VIANA</t>
  </si>
  <si>
    <t>20142141200112</t>
  </si>
  <si>
    <t>EDUARDO GARCIA ZACCHARIAS</t>
  </si>
  <si>
    <t>20121141130715</t>
  </si>
  <si>
    <t xml:space="preserve">JOSÉ RICARDO GOMES DOS SANTOS JÚNIOR </t>
  </si>
  <si>
    <t>20141141130310</t>
  </si>
  <si>
    <t>DAVID LOURENÇO DA SILVA</t>
  </si>
  <si>
    <t>20142148060308</t>
  </si>
  <si>
    <t>JANAINA DE OLIVEIRA CAMPOS</t>
  </si>
  <si>
    <t>20151144010119</t>
  </si>
  <si>
    <t>SERGIMAR PEREIRA DA SILVA FILHO</t>
  </si>
  <si>
    <t>86.1</t>
  </si>
  <si>
    <t>20151144010437</t>
  </si>
  <si>
    <t>PEDRO DAVID BARRETO DINIZ</t>
  </si>
  <si>
    <t>20151148060285</t>
  </si>
  <si>
    <t>FRANCISCA MARIA DE JESUS TEIXEIRA</t>
  </si>
  <si>
    <t>20151144010240</t>
  </si>
  <si>
    <t>LUCAS HENRIQUE DE PAIVA ANDRADE</t>
  </si>
  <si>
    <t>20121144010010</t>
  </si>
  <si>
    <t>GUSTAVO RODARTE JOAQUIM</t>
  </si>
  <si>
    <t>20131144010556</t>
  </si>
  <si>
    <t>AMANDA RODRIGUES DOS SANTOS</t>
  </si>
  <si>
    <t>20131144010815</t>
  </si>
  <si>
    <t>VILESA NÊUMAN FONTES ASSUNÇÃO</t>
  </si>
  <si>
    <t>20131141130160</t>
  </si>
  <si>
    <t>EMANUEL COSTA BETCEL</t>
  </si>
  <si>
    <t>20151144010607</t>
  </si>
  <si>
    <t>RAISSA ARIELE TARGINO DE ANDRADE</t>
  </si>
  <si>
    <t>20142141200031</t>
  </si>
  <si>
    <t>JOSÉ ANTONIO DE OLIVEIRA</t>
  </si>
  <si>
    <t>76.1</t>
  </si>
  <si>
    <t>20121141130545</t>
  </si>
  <si>
    <t>DAVI SILVEIRA GUERRA</t>
  </si>
  <si>
    <t>20151141130113</t>
  </si>
  <si>
    <t>RAFAELA SANTOS NOGUEIRA DE SOUZA</t>
  </si>
  <si>
    <t>20142148060154</t>
  </si>
  <si>
    <t>JULIANA SOARES DOS SANTOS</t>
  </si>
  <si>
    <t>DOCUMENTO EM ANEXO : CAM</t>
  </si>
  <si>
    <t>20141141130639</t>
  </si>
  <si>
    <t>JANAINA  DEODATO DA SILVA</t>
  </si>
  <si>
    <t>20131144010564</t>
  </si>
  <si>
    <t>LAIZE ADRIELLE GOMES SILVA</t>
  </si>
  <si>
    <t>20151148060099</t>
  </si>
  <si>
    <t>ISAAC BENJAMIM FRANKLIN DA SILVA</t>
  </si>
  <si>
    <t>20131144010661</t>
  </si>
  <si>
    <t>LUIZ RODRIGUES DA SILVA</t>
  </si>
  <si>
    <t>20142148060219</t>
  </si>
  <si>
    <t>ADEILZA TOME DOS SANTOS</t>
  </si>
  <si>
    <t>20121144010273</t>
  </si>
  <si>
    <t>SYLVIA HELENA CORTEZ DE MELO</t>
  </si>
  <si>
    <t>ANA LETICIA LIMA DOS SANTOS</t>
  </si>
  <si>
    <t>THAYZE</t>
  </si>
  <si>
    <t>20151141130458</t>
  </si>
  <si>
    <t>REBECA ARAÚJO RODRIGUES QUEIROZ</t>
  </si>
  <si>
    <t>20141144010693</t>
  </si>
  <si>
    <t>STEFANNY CATARINE DA SILVA SANTOS</t>
  </si>
  <si>
    <t>20141144010146</t>
  </si>
  <si>
    <t>LUCIANO IGOR HENRIQUE DOS SANTOS</t>
  </si>
  <si>
    <t>20131141130798</t>
  </si>
  <si>
    <t>JÉSSICA MARISSA QUEIROZ DE LUCENA</t>
  </si>
  <si>
    <t>20151144010364</t>
  </si>
  <si>
    <t>MARIA HELOISA GALDINO DE CARVALHO</t>
  </si>
  <si>
    <t>20131141130534</t>
  </si>
  <si>
    <t>ISABELLY DE ANDRADE BEZERRA</t>
  </si>
  <si>
    <t>20141141130094</t>
  </si>
  <si>
    <t>VINICIUS DO NASCIMENTO DA SILVA</t>
  </si>
  <si>
    <t>20121144010214</t>
  </si>
  <si>
    <t>LUANA LARISSA RIBEIRO COSTA</t>
  </si>
  <si>
    <t>20141144010383</t>
  </si>
  <si>
    <t>FRANCISCO BRUNO SILVA DE GOIS</t>
  </si>
  <si>
    <t>20151144010216</t>
  </si>
  <si>
    <t>JULIA ALMEIDA CORDEIRO</t>
  </si>
  <si>
    <t>20121144030207</t>
  </si>
  <si>
    <t>ERICLEISON LIMA DE CARVALHO</t>
  </si>
  <si>
    <t>20121141130022</t>
  </si>
  <si>
    <t>SAYONARA ALICE CIRILO TAVARES</t>
  </si>
  <si>
    <t>20132144030318</t>
  </si>
  <si>
    <t>FRANCISCO MAGNUS GOMES DOS SANTOS</t>
  </si>
  <si>
    <t>OUTROS</t>
  </si>
  <si>
    <t>20132144030083</t>
  </si>
  <si>
    <t>IRILAN KELVIN DA SILVA</t>
  </si>
  <si>
    <t>20121144010575</t>
  </si>
  <si>
    <t>MATHEUS MIGUEL SOARES DE MEDEIROS</t>
  </si>
  <si>
    <t>126.1</t>
  </si>
  <si>
    <t>20151144010674</t>
  </si>
  <si>
    <t>GLECIANA OLIVEIRA DE MOURA</t>
  </si>
  <si>
    <t>20141144010090</t>
  </si>
  <si>
    <t>MATHEUS BEM SILVA PINTO</t>
  </si>
  <si>
    <t>20141144010650</t>
  </si>
  <si>
    <t>EVERTON CASTRO BEZERRA SILVA</t>
  </si>
  <si>
    <t>20141141130752</t>
  </si>
  <si>
    <t>OTTAVIO AUGUSTO TAVARES DA COSTA</t>
  </si>
  <si>
    <t>20122144030426</t>
  </si>
  <si>
    <t>HELCIO CARVALHO TARGINO</t>
  </si>
  <si>
    <t>PROFESSORES AVISADOS POR EMAIL</t>
  </si>
  <si>
    <t>ZILENE EDINETE DO NASCIMENTO</t>
  </si>
  <si>
    <t>20151144010330</t>
  </si>
  <si>
    <t>LAÍS GIOVANNA NUNES LEAL</t>
  </si>
  <si>
    <t>JOÃO MESQUITA</t>
  </si>
  <si>
    <t>20142141200228</t>
  </si>
  <si>
    <t>JOANDERSON DE MELO SOARES</t>
  </si>
  <si>
    <t>20151141200316</t>
  </si>
  <si>
    <t>ADRYANO HENRICK CORREIA DA COSTA</t>
  </si>
  <si>
    <t>20131144010530</t>
  </si>
  <si>
    <t>ALINNE GASPAR DA SILVA</t>
  </si>
  <si>
    <t>20151141200162</t>
  </si>
  <si>
    <t>TIAGO FELIPE COSTA FERNANDES</t>
  </si>
  <si>
    <t>E PROFESSORA APARECIDA</t>
  </si>
  <si>
    <t>165.1</t>
  </si>
  <si>
    <t>Aparecida</t>
  </si>
  <si>
    <t>20122144030051</t>
  </si>
  <si>
    <t>ANDERSON SIMON DA SILVA</t>
  </si>
  <si>
    <t>20151144010755</t>
  </si>
  <si>
    <t>ALEX SANDRO DE PAIVA</t>
  </si>
  <si>
    <t>JÉSSICA MARISSA QUIROZ DE LUCENA</t>
  </si>
  <si>
    <t>172.1</t>
  </si>
  <si>
    <t>20141144010766</t>
  </si>
  <si>
    <t>ÁLEFE DANIEL DA SILVA COSENDEY</t>
  </si>
  <si>
    <t>20151144010810</t>
  </si>
  <si>
    <t>ELIANE PEREIRA DE OLIVEIRA</t>
  </si>
  <si>
    <t>20131144010513</t>
  </si>
  <si>
    <t>SANDRA ROCHA DE CARVALHO</t>
  </si>
  <si>
    <t>DESISTIU</t>
  </si>
  <si>
    <t>ALISSON DA SILVA BARROS</t>
  </si>
  <si>
    <t>20141144010111</t>
  </si>
  <si>
    <t xml:space="preserve">ANA PAULA DE SOUZA RÊGO LIMA JACINTO </t>
  </si>
  <si>
    <t>João Mesquita</t>
  </si>
  <si>
    <t>20151144010453</t>
  </si>
  <si>
    <t>HANA CAROLINA MOREIRA MOURA</t>
  </si>
  <si>
    <t>173.1</t>
  </si>
  <si>
    <t>ANDERSON SIMON DA SILVA DUARTE</t>
  </si>
  <si>
    <t>20151144030357</t>
  </si>
  <si>
    <t>FELYPE BARBOSA FRANCO</t>
  </si>
  <si>
    <t>20151144030217</t>
  </si>
  <si>
    <t>MATHEUS MIGUEL SOARES DE MEDEIROS LIMA</t>
  </si>
  <si>
    <t>20131141130020</t>
  </si>
  <si>
    <t>RENIÉVERTON PEREIRA DA SILVA</t>
  </si>
  <si>
    <t>20121144010788</t>
  </si>
  <si>
    <t>SAMIRA KELLY DE LIMA MARCELINO</t>
  </si>
  <si>
    <t>TERMO DE COMPROMISSO DE ESTÁGIO</t>
  </si>
  <si>
    <t>20121141130405</t>
  </si>
  <si>
    <t>LAURA BEATRIZ OLIVEIRA DE MORAIS</t>
  </si>
  <si>
    <t>182.1</t>
  </si>
  <si>
    <t>DECLARAÇÃO</t>
  </si>
  <si>
    <t>20151144030063</t>
  </si>
  <si>
    <t>MARLLON PEREIRA DA SILVA</t>
  </si>
  <si>
    <t xml:space="preserve"> DECLARAÇÃO DE ÓBITO</t>
  </si>
  <si>
    <t>183.1</t>
  </si>
  <si>
    <t>20142148060332</t>
  </si>
  <si>
    <t>MAGNO DA SILVA BEZERRA</t>
  </si>
  <si>
    <t>RECEITUÁRIO</t>
  </si>
  <si>
    <t>20151144010402</t>
  </si>
  <si>
    <t>DAVI FAGUNDES DA COSTA E SILVA</t>
  </si>
  <si>
    <t>20141141130370</t>
  </si>
  <si>
    <t>JOSE OTAVIO DE ARAUJO NETO</t>
  </si>
  <si>
    <t>20151141200251</t>
  </si>
  <si>
    <t>JOSE RICARDO LOPES DE SANTANA</t>
  </si>
  <si>
    <t>20151144010747</t>
  </si>
  <si>
    <t>KAMILLY BEATRIZ DE OLIVEIRA</t>
  </si>
  <si>
    <t>20121141130430</t>
  </si>
  <si>
    <t>MATHEUS HUGO DA SILVA CARDOSO</t>
  </si>
  <si>
    <t>20141144010367</t>
  </si>
  <si>
    <t>MATHEUS COELHO GURGEL DO AMARAL</t>
  </si>
  <si>
    <t>185.1</t>
  </si>
  <si>
    <t>RECEITUARIO MEDICO</t>
  </si>
  <si>
    <t>184.1</t>
  </si>
  <si>
    <t>20141144010278</t>
  </si>
  <si>
    <t>JANAINA PEDRO DA SILVA</t>
  </si>
  <si>
    <t>187.1</t>
  </si>
  <si>
    <t>20151141130385</t>
  </si>
  <si>
    <t>JOÃO PAULO DE QUIROZ RIBEIRO</t>
  </si>
  <si>
    <t>20151141200367</t>
  </si>
  <si>
    <t>FRANKLIN RODOLFO BATISTA PONTES GALDINO</t>
  </si>
  <si>
    <t>DIAC/PAR - COORDENAÇÃO DE CURSO</t>
  </si>
  <si>
    <t>Incluir no requerimento de aproveitamento nº06/2015 a disciplina de materiais</t>
  </si>
  <si>
    <t>20132144030288</t>
  </si>
  <si>
    <t>ANDREZZA FRANCESCHINI DE CASTRO</t>
  </si>
  <si>
    <t>DIAC/PAR - Filipe de Oliveira Quintaes</t>
  </si>
  <si>
    <t>20142144030145</t>
  </si>
  <si>
    <t>CARLOS EDUARDO MARTINS DA SILVA</t>
  </si>
  <si>
    <t>20131144010181</t>
  </si>
  <si>
    <t>WILLIAM FRANÇA ARAÚJO RODRIGUES</t>
  </si>
  <si>
    <t>CAM</t>
  </si>
  <si>
    <t>20121144030053</t>
  </si>
  <si>
    <t>OLGA CAROLINE BASILIO FIGUEREDO</t>
  </si>
  <si>
    <t>RECEITUARIO</t>
  </si>
  <si>
    <t>20141144030325</t>
  </si>
  <si>
    <t>DIOMEDIO CLEMENTE DA SILVA</t>
  </si>
  <si>
    <t>20121141130812</t>
  </si>
  <si>
    <t>MARCELO FAUSTINO VIANA JÚNIOR</t>
  </si>
  <si>
    <t>20131144010637</t>
  </si>
  <si>
    <t>LUCAS MATHEUS SILVA OLIVEIRA</t>
  </si>
  <si>
    <t>20131141130615</t>
  </si>
  <si>
    <t>GRAZIELLE CAETANO DA SILVA</t>
  </si>
  <si>
    <t>20151141130814</t>
  </si>
  <si>
    <t>OSCAR MATHEUS DE MENDONÇA MACIEL</t>
  </si>
  <si>
    <t>20132144030016</t>
  </si>
  <si>
    <t>VITÓRIA MAYRA LUCENA TAVARES</t>
  </si>
  <si>
    <t xml:space="preserve">BOLETIM </t>
  </si>
  <si>
    <t>20151141130261</t>
  </si>
  <si>
    <t>GABRIEL SILVA FREIRA</t>
  </si>
  <si>
    <t>197.1</t>
  </si>
  <si>
    <t>20121144010257</t>
  </si>
  <si>
    <t>IAN HONORATO PEREIRA</t>
  </si>
  <si>
    <t>9.1</t>
  </si>
  <si>
    <t>20142141200341</t>
  </si>
  <si>
    <t>CARLOS AUGUSTO DE MEDEIROS SILVA</t>
  </si>
  <si>
    <t>COMANDOS ELETRICOS E ACIONAMENTOS DE MAQUINAS</t>
  </si>
  <si>
    <t>ELETRONICA ANALOGICA</t>
  </si>
  <si>
    <t>20151141200332</t>
  </si>
  <si>
    <t>VITÓRIA SIBELLE XAVIER BATISTA</t>
  </si>
  <si>
    <t>20141144010600</t>
  </si>
  <si>
    <t>ISAAC ALVES GUIMARÃES</t>
  </si>
  <si>
    <t>20151141200227</t>
  </si>
  <si>
    <t>LEOMIR AIRES SILVA DE LIMA</t>
  </si>
  <si>
    <t>20142141200333</t>
  </si>
  <si>
    <t>ANDERSON AGUIAR DOS SANTOS</t>
  </si>
  <si>
    <t>211.1</t>
  </si>
  <si>
    <t>20141144010715</t>
  </si>
  <si>
    <t>JEAN MACIEL DAMASCENO DA SILVA</t>
  </si>
  <si>
    <t>207.1</t>
  </si>
  <si>
    <t>20141144010839</t>
  </si>
  <si>
    <t>20141141130663</t>
  </si>
  <si>
    <t>NATHÁLIA DUARTE FERREIRA</t>
  </si>
  <si>
    <t>EMANUEL BRUNO VÉRAS MACIEL</t>
  </si>
  <si>
    <t>20121144010761</t>
  </si>
  <si>
    <t>GLEIZE HONORATO DA SILVA</t>
  </si>
  <si>
    <t>20141141130736</t>
  </si>
  <si>
    <t>FABRICIO RICK SILVA DA CUNHA</t>
  </si>
  <si>
    <t>20141141130027</t>
  </si>
  <si>
    <t>BRENO LIMA CIPIANO DA COSTA</t>
  </si>
  <si>
    <t>20151149030028</t>
  </si>
  <si>
    <t>LUIZA MARINA SARAIVA DE NEGREIROS</t>
  </si>
  <si>
    <t>20151141130270</t>
  </si>
  <si>
    <t>FLAVIO BRUNO DA CRUZ GONÇALVES</t>
  </si>
  <si>
    <t>236.1</t>
  </si>
  <si>
    <t>20151141200014</t>
  </si>
  <si>
    <t>MAGNILSON DA SILVA SANTIAGO</t>
  </si>
  <si>
    <t>20142144030056</t>
  </si>
  <si>
    <t>EMERSON DO NASCIMENTO BANDEIRA</t>
  </si>
  <si>
    <t>JULIANA SOARES DOS ANJOS</t>
  </si>
  <si>
    <t>ZULMAR</t>
  </si>
  <si>
    <t>20122144030337</t>
  </si>
  <si>
    <t>FELIPE LUIZ XAVIER</t>
  </si>
  <si>
    <t>20151141200065</t>
  </si>
  <si>
    <t>ALEFF CHRISTIAN DE SOUSA PINHEIRO</t>
  </si>
  <si>
    <t>20131144010254</t>
  </si>
  <si>
    <t>SARA MARIA GOMÇALVES</t>
  </si>
  <si>
    <t>20121141130766</t>
  </si>
  <si>
    <t>RAUL DA ROCHA BEZERRA NETO</t>
  </si>
  <si>
    <t>20121141130553</t>
  </si>
  <si>
    <t>LARISSA GUEDES BEZERRA</t>
  </si>
  <si>
    <t>250.B</t>
  </si>
  <si>
    <t>20121141130197</t>
  </si>
  <si>
    <t>ANDERSON DOUGLAS SIMÃO DOS SANTOS</t>
  </si>
  <si>
    <t>20131144010165</t>
  </si>
  <si>
    <t>ELISANDRA INARA SILVA ANDRADE</t>
  </si>
  <si>
    <t>CALIO REGIS SANTOS DE FREITAS SILVA</t>
  </si>
  <si>
    <t>20131144010416</t>
  </si>
  <si>
    <t>SILVIA RENATA TAVARES DA SILVA</t>
  </si>
  <si>
    <t>20121141130014</t>
  </si>
  <si>
    <t>VICTOR LOPES PAIVA</t>
  </si>
  <si>
    <t>ATESTADO DE DISPENSA</t>
  </si>
  <si>
    <t>20151144010720</t>
  </si>
  <si>
    <t>MARCOSUEL VIEIRA DE ARRUDA FILHO</t>
  </si>
  <si>
    <t>20151144010232</t>
  </si>
  <si>
    <t>NIVIA GABRIELA DA SILVA NUNES</t>
  </si>
  <si>
    <t>20151141200200</t>
  </si>
  <si>
    <t>ALEXSANDRO SOARES DA SILVA</t>
  </si>
  <si>
    <t>20141144010618</t>
  </si>
  <si>
    <t>BRENDA NUNES BARBOSA SANTOS</t>
  </si>
  <si>
    <t>JERFFSON MARINHEIRO DA SILVA COSTA</t>
  </si>
  <si>
    <t>20141144010723</t>
  </si>
  <si>
    <t>MARINA EDUARDA MENEZES DE LIMA</t>
  </si>
  <si>
    <t>20121144010256</t>
  </si>
  <si>
    <t>246.1</t>
  </si>
  <si>
    <t>20141144010740</t>
  </si>
  <si>
    <t xml:space="preserve">JOSÉ MARCONDES DE OLIVEIRA JÚNIOR </t>
  </si>
  <si>
    <t>20141144010430</t>
  </si>
  <si>
    <t>EMILY MARIANO FIRMINO DA SILVA</t>
  </si>
  <si>
    <t>20141144010340</t>
  </si>
  <si>
    <t>RAYANNE HERONDINA SOARES LARANJEIRA</t>
  </si>
  <si>
    <t>20141144010235</t>
  </si>
  <si>
    <t>LUIS FELIPE SILVA DE OLIVEIRA</t>
  </si>
  <si>
    <t>264B</t>
  </si>
  <si>
    <t>20131144010319</t>
  </si>
  <si>
    <t>GABRIEL ARCANJO DE MORAIS</t>
  </si>
  <si>
    <t>KLEBER</t>
  </si>
  <si>
    <t>20151148060137</t>
  </si>
  <si>
    <t>20121144030096</t>
  </si>
  <si>
    <t>WIONARA PRISCILLA FELIX DA SILVA PEREIRA</t>
  </si>
  <si>
    <t>PROFESSOR CIENTE</t>
  </si>
  <si>
    <t>20121141130057</t>
  </si>
  <si>
    <t>JOSÉ RENATO SILVA DE MOURA</t>
  </si>
  <si>
    <t>20142148060120</t>
  </si>
  <si>
    <t>JESSICA MAIARA FRANÇA DE OLIVEIRA</t>
  </si>
  <si>
    <t>20142141200040</t>
  </si>
  <si>
    <t>THIAGO MESSIAS SANTOS SILVA</t>
  </si>
  <si>
    <t>Credson Isaac Lopes dos Santos</t>
  </si>
  <si>
    <t>Joao Domingues Guimaraes Mesquita</t>
  </si>
  <si>
    <t>Raoni Gomes de Sousa</t>
  </si>
  <si>
    <t>Thayse Azevedo da Silva</t>
  </si>
  <si>
    <t>20151141130253</t>
  </si>
  <si>
    <t>RODRIGO MENDONÇA MOTA</t>
  </si>
  <si>
    <t>20142148060197</t>
  </si>
  <si>
    <t>RENAN LIMA GOMES</t>
  </si>
  <si>
    <t>20151144010852</t>
  </si>
  <si>
    <t>MATTHAUS CALAÇA ALVES MEDEIROS</t>
  </si>
  <si>
    <t xml:space="preserve">ENCAMINHADO PARA O PROFESSOR PARA DECIDIR </t>
  </si>
  <si>
    <t>20121144030355</t>
  </si>
  <si>
    <t>ANDERSON PAULO DO NASCIMENTO</t>
  </si>
  <si>
    <t>SERA AVALIADO O PEDIDO PELA COORDENAÇÃO DE CURSO</t>
  </si>
  <si>
    <t>HANDERSON DE SALES CAVALCANTE</t>
  </si>
  <si>
    <t>20151141200081</t>
  </si>
  <si>
    <t>DANILO DOS ANJOS BEZERRA</t>
  </si>
  <si>
    <t>20151141200294</t>
  </si>
  <si>
    <t>ALLEFF MARIO HOLANDA DE PAIVA BAIRROS</t>
  </si>
  <si>
    <t>20151141200308</t>
  </si>
  <si>
    <t xml:space="preserve">JEFFERSON DE OLIVEIRA LIMA </t>
  </si>
  <si>
    <t>20151141200073</t>
  </si>
  <si>
    <t xml:space="preserve">AGUINO NUNES DA SILVA </t>
  </si>
  <si>
    <t>20151141200219</t>
  </si>
  <si>
    <t>CLAUDAMI DE OLIVEIRA FILHO</t>
  </si>
  <si>
    <t>20121141130413</t>
  </si>
  <si>
    <t>ANCELMO BRUM MEDEIROS JUNIOR</t>
  </si>
  <si>
    <t>20151144010585</t>
  </si>
  <si>
    <t>FELIPE DE OLIVEIRA GUEDES</t>
  </si>
  <si>
    <t>20141144030309</t>
  </si>
  <si>
    <t>LUIZ BENTO SILVA</t>
  </si>
  <si>
    <t>301.1</t>
  </si>
  <si>
    <t>20141141130728</t>
  </si>
  <si>
    <t>EMANOEL PATRICIO SIMPLICIO DE MOURA</t>
  </si>
  <si>
    <t>20151141130717</t>
  </si>
  <si>
    <t>IVANALDO SANTANA DA SILVA</t>
  </si>
  <si>
    <t>305.1</t>
  </si>
  <si>
    <t>20151148060242</t>
  </si>
  <si>
    <t>JUCIANE DE AZEVEDO CHIANCA</t>
  </si>
  <si>
    <t>KLEBER ARAUJO</t>
  </si>
  <si>
    <t>20151144010461</t>
  </si>
  <si>
    <t>JOSÉ CASSIMIRO MARTINS FILHO</t>
  </si>
  <si>
    <t xml:space="preserve">PALOMA DA SILVA SANTOS </t>
  </si>
  <si>
    <t>20141141130299</t>
  </si>
  <si>
    <t>LUÍS FELIPE SILVA DE OLIVEIRA</t>
  </si>
  <si>
    <t>20111144030048</t>
  </si>
  <si>
    <t>HIGOR LEONARDO MELO SILVA</t>
  </si>
  <si>
    <t>311.A</t>
  </si>
  <si>
    <t>20131141130755</t>
  </si>
  <si>
    <t>MATEUS DE ASSIS SILVA</t>
  </si>
  <si>
    <t>20131141130607</t>
  </si>
  <si>
    <t>SAMUEL VICTOR MACIEL DA SILVA</t>
  </si>
  <si>
    <t>315.1</t>
  </si>
  <si>
    <t>20151141130245</t>
  </si>
  <si>
    <t>ANGÉLICA REGO VIDAL</t>
  </si>
  <si>
    <t>20121144010338</t>
  </si>
  <si>
    <t>ANDRÉ LUIZ PERGENTINO DA SILVA</t>
  </si>
  <si>
    <t>20121141130561</t>
  </si>
  <si>
    <t>AMANDA APARECIDA BARROS DE LIMA</t>
  </si>
  <si>
    <t>20121144010125</t>
  </si>
  <si>
    <t>SAFIRA DE SOUZA CAVALCANTE</t>
  </si>
  <si>
    <t>20151141130032</t>
  </si>
  <si>
    <t>BARBARA PAIVA DE ARAUJO SILVA</t>
  </si>
  <si>
    <t>317.1</t>
  </si>
  <si>
    <t>20151141200057</t>
  </si>
  <si>
    <t>THALLYEVERSON DE OLIVEIRA SILVESTRE</t>
  </si>
  <si>
    <t>316.1</t>
  </si>
  <si>
    <t>20151144030144</t>
  </si>
  <si>
    <t>ALICE LEONORA DE SOUZA E SILVA</t>
  </si>
  <si>
    <t>CREDSON ISAAC</t>
  </si>
  <si>
    <t>CERTIDÃO DE OBITO</t>
  </si>
  <si>
    <t>SARA MARIA GONÇALVES</t>
  </si>
  <si>
    <t>20151144010445</t>
  </si>
  <si>
    <t>ALLINE LUISE DANTAS BARROS</t>
  </si>
  <si>
    <t>20131144010211</t>
  </si>
  <si>
    <t>THALÍA NATASHA SILVA BARBALHO</t>
  </si>
  <si>
    <t>20131144010041</t>
  </si>
  <si>
    <t>MARCELO VICTOR SOUSA CUNHA</t>
  </si>
  <si>
    <t>20141141130213</t>
  </si>
  <si>
    <t>EDLLANYA PONCIANO DE SOUZA</t>
  </si>
  <si>
    <t>329.A</t>
  </si>
  <si>
    <t>20151144010496</t>
  </si>
  <si>
    <t>EMANUEL ARNAUD NEVES</t>
  </si>
  <si>
    <t>20151141130628</t>
  </si>
  <si>
    <t>CARLA RAYANNE SILVA DE SOUZA</t>
  </si>
  <si>
    <t>330.A</t>
  </si>
  <si>
    <t>20121141130154</t>
  </si>
  <si>
    <t>VICTOR MATHEUS DE CÂMARA SILVA</t>
  </si>
  <si>
    <t>324.A</t>
  </si>
  <si>
    <t>20151141130326</t>
  </si>
  <si>
    <t>MIGUEL MARQUES SIQUEIRA NETO</t>
  </si>
  <si>
    <t>20151144010011</t>
  </si>
  <si>
    <t>VANESCA KALIGIA DA SILVA SANTOS</t>
  </si>
  <si>
    <t>20151144010488</t>
  </si>
  <si>
    <t>YURI NATAN LIMA DO NASCIMENTO</t>
  </si>
  <si>
    <t>2012114110189</t>
  </si>
  <si>
    <t>GABRIEL SOUSA FRANÇA</t>
  </si>
  <si>
    <t>20141141130698</t>
  </si>
  <si>
    <t>LARISSA KIMBERLY DUMONTE AMORIM</t>
  </si>
  <si>
    <t>JOSE WELLINGTON DE LIMA OLIVEIRA</t>
  </si>
  <si>
    <t>20121141130189</t>
  </si>
  <si>
    <t xml:space="preserve">GABRIEL SOUSA FRANÇA </t>
  </si>
  <si>
    <t>201321141130542</t>
  </si>
  <si>
    <t>DANIELLY NUNES DA SILVA</t>
  </si>
  <si>
    <t>20121141130693</t>
  </si>
  <si>
    <t>JOÃO PAULO SILVA DE MEDEIROS BEZERRA</t>
  </si>
  <si>
    <t>20151144010844</t>
  </si>
  <si>
    <t>RITA DE CASSIA PONTES DA SILVA</t>
  </si>
  <si>
    <t>20121141130251</t>
  </si>
  <si>
    <t>LAÍS KATERINE AVELINO CARDOSO</t>
  </si>
  <si>
    <t>20141141130493</t>
  </si>
  <si>
    <t>VANUSA LUANA CAVALCANTE SANTOS</t>
  </si>
  <si>
    <t>20121141130740</t>
  </si>
  <si>
    <t>CARLA PEREIRA DA SILVA</t>
  </si>
  <si>
    <t>20142144030331</t>
  </si>
  <si>
    <t>VALÉRIA KATERINE MACEDO DE LIMA</t>
  </si>
  <si>
    <t>20141141130043</t>
  </si>
  <si>
    <t>RENAN DE AQUINO PEREIRA</t>
  </si>
  <si>
    <t>347.A</t>
  </si>
  <si>
    <t>20131144030280</t>
  </si>
  <si>
    <t>KELLYANE DUARTE SANTA ROSA</t>
  </si>
  <si>
    <t>20131144010688</t>
  </si>
  <si>
    <t>MARIA EDUARDA VICENTE SILVA</t>
  </si>
  <si>
    <t>20151148060064</t>
  </si>
  <si>
    <t>JOBSON ISMAEL RIBEIRO BARBOSA</t>
  </si>
  <si>
    <t>20121144010796</t>
  </si>
  <si>
    <t>BRUNO LIMA CIPRIANO DA COSTA</t>
  </si>
  <si>
    <t>20141141130086</t>
  </si>
  <si>
    <t>VIRGINIA BARBOSA BRITO</t>
  </si>
  <si>
    <t>20151141130555</t>
  </si>
  <si>
    <t>EMERSON FERNANDES DE MEDEIROS</t>
  </si>
  <si>
    <t>20151144010321</t>
  </si>
  <si>
    <t>WALLYSSON DE LIMA SILVA</t>
  </si>
  <si>
    <t>20151144010399</t>
  </si>
  <si>
    <t>ISAC VINICIUS PRAXEDES DE LUNA</t>
  </si>
  <si>
    <t>20141141130230</t>
  </si>
  <si>
    <t>DANIEL DA SILVA OLIVEIRA</t>
  </si>
  <si>
    <t>20141141130540</t>
  </si>
  <si>
    <t>VINICIUS MENDES DOS SANTOS</t>
  </si>
  <si>
    <t>20141141130248</t>
  </si>
  <si>
    <t>PAULO CÉSAR PINHEIRO DOS SANTOS</t>
  </si>
  <si>
    <t>20141141130795</t>
  </si>
  <si>
    <t>MARCELO DA SILVA CAETANO</t>
  </si>
  <si>
    <t>20141141130469</t>
  </si>
  <si>
    <t>LUCAS SANTIAGO JOTA</t>
  </si>
  <si>
    <t>20121141130472</t>
  </si>
  <si>
    <t>MARCOS VICTOR PIRES RODRIGUES</t>
  </si>
  <si>
    <t>20111144110408</t>
  </si>
  <si>
    <t xml:space="preserve">VITOR RABELO DE SOUZA </t>
  </si>
  <si>
    <t>20121141130464</t>
  </si>
  <si>
    <t>VIVIAN MARIA MADEIRO</t>
  </si>
  <si>
    <t>20141141130035</t>
  </si>
  <si>
    <t>ANA PAULA MENDONCA FERNANDES</t>
  </si>
  <si>
    <t>381.A</t>
  </si>
  <si>
    <t>20151141130075</t>
  </si>
  <si>
    <t>RODRIGO MIGUEL SILVA ANDRADE</t>
  </si>
  <si>
    <t>20151144030322</t>
  </si>
  <si>
    <t>20142141200201</t>
  </si>
  <si>
    <t>DELMÁCIO OLIMPIO COSTA</t>
  </si>
  <si>
    <t>20131141130550</t>
  </si>
  <si>
    <t>BEATRIZ FELICIANO DA SILVA</t>
  </si>
  <si>
    <t>20121144010060</t>
  </si>
  <si>
    <t>LETÍCIA NUNES AZEVEDO</t>
  </si>
  <si>
    <t>20151144010690</t>
  </si>
  <si>
    <t>REGIA EMILIANA GOMES PEDROSA</t>
  </si>
  <si>
    <t>359.A</t>
  </si>
  <si>
    <t>20132144030172</t>
  </si>
  <si>
    <t>GLAUCO CESAR DA FONSECA SANTIAGO</t>
  </si>
  <si>
    <t xml:space="preserve"> JESSICA MAIARA FRANÇA DE OLIVEIRA </t>
  </si>
  <si>
    <t xml:space="preserve">MARLLON PEREIRA DA SILVA </t>
  </si>
  <si>
    <t>AROLDO FELIX PEREIRA JUNIOR</t>
  </si>
  <si>
    <t>20151141130792</t>
  </si>
  <si>
    <t>IVIS DE MOURA NOBRE</t>
  </si>
  <si>
    <t>20151149030040</t>
  </si>
  <si>
    <t>CARLOS ALBERTO RIBEIRO</t>
  </si>
  <si>
    <t>366.A</t>
  </si>
  <si>
    <t>20121141130316</t>
  </si>
  <si>
    <t>MARCOS VINICIUS GOMES DANTAS</t>
  </si>
  <si>
    <t>404.A</t>
  </si>
  <si>
    <t>20121144010222</t>
  </si>
  <si>
    <t>JÉSSICA FRANCIELE RODRIGUES DE SOUZA</t>
  </si>
  <si>
    <t>20142148060340</t>
  </si>
  <si>
    <t>JOELSON DA SILVA BATISTA REIS</t>
  </si>
  <si>
    <t>20151141200022</t>
  </si>
  <si>
    <t>FILIPPI LEONARDO LOURENÇO</t>
  </si>
  <si>
    <t>20151148060358</t>
  </si>
  <si>
    <t>CARLOS RAMOS FERREIRA</t>
  </si>
  <si>
    <t>INTRODUCAO A INFORMATICA</t>
  </si>
  <si>
    <t>12.A</t>
  </si>
  <si>
    <t>DOUGLAS DA SILVA CONFESSOR</t>
  </si>
  <si>
    <t>MATEMATICA</t>
  </si>
  <si>
    <t>9.2</t>
  </si>
  <si>
    <t>SEGURANCA DO TRABALHO</t>
  </si>
  <si>
    <t>METROLOGIA</t>
  </si>
  <si>
    <t>COMANDOS ELETRICOS E ACIONAMENTO DE MAQUINAS</t>
  </si>
  <si>
    <t>TECNOLOGIA MECANICA</t>
  </si>
  <si>
    <t>20151141130199</t>
  </si>
  <si>
    <t>BRUNO ROSSI SILVA</t>
  </si>
  <si>
    <t>20121141130359</t>
  </si>
  <si>
    <t>SAMELA BRUNA FERREIRA</t>
  </si>
  <si>
    <t>20142148060049</t>
  </si>
  <si>
    <t>GIDARIO DA SILVA DIAS</t>
  </si>
  <si>
    <t>20151141130504</t>
  </si>
  <si>
    <t>LUIZ FELIPE FERREIRA DA SILVA</t>
  </si>
  <si>
    <t>20142148060294</t>
  </si>
  <si>
    <t>MARCELO FERNANDES BARBOSA</t>
  </si>
  <si>
    <t>20131141130569</t>
  </si>
  <si>
    <t>JOÃO VICTOR MONTEIRO DOS SANTOS</t>
  </si>
  <si>
    <t>20131144010122</t>
  </si>
  <si>
    <t>BRUNNA CAROLINA DE CARVALHO SAULO E SILVA</t>
  </si>
  <si>
    <t>20131144010785</t>
  </si>
  <si>
    <t>MARCELO LIMA DE AZEVEDO FILHO</t>
  </si>
  <si>
    <t>20151148060056</t>
  </si>
  <si>
    <t>ANEZIO BESERRA NETTO</t>
  </si>
  <si>
    <t>CALCULO</t>
  </si>
  <si>
    <t>20142141200350</t>
  </si>
  <si>
    <t>ADRIANO DA SILVA PEREIRA</t>
  </si>
  <si>
    <t>20142141200023</t>
  </si>
  <si>
    <t>AUCINEY  GOMES DE OLIVEIRA</t>
  </si>
  <si>
    <t>20142141200120</t>
  </si>
  <si>
    <t>FELIPPE JOSÉ FERREIRA DE GÓES MARIANO</t>
  </si>
  <si>
    <t>20141141130515</t>
  </si>
  <si>
    <t>TANCREDO TEIXEIRA DE SOUSA</t>
  </si>
  <si>
    <t>20141141130175</t>
  </si>
  <si>
    <t>FILIPE VINICIUS DA COSTA PACHECO</t>
  </si>
  <si>
    <t xml:space="preserve">                                     </t>
  </si>
  <si>
    <t>20141144010251</t>
  </si>
  <si>
    <t>MANFRINI LUCAS LIMA MACIEL</t>
  </si>
  <si>
    <t>20121144010494</t>
  </si>
  <si>
    <t>ROGÉRIO NASCIMENTO SANTOS</t>
  </si>
  <si>
    <t>20151141130296</t>
  </si>
  <si>
    <t>IZABELA BEZERRA DA SILVA</t>
  </si>
  <si>
    <t>20121141130804</t>
  </si>
  <si>
    <t>HELLEN OLIVEIRA LUNGA DA SILVA</t>
  </si>
  <si>
    <t>438.A</t>
  </si>
  <si>
    <t>437.A</t>
  </si>
  <si>
    <t>20121144010117</t>
  </si>
  <si>
    <t>ITALO RAMON FERREIRA SOUTO</t>
  </si>
  <si>
    <t>435.A</t>
  </si>
  <si>
    <t>20141141130868</t>
  </si>
  <si>
    <t>DEYSE TALIA BARBOSA DA SILVA</t>
  </si>
  <si>
    <t>MAÍRA E KARINA(PORTUGUES)</t>
  </si>
  <si>
    <t>448.A</t>
  </si>
  <si>
    <t>20121141130286</t>
  </si>
  <si>
    <t>JOSE LUIZ CAVALCANTE</t>
  </si>
  <si>
    <t>447.A</t>
  </si>
  <si>
    <t>RAFAEL BARROS DE LIMA</t>
  </si>
  <si>
    <t>20131141130658</t>
  </si>
  <si>
    <t>20131141130062</t>
  </si>
  <si>
    <t>LETÍCIA DE OLIVEIRA AMORIM</t>
  </si>
  <si>
    <t>20141144010243</t>
  </si>
  <si>
    <t>YURE ARAUJO DOS SANTOS</t>
  </si>
  <si>
    <t>20131144010386</t>
  </si>
  <si>
    <t>MATEUS ALVES DE OLIVEIRA</t>
  </si>
  <si>
    <t>20121144010150</t>
  </si>
  <si>
    <t>ARTHUR ANTUNES DE MELO RODRIGUES</t>
  </si>
  <si>
    <t>20121141130375</t>
  </si>
  <si>
    <t>CLAUDIO FREIRE DA SILVA</t>
  </si>
  <si>
    <t>449.A</t>
  </si>
  <si>
    <t>20121144010753</t>
  </si>
  <si>
    <t>MATEUS BARBOSA MARTINS</t>
  </si>
  <si>
    <t>2012114113011</t>
  </si>
  <si>
    <t xml:space="preserve">JOSÉ OSIAS DA SILVA </t>
  </si>
  <si>
    <t>450.1</t>
  </si>
  <si>
    <t xml:space="preserve">JERFFSON MARINHEIRO DA SILVA COSTA </t>
  </si>
  <si>
    <t>458.1</t>
  </si>
  <si>
    <t>20141211030056</t>
  </si>
  <si>
    <t xml:space="preserve">EMERSON DO NASCIMENTO BANDEIRA </t>
  </si>
  <si>
    <t xml:space="preserve">THIAGO AUGUSTO SILVA DE OLIVEIRA </t>
  </si>
  <si>
    <t>459.1</t>
  </si>
  <si>
    <t>20131141130216</t>
  </si>
  <si>
    <t xml:space="preserve">MARCELO HENRIQUE ALVES DE SANTANA </t>
  </si>
  <si>
    <t>20151141130016</t>
  </si>
  <si>
    <t>DANILO GARCIA DA SILVA</t>
  </si>
  <si>
    <t>ANDRÉ LUIZ TEIXEIRA LOPES</t>
  </si>
  <si>
    <t>20121144010630</t>
  </si>
  <si>
    <t>PAMELA VENÂNANCIO MELO MOTTA</t>
  </si>
  <si>
    <t>20121144010672</t>
  </si>
  <si>
    <t>SAMUEL DE ARAUJO COSTA</t>
  </si>
  <si>
    <t>20151144010500</t>
  </si>
  <si>
    <t>GABRIEL PEREIRA PARIZIO</t>
  </si>
  <si>
    <t>450.2</t>
  </si>
  <si>
    <t>449.B</t>
  </si>
  <si>
    <t>438.B</t>
  </si>
  <si>
    <t>20142141200376</t>
  </si>
  <si>
    <t>HILLARY EVELY ALVES DE JESUS</t>
  </si>
  <si>
    <t>20151141130342</t>
  </si>
  <si>
    <t>LETÍCIA FERNANDES LIMA LAURENTINO</t>
  </si>
  <si>
    <t>20121141130588</t>
  </si>
  <si>
    <t>ERICK BRENO AZEVEDO DOS SANTOS</t>
  </si>
  <si>
    <t>20151144010054</t>
  </si>
  <si>
    <t>QUEMUEL COSTA GOMES</t>
  </si>
  <si>
    <t>20121144010559</t>
  </si>
  <si>
    <t>DENISSON DA SILVA CORTÊS</t>
  </si>
  <si>
    <t>WILLIAM FRANÇA ARAUJO RODRIGUES</t>
  </si>
  <si>
    <t>20151144010623</t>
  </si>
  <si>
    <t>ELAYNE MARIA VICENTE</t>
  </si>
  <si>
    <t>20151144010186</t>
  </si>
  <si>
    <t>LEANDRO CORRÊA SILVA</t>
  </si>
  <si>
    <t>478.1</t>
  </si>
  <si>
    <t>20141144010081</t>
  </si>
  <si>
    <t>PAULO CÉSAR NASCIMENTO DA SILVA</t>
  </si>
  <si>
    <t>MAÍRA MEDEIROS, ALBERTO ALEXANDRE, RICARDO CÉSAR</t>
  </si>
  <si>
    <t>20151141130512</t>
  </si>
  <si>
    <t>MURILO AUGUSTO DANTAS</t>
  </si>
  <si>
    <t>20131144010521</t>
  </si>
  <si>
    <t>MERYELLEN DA SILVA DE OLIVEIRA</t>
  </si>
  <si>
    <t>20151144010143</t>
  </si>
  <si>
    <t>AMANDA TEIXEIRA DE LIMA</t>
  </si>
  <si>
    <t>MAIRA</t>
  </si>
  <si>
    <t>MARIA DOS PRAZERRES DE OLIVEIRA TEIXEIRA</t>
  </si>
  <si>
    <t>20151144010658</t>
  </si>
  <si>
    <t>TANHLENO TEIXEIRA DE SOUSA</t>
  </si>
  <si>
    <t>20151141130644</t>
  </si>
  <si>
    <t>CAROLINE PAULINO DE SOUZA</t>
  </si>
  <si>
    <t>ANTONIO ANDRE,GUSTAVO</t>
  </si>
  <si>
    <t>500.A</t>
  </si>
  <si>
    <t>INGLÊS TÉCNICO</t>
  </si>
  <si>
    <t>20141144030244</t>
  </si>
  <si>
    <t>ARTUR BEZERRA TRINDADE PINTO</t>
  </si>
  <si>
    <t>GERÊNCIA E SEGURANÇA DE REDES</t>
  </si>
  <si>
    <t>JERFFESON MAURICIO DOS SANTOS</t>
  </si>
  <si>
    <t>20151148060277</t>
  </si>
  <si>
    <t>LUCAS LOPES SILVEIRA BARBOSA</t>
  </si>
  <si>
    <t>APLICAÇÕES DE REDES DE COMPUTADORES</t>
  </si>
  <si>
    <t>CÁLCULO I</t>
  </si>
  <si>
    <t>ADIEL TALES GOMES VENTURA</t>
  </si>
  <si>
    <t>MATERIAIS DE CONSTRUÇÃO MECÂNICA</t>
  </si>
  <si>
    <t>COMANDOS ELÉTRICOS</t>
  </si>
  <si>
    <t>SEGURANÇA DO TRABALHO</t>
  </si>
  <si>
    <t>ELETRÔNICA ANALÓGICA</t>
  </si>
  <si>
    <t>TECNOLOGIA MECÂNICA</t>
  </si>
  <si>
    <t>CALCULO DIFERENCIAL E INTEGRAL</t>
  </si>
  <si>
    <t>ARQUITETURA E ORGANIZAÇÃO DE COMPUTADORES</t>
  </si>
  <si>
    <t>20151141200286</t>
  </si>
  <si>
    <t>FRANCISCO JOSEVALDO DA SILVA</t>
  </si>
  <si>
    <t>COMANDOS ELÉTRICOS E ACIONAMENTOS</t>
  </si>
  <si>
    <t>COMANDOS ELETROHIDRÁULICOS</t>
  </si>
  <si>
    <t>CONT. LOG. PROGRAMAVEIS E SISTEMAS SUPERVISORIOS</t>
  </si>
  <si>
    <t>DESENHO TÉCNICO MECÂNICO</t>
  </si>
  <si>
    <t>SISTEMAS DIGITAIS</t>
  </si>
  <si>
    <t>20151144030314</t>
  </si>
  <si>
    <t>ELETRÔNICA DIGITAL</t>
  </si>
  <si>
    <t>PROGRAMAÇÃO WEB</t>
  </si>
  <si>
    <t>GESTÃO ORGANIZACIONAL</t>
  </si>
  <si>
    <t>20141141130620</t>
  </si>
  <si>
    <t>JOÃO VICTOR DE SÁ SOUSA FIGUEIREDO</t>
  </si>
  <si>
    <t>20121141130235</t>
  </si>
  <si>
    <t>MATHEUS DE ANDRADE MARINHO</t>
  </si>
  <si>
    <t>20121141130677</t>
  </si>
  <si>
    <t>KAROLYNNE EMANUELLE ALVES RODRIGUES</t>
  </si>
  <si>
    <t>20151141130806</t>
  </si>
  <si>
    <t>RAFAELA COSTA SILVA</t>
  </si>
  <si>
    <t>20121141130510</t>
  </si>
  <si>
    <t>MARIA LUIZA VITÓRIA DOS SANTOS SILVA</t>
  </si>
  <si>
    <t>20142144030269</t>
  </si>
  <si>
    <t>IVAN CESAR DA TRINDADE ARAUJO</t>
  </si>
  <si>
    <t>513.A</t>
  </si>
  <si>
    <t>20151141200260</t>
  </si>
  <si>
    <t>EDNILDO DOS SANTOS DA SILVA</t>
  </si>
  <si>
    <t>LUCAS PERREIRA TREVISAN</t>
  </si>
  <si>
    <t>20151141130520</t>
  </si>
  <si>
    <t>SAUL BARBOSA DA SILVA RODRIGUES</t>
  </si>
  <si>
    <t>20141144010294</t>
  </si>
  <si>
    <t>JOELDSON KAIO DE ARAUJO LIMA</t>
  </si>
  <si>
    <t>20142144030099</t>
  </si>
  <si>
    <t>LUIZ GUSTAVO DA ROCHA FERREIRA</t>
  </si>
  <si>
    <t>especialização</t>
  </si>
  <si>
    <t>535.A</t>
  </si>
  <si>
    <t>20151144030241</t>
  </si>
  <si>
    <t>535.B</t>
  </si>
  <si>
    <t>20151141130237</t>
  </si>
  <si>
    <t>NIEDSON FERNANDO DANTAS FERNANDES</t>
  </si>
  <si>
    <t>20151149030024</t>
  </si>
  <si>
    <t>CHEYENNE DA COSTA ROCHA</t>
  </si>
  <si>
    <t xml:space="preserve">TIAGO FELIPE COSTA </t>
  </si>
  <si>
    <t>20121141130332</t>
  </si>
  <si>
    <t>LAYSE CASTILHO DE SOUSA</t>
  </si>
  <si>
    <t>20151144010615</t>
  </si>
  <si>
    <t>JERLÂNDIA EDUARDA DE FRANÇA BASILIO</t>
  </si>
  <si>
    <t>20121144010435</t>
  </si>
  <si>
    <t>ÉRICLES DE LIMA FREITAS</t>
  </si>
  <si>
    <t xml:space="preserve">SALATIEL GALDINO DE OLIVEIRA JUNIOR </t>
  </si>
  <si>
    <t>MATEUS DALVES DE OLIVEIRA</t>
  </si>
  <si>
    <t>20151144010305</t>
  </si>
  <si>
    <t>NORTON LINCOLN DINIZ MARACAJÁ</t>
  </si>
  <si>
    <t>20131141130542</t>
  </si>
  <si>
    <t xml:space="preserve">GRAZIELLE CAETANO DA SILVA </t>
  </si>
  <si>
    <t>MAIRA-INFORMATICA</t>
  </si>
  <si>
    <t>20151144030349</t>
  </si>
  <si>
    <t>20122144030027</t>
  </si>
  <si>
    <t>JOARDSON DA SILVA COSTA</t>
  </si>
  <si>
    <t>CARLOS GENILSON CHAGAS DA SILVA</t>
  </si>
  <si>
    <t>PRORROGAMENTO DA ENTREGA DE TCC - CURSO DE REDES</t>
  </si>
  <si>
    <t>20151141200340</t>
  </si>
  <si>
    <t>RENATO NORAONHA BARBALHO</t>
  </si>
  <si>
    <t>20152141200110</t>
  </si>
  <si>
    <t>BRUNO BATISTA DOS SANTOS</t>
  </si>
  <si>
    <t>539.A</t>
  </si>
  <si>
    <t>20142144030285</t>
  </si>
  <si>
    <t>FELLIPE GARRETY DE LIMA SILVA</t>
  </si>
  <si>
    <t>20142144030234</t>
  </si>
  <si>
    <t>JEFERSON ROBERTO SILVA DE ALMEIDA</t>
  </si>
  <si>
    <t>537a</t>
  </si>
  <si>
    <t>20131144010572</t>
  </si>
  <si>
    <t>JOSIVAL ALVES DE OLIVEIRA FILHO</t>
  </si>
  <si>
    <t>20142141200155</t>
  </si>
  <si>
    <t>SANDRESON TARGINO DE LIMA</t>
  </si>
  <si>
    <t>539B</t>
  </si>
  <si>
    <t>20151141200103</t>
  </si>
  <si>
    <t>THIAGO FELLIPE FERREIRA MARTINS</t>
  </si>
  <si>
    <t>540A</t>
  </si>
  <si>
    <t>VILESA NEUMAN FONTES ASSUNÇÃO</t>
  </si>
  <si>
    <t>20132144030032</t>
  </si>
  <si>
    <t>MARINARA IZABELLY LIMA DOS SANTOS</t>
  </si>
  <si>
    <t>20151141200235</t>
  </si>
  <si>
    <t>CARLA EMANUELLE FERREIRA DE LIMA</t>
  </si>
  <si>
    <t>MARLLON PERREIRA DA SILVA</t>
  </si>
  <si>
    <t>20132144030270</t>
  </si>
  <si>
    <t>AMDRÉ LUIZ DO NASCIMENTO</t>
  </si>
  <si>
    <t>FRANCISCO MAGNUS GOMES</t>
  </si>
  <si>
    <t>MAURICIO DOS SANTOS NEVES</t>
  </si>
  <si>
    <t xml:space="preserve"> HUGO CARLOS PAIVA DE OLIVEIRA</t>
  </si>
  <si>
    <t>20141144010880</t>
  </si>
  <si>
    <t>LUIZ FELLIPE VARELA REZINO</t>
  </si>
  <si>
    <t>20152144030134</t>
  </si>
  <si>
    <t>EMANUELLE FELICIANO SANTOS</t>
  </si>
  <si>
    <t>20152141200241</t>
  </si>
  <si>
    <t>DANILO SANTANA TRINDADE</t>
  </si>
  <si>
    <t>DESENHO TECNICO MECANICO</t>
  </si>
  <si>
    <t>20152144030118</t>
  </si>
  <si>
    <t>LEANDRO CALISTO TOMAZ</t>
  </si>
  <si>
    <t>20152141200039</t>
  </si>
  <si>
    <t>DYEGO FELIPE DA SILVA TEIXEIRA</t>
  </si>
  <si>
    <t>Outra</t>
  </si>
  <si>
    <t>Outro</t>
  </si>
  <si>
    <t>20152141200209</t>
  </si>
  <si>
    <t>MAILSON DA SILVA SANTIAGO</t>
  </si>
  <si>
    <t>20152144030100</t>
  </si>
  <si>
    <t>20142144030242</t>
  </si>
  <si>
    <t>JEFFERSON MATHEUS SILVA DA COSTA</t>
  </si>
  <si>
    <t>20152144030320</t>
  </si>
  <si>
    <t>VITOR BLONDIN PIRES</t>
  </si>
  <si>
    <t>CAD</t>
  </si>
  <si>
    <t>FLAVIO SOARES DE SOUSA</t>
  </si>
  <si>
    <t>PROGRAMAÇÃO PARA INTERNET</t>
  </si>
  <si>
    <t>ESTATISTICA</t>
  </si>
  <si>
    <t>2015141200241</t>
  </si>
  <si>
    <t>DANILO SANTANDA TRINDADE</t>
  </si>
  <si>
    <t>MATERIAIS DE CONSTRUÇÃO MECANICA</t>
  </si>
  <si>
    <t>COMANDOS ELETRICOS</t>
  </si>
  <si>
    <t>PROCESSOS DE USINAGEM</t>
  </si>
  <si>
    <t>INSTRUMENTAÇÃO INDUSTRIAL</t>
  </si>
  <si>
    <t>COMANDOS ELETROHIDRAULICOS E ELETROMAG</t>
  </si>
  <si>
    <t>THIAGO MIRANDA LIMA</t>
  </si>
  <si>
    <t>PORTUGUÊS</t>
  </si>
  <si>
    <t>SEMINARIO DE INTEGRAÇÃO</t>
  </si>
  <si>
    <t>20141141130744</t>
  </si>
  <si>
    <t>GABRIELA MARIA DE SALES LIMA</t>
  </si>
  <si>
    <t>20141144010324</t>
  </si>
  <si>
    <t>FERNANDA REGINA VARELA DO NASCIMENTO</t>
  </si>
  <si>
    <t>Cancelamento de Matrícula/ Transferência</t>
  </si>
  <si>
    <t>20131144030271</t>
  </si>
  <si>
    <t>HUDSON RAFAEL GOMES DA ROCHA</t>
  </si>
  <si>
    <t>3.1</t>
  </si>
  <si>
    <t>ARTUR BEZERRA TRINDRADE PINTO</t>
  </si>
  <si>
    <t>O aluno desistiu da avaliação.</t>
  </si>
  <si>
    <t>20121141130723</t>
  </si>
  <si>
    <t>DANIEL PATRÍCIO DA SILVA</t>
  </si>
  <si>
    <t>20152.14403.2N</t>
  </si>
  <si>
    <t>20121144010109</t>
  </si>
  <si>
    <t>KEILLANY MARTINHO MACIEL</t>
  </si>
  <si>
    <t>20121144010583</t>
  </si>
  <si>
    <t>MATEUS AZEVEDO BEZERRA</t>
  </si>
  <si>
    <t>FAGNER GONÇALVES</t>
  </si>
  <si>
    <t>Finalizado</t>
  </si>
  <si>
    <t>20152.14403.1N</t>
  </si>
  <si>
    <t>20152.14403.3N</t>
  </si>
  <si>
    <t>20152.14403.4N</t>
  </si>
  <si>
    <t>20152.14806.1V</t>
  </si>
  <si>
    <t>20152.14806.2V</t>
  </si>
  <si>
    <t>20152.14120.1N</t>
  </si>
  <si>
    <t>20152.14120.2N</t>
  </si>
  <si>
    <t>20152.14120.3N</t>
  </si>
  <si>
    <t>20152.14806.3V</t>
  </si>
  <si>
    <t>20151144010283</t>
  </si>
  <si>
    <t>BRENDA MARIA ANDRADE CHACON DE MATOS</t>
  </si>
  <si>
    <t>20151148060293</t>
  </si>
  <si>
    <t>JUCIVAM BARBOSA DA SILVA</t>
  </si>
  <si>
    <t>VIVIAN MARIA MEDEIRO</t>
  </si>
  <si>
    <t>20151144010828</t>
  </si>
  <si>
    <t>LUIZ FELIPE E SILVA MACHADO</t>
  </si>
  <si>
    <t>20132144030334</t>
  </si>
  <si>
    <t>VALDEIR JUDESON ALVES DA SILVA</t>
  </si>
  <si>
    <t>20131141130011</t>
  </si>
  <si>
    <t>ALINE CASSIANO</t>
  </si>
  <si>
    <t>20131141130577</t>
  </si>
  <si>
    <t>AMANDA BRITO OLIVEIRA DA SILVA</t>
  </si>
  <si>
    <t>626.1</t>
  </si>
  <si>
    <t>Controle de Requerimento - SEAC/PAR 2015</t>
  </si>
  <si>
    <t>20152141200217</t>
  </si>
  <si>
    <t>JADELSON JACK SALES DE LIMA</t>
  </si>
  <si>
    <t>20151141130148</t>
  </si>
  <si>
    <t>GABRIEL JORDAN SILVA DE OLIVEIRA</t>
  </si>
  <si>
    <t>20141144030180</t>
  </si>
  <si>
    <t>LUCELIO WALLISON DA SILVA</t>
  </si>
  <si>
    <t>20151141130172</t>
  </si>
  <si>
    <t>MARIA ALICE CÂMARA TAVARES DE LIRA</t>
  </si>
  <si>
    <t>INDEFERIDO</t>
  </si>
  <si>
    <t>20131141130240</t>
  </si>
  <si>
    <t>JOYCE MARIA OLIVEIRA CORREIA DE ARAUJO</t>
  </si>
  <si>
    <t>20141141130655</t>
  </si>
  <si>
    <t>JOÃO PEDRO DE CARVALHO RIBEIRO</t>
  </si>
  <si>
    <t>20151141130601</t>
  </si>
  <si>
    <t>BRUNO LUCAS RODRIGUES DA SILVA</t>
  </si>
  <si>
    <t>LUIZ FELIPE RODRIGUES ARAUJO</t>
  </si>
  <si>
    <t>20131141130054</t>
  </si>
  <si>
    <t>FERNANDA MENDONÇA FONTES GALVÃO</t>
  </si>
  <si>
    <t>20131141130224</t>
  </si>
  <si>
    <t>ELOÍSA CONCEIÇÃO NASCIMENTO SILVA</t>
  </si>
  <si>
    <t>20131144010408</t>
  </si>
  <si>
    <t>ROGERS DE LIMA FREIRE MOREIRA</t>
  </si>
  <si>
    <t>ALISON PEREIRA BATISTA</t>
  </si>
  <si>
    <t>20151148060315</t>
  </si>
  <si>
    <t>20131141130771</t>
  </si>
  <si>
    <t>OHANA CORREIA DA COSTA</t>
  </si>
  <si>
    <t>20122144030264</t>
  </si>
  <si>
    <t>RELLYANE DUARTE SANTA ROSA</t>
  </si>
  <si>
    <t>JOSEMILSON VIDAL MENDES</t>
  </si>
  <si>
    <t/>
  </si>
  <si>
    <t>20141144010553</t>
  </si>
  <si>
    <t>LUIS FELIPE TOMÉ RIBEIRO</t>
  </si>
  <si>
    <t>20121141130200</t>
  </si>
  <si>
    <t>ADALTON VINÍCIUS DE FRANÇA BEZERRA</t>
  </si>
  <si>
    <t>20131141130348</t>
  </si>
  <si>
    <t>20131141130275</t>
  </si>
  <si>
    <t>MATHEUS HENRIQUE PINHEIRO DE ARAÚJO</t>
  </si>
  <si>
    <t>VICTOR FIDELIS DE OLIVEIRA</t>
  </si>
  <si>
    <t>668.1</t>
  </si>
  <si>
    <t>681.1</t>
  </si>
  <si>
    <t>670.1</t>
  </si>
  <si>
    <t>20141141130884</t>
  </si>
  <si>
    <t>THOMAS ALEFE DE SOUZA BORGES</t>
  </si>
  <si>
    <t>DOCUMENTO APRESENTADO: COMPROVANTE DE AGENDAMENTO DA CARTEIRA DE TRABALHO</t>
  </si>
  <si>
    <t>671.1</t>
  </si>
  <si>
    <t>20141141130892</t>
  </si>
  <si>
    <t>BARBARA ELISA DE SOUZA BORGES</t>
  </si>
  <si>
    <t>IVIS DE EMOURA NOBRE</t>
  </si>
  <si>
    <t xml:space="preserve">TRANCAMENTO DE UMA MATÉRIA </t>
  </si>
  <si>
    <t>MAURICIO HORIUTI COSTA</t>
  </si>
  <si>
    <t>20131141130135</t>
  </si>
  <si>
    <t>SARA HELEN SANTOS PORPINO</t>
  </si>
  <si>
    <t>684.1</t>
  </si>
  <si>
    <t>20141141130787</t>
  </si>
  <si>
    <t xml:space="preserve">YGOR DE OLIVEIRA PESSOA </t>
  </si>
  <si>
    <t>20131141130291</t>
  </si>
  <si>
    <t>LUCAS WANDERLEY DA CUNHA LIMA</t>
  </si>
  <si>
    <t>20151144010569</t>
  </si>
  <si>
    <t>RAIANE CRISTINA DE LIMA SILVA</t>
  </si>
  <si>
    <t>20151141130440</t>
  </si>
  <si>
    <t>MARCUS VINÍCIUS DANTAS BATISTA</t>
  </si>
  <si>
    <t>DOCUMENTO EM ANEXO: HISTÓRICO ESCOLAR PARCIAL</t>
  </si>
  <si>
    <t>683.1</t>
  </si>
  <si>
    <t>39.1</t>
  </si>
  <si>
    <t>20131141130640</t>
  </si>
  <si>
    <t>EMYLLY APARECIDA DA SILVA</t>
  </si>
  <si>
    <t>LETICIA DE OLIVEIRA AMURIM</t>
  </si>
  <si>
    <t>20142144030315</t>
  </si>
  <si>
    <t>GEORGE ALESSANDRO COSTA DA SILVA</t>
  </si>
  <si>
    <t>20121141130685</t>
  </si>
  <si>
    <t>VITOR FERNANDES FERREIRA</t>
  </si>
  <si>
    <t>20131141130453</t>
  </si>
  <si>
    <t>MOISES MEDEIROS DE LIMA</t>
  </si>
  <si>
    <t>ELOISA CONCEIÇÃO NASCIMENTO SILVA</t>
  </si>
  <si>
    <t>20131141130674</t>
  </si>
  <si>
    <t>YAGO AUGUSTO ALVES SILVA</t>
  </si>
  <si>
    <t>707.1</t>
  </si>
  <si>
    <t>20131141130070</t>
  </si>
  <si>
    <t>LUCAS FRANÇA DOS SANTOS SOARES</t>
  </si>
  <si>
    <t>o aluno se ausentou durante 25 dias. Requerimento encaminhado para pedagogia.</t>
  </si>
  <si>
    <t>707.2</t>
  </si>
  <si>
    <t>20151144010380</t>
  </si>
  <si>
    <t>PEDRO HENRIQUE DE OLIVEIRA VESPAZIANO BORGES</t>
  </si>
  <si>
    <t>20152141200225</t>
  </si>
  <si>
    <t>GELSON LUIZ DA SILVA</t>
  </si>
  <si>
    <t>20152149030029</t>
  </si>
  <si>
    <t>DANIEL SILVA DA COSTA</t>
  </si>
  <si>
    <t>ALUNO DE ESPECIALIZAÇÃO</t>
  </si>
  <si>
    <t>710.1</t>
  </si>
  <si>
    <t>20141144010065</t>
  </si>
  <si>
    <t>DANIEL ADELINO DO NASCIMENTO</t>
  </si>
  <si>
    <t>declaração de cadastramento</t>
  </si>
  <si>
    <t>711.1</t>
  </si>
  <si>
    <t>20141144010154</t>
  </si>
  <si>
    <t>JOSÉ REGINALDO DO NASCIMENTO JÚNIOR</t>
  </si>
  <si>
    <t>712.1</t>
  </si>
  <si>
    <t>20131144010807</t>
  </si>
  <si>
    <t>PEDRO HENRIQUE CASTRO BEZERRA</t>
  </si>
  <si>
    <t>710.2</t>
  </si>
  <si>
    <t>20151148060080</t>
  </si>
  <si>
    <t>JEAN GOMES SANÇÃO</t>
  </si>
  <si>
    <t>20131144010033</t>
  </si>
  <si>
    <t>LUIZ GUSTAVO DE SOUZA MARQUES</t>
  </si>
  <si>
    <t>20152141200233</t>
  </si>
  <si>
    <t>MARCIO GARCIA DE LIMA</t>
  </si>
  <si>
    <t>717.1</t>
  </si>
  <si>
    <t>ENTREGAR NA PEDAGOGIA</t>
  </si>
  <si>
    <t>20121144010710</t>
  </si>
  <si>
    <t>CHRYSALIS FREIRE COSTA</t>
  </si>
  <si>
    <t>20142148060073</t>
  </si>
  <si>
    <t>CLAUDIVAN ALVES DA SILVA</t>
  </si>
  <si>
    <t xml:space="preserve">JOSIEL SANTOS DE SOUZA </t>
  </si>
  <si>
    <t>JOSE JOSSINE FERREIRTA CLAUDINO</t>
  </si>
  <si>
    <t>20151141130059</t>
  </si>
  <si>
    <t>JEFERSON LUAN BENTO VIEIRA</t>
  </si>
  <si>
    <t>20121141130146</t>
  </si>
  <si>
    <t>WANDERSON SILVA DE LIMA</t>
  </si>
  <si>
    <t>20151144030020</t>
  </si>
  <si>
    <t>JÉSSICA THAYNÁ QUEIROZ GALDINO</t>
  </si>
  <si>
    <t>20152149030017</t>
  </si>
  <si>
    <t>LUCIANO FRANCISCO DOS SANTOS</t>
  </si>
  <si>
    <t>20141141130590</t>
  </si>
  <si>
    <t>GUILHERME GALVÃO RINALDINI</t>
  </si>
  <si>
    <t>753.A</t>
  </si>
  <si>
    <t>20121141130618</t>
  </si>
  <si>
    <t>WALLACE CHRISTIAN DE SOUZA</t>
  </si>
  <si>
    <t>20121141130596</t>
  </si>
  <si>
    <t>MATEUS BRITO OLIVEIRA DA SILVA</t>
  </si>
  <si>
    <t>BRENO LIMA CIPRIANO DA COSTA</t>
  </si>
  <si>
    <t>20131144010262</t>
  </si>
  <si>
    <t>JOSÉ ALANDELL TEIXEIRA DA SILVA</t>
  </si>
  <si>
    <t>20121141130421</t>
  </si>
  <si>
    <t>RAYSSA SAMARA AUGUSTO LOPÉS</t>
  </si>
  <si>
    <t xml:space="preserve">CAMANDOS ELÉTRICOS E ACIONAMENTO DE MÁQINAS </t>
  </si>
  <si>
    <t>deferido</t>
  </si>
  <si>
    <t xml:space="preserve">ELETRÔNICA ANALÓGICA </t>
  </si>
  <si>
    <t>FRANCISO JOSEVALDO DA SILVA</t>
  </si>
  <si>
    <t>indeferido</t>
  </si>
  <si>
    <t>COMANDOS ELÉTRICOS E ACIONAMENTO DE MÁQUINAS</t>
  </si>
  <si>
    <t xml:space="preserve">TECNOLOGIA MECÂNICA </t>
  </si>
  <si>
    <t>APLICAÇÃO DE REDES DE COMPUTADORES</t>
  </si>
  <si>
    <t>O ALUNO DESISTIU DE FAZER A PROVA</t>
  </si>
  <si>
    <t>solicitação de trancamento de disciplina: Programação Web</t>
  </si>
  <si>
    <t xml:space="preserve">solicitação de trancamento de disciplina: Sistemas operacionais/ estrutura de dados </t>
  </si>
  <si>
    <t>MATEUS VINICIUS SILVA BEZERRA</t>
  </si>
  <si>
    <t>757.A</t>
  </si>
  <si>
    <t>20151148060161</t>
  </si>
  <si>
    <t>ROSEANE GALDINO DA SILVA</t>
  </si>
  <si>
    <t>758.A</t>
  </si>
  <si>
    <t>20151148060021</t>
  </si>
  <si>
    <t>WENDEELL MCCAULAY RAMOS ALVES</t>
  </si>
  <si>
    <t>20151141130407</t>
  </si>
  <si>
    <t>JOÃO VICTOR NASCIMENTO MACHADO DE ANDRADE</t>
  </si>
  <si>
    <t>20141144010200</t>
  </si>
  <si>
    <t xml:space="preserve">MARIA ISABEL BESSA FERNANDES </t>
  </si>
  <si>
    <t>GUSTAVO FERNANDES,ALINE,ANTONIO ANDRE,FABIA,ARLINDO,EDUARDO GALVAO</t>
  </si>
  <si>
    <t>763.A</t>
  </si>
  <si>
    <t>SOLICITAÇÃO DE TRANCAMENTO DE DISCIPLINA</t>
  </si>
  <si>
    <t>20152144030010</t>
  </si>
  <si>
    <t>EUMACIO FRANCISO DE MELO ALVES</t>
  </si>
  <si>
    <t>EDSON DOMINGOS DA SILVA</t>
  </si>
  <si>
    <t>20152144030029</t>
  </si>
  <si>
    <t>785.A</t>
  </si>
  <si>
    <t>MECIUS FERNANDES DOS SANTOS</t>
  </si>
  <si>
    <t>778.A</t>
  </si>
  <si>
    <t>20121144010427</t>
  </si>
  <si>
    <t>EDUARDO VICTOR ALBUQUERQUE MACIEL</t>
  </si>
  <si>
    <t>790.A</t>
  </si>
  <si>
    <t>ROGERIO NASCIMENTO SANTOS</t>
  </si>
  <si>
    <t>20152144030266</t>
  </si>
  <si>
    <t>779.A</t>
  </si>
  <si>
    <t>VITORIA MAYRA LUCENA  TAVARES</t>
  </si>
  <si>
    <t>20152144030231</t>
  </si>
  <si>
    <t>PAULO WAGNER FERREIRA</t>
  </si>
  <si>
    <t>781.A</t>
  </si>
  <si>
    <t>ALESSANDRA CÂMARA BATISTA</t>
  </si>
  <si>
    <t>DENISSON DA SILVA CORTES</t>
  </si>
  <si>
    <t>783.A</t>
  </si>
  <si>
    <t>784.A</t>
  </si>
  <si>
    <t>ALEFF CHRUTION DE SOUSA PINHEIRO</t>
  </si>
  <si>
    <t>20151148060218</t>
  </si>
  <si>
    <t>ARTHUR RODRIGUES SILVA</t>
  </si>
  <si>
    <t>20121144010176</t>
  </si>
  <si>
    <t>BRENDA PATRICIA DOS SANTOS NASCIMENTO</t>
  </si>
  <si>
    <t>MAIRA APARECIDA</t>
  </si>
  <si>
    <t>795.A</t>
  </si>
  <si>
    <t>20152141200055</t>
  </si>
  <si>
    <t>LUIZ MARCOS PEREIRA DO NASCIMENTO</t>
  </si>
  <si>
    <t>20141141130256</t>
  </si>
  <si>
    <t>LUANA GABRIELA ROLIN LUCAS</t>
  </si>
  <si>
    <t>20141141130809</t>
  </si>
  <si>
    <t xml:space="preserve">EMERSON PABLO DA SILVA PEREIRA </t>
  </si>
  <si>
    <t>20131144010149</t>
  </si>
  <si>
    <t>FERNANDA VICTÓRIA MARCELINO ALVES</t>
  </si>
  <si>
    <t>20141144010820</t>
  </si>
  <si>
    <t>GUSTAVO PAULINO DA SILVA</t>
  </si>
  <si>
    <t xml:space="preserve">GERSON DA SILVA VICENTE </t>
  </si>
  <si>
    <t>736.1</t>
  </si>
  <si>
    <t xml:space="preserve">ELISANDRA INARA SILVA ANDRADE </t>
  </si>
  <si>
    <t>Fernanda Regina Varela do Nascimento</t>
  </si>
  <si>
    <t>Foi entregue a Maria José</t>
  </si>
  <si>
    <t>20151144010410</t>
  </si>
  <si>
    <t>SARAH MARIANE RODRIGUES DE LIMA</t>
  </si>
  <si>
    <t>20131141130194</t>
  </si>
  <si>
    <t>HILARY BARROS DE CARVALHO</t>
  </si>
  <si>
    <t>812.A</t>
  </si>
  <si>
    <t>794.A</t>
  </si>
  <si>
    <t>811.A</t>
  </si>
  <si>
    <t>FAGBER GONÇALVES</t>
  </si>
  <si>
    <t>802.A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</si>
</sst>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/m/yy\ h:mm;@"/>
    <numFmt numFmtId="165" formatCode="00&quot;/&quot;00&quot;/&quot;00"/>
  </numFmts>
  <fonts count="17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Arial"/>
      <family val="2"/>
    </font>
    <font>
      <u/>
      <sz val="11"/>
      <color theme="10"/>
      <name val="Calibri"/>
      <family val="2"/>
      <scheme val="minor"/>
    </font>
    <font>
      <sz val="12"/>
      <color theme="0"/>
      <name val="Calibri"/>
      <family val="2"/>
      <scheme val="minor"/>
    </font>
    <font>
      <b/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FF0000"/>
      <name val="Arial"/>
      <family val="2"/>
    </font>
    <font>
      <sz val="9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</borders>
  <cellStyleXfs count="22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11" fillId="0" borderId="0" applyNumberFormat="0" applyFill="0" applyBorder="0" applyAlignment="0" applyProtection="0"/>
    <xf numFmtId="0" fontId="3" fillId="0" borderId="0"/>
    <xf numFmtId="0" fontId="2" fillId="0" borderId="0"/>
  </cellStyleXfs>
  <cellXfs count="82">
    <xf numFmtId="0" fontId="0" fillId="0" borderId="0" xfId="0"/>
    <xf numFmtId="0" fontId="10" fillId="3" borderId="2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/>
    </xf>
    <xf numFmtId="0" fontId="10" fillId="4" borderId="3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 wrapText="1"/>
    </xf>
    <xf numFmtId="0" fontId="10" fillId="4" borderId="5" xfId="0" applyFont="1" applyFill="1" applyBorder="1" applyAlignment="1">
      <alignment horizontal="center" vertical="center" wrapText="1"/>
    </xf>
    <xf numFmtId="0" fontId="10" fillId="4" borderId="5" xfId="0" applyFont="1" applyFill="1" applyBorder="1" applyAlignment="1">
      <alignment horizontal="center" vertical="center"/>
    </xf>
    <xf numFmtId="0" fontId="6" fillId="0" borderId="0" xfId="17"/>
    <xf numFmtId="0" fontId="0" fillId="0" borderId="6" xfId="0" applyFont="1" applyBorder="1"/>
    <xf numFmtId="0" fontId="9" fillId="2" borderId="0" xfId="0" applyFont="1" applyFill="1" applyBorder="1"/>
    <xf numFmtId="0" fontId="9" fillId="2" borderId="7" xfId="0" applyFont="1" applyFill="1" applyBorder="1"/>
    <xf numFmtId="0" fontId="0" fillId="0" borderId="7" xfId="0" applyFont="1" applyBorder="1"/>
    <xf numFmtId="0" fontId="0" fillId="0" borderId="8" xfId="0" applyFont="1" applyBorder="1"/>
    <xf numFmtId="0" fontId="0" fillId="0" borderId="0" xfId="0" applyFont="1" applyBorder="1" applyAlignment="1">
      <alignment horizontal="left"/>
    </xf>
    <xf numFmtId="0" fontId="9" fillId="6" borderId="0" xfId="0" applyFont="1" applyFill="1" applyBorder="1"/>
    <xf numFmtId="0" fontId="5" fillId="5" borderId="1" xfId="0" applyFont="1" applyFill="1" applyBorder="1" applyAlignment="1">
      <alignment horizontal="left"/>
    </xf>
    <xf numFmtId="0" fontId="0" fillId="0" borderId="0" xfId="0" applyAlignment="1">
      <alignment wrapText="1"/>
    </xf>
    <xf numFmtId="0" fontId="5" fillId="5" borderId="1" xfId="0" applyFont="1" applyFill="1" applyBorder="1" applyAlignment="1">
      <alignment horizontal="center" wrapText="1"/>
    </xf>
    <xf numFmtId="0" fontId="0" fillId="0" borderId="0" xfId="0" applyAlignment="1">
      <alignment horizontal="center" vertical="center"/>
    </xf>
    <xf numFmtId="0" fontId="0" fillId="0" borderId="0" xfId="0" applyFont="1" applyBorder="1"/>
    <xf numFmtId="0" fontId="5" fillId="5" borderId="1" xfId="0" applyFont="1" applyFill="1" applyBorder="1" applyAlignment="1">
      <alignment horizontal="center" vertical="center"/>
    </xf>
    <xf numFmtId="0" fontId="6" fillId="0" borderId="0" xfId="17" applyAlignment="1">
      <alignment horizontal="left" vertical="center"/>
    </xf>
    <xf numFmtId="0" fontId="5" fillId="5" borderId="9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13" fillId="0" borderId="0" xfId="17" applyFont="1" applyAlignment="1">
      <alignment horizontal="left" vertical="center"/>
    </xf>
    <xf numFmtId="0" fontId="0" fillId="0" borderId="0" xfId="0" applyAlignment="1">
      <alignment horizontal="left" vertical="center" wrapText="1"/>
    </xf>
    <xf numFmtId="14" fontId="5" fillId="5" borderId="1" xfId="0" applyNumberFormat="1" applyFont="1" applyFill="1" applyBorder="1" applyAlignment="1">
      <alignment horizontal="left" vertical="center" wrapText="1"/>
    </xf>
    <xf numFmtId="0" fontId="12" fillId="7" borderId="0" xfId="0" applyFont="1" applyFill="1" applyBorder="1" applyAlignment="1">
      <alignment vertical="center"/>
    </xf>
    <xf numFmtId="0" fontId="0" fillId="0" borderId="0" xfId="0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left" wrapText="1"/>
    </xf>
    <xf numFmtId="49" fontId="10" fillId="4" borderId="2" xfId="0" applyNumberFormat="1" applyFont="1" applyFill="1" applyBorder="1" applyAlignment="1">
      <alignment horizontal="center" vertical="center" wrapText="1"/>
    </xf>
    <xf numFmtId="49" fontId="12" fillId="7" borderId="0" xfId="0" applyNumberFormat="1" applyFont="1" applyFill="1" applyBorder="1" applyAlignment="1">
      <alignment horizontal="left" wrapText="1"/>
    </xf>
    <xf numFmtId="0" fontId="8" fillId="0" borderId="0" xfId="0" applyFont="1" applyBorder="1" applyAlignment="1">
      <alignment vertical="center"/>
    </xf>
    <xf numFmtId="0" fontId="8" fillId="0" borderId="10" xfId="0" applyFont="1" applyBorder="1" applyAlignment="1">
      <alignment vertical="center"/>
    </xf>
    <xf numFmtId="22" fontId="9" fillId="0" borderId="0" xfId="0" applyNumberFormat="1" applyFont="1" applyBorder="1" applyAlignment="1">
      <alignment horizontal="center" vertical="center"/>
    </xf>
    <xf numFmtId="164" fontId="5" fillId="5" borderId="1" xfId="0" applyNumberFormat="1" applyFont="1" applyFill="1" applyBorder="1" applyAlignment="1">
      <alignment horizontal="left" wrapText="1"/>
    </xf>
    <xf numFmtId="0" fontId="0" fillId="7" borderId="0" xfId="0" applyFill="1"/>
    <xf numFmtId="0" fontId="6" fillId="7" borderId="0" xfId="17" applyFill="1" applyAlignment="1">
      <alignment horizontal="left" vertical="center"/>
    </xf>
    <xf numFmtId="0" fontId="8" fillId="7" borderId="0" xfId="0" applyFont="1" applyFill="1" applyBorder="1" applyAlignment="1">
      <alignment vertical="center"/>
    </xf>
    <xf numFmtId="22" fontId="9" fillId="7" borderId="0" xfId="0" applyNumberFormat="1" applyFont="1" applyFill="1" applyBorder="1" applyAlignment="1">
      <alignment horizontal="center" vertical="center"/>
    </xf>
    <xf numFmtId="0" fontId="0" fillId="7" borderId="0" xfId="0" applyFill="1" applyAlignment="1">
      <alignment vertical="center"/>
    </xf>
    <xf numFmtId="0" fontId="8" fillId="7" borderId="10" xfId="0" applyFont="1" applyFill="1" applyBorder="1" applyAlignment="1">
      <alignment vertical="center"/>
    </xf>
    <xf numFmtId="0" fontId="13" fillId="7" borderId="0" xfId="17" applyFont="1" applyFill="1" applyAlignment="1">
      <alignment horizontal="left" vertical="center"/>
    </xf>
    <xf numFmtId="0" fontId="13" fillId="7" borderId="0" xfId="17" applyFont="1" applyFill="1" applyAlignment="1">
      <alignment vertical="center"/>
    </xf>
    <xf numFmtId="49" fontId="0" fillId="7" borderId="0" xfId="0" applyNumberFormat="1" applyFill="1" applyAlignment="1">
      <alignment horizontal="left" wrapText="1"/>
    </xf>
    <xf numFmtId="0" fontId="0" fillId="7" borderId="0" xfId="0" applyFill="1" applyAlignment="1">
      <alignment horizontal="left" vertical="center" wrapText="1"/>
    </xf>
    <xf numFmtId="0" fontId="0" fillId="7" borderId="0" xfId="0" applyFill="1" applyAlignment="1">
      <alignment wrapText="1"/>
    </xf>
    <xf numFmtId="0" fontId="0" fillId="7" borderId="0" xfId="0" applyFill="1" applyAlignment="1">
      <alignment horizontal="center" vertical="center"/>
    </xf>
    <xf numFmtId="49" fontId="13" fillId="0" borderId="0" xfId="17" applyNumberFormat="1" applyFont="1" applyAlignment="1">
      <alignment horizontal="left" vertical="center"/>
    </xf>
    <xf numFmtId="49" fontId="10" fillId="4" borderId="3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13" fillId="0" borderId="0" xfId="17" applyNumberFormat="1" applyFont="1" applyAlignment="1">
      <alignment vertical="center"/>
    </xf>
    <xf numFmtId="49" fontId="5" fillId="5" borderId="9" xfId="0" applyNumberFormat="1" applyFont="1" applyFill="1" applyBorder="1" applyAlignment="1">
      <alignment horizontal="center" vertical="center" wrapText="1"/>
    </xf>
    <xf numFmtId="49" fontId="0" fillId="0" borderId="0" xfId="0" applyNumberFormat="1" applyAlignment="1">
      <alignment vertical="center"/>
    </xf>
    <xf numFmtId="1" fontId="9" fillId="7" borderId="0" xfId="0" applyNumberFormat="1" applyFont="1" applyFill="1" applyBorder="1" applyAlignment="1">
      <alignment horizontal="center" vertical="center"/>
    </xf>
    <xf numFmtId="1" fontId="0" fillId="7" borderId="0" xfId="0" applyNumberFormat="1" applyFill="1" applyAlignment="1">
      <alignment horizontal="left" wrapText="1"/>
    </xf>
    <xf numFmtId="1" fontId="10" fillId="4" borderId="2" xfId="0" applyNumberFormat="1" applyFont="1" applyFill="1" applyBorder="1" applyAlignment="1">
      <alignment horizontal="center" vertical="center" wrapText="1"/>
    </xf>
    <xf numFmtId="1" fontId="12" fillId="7" borderId="0" xfId="0" applyNumberFormat="1" applyFont="1" applyFill="1" applyBorder="1" applyAlignment="1">
      <alignment horizontal="left" wrapText="1"/>
    </xf>
    <xf numFmtId="1" fontId="0" fillId="0" borderId="0" xfId="0" applyNumberFormat="1" applyAlignment="1">
      <alignment horizontal="left" wrapText="1"/>
    </xf>
    <xf numFmtId="1" fontId="5" fillId="5" borderId="1" xfId="0" applyNumberFormat="1" applyFont="1" applyFill="1" applyBorder="1" applyAlignment="1">
      <alignment horizontal="center" vertical="center" wrapText="1"/>
    </xf>
    <xf numFmtId="0" fontId="10" fillId="3" borderId="3" xfId="0" applyFont="1" applyFill="1" applyBorder="1" applyAlignment="1">
      <alignment horizontal="left" vertical="center"/>
    </xf>
    <xf numFmtId="0" fontId="10" fillId="3" borderId="2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6" fillId="0" borderId="0" xfId="17" applyAlignment="1">
      <alignment horizontal="left"/>
    </xf>
    <xf numFmtId="0" fontId="13" fillId="0" borderId="0" xfId="17" applyFont="1" applyAlignment="1">
      <alignment horizontal="left" wrapText="1"/>
    </xf>
    <xf numFmtId="0" fontId="0" fillId="0" borderId="0" xfId="0" applyAlignment="1">
      <alignment horizontal="center"/>
    </xf>
    <xf numFmtId="49" fontId="13" fillId="7" borderId="0" xfId="17" applyNumberFormat="1" applyFont="1" applyFill="1" applyAlignment="1">
      <alignment horizontal="left" vertical="center"/>
    </xf>
    <xf numFmtId="49" fontId="0" fillId="7" borderId="0" xfId="0" applyNumberFormat="1" applyFill="1" applyAlignment="1">
      <alignment horizontal="center" vertical="center"/>
    </xf>
    <xf numFmtId="165" fontId="5" fillId="5" borderId="1" xfId="0" applyNumberFormat="1" applyFont="1" applyFill="1" applyBorder="1" applyAlignment="1">
      <alignment horizontal="left" wrapText="1"/>
    </xf>
    <xf numFmtId="49" fontId="2" fillId="0" borderId="0" xfId="21" applyNumberFormat="1"/>
    <xf numFmtId="49" fontId="14" fillId="0" borderId="6" xfId="21" applyNumberFormat="1" applyFont="1" applyBorder="1" applyAlignment="1">
      <alignment horizontal="left"/>
    </xf>
    <xf numFmtId="1" fontId="15" fillId="8" borderId="1" xfId="0" applyNumberFormat="1" applyFont="1" applyFill="1" applyBorder="1" applyAlignment="1">
      <alignment horizontal="center" vertical="center" wrapText="1"/>
    </xf>
    <xf numFmtId="14" fontId="5" fillId="5" borderId="9" xfId="0" applyNumberFormat="1" applyFont="1" applyFill="1" applyBorder="1" applyAlignment="1">
      <alignment horizontal="left" vertical="center" wrapText="1"/>
    </xf>
    <xf numFmtId="0" fontId="5" fillId="5" borderId="9" xfId="0" applyFont="1" applyFill="1" applyBorder="1" applyAlignment="1">
      <alignment horizontal="center" vertical="center"/>
    </xf>
    <xf numFmtId="49" fontId="1" fillId="0" borderId="0" xfId="21" applyNumberFormat="1" applyFont="1"/>
    <xf numFmtId="0" fontId="5" fillId="5" borderId="1" xfId="0" quotePrefix="1" applyFont="1" applyFill="1" applyBorder="1" applyAlignment="1">
      <alignment horizontal="center"/>
    </xf>
    <xf numFmtId="14" fontId="16" fillId="5" borderId="1" xfId="0" applyNumberFormat="1" applyFont="1" applyFill="1" applyBorder="1" applyAlignment="1">
      <alignment horizontal="left" vertical="center" wrapText="1"/>
    </xf>
    <xf numFmtId="0" fontId="8" fillId="0" borderId="0" xfId="0" applyFont="1" applyBorder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</cellXfs>
  <cellStyles count="22">
    <cellStyle name="Hiperlink" xfId="1" builtinId="8" hidden="1"/>
    <cellStyle name="Hiperlink" xfId="3" builtinId="8" hidden="1"/>
    <cellStyle name="Hiperlink" xfId="5" builtinId="8" hidden="1"/>
    <cellStyle name="Hiperlink" xfId="7" builtinId="8" hidden="1"/>
    <cellStyle name="Hiperlink" xfId="9" builtinId="8" hidden="1"/>
    <cellStyle name="Hiperlink" xfId="11" builtinId="8" hidden="1"/>
    <cellStyle name="Hiperlink" xfId="13" builtinId="8" hidden="1"/>
    <cellStyle name="Hiperlink" xfId="15" builtinId="8" hidden="1"/>
    <cellStyle name="Hiperlink" xfId="17" builtinId="8"/>
    <cellStyle name="Hiperlink 2" xfId="19"/>
    <cellStyle name="Hiperlink Visitado" xfId="2" builtinId="9" hidden="1"/>
    <cellStyle name="Hiperlink Visitado" xfId="4" builtinId="9" hidden="1"/>
    <cellStyle name="Hiperlink Visitado" xfId="6" builtinId="9" hidden="1"/>
    <cellStyle name="Hiperlink Visitado" xfId="8" builtinId="9" hidden="1"/>
    <cellStyle name="Hiperlink Visitado" xfId="10" builtinId="9" hidden="1"/>
    <cellStyle name="Hiperlink Visitado" xfId="12" builtinId="9" hidden="1"/>
    <cellStyle name="Hiperlink Visitado" xfId="14" builtinId="9" hidden="1"/>
    <cellStyle name="Hiperlink Visitado" xfId="16" builtinId="9" hidden="1"/>
    <cellStyle name="Normal" xfId="0" builtinId="0"/>
    <cellStyle name="Normal 2" xfId="18"/>
    <cellStyle name="Normal 3" xfId="20"/>
    <cellStyle name="Normal 4" xfId="21"/>
  </cellStyles>
  <dxfs count="18094"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u val="none"/>
        <color theme="1"/>
      </font>
      <fill>
        <patternFill>
          <bgColor theme="4" tint="0.79998168889431442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/>
        <i val="0"/>
        <color rgb="FFFFFBFB"/>
      </font>
      <fill>
        <patternFill>
          <bgColor rgb="FF96000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Medium4"/>
  <colors>
    <mruColors>
      <color rgb="FF960000"/>
      <color rgb="FFFF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523875</xdr:colOff>
      <xdr:row>0</xdr:row>
      <xdr:rowOff>47625</xdr:rowOff>
    </xdr:from>
    <xdr:to>
      <xdr:col>1</xdr:col>
      <xdr:colOff>1524000</xdr:colOff>
      <xdr:row>0</xdr:row>
      <xdr:rowOff>295275</xdr:rowOff>
    </xdr:to>
    <xdr:sp macro="[0]!lsInsereRegistros" textlink="">
      <xdr:nvSpPr>
        <xdr:cNvPr id="2" name="Retângulo 1"/>
        <xdr:cNvSpPr/>
      </xdr:nvSpPr>
      <xdr:spPr>
        <a:xfrm>
          <a:off x="523875" y="47625"/>
          <a:ext cx="1000125" cy="247650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Inserir</a:t>
          </a:r>
        </a:p>
      </xdr:txBody>
    </xdr:sp>
    <xdr:clientData/>
  </xdr:twoCellAnchor>
  <xdr:twoCellAnchor>
    <xdr:from>
      <xdr:col>5</xdr:col>
      <xdr:colOff>28575</xdr:colOff>
      <xdr:row>2</xdr:row>
      <xdr:rowOff>9525</xdr:rowOff>
    </xdr:from>
    <xdr:to>
      <xdr:col>5</xdr:col>
      <xdr:colOff>1495424</xdr:colOff>
      <xdr:row>2</xdr:row>
      <xdr:rowOff>457200</xdr:rowOff>
    </xdr:to>
    <xdr:sp macro="[2]!vamos" textlink="">
      <xdr:nvSpPr>
        <xdr:cNvPr id="3" name="Retângulo 2"/>
        <xdr:cNvSpPr/>
      </xdr:nvSpPr>
      <xdr:spPr>
        <a:xfrm>
          <a:off x="9629775" y="695325"/>
          <a:ext cx="1466849" cy="447675"/>
        </a:xfrm>
        <a:prstGeom prst="rect">
          <a:avLst/>
        </a:prstGeom>
        <a:noFill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28575</xdr:colOff>
      <xdr:row>2</xdr:row>
      <xdr:rowOff>9525</xdr:rowOff>
    </xdr:from>
    <xdr:to>
      <xdr:col>10</xdr:col>
      <xdr:colOff>1495424</xdr:colOff>
      <xdr:row>2</xdr:row>
      <xdr:rowOff>457200</xdr:rowOff>
    </xdr:to>
    <xdr:sp macro="[2]!data_finalização" textlink="">
      <xdr:nvSpPr>
        <xdr:cNvPr id="4" name="Retângulo 3"/>
        <xdr:cNvSpPr/>
      </xdr:nvSpPr>
      <xdr:spPr>
        <a:xfrm>
          <a:off x="9629775" y="695325"/>
          <a:ext cx="1466849" cy="447675"/>
        </a:xfrm>
        <a:prstGeom prst="rect">
          <a:avLst/>
        </a:prstGeom>
        <a:noFill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523875</xdr:colOff>
      <xdr:row>0</xdr:row>
      <xdr:rowOff>47625</xdr:rowOff>
    </xdr:from>
    <xdr:to>
      <xdr:col>1</xdr:col>
      <xdr:colOff>1524000</xdr:colOff>
      <xdr:row>0</xdr:row>
      <xdr:rowOff>295275</xdr:rowOff>
    </xdr:to>
    <xdr:sp macro="[0]!lsInsereRegistros" textlink="">
      <xdr:nvSpPr>
        <xdr:cNvPr id="2" name="Retângulo 1"/>
        <xdr:cNvSpPr/>
      </xdr:nvSpPr>
      <xdr:spPr>
        <a:xfrm>
          <a:off x="523875" y="47625"/>
          <a:ext cx="1000125" cy="247650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Inserir</a:t>
          </a:r>
        </a:p>
      </xdr:txBody>
    </xdr:sp>
    <xdr:clientData/>
  </xdr:twoCellAnchor>
  <xdr:twoCellAnchor>
    <xdr:from>
      <xdr:col>5</xdr:col>
      <xdr:colOff>28575</xdr:colOff>
      <xdr:row>2</xdr:row>
      <xdr:rowOff>9525</xdr:rowOff>
    </xdr:from>
    <xdr:to>
      <xdr:col>5</xdr:col>
      <xdr:colOff>1495424</xdr:colOff>
      <xdr:row>2</xdr:row>
      <xdr:rowOff>457200</xdr:rowOff>
    </xdr:to>
    <xdr:sp macro="[2]!vamos" textlink="">
      <xdr:nvSpPr>
        <xdr:cNvPr id="3" name="Retângulo 2"/>
        <xdr:cNvSpPr/>
      </xdr:nvSpPr>
      <xdr:spPr>
        <a:xfrm>
          <a:off x="9629775" y="695325"/>
          <a:ext cx="1466849" cy="447675"/>
        </a:xfrm>
        <a:prstGeom prst="rect">
          <a:avLst/>
        </a:prstGeom>
        <a:noFill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30</xdr:col>
      <xdr:colOff>28575</xdr:colOff>
      <xdr:row>2</xdr:row>
      <xdr:rowOff>9525</xdr:rowOff>
    </xdr:from>
    <xdr:to>
      <xdr:col>30</xdr:col>
      <xdr:colOff>1495424</xdr:colOff>
      <xdr:row>2</xdr:row>
      <xdr:rowOff>457200</xdr:rowOff>
    </xdr:to>
    <xdr:sp macro="[2]!data_finalização" textlink="">
      <xdr:nvSpPr>
        <xdr:cNvPr id="4" name="Retângulo 3"/>
        <xdr:cNvSpPr/>
      </xdr:nvSpPr>
      <xdr:spPr>
        <a:xfrm>
          <a:off x="20593050" y="695325"/>
          <a:ext cx="1466849" cy="447675"/>
        </a:xfrm>
        <a:prstGeom prst="rect">
          <a:avLst/>
        </a:prstGeom>
        <a:noFill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523875</xdr:colOff>
      <xdr:row>0</xdr:row>
      <xdr:rowOff>47625</xdr:rowOff>
    </xdr:from>
    <xdr:to>
      <xdr:col>1</xdr:col>
      <xdr:colOff>1524000</xdr:colOff>
      <xdr:row>0</xdr:row>
      <xdr:rowOff>295275</xdr:rowOff>
    </xdr:to>
    <xdr:sp macro="[0]!lsInsereRegistros2" textlink="">
      <xdr:nvSpPr>
        <xdr:cNvPr id="5" name="Retângulo 4"/>
        <xdr:cNvSpPr/>
      </xdr:nvSpPr>
      <xdr:spPr>
        <a:xfrm>
          <a:off x="523875" y="47625"/>
          <a:ext cx="1000125" cy="247650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Inserir</a:t>
          </a:r>
        </a:p>
      </xdr:txBody>
    </xdr:sp>
    <xdr:clientData/>
  </xdr:twoCellAnchor>
  <xdr:twoCellAnchor>
    <xdr:from>
      <xdr:col>5</xdr:col>
      <xdr:colOff>28575</xdr:colOff>
      <xdr:row>2</xdr:row>
      <xdr:rowOff>9525</xdr:rowOff>
    </xdr:from>
    <xdr:to>
      <xdr:col>5</xdr:col>
      <xdr:colOff>1495424</xdr:colOff>
      <xdr:row>2</xdr:row>
      <xdr:rowOff>457200</xdr:rowOff>
    </xdr:to>
    <xdr:sp macro="[2]!vamos" textlink="">
      <xdr:nvSpPr>
        <xdr:cNvPr id="6" name="Retângulo 5"/>
        <xdr:cNvSpPr/>
      </xdr:nvSpPr>
      <xdr:spPr>
        <a:xfrm>
          <a:off x="9629775" y="695325"/>
          <a:ext cx="1466849" cy="447675"/>
        </a:xfrm>
        <a:prstGeom prst="rect">
          <a:avLst/>
        </a:prstGeom>
        <a:noFill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30</xdr:col>
      <xdr:colOff>28575</xdr:colOff>
      <xdr:row>2</xdr:row>
      <xdr:rowOff>9525</xdr:rowOff>
    </xdr:from>
    <xdr:to>
      <xdr:col>30</xdr:col>
      <xdr:colOff>1495424</xdr:colOff>
      <xdr:row>2</xdr:row>
      <xdr:rowOff>457200</xdr:rowOff>
    </xdr:to>
    <xdr:sp macro="[2]!data_finalização" textlink="">
      <xdr:nvSpPr>
        <xdr:cNvPr id="7" name="Retângulo 6"/>
        <xdr:cNvSpPr/>
      </xdr:nvSpPr>
      <xdr:spPr>
        <a:xfrm>
          <a:off x="20593050" y="695325"/>
          <a:ext cx="1466849" cy="447675"/>
        </a:xfrm>
        <a:prstGeom prst="rect">
          <a:avLst/>
        </a:prstGeom>
        <a:noFill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523875</xdr:colOff>
      <xdr:row>0</xdr:row>
      <xdr:rowOff>47625</xdr:rowOff>
    </xdr:from>
    <xdr:to>
      <xdr:col>1</xdr:col>
      <xdr:colOff>1524000</xdr:colOff>
      <xdr:row>0</xdr:row>
      <xdr:rowOff>295275</xdr:rowOff>
    </xdr:to>
    <xdr:sp macro="[0]!lsInsereRegistros" textlink="">
      <xdr:nvSpPr>
        <xdr:cNvPr id="2" name="Retângulo 1"/>
        <xdr:cNvSpPr/>
      </xdr:nvSpPr>
      <xdr:spPr>
        <a:xfrm>
          <a:off x="523875" y="47625"/>
          <a:ext cx="1000125" cy="247650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Inserir</a:t>
          </a:r>
        </a:p>
      </xdr:txBody>
    </xdr:sp>
    <xdr:clientData/>
  </xdr:twoCellAnchor>
  <xdr:twoCellAnchor>
    <xdr:from>
      <xdr:col>5</xdr:col>
      <xdr:colOff>28575</xdr:colOff>
      <xdr:row>2</xdr:row>
      <xdr:rowOff>9525</xdr:rowOff>
    </xdr:from>
    <xdr:to>
      <xdr:col>5</xdr:col>
      <xdr:colOff>1495424</xdr:colOff>
      <xdr:row>2</xdr:row>
      <xdr:rowOff>457200</xdr:rowOff>
    </xdr:to>
    <xdr:sp macro="[2]!vamos" textlink="">
      <xdr:nvSpPr>
        <xdr:cNvPr id="3" name="Retângulo 2"/>
        <xdr:cNvSpPr/>
      </xdr:nvSpPr>
      <xdr:spPr>
        <a:xfrm>
          <a:off x="9629775" y="695325"/>
          <a:ext cx="1466849" cy="447675"/>
        </a:xfrm>
        <a:prstGeom prst="rect">
          <a:avLst/>
        </a:prstGeom>
        <a:noFill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523875</xdr:colOff>
      <xdr:row>0</xdr:row>
      <xdr:rowOff>47625</xdr:rowOff>
    </xdr:from>
    <xdr:to>
      <xdr:col>1</xdr:col>
      <xdr:colOff>1524000</xdr:colOff>
      <xdr:row>0</xdr:row>
      <xdr:rowOff>295275</xdr:rowOff>
    </xdr:to>
    <xdr:sp macro="[0]!lsInsereRegistros2" textlink="">
      <xdr:nvSpPr>
        <xdr:cNvPr id="5" name="Retângulo 4"/>
        <xdr:cNvSpPr/>
      </xdr:nvSpPr>
      <xdr:spPr>
        <a:xfrm>
          <a:off x="523875" y="47625"/>
          <a:ext cx="1000125" cy="247650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Inserir</a:t>
          </a:r>
        </a:p>
      </xdr:txBody>
    </xdr:sp>
    <xdr:clientData/>
  </xdr:twoCellAnchor>
  <xdr:twoCellAnchor>
    <xdr:from>
      <xdr:col>5</xdr:col>
      <xdr:colOff>28575</xdr:colOff>
      <xdr:row>2</xdr:row>
      <xdr:rowOff>9525</xdr:rowOff>
    </xdr:from>
    <xdr:to>
      <xdr:col>5</xdr:col>
      <xdr:colOff>1495424</xdr:colOff>
      <xdr:row>2</xdr:row>
      <xdr:rowOff>457200</xdr:rowOff>
    </xdr:to>
    <xdr:sp macro="[2]!vamos" textlink="">
      <xdr:nvSpPr>
        <xdr:cNvPr id="6" name="Retângulo 5"/>
        <xdr:cNvSpPr/>
      </xdr:nvSpPr>
      <xdr:spPr>
        <a:xfrm>
          <a:off x="9629775" y="695325"/>
          <a:ext cx="1466849" cy="447675"/>
        </a:xfrm>
        <a:prstGeom prst="rect">
          <a:avLst/>
        </a:prstGeom>
        <a:noFill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523875</xdr:colOff>
      <xdr:row>0</xdr:row>
      <xdr:rowOff>47625</xdr:rowOff>
    </xdr:from>
    <xdr:to>
      <xdr:col>1</xdr:col>
      <xdr:colOff>1524000</xdr:colOff>
      <xdr:row>0</xdr:row>
      <xdr:rowOff>295275</xdr:rowOff>
    </xdr:to>
    <xdr:sp macro="[0]!lsInsereRegistros" textlink="">
      <xdr:nvSpPr>
        <xdr:cNvPr id="8" name="Retângulo 7"/>
        <xdr:cNvSpPr/>
      </xdr:nvSpPr>
      <xdr:spPr>
        <a:xfrm>
          <a:off x="523875" y="47625"/>
          <a:ext cx="1000125" cy="247650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Inserir</a:t>
          </a:r>
        </a:p>
      </xdr:txBody>
    </xdr:sp>
    <xdr:clientData/>
  </xdr:twoCellAnchor>
  <xdr:twoCellAnchor>
    <xdr:from>
      <xdr:col>22</xdr:col>
      <xdr:colOff>28575</xdr:colOff>
      <xdr:row>2</xdr:row>
      <xdr:rowOff>9525</xdr:rowOff>
    </xdr:from>
    <xdr:to>
      <xdr:col>22</xdr:col>
      <xdr:colOff>1495424</xdr:colOff>
      <xdr:row>2</xdr:row>
      <xdr:rowOff>457200</xdr:rowOff>
    </xdr:to>
    <xdr:sp macro="[2]!data_finalização" textlink="">
      <xdr:nvSpPr>
        <xdr:cNvPr id="10" name="Retângulo 9"/>
        <xdr:cNvSpPr/>
      </xdr:nvSpPr>
      <xdr:spPr>
        <a:xfrm>
          <a:off x="70161150" y="695325"/>
          <a:ext cx="1466849" cy="447675"/>
        </a:xfrm>
        <a:prstGeom prst="rect">
          <a:avLst/>
        </a:prstGeom>
        <a:noFill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523875</xdr:colOff>
      <xdr:row>0</xdr:row>
      <xdr:rowOff>47625</xdr:rowOff>
    </xdr:from>
    <xdr:to>
      <xdr:col>1</xdr:col>
      <xdr:colOff>1524000</xdr:colOff>
      <xdr:row>0</xdr:row>
      <xdr:rowOff>295275</xdr:rowOff>
    </xdr:to>
    <xdr:sp macro="[0]!lsInsereRegistros3" textlink="">
      <xdr:nvSpPr>
        <xdr:cNvPr id="11" name="Retângulo 10"/>
        <xdr:cNvSpPr/>
      </xdr:nvSpPr>
      <xdr:spPr>
        <a:xfrm>
          <a:off x="523875" y="47625"/>
          <a:ext cx="1000125" cy="247650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Inserir</a:t>
          </a:r>
        </a:p>
      </xdr:txBody>
    </xdr:sp>
    <xdr:clientData/>
  </xdr:twoCellAnchor>
  <xdr:twoCellAnchor>
    <xdr:from>
      <xdr:col>22</xdr:col>
      <xdr:colOff>28575</xdr:colOff>
      <xdr:row>2</xdr:row>
      <xdr:rowOff>9525</xdr:rowOff>
    </xdr:from>
    <xdr:to>
      <xdr:col>22</xdr:col>
      <xdr:colOff>1495424</xdr:colOff>
      <xdr:row>2</xdr:row>
      <xdr:rowOff>457200</xdr:rowOff>
    </xdr:to>
    <xdr:sp macro="[2]!data_finalização" textlink="">
      <xdr:nvSpPr>
        <xdr:cNvPr id="13" name="Retângulo 12"/>
        <xdr:cNvSpPr/>
      </xdr:nvSpPr>
      <xdr:spPr>
        <a:xfrm>
          <a:off x="70161150" y="695325"/>
          <a:ext cx="1466849" cy="447675"/>
        </a:xfrm>
        <a:prstGeom prst="rect">
          <a:avLst/>
        </a:prstGeom>
        <a:noFill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28575</xdr:colOff>
      <xdr:row>2</xdr:row>
      <xdr:rowOff>9525</xdr:rowOff>
    </xdr:from>
    <xdr:to>
      <xdr:col>8</xdr:col>
      <xdr:colOff>1495424</xdr:colOff>
      <xdr:row>2</xdr:row>
      <xdr:rowOff>457200</xdr:rowOff>
    </xdr:to>
    <xdr:sp macro="[2]!vamos" textlink="">
      <xdr:nvSpPr>
        <xdr:cNvPr id="14" name="Retângulo 13"/>
        <xdr:cNvSpPr/>
      </xdr:nvSpPr>
      <xdr:spPr>
        <a:xfrm>
          <a:off x="9629775" y="695325"/>
          <a:ext cx="1466849" cy="447675"/>
        </a:xfrm>
        <a:prstGeom prst="rect">
          <a:avLst/>
        </a:prstGeom>
        <a:noFill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28575</xdr:colOff>
      <xdr:row>2</xdr:row>
      <xdr:rowOff>9525</xdr:rowOff>
    </xdr:from>
    <xdr:to>
      <xdr:col>8</xdr:col>
      <xdr:colOff>1495424</xdr:colOff>
      <xdr:row>2</xdr:row>
      <xdr:rowOff>457200</xdr:rowOff>
    </xdr:to>
    <xdr:sp macro="[2]!vamos" textlink="">
      <xdr:nvSpPr>
        <xdr:cNvPr id="15" name="Retângulo 14"/>
        <xdr:cNvSpPr/>
      </xdr:nvSpPr>
      <xdr:spPr>
        <a:xfrm>
          <a:off x="9629775" y="695325"/>
          <a:ext cx="1466849" cy="447675"/>
        </a:xfrm>
        <a:prstGeom prst="rect">
          <a:avLst/>
        </a:prstGeom>
        <a:noFill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28575</xdr:colOff>
      <xdr:row>2</xdr:row>
      <xdr:rowOff>9525</xdr:rowOff>
    </xdr:from>
    <xdr:to>
      <xdr:col>7</xdr:col>
      <xdr:colOff>1495424</xdr:colOff>
      <xdr:row>2</xdr:row>
      <xdr:rowOff>457200</xdr:rowOff>
    </xdr:to>
    <xdr:sp macro="[2]!vamos" textlink="">
      <xdr:nvSpPr>
        <xdr:cNvPr id="16" name="Retângulo 15"/>
        <xdr:cNvSpPr/>
      </xdr:nvSpPr>
      <xdr:spPr>
        <a:xfrm>
          <a:off x="17325975" y="695325"/>
          <a:ext cx="1466849" cy="447675"/>
        </a:xfrm>
        <a:prstGeom prst="rect">
          <a:avLst/>
        </a:prstGeom>
        <a:noFill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28575</xdr:colOff>
      <xdr:row>2</xdr:row>
      <xdr:rowOff>9525</xdr:rowOff>
    </xdr:from>
    <xdr:to>
      <xdr:col>7</xdr:col>
      <xdr:colOff>1495424</xdr:colOff>
      <xdr:row>2</xdr:row>
      <xdr:rowOff>457200</xdr:rowOff>
    </xdr:to>
    <xdr:sp macro="[2]!vamos" textlink="">
      <xdr:nvSpPr>
        <xdr:cNvPr id="17" name="Retângulo 16"/>
        <xdr:cNvSpPr/>
      </xdr:nvSpPr>
      <xdr:spPr>
        <a:xfrm>
          <a:off x="17325975" y="695325"/>
          <a:ext cx="1466849" cy="447675"/>
        </a:xfrm>
        <a:prstGeom prst="rect">
          <a:avLst/>
        </a:prstGeom>
        <a:noFill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28575</xdr:colOff>
      <xdr:row>2</xdr:row>
      <xdr:rowOff>9525</xdr:rowOff>
    </xdr:from>
    <xdr:to>
      <xdr:col>5</xdr:col>
      <xdr:colOff>1495424</xdr:colOff>
      <xdr:row>2</xdr:row>
      <xdr:rowOff>457200</xdr:rowOff>
    </xdr:to>
    <xdr:sp macro="[2]!vamos" textlink="">
      <xdr:nvSpPr>
        <xdr:cNvPr id="18" name="Retângulo 17"/>
        <xdr:cNvSpPr/>
      </xdr:nvSpPr>
      <xdr:spPr>
        <a:xfrm>
          <a:off x="15735300" y="695325"/>
          <a:ext cx="1466849" cy="447675"/>
        </a:xfrm>
        <a:prstGeom prst="rect">
          <a:avLst/>
        </a:prstGeom>
        <a:noFill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28575</xdr:colOff>
      <xdr:row>2</xdr:row>
      <xdr:rowOff>9525</xdr:rowOff>
    </xdr:from>
    <xdr:to>
      <xdr:col>5</xdr:col>
      <xdr:colOff>1495424</xdr:colOff>
      <xdr:row>2</xdr:row>
      <xdr:rowOff>457200</xdr:rowOff>
    </xdr:to>
    <xdr:sp macro="[2]!vamos" textlink="">
      <xdr:nvSpPr>
        <xdr:cNvPr id="19" name="Retângulo 18"/>
        <xdr:cNvSpPr/>
      </xdr:nvSpPr>
      <xdr:spPr>
        <a:xfrm>
          <a:off x="15735300" y="695325"/>
          <a:ext cx="1466849" cy="447675"/>
        </a:xfrm>
        <a:prstGeom prst="rect">
          <a:avLst/>
        </a:prstGeom>
        <a:noFill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28575</xdr:colOff>
      <xdr:row>2</xdr:row>
      <xdr:rowOff>9525</xdr:rowOff>
    </xdr:from>
    <xdr:to>
      <xdr:col>12</xdr:col>
      <xdr:colOff>1495424</xdr:colOff>
      <xdr:row>2</xdr:row>
      <xdr:rowOff>457200</xdr:rowOff>
    </xdr:to>
    <xdr:sp macro="[2]!vamos" textlink="">
      <xdr:nvSpPr>
        <xdr:cNvPr id="20" name="Retângulo 19"/>
        <xdr:cNvSpPr/>
      </xdr:nvSpPr>
      <xdr:spPr>
        <a:xfrm>
          <a:off x="15735300" y="695325"/>
          <a:ext cx="1466849" cy="447675"/>
        </a:xfrm>
        <a:prstGeom prst="rect">
          <a:avLst/>
        </a:prstGeom>
        <a:noFill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28575</xdr:colOff>
      <xdr:row>2</xdr:row>
      <xdr:rowOff>9525</xdr:rowOff>
    </xdr:from>
    <xdr:to>
      <xdr:col>12</xdr:col>
      <xdr:colOff>1495424</xdr:colOff>
      <xdr:row>2</xdr:row>
      <xdr:rowOff>457200</xdr:rowOff>
    </xdr:to>
    <xdr:sp macro="[2]!vamos" textlink="">
      <xdr:nvSpPr>
        <xdr:cNvPr id="21" name="Retângulo 20"/>
        <xdr:cNvSpPr/>
      </xdr:nvSpPr>
      <xdr:spPr>
        <a:xfrm>
          <a:off x="15735300" y="695325"/>
          <a:ext cx="1466849" cy="447675"/>
        </a:xfrm>
        <a:prstGeom prst="rect">
          <a:avLst/>
        </a:prstGeom>
        <a:noFill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28575</xdr:colOff>
      <xdr:row>2</xdr:row>
      <xdr:rowOff>9525</xdr:rowOff>
    </xdr:from>
    <xdr:to>
      <xdr:col>11</xdr:col>
      <xdr:colOff>1495424</xdr:colOff>
      <xdr:row>2</xdr:row>
      <xdr:rowOff>457200</xdr:rowOff>
    </xdr:to>
    <xdr:sp macro="[2]!vamos" textlink="">
      <xdr:nvSpPr>
        <xdr:cNvPr id="22" name="Retângulo 21"/>
        <xdr:cNvSpPr/>
      </xdr:nvSpPr>
      <xdr:spPr>
        <a:xfrm>
          <a:off x="14230350" y="695325"/>
          <a:ext cx="1466849" cy="447675"/>
        </a:xfrm>
        <a:prstGeom prst="rect">
          <a:avLst/>
        </a:prstGeom>
        <a:noFill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28575</xdr:colOff>
      <xdr:row>2</xdr:row>
      <xdr:rowOff>9525</xdr:rowOff>
    </xdr:from>
    <xdr:to>
      <xdr:col>11</xdr:col>
      <xdr:colOff>1495424</xdr:colOff>
      <xdr:row>2</xdr:row>
      <xdr:rowOff>457200</xdr:rowOff>
    </xdr:to>
    <xdr:sp macro="[2]!vamos" textlink="">
      <xdr:nvSpPr>
        <xdr:cNvPr id="23" name="Retângulo 22"/>
        <xdr:cNvSpPr/>
      </xdr:nvSpPr>
      <xdr:spPr>
        <a:xfrm>
          <a:off x="14230350" y="695325"/>
          <a:ext cx="1466849" cy="447675"/>
        </a:xfrm>
        <a:prstGeom prst="rect">
          <a:avLst/>
        </a:prstGeom>
        <a:noFill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28575</xdr:colOff>
      <xdr:row>2</xdr:row>
      <xdr:rowOff>9525</xdr:rowOff>
    </xdr:from>
    <xdr:to>
      <xdr:col>16</xdr:col>
      <xdr:colOff>1495424</xdr:colOff>
      <xdr:row>2</xdr:row>
      <xdr:rowOff>457200</xdr:rowOff>
    </xdr:to>
    <xdr:sp macro="[2]!vamos" textlink="">
      <xdr:nvSpPr>
        <xdr:cNvPr id="24" name="Retângulo 23"/>
        <xdr:cNvSpPr/>
      </xdr:nvSpPr>
      <xdr:spPr>
        <a:xfrm>
          <a:off x="24917400" y="695325"/>
          <a:ext cx="1466849" cy="447675"/>
        </a:xfrm>
        <a:prstGeom prst="rect">
          <a:avLst/>
        </a:prstGeom>
        <a:noFill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28575</xdr:colOff>
      <xdr:row>2</xdr:row>
      <xdr:rowOff>9525</xdr:rowOff>
    </xdr:from>
    <xdr:to>
      <xdr:col>16</xdr:col>
      <xdr:colOff>1495424</xdr:colOff>
      <xdr:row>2</xdr:row>
      <xdr:rowOff>457200</xdr:rowOff>
    </xdr:to>
    <xdr:sp macro="[2]!vamos" textlink="">
      <xdr:nvSpPr>
        <xdr:cNvPr id="25" name="Retângulo 24"/>
        <xdr:cNvSpPr/>
      </xdr:nvSpPr>
      <xdr:spPr>
        <a:xfrm>
          <a:off x="24917400" y="695325"/>
          <a:ext cx="1466849" cy="447675"/>
        </a:xfrm>
        <a:prstGeom prst="rect">
          <a:avLst/>
        </a:prstGeom>
        <a:noFill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28575</xdr:colOff>
      <xdr:row>2</xdr:row>
      <xdr:rowOff>9525</xdr:rowOff>
    </xdr:from>
    <xdr:to>
      <xdr:col>15</xdr:col>
      <xdr:colOff>1495424</xdr:colOff>
      <xdr:row>2</xdr:row>
      <xdr:rowOff>457200</xdr:rowOff>
    </xdr:to>
    <xdr:sp macro="[2]!vamos" textlink="">
      <xdr:nvSpPr>
        <xdr:cNvPr id="26" name="Retângulo 25"/>
        <xdr:cNvSpPr/>
      </xdr:nvSpPr>
      <xdr:spPr>
        <a:xfrm>
          <a:off x="23412450" y="695325"/>
          <a:ext cx="1466849" cy="447675"/>
        </a:xfrm>
        <a:prstGeom prst="rect">
          <a:avLst/>
        </a:prstGeom>
        <a:noFill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28575</xdr:colOff>
      <xdr:row>2</xdr:row>
      <xdr:rowOff>9525</xdr:rowOff>
    </xdr:from>
    <xdr:to>
      <xdr:col>15</xdr:col>
      <xdr:colOff>1495424</xdr:colOff>
      <xdr:row>2</xdr:row>
      <xdr:rowOff>457200</xdr:rowOff>
    </xdr:to>
    <xdr:sp macro="[2]!vamos" textlink="">
      <xdr:nvSpPr>
        <xdr:cNvPr id="27" name="Retângulo 26"/>
        <xdr:cNvSpPr/>
      </xdr:nvSpPr>
      <xdr:spPr>
        <a:xfrm>
          <a:off x="23412450" y="695325"/>
          <a:ext cx="1466849" cy="447675"/>
        </a:xfrm>
        <a:prstGeom prst="rect">
          <a:avLst/>
        </a:prstGeom>
        <a:noFill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28575</xdr:colOff>
      <xdr:row>2</xdr:row>
      <xdr:rowOff>9525</xdr:rowOff>
    </xdr:from>
    <xdr:to>
      <xdr:col>20</xdr:col>
      <xdr:colOff>1495424</xdr:colOff>
      <xdr:row>2</xdr:row>
      <xdr:rowOff>457200</xdr:rowOff>
    </xdr:to>
    <xdr:sp macro="[2]!vamos" textlink="">
      <xdr:nvSpPr>
        <xdr:cNvPr id="28" name="Retângulo 27"/>
        <xdr:cNvSpPr/>
      </xdr:nvSpPr>
      <xdr:spPr>
        <a:xfrm>
          <a:off x="34099500" y="695325"/>
          <a:ext cx="1466849" cy="447675"/>
        </a:xfrm>
        <a:prstGeom prst="rect">
          <a:avLst/>
        </a:prstGeom>
        <a:noFill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28575</xdr:colOff>
      <xdr:row>2</xdr:row>
      <xdr:rowOff>9525</xdr:rowOff>
    </xdr:from>
    <xdr:to>
      <xdr:col>20</xdr:col>
      <xdr:colOff>1495424</xdr:colOff>
      <xdr:row>2</xdr:row>
      <xdr:rowOff>457200</xdr:rowOff>
    </xdr:to>
    <xdr:sp macro="[2]!vamos" textlink="">
      <xdr:nvSpPr>
        <xdr:cNvPr id="29" name="Retângulo 28"/>
        <xdr:cNvSpPr/>
      </xdr:nvSpPr>
      <xdr:spPr>
        <a:xfrm>
          <a:off x="34099500" y="695325"/>
          <a:ext cx="1466849" cy="447675"/>
        </a:xfrm>
        <a:prstGeom prst="rect">
          <a:avLst/>
        </a:prstGeom>
        <a:noFill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28575</xdr:colOff>
      <xdr:row>2</xdr:row>
      <xdr:rowOff>9525</xdr:rowOff>
    </xdr:from>
    <xdr:to>
      <xdr:col>19</xdr:col>
      <xdr:colOff>1495424</xdr:colOff>
      <xdr:row>2</xdr:row>
      <xdr:rowOff>457200</xdr:rowOff>
    </xdr:to>
    <xdr:sp macro="[2]!vamos" textlink="">
      <xdr:nvSpPr>
        <xdr:cNvPr id="30" name="Retângulo 29"/>
        <xdr:cNvSpPr/>
      </xdr:nvSpPr>
      <xdr:spPr>
        <a:xfrm>
          <a:off x="32594550" y="695325"/>
          <a:ext cx="1466849" cy="447675"/>
        </a:xfrm>
        <a:prstGeom prst="rect">
          <a:avLst/>
        </a:prstGeom>
        <a:noFill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28575</xdr:colOff>
      <xdr:row>2</xdr:row>
      <xdr:rowOff>9525</xdr:rowOff>
    </xdr:from>
    <xdr:to>
      <xdr:col>19</xdr:col>
      <xdr:colOff>1495424</xdr:colOff>
      <xdr:row>2</xdr:row>
      <xdr:rowOff>457200</xdr:rowOff>
    </xdr:to>
    <xdr:sp macro="[2]!vamos" textlink="">
      <xdr:nvSpPr>
        <xdr:cNvPr id="31" name="Retângulo 30"/>
        <xdr:cNvSpPr/>
      </xdr:nvSpPr>
      <xdr:spPr>
        <a:xfrm>
          <a:off x="32594550" y="695325"/>
          <a:ext cx="1466849" cy="447675"/>
        </a:xfrm>
        <a:prstGeom prst="rect">
          <a:avLst/>
        </a:prstGeom>
        <a:noFill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0</xdr:row>
      <xdr:rowOff>38100</xdr:rowOff>
    </xdr:from>
    <xdr:to>
      <xdr:col>7</xdr:col>
      <xdr:colOff>914400</xdr:colOff>
      <xdr:row>0</xdr:row>
      <xdr:rowOff>285750</xdr:rowOff>
    </xdr:to>
    <xdr:sp macro="[0]!lsInsereClientes" textlink="">
      <xdr:nvSpPr>
        <xdr:cNvPr id="2" name="Retângulo 1"/>
        <xdr:cNvSpPr/>
      </xdr:nvSpPr>
      <xdr:spPr>
        <a:xfrm>
          <a:off x="8515350" y="38100"/>
          <a:ext cx="800100" cy="247650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Inserir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ontrole_Geral_DAPAR%20-%202015%20(C&#243;pia%20em%20conflito%20de%20Secretaria%20Acad&#234;mica%202015-11-19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áf1"/>
      <sheetName val="Registros"/>
      <sheetName val="Aproveitamento"/>
      <sheetName val="Certificação"/>
      <sheetName val="Clientes"/>
      <sheetName val="Configurações"/>
    </sheetNames>
    <sheetDataSet>
      <sheetData sheetId="0" refreshError="1"/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1"/>
      <sheetName val="PERSONAL"/>
    </sheetNames>
    <definedNames>
      <definedName name="data_finalização"/>
      <definedName name="vamos"/>
    </definedNames>
    <sheetDataSet>
      <sheetData sheetId="0"/>
      <sheetData sheetId="1" refreshError="1"/>
    </sheetDataSet>
  </externalBook>
</externalLink>
</file>

<file path=xl/tables/table1.xml><?xml version="1.0" encoding="utf-8"?>
<table xmlns="http://schemas.openxmlformats.org/spreadsheetml/2006/main" id="2" name="Tabela2" displayName="Tabela2" ref="A1:A6" totalsRowShown="0">
  <autoFilter ref="A1:A6"/>
  <tableColumns count="1">
    <tableColumn id="1" name="Situação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1" name="Tabela1" displayName="Tabela1" ref="E1:E29" totalsRowShown="0" headerRowDxfId="18093" dataDxfId="18092" tableBorderDxfId="18091">
  <autoFilter ref="E1:E29"/>
  <tableColumns count="1">
    <tableColumn id="1" name="Motivo" dataDxfId="18090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Tabela3" displayName="Tabela3" ref="C1:C8" totalsRowShown="0" headerRowDxfId="18089" dataDxfId="18088" tableBorderDxfId="18087">
  <autoFilter ref="C1:C8"/>
  <tableColumns count="1">
    <tableColumn id="1" name="Atendente" dataDxfId="18086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U935"/>
  <sheetViews>
    <sheetView showGridLines="0" tabSelected="1" topLeftCell="B1" workbookViewId="0">
      <pane xSplit="3" ySplit="4" topLeftCell="H770" activePane="bottomRight" state="frozen"/>
      <selection activeCell="B1" sqref="B1"/>
      <selection pane="topRight" activeCell="E1" sqref="E1"/>
      <selection pane="bottomLeft" activeCell="B5" sqref="B5"/>
      <selection pane="bottomRight" activeCell="J791" sqref="J791"/>
    </sheetView>
  </sheetViews>
  <sheetFormatPr defaultRowHeight="15.75" x14ac:dyDescent="0.25"/>
  <cols>
    <col min="1" max="1" width="12.375" hidden="1" customWidth="1"/>
    <col min="2" max="2" width="20.25" style="18" customWidth="1"/>
    <col min="3" max="3" width="28.25" style="53" customWidth="1"/>
    <col min="4" max="4" width="54" style="56" customWidth="1"/>
    <col min="5" max="5" width="23.5" customWidth="1"/>
    <col min="6" max="6" width="19.75" style="31" customWidth="1"/>
    <col min="7" max="7" width="38.125" style="28" bestFit="1" customWidth="1"/>
    <col min="8" max="8" width="29.5" style="23" bestFit="1" customWidth="1"/>
    <col min="9" max="9" width="40.375" style="23" bestFit="1" customWidth="1"/>
    <col min="10" max="10" width="16.125" style="23" bestFit="1" customWidth="1"/>
    <col min="11" max="11" width="19.75" style="31" customWidth="1"/>
    <col min="12" max="12" width="43.875" style="31" bestFit="1" customWidth="1"/>
    <col min="13" max="13" width="18.75" style="31" customWidth="1"/>
    <col min="14" max="14" width="43.875" style="31" bestFit="1" customWidth="1"/>
    <col min="15" max="15" width="20" style="31" bestFit="1" customWidth="1"/>
    <col min="16" max="16" width="38.625" style="31" customWidth="1"/>
    <col min="17" max="17" width="19.75" style="31" customWidth="1"/>
    <col min="18" max="18" width="38.625" style="31" customWidth="1"/>
    <col min="19" max="19" width="19.75" style="31" customWidth="1"/>
    <col min="20" max="20" width="49.875" style="25" customWidth="1"/>
    <col min="21" max="21" width="47.375" style="16" customWidth="1"/>
    <col min="22" max="22" width="14.625" bestFit="1" customWidth="1"/>
  </cols>
  <sheetData>
    <row r="1" spans="1:21" ht="37.5" customHeight="1" x14ac:dyDescent="0.25">
      <c r="B1" s="21"/>
      <c r="C1" s="80" t="s">
        <v>1256</v>
      </c>
      <c r="D1" s="80"/>
      <c r="E1" s="34"/>
      <c r="F1" s="36"/>
      <c r="G1" s="34"/>
      <c r="H1" s="34"/>
      <c r="I1" s="34"/>
      <c r="K1" s="36">
        <f ca="1">NOW()</f>
        <v>42376.442328124998</v>
      </c>
      <c r="L1" s="36"/>
      <c r="M1" s="36"/>
      <c r="N1" s="36"/>
      <c r="O1" s="36"/>
      <c r="P1" s="36"/>
      <c r="Q1" s="36"/>
      <c r="R1" s="36"/>
      <c r="S1" s="36"/>
      <c r="T1" s="34"/>
      <c r="U1" s="35"/>
    </row>
    <row r="2" spans="1:21" ht="16.5" thickBot="1" x14ac:dyDescent="0.3">
      <c r="B2" s="24"/>
      <c r="C2" s="50"/>
      <c r="D2" s="54"/>
      <c r="F2" s="31" t="s">
        <v>49</v>
      </c>
      <c r="K2" s="31" t="s">
        <v>49</v>
      </c>
    </row>
    <row r="3" spans="1:21" ht="39" customHeight="1" x14ac:dyDescent="0.25">
      <c r="A3" s="3" t="s">
        <v>5</v>
      </c>
      <c r="B3" s="3" t="s">
        <v>51</v>
      </c>
      <c r="C3" s="51" t="s">
        <v>52</v>
      </c>
      <c r="D3" s="51" t="s">
        <v>50</v>
      </c>
      <c r="E3" s="3" t="s">
        <v>53</v>
      </c>
      <c r="F3" s="32" t="s">
        <v>55</v>
      </c>
      <c r="G3" s="4" t="s">
        <v>54</v>
      </c>
      <c r="H3" s="4" t="s">
        <v>71</v>
      </c>
      <c r="I3" s="6" t="s">
        <v>78</v>
      </c>
      <c r="J3" s="5" t="s">
        <v>80</v>
      </c>
      <c r="K3" s="32" t="s">
        <v>79</v>
      </c>
      <c r="L3" s="6" t="s">
        <v>85</v>
      </c>
      <c r="M3" s="5" t="s">
        <v>86</v>
      </c>
      <c r="N3" s="6" t="s">
        <v>87</v>
      </c>
      <c r="O3" s="5" t="s">
        <v>88</v>
      </c>
      <c r="P3" s="6" t="s">
        <v>89</v>
      </c>
      <c r="Q3" s="5" t="s">
        <v>90</v>
      </c>
      <c r="R3" s="6" t="s">
        <v>91</v>
      </c>
      <c r="S3" s="5" t="s">
        <v>92</v>
      </c>
      <c r="T3" s="5" t="s">
        <v>48</v>
      </c>
      <c r="U3" s="30" t="s">
        <v>0</v>
      </c>
    </row>
    <row r="4" spans="1:21" hidden="1" x14ac:dyDescent="0.25">
      <c r="A4" s="2" t="str">
        <f>IFERROR(VLOOKUP(B4,Clientes!A:B,2,0),"")</f>
        <v/>
      </c>
      <c r="B4" s="20" t="e">
        <f>B3+1</f>
        <v>#VALUE!</v>
      </c>
      <c r="C4" s="52"/>
      <c r="D4" s="55"/>
      <c r="E4" s="2"/>
      <c r="F4" s="71"/>
      <c r="G4" s="29"/>
      <c r="H4" s="20"/>
      <c r="I4" s="20" t="s">
        <v>84</v>
      </c>
      <c r="J4" s="20"/>
      <c r="K4" s="71"/>
      <c r="L4" s="20"/>
      <c r="M4" s="20"/>
      <c r="N4" s="20"/>
      <c r="O4" s="20"/>
      <c r="P4" s="20"/>
      <c r="Q4" s="20"/>
      <c r="R4" s="20"/>
      <c r="S4" s="20"/>
      <c r="T4" s="26"/>
      <c r="U4" s="17"/>
    </row>
    <row r="5" spans="1:21" x14ac:dyDescent="0.25">
      <c r="A5" s="2" t="str">
        <f>IFERROR(VLOOKUP(B5,Clientes!A:B,2,0),"")</f>
        <v/>
      </c>
      <c r="B5" s="20" t="e">
        <f>B4+1</f>
        <v>#VALUE!</v>
      </c>
      <c r="C5" s="52"/>
      <c r="D5" s="55"/>
      <c r="E5" s="2"/>
      <c r="F5" s="71"/>
      <c r="G5" s="29"/>
      <c r="H5" s="20"/>
      <c r="I5" s="20"/>
      <c r="J5" s="20"/>
      <c r="K5" s="71"/>
      <c r="L5" s="20"/>
      <c r="M5" s="20"/>
      <c r="N5" s="20"/>
      <c r="O5" s="20"/>
      <c r="P5" s="20"/>
      <c r="Q5" s="20"/>
      <c r="R5" s="20"/>
      <c r="S5" s="20"/>
      <c r="T5" s="26"/>
      <c r="U5" s="17"/>
    </row>
    <row r="6" spans="1:21" x14ac:dyDescent="0.25">
      <c r="A6" s="2" t="str">
        <f>IFERROR(VLOOKUP(B6,Clientes!A:B,2,0),"")</f>
        <v/>
      </c>
      <c r="B6" s="20">
        <v>1</v>
      </c>
      <c r="C6" s="52" t="s">
        <v>240</v>
      </c>
      <c r="D6" s="55" t="s">
        <v>241</v>
      </c>
      <c r="E6" s="2" t="s">
        <v>242</v>
      </c>
      <c r="F6" s="71">
        <v>190515</v>
      </c>
      <c r="G6" s="29" t="s">
        <v>59</v>
      </c>
      <c r="H6" s="20"/>
      <c r="I6" s="20" t="s">
        <v>84</v>
      </c>
      <c r="J6" s="20" t="s">
        <v>82</v>
      </c>
      <c r="K6" s="71"/>
      <c r="L6" s="20"/>
      <c r="M6" s="20"/>
      <c r="N6" s="20"/>
      <c r="O6" s="20"/>
      <c r="P6" s="20"/>
      <c r="Q6" s="20"/>
      <c r="R6" s="20"/>
      <c r="S6" s="20"/>
      <c r="T6" s="26"/>
      <c r="U6" s="17"/>
    </row>
    <row r="7" spans="1:21" x14ac:dyDescent="0.25">
      <c r="A7" s="2"/>
      <c r="B7" s="20" t="s">
        <v>291</v>
      </c>
      <c r="C7" s="52" t="s">
        <v>289</v>
      </c>
      <c r="D7" s="55" t="s">
        <v>290</v>
      </c>
      <c r="E7" s="2" t="s">
        <v>223</v>
      </c>
      <c r="F7" s="71">
        <v>250515</v>
      </c>
      <c r="G7" s="29"/>
      <c r="H7" s="20"/>
      <c r="I7" s="20" t="s">
        <v>84</v>
      </c>
      <c r="J7" s="20" t="s">
        <v>83</v>
      </c>
      <c r="K7" s="71"/>
      <c r="L7" s="20"/>
      <c r="M7" s="20"/>
      <c r="N7" s="20"/>
      <c r="O7" s="20"/>
      <c r="P7" s="20"/>
      <c r="Q7" s="20"/>
      <c r="R7" s="20"/>
      <c r="S7" s="20"/>
      <c r="T7" s="26"/>
      <c r="U7" s="17"/>
    </row>
    <row r="8" spans="1:21" x14ac:dyDescent="0.25">
      <c r="A8" s="2" t="str">
        <f>IFERROR(VLOOKUP(B8,Clientes!A:B,2,0),"")</f>
        <v/>
      </c>
      <c r="B8" s="20">
        <f>B6+1</f>
        <v>2</v>
      </c>
      <c r="C8" s="52" t="s">
        <v>243</v>
      </c>
      <c r="D8" s="55" t="s">
        <v>244</v>
      </c>
      <c r="E8" s="2" t="s">
        <v>242</v>
      </c>
      <c r="F8" s="71">
        <v>190515</v>
      </c>
      <c r="G8" s="29" t="s">
        <v>59</v>
      </c>
      <c r="H8" s="20"/>
      <c r="I8" s="20" t="s">
        <v>84</v>
      </c>
      <c r="J8" s="20" t="s">
        <v>82</v>
      </c>
      <c r="K8" s="71"/>
      <c r="L8" s="20"/>
      <c r="M8" s="20"/>
      <c r="N8" s="20"/>
      <c r="O8" s="20"/>
      <c r="P8" s="20"/>
      <c r="Q8" s="20"/>
      <c r="R8" s="20"/>
      <c r="S8" s="20"/>
      <c r="T8" s="26"/>
      <c r="U8" s="17"/>
    </row>
    <row r="9" spans="1:21" x14ac:dyDescent="0.25">
      <c r="A9" s="2" t="str">
        <f>IFERROR(VLOOKUP(B9,Clientes!A:B,2,0),"")</f>
        <v/>
      </c>
      <c r="B9" s="20">
        <f>B8+1</f>
        <v>3</v>
      </c>
      <c r="C9" s="52" t="s">
        <v>245</v>
      </c>
      <c r="D9" s="55" t="s">
        <v>246</v>
      </c>
      <c r="E9" s="2" t="s">
        <v>247</v>
      </c>
      <c r="F9" s="71">
        <v>190515</v>
      </c>
      <c r="G9" s="29" t="s">
        <v>59</v>
      </c>
      <c r="H9" s="20"/>
      <c r="I9" s="20" t="s">
        <v>84</v>
      </c>
      <c r="J9" s="20" t="s">
        <v>82</v>
      </c>
      <c r="K9" s="71"/>
      <c r="L9" s="20"/>
      <c r="M9" s="20"/>
      <c r="N9" s="20"/>
      <c r="O9" s="20"/>
      <c r="P9" s="20"/>
      <c r="Q9" s="20"/>
      <c r="R9" s="20"/>
      <c r="S9" s="20"/>
      <c r="T9" s="26"/>
      <c r="U9" s="17"/>
    </row>
    <row r="10" spans="1:21" x14ac:dyDescent="0.25">
      <c r="A10" s="2"/>
      <c r="B10" s="20" t="s">
        <v>1221</v>
      </c>
      <c r="C10" s="52" t="s">
        <v>1075</v>
      </c>
      <c r="D10" s="55" t="s">
        <v>1222</v>
      </c>
      <c r="E10" s="2" t="s">
        <v>236</v>
      </c>
      <c r="F10" s="71">
        <v>110915</v>
      </c>
      <c r="G10" s="29" t="s">
        <v>325</v>
      </c>
      <c r="H10" s="20"/>
      <c r="I10" s="20" t="s">
        <v>84</v>
      </c>
      <c r="J10" s="20"/>
      <c r="K10" s="71"/>
      <c r="L10" s="20"/>
      <c r="M10" s="20"/>
      <c r="N10" s="20"/>
      <c r="O10" s="20"/>
      <c r="P10" s="20"/>
      <c r="Q10" s="20"/>
      <c r="R10" s="20"/>
      <c r="S10" s="20"/>
      <c r="T10" s="26" t="s">
        <v>1223</v>
      </c>
      <c r="U10" s="17"/>
    </row>
    <row r="11" spans="1:21" x14ac:dyDescent="0.25">
      <c r="A11" s="2" t="str">
        <f>IFERROR(VLOOKUP(B11,Clientes!A:B,2,0),"")</f>
        <v/>
      </c>
      <c r="B11" s="20">
        <f>B9+1</f>
        <v>4</v>
      </c>
      <c r="C11" s="52" t="s">
        <v>248</v>
      </c>
      <c r="D11" s="55" t="s">
        <v>250</v>
      </c>
      <c r="E11" s="2" t="s">
        <v>249</v>
      </c>
      <c r="F11" s="71">
        <v>190515</v>
      </c>
      <c r="G11" s="29" t="s">
        <v>59</v>
      </c>
      <c r="H11" s="20"/>
      <c r="I11" s="20" t="s">
        <v>84</v>
      </c>
      <c r="J11" s="20" t="s">
        <v>82</v>
      </c>
      <c r="K11" s="71"/>
      <c r="L11" s="20"/>
      <c r="M11" s="20"/>
      <c r="N11" s="20"/>
      <c r="O11" s="20"/>
      <c r="P11" s="20"/>
      <c r="Q11" s="20"/>
      <c r="R11" s="20"/>
      <c r="S11" s="20"/>
      <c r="T11" s="26"/>
      <c r="U11" s="17"/>
    </row>
    <row r="12" spans="1:21" x14ac:dyDescent="0.25">
      <c r="A12" s="2" t="str">
        <f>IFERROR(VLOOKUP(B12,Clientes!A:B,2,0),"")</f>
        <v/>
      </c>
      <c r="B12" s="20">
        <f>B11+1</f>
        <v>5</v>
      </c>
      <c r="C12" s="52" t="s">
        <v>251</v>
      </c>
      <c r="D12" s="55" t="s">
        <v>252</v>
      </c>
      <c r="E12" s="2" t="s">
        <v>253</v>
      </c>
      <c r="F12" s="71">
        <v>190515</v>
      </c>
      <c r="G12" s="29" t="s">
        <v>59</v>
      </c>
      <c r="H12" s="20"/>
      <c r="I12" s="20" t="s">
        <v>84</v>
      </c>
      <c r="J12" s="20" t="s">
        <v>81</v>
      </c>
      <c r="K12" s="71"/>
      <c r="L12" s="20"/>
      <c r="M12" s="20"/>
      <c r="N12" s="20"/>
      <c r="O12" s="20"/>
      <c r="P12" s="20"/>
      <c r="Q12" s="20"/>
      <c r="R12" s="20"/>
      <c r="S12" s="20"/>
      <c r="T12" s="26"/>
      <c r="U12" s="17"/>
    </row>
    <row r="13" spans="1:21" x14ac:dyDescent="0.25">
      <c r="A13" s="2"/>
      <c r="B13" s="20" t="s">
        <v>356</v>
      </c>
      <c r="C13" s="52" t="s">
        <v>357</v>
      </c>
      <c r="D13" s="55" t="s">
        <v>358</v>
      </c>
      <c r="E13" s="2" t="s">
        <v>229</v>
      </c>
      <c r="F13" s="71">
        <v>20615</v>
      </c>
      <c r="G13" s="29" t="s">
        <v>56</v>
      </c>
      <c r="H13" s="20" t="s">
        <v>73</v>
      </c>
      <c r="I13" s="20" t="s">
        <v>84</v>
      </c>
      <c r="J13" s="20" t="s">
        <v>83</v>
      </c>
      <c r="K13" s="71"/>
      <c r="L13" s="20"/>
      <c r="M13" s="20"/>
      <c r="N13" s="20"/>
      <c r="O13" s="20"/>
      <c r="P13" s="20"/>
      <c r="Q13" s="20"/>
      <c r="R13" s="20"/>
      <c r="S13" s="20"/>
      <c r="T13" s="26"/>
      <c r="U13" s="17"/>
    </row>
    <row r="14" spans="1:21" x14ac:dyDescent="0.25">
      <c r="A14" s="2"/>
      <c r="B14" s="20">
        <v>748</v>
      </c>
      <c r="C14" s="52" t="s">
        <v>256</v>
      </c>
      <c r="D14" s="55" t="s">
        <v>257</v>
      </c>
      <c r="E14" s="2" t="s">
        <v>253</v>
      </c>
      <c r="F14" s="71">
        <v>190515</v>
      </c>
      <c r="G14" s="29" t="s">
        <v>63</v>
      </c>
      <c r="H14" s="20"/>
      <c r="I14" s="20" t="s">
        <v>84</v>
      </c>
      <c r="J14" s="20" t="s">
        <v>81</v>
      </c>
      <c r="K14" s="71"/>
      <c r="L14" s="20"/>
      <c r="M14" s="20"/>
      <c r="N14" s="20"/>
      <c r="O14" s="20"/>
      <c r="P14" s="20"/>
      <c r="Q14" s="20"/>
      <c r="R14" s="20"/>
      <c r="S14" s="20"/>
      <c r="T14" s="26"/>
      <c r="U14" s="17"/>
    </row>
    <row r="15" spans="1:21" x14ac:dyDescent="0.25">
      <c r="A15" s="2" t="str">
        <f>IFERROR(VLOOKUP(B15,Clientes!A:B,2,0),"")</f>
        <v/>
      </c>
      <c r="B15" s="20">
        <f>B12+1</f>
        <v>6</v>
      </c>
      <c r="C15" s="52" t="s">
        <v>254</v>
      </c>
      <c r="D15" s="55" t="s">
        <v>255</v>
      </c>
      <c r="E15" s="2"/>
      <c r="F15" s="71">
        <v>190515</v>
      </c>
      <c r="G15" s="29" t="s">
        <v>59</v>
      </c>
      <c r="H15" s="20"/>
      <c r="I15" s="20" t="s">
        <v>84</v>
      </c>
      <c r="J15" s="20" t="s">
        <v>81</v>
      </c>
      <c r="K15" s="71"/>
      <c r="L15" s="20"/>
      <c r="M15" s="20"/>
      <c r="N15" s="20"/>
      <c r="O15" s="20"/>
      <c r="P15" s="20"/>
      <c r="Q15" s="20"/>
      <c r="R15" s="20"/>
      <c r="S15" s="20"/>
      <c r="T15" s="26"/>
      <c r="U15" s="17"/>
    </row>
    <row r="16" spans="1:21" x14ac:dyDescent="0.25">
      <c r="A16" s="2" t="str">
        <f>IFERROR(VLOOKUP(B16,Clientes!A:B,2,0),"")</f>
        <v/>
      </c>
      <c r="B16" s="20">
        <f t="shared" ref="B16:B26" si="0">B15+1</f>
        <v>7</v>
      </c>
      <c r="C16" s="52" t="s">
        <v>264</v>
      </c>
      <c r="D16" s="55" t="s">
        <v>265</v>
      </c>
      <c r="E16" s="2" t="s">
        <v>218</v>
      </c>
      <c r="F16" s="71">
        <v>190515</v>
      </c>
      <c r="G16" s="29" t="s">
        <v>59</v>
      </c>
      <c r="H16" s="20"/>
      <c r="I16" s="20" t="s">
        <v>84</v>
      </c>
      <c r="J16" s="20" t="s">
        <v>81</v>
      </c>
      <c r="K16" s="71"/>
      <c r="L16" s="20"/>
      <c r="M16" s="20"/>
      <c r="N16" s="20"/>
      <c r="O16" s="20"/>
      <c r="P16" s="20"/>
      <c r="Q16" s="20"/>
      <c r="R16" s="20"/>
      <c r="S16" s="20"/>
      <c r="T16" s="26"/>
      <c r="U16" s="17"/>
    </row>
    <row r="17" spans="1:21" x14ac:dyDescent="0.25">
      <c r="A17" s="2" t="str">
        <f>IFERROR(VLOOKUP(B17,Clientes!A:B,2,0),"")</f>
        <v/>
      </c>
      <c r="B17" s="20">
        <f t="shared" si="0"/>
        <v>8</v>
      </c>
      <c r="C17" s="52" t="s">
        <v>262</v>
      </c>
      <c r="D17" s="55" t="s">
        <v>263</v>
      </c>
      <c r="E17" s="2" t="s">
        <v>218</v>
      </c>
      <c r="F17" s="71">
        <v>190515</v>
      </c>
      <c r="G17" s="29" t="s">
        <v>69</v>
      </c>
      <c r="H17" s="20"/>
      <c r="I17" s="20" t="s">
        <v>84</v>
      </c>
      <c r="J17" s="20" t="s">
        <v>83</v>
      </c>
      <c r="K17" s="71"/>
      <c r="L17" s="20"/>
      <c r="M17" s="20"/>
      <c r="N17" s="20"/>
      <c r="O17" s="20"/>
      <c r="P17" s="20"/>
      <c r="Q17" s="20"/>
      <c r="R17" s="20"/>
      <c r="S17" s="20"/>
      <c r="T17" s="26"/>
      <c r="U17" s="17"/>
    </row>
    <row r="18" spans="1:21" x14ac:dyDescent="0.25">
      <c r="A18" s="2" t="str">
        <f>IFERROR(VLOOKUP(B18,Clientes!A:B,2,0),"")</f>
        <v/>
      </c>
      <c r="B18" s="20">
        <f t="shared" si="0"/>
        <v>9</v>
      </c>
      <c r="C18" s="52"/>
      <c r="D18" s="55" t="s">
        <v>982</v>
      </c>
      <c r="E18" s="2" t="s">
        <v>238</v>
      </c>
      <c r="F18" s="71"/>
      <c r="G18" s="29"/>
      <c r="H18" s="20"/>
      <c r="I18" s="20" t="s">
        <v>84</v>
      </c>
      <c r="J18" s="20"/>
      <c r="K18" s="71"/>
      <c r="L18" s="20"/>
      <c r="M18" s="20"/>
      <c r="N18" s="20"/>
      <c r="O18" s="20"/>
      <c r="P18" s="20"/>
      <c r="Q18" s="20"/>
      <c r="R18" s="20"/>
      <c r="S18" s="20"/>
      <c r="T18" s="26"/>
      <c r="U18" s="17"/>
    </row>
    <row r="19" spans="1:21" x14ac:dyDescent="0.25">
      <c r="A19" s="2" t="str">
        <f>IFERROR(VLOOKUP(B19,Clientes!A:B,2,0),"")</f>
        <v/>
      </c>
      <c r="B19" s="20">
        <f t="shared" si="0"/>
        <v>10</v>
      </c>
      <c r="C19" s="52" t="s">
        <v>260</v>
      </c>
      <c r="D19" s="55" t="s">
        <v>261</v>
      </c>
      <c r="E19" s="2" t="s">
        <v>236</v>
      </c>
      <c r="F19" s="71">
        <v>190515</v>
      </c>
      <c r="G19" s="29" t="s">
        <v>62</v>
      </c>
      <c r="H19" s="20"/>
      <c r="I19" s="20" t="s">
        <v>84</v>
      </c>
      <c r="J19" s="20" t="s">
        <v>81</v>
      </c>
      <c r="K19" s="71"/>
      <c r="L19" s="20" t="s">
        <v>158</v>
      </c>
      <c r="M19" s="20"/>
      <c r="N19" s="20" t="s">
        <v>150</v>
      </c>
      <c r="O19" s="20"/>
      <c r="P19" s="20"/>
      <c r="Q19" s="20"/>
      <c r="R19" s="20"/>
      <c r="S19" s="20"/>
      <c r="T19" s="26"/>
      <c r="U19" s="17"/>
    </row>
    <row r="20" spans="1:21" x14ac:dyDescent="0.25">
      <c r="A20" s="2" t="str">
        <f>IFERROR(VLOOKUP(B20,Clientes!A:B,2,0),"")</f>
        <v/>
      </c>
      <c r="B20" s="20">
        <f t="shared" si="0"/>
        <v>11</v>
      </c>
      <c r="C20" s="52" t="s">
        <v>271</v>
      </c>
      <c r="D20" s="55" t="s">
        <v>272</v>
      </c>
      <c r="E20" s="2" t="s">
        <v>228</v>
      </c>
      <c r="F20" s="71">
        <v>200515</v>
      </c>
      <c r="G20" s="29" t="s">
        <v>68</v>
      </c>
      <c r="H20" s="20"/>
      <c r="I20" s="20" t="s">
        <v>84</v>
      </c>
      <c r="J20" s="20" t="s">
        <v>83</v>
      </c>
      <c r="K20" s="71"/>
      <c r="L20" s="20"/>
      <c r="M20" s="20"/>
      <c r="N20" s="20"/>
      <c r="O20" s="20"/>
      <c r="P20" s="20"/>
      <c r="Q20" s="20"/>
      <c r="R20" s="20"/>
      <c r="S20" s="20"/>
      <c r="T20" s="26"/>
      <c r="U20" s="17"/>
    </row>
    <row r="21" spans="1:21" x14ac:dyDescent="0.25">
      <c r="A21" s="2" t="str">
        <f>IFERROR(VLOOKUP(B21,Clientes!A:B,2,0),"")</f>
        <v/>
      </c>
      <c r="B21" s="20">
        <f t="shared" si="0"/>
        <v>12</v>
      </c>
      <c r="C21" s="52" t="s">
        <v>273</v>
      </c>
      <c r="D21" s="55" t="s">
        <v>274</v>
      </c>
      <c r="E21" s="2"/>
      <c r="F21" s="71">
        <v>200515</v>
      </c>
      <c r="G21" s="29" t="s">
        <v>62</v>
      </c>
      <c r="H21" s="20"/>
      <c r="I21" s="20" t="s">
        <v>84</v>
      </c>
      <c r="J21" s="20" t="s">
        <v>81</v>
      </c>
      <c r="K21" s="71"/>
      <c r="L21" s="20"/>
      <c r="M21" s="20"/>
      <c r="N21" s="20"/>
      <c r="O21" s="20"/>
      <c r="P21" s="20"/>
      <c r="Q21" s="20"/>
      <c r="R21" s="20"/>
      <c r="S21" s="20"/>
      <c r="T21" s="26"/>
      <c r="U21" s="17"/>
    </row>
    <row r="22" spans="1:21" x14ac:dyDescent="0.25">
      <c r="A22" s="2" t="str">
        <f>IFERROR(VLOOKUP(B22,Clientes!A:B,2,0),"")</f>
        <v/>
      </c>
      <c r="B22" s="20">
        <f t="shared" si="0"/>
        <v>13</v>
      </c>
      <c r="C22" s="52"/>
      <c r="D22" s="55" t="s">
        <v>270</v>
      </c>
      <c r="E22" s="2" t="s">
        <v>214</v>
      </c>
      <c r="F22" s="71">
        <v>200515</v>
      </c>
      <c r="G22" s="29" t="s">
        <v>66</v>
      </c>
      <c r="H22" s="20"/>
      <c r="I22" s="20" t="s">
        <v>84</v>
      </c>
      <c r="J22" s="20" t="s">
        <v>81</v>
      </c>
      <c r="K22" s="71"/>
      <c r="L22" s="20"/>
      <c r="M22" s="20"/>
      <c r="N22" s="20"/>
      <c r="O22" s="20"/>
      <c r="P22" s="20"/>
      <c r="Q22" s="20"/>
      <c r="R22" s="20"/>
      <c r="S22" s="20"/>
      <c r="T22" s="26"/>
      <c r="U22" s="17"/>
    </row>
    <row r="23" spans="1:21" x14ac:dyDescent="0.25">
      <c r="A23" s="2" t="str">
        <f>IFERROR(VLOOKUP(B23,Clientes!A:B,2,0),"")</f>
        <v/>
      </c>
      <c r="B23" s="20">
        <f t="shared" si="0"/>
        <v>14</v>
      </c>
      <c r="C23" s="52" t="s">
        <v>268</v>
      </c>
      <c r="D23" s="55" t="s">
        <v>269</v>
      </c>
      <c r="E23" s="2" t="s">
        <v>232</v>
      </c>
      <c r="F23" s="71">
        <v>200515</v>
      </c>
      <c r="G23" s="29" t="s">
        <v>59</v>
      </c>
      <c r="H23" s="20"/>
      <c r="I23" s="20" t="s">
        <v>84</v>
      </c>
      <c r="J23" s="20" t="s">
        <v>81</v>
      </c>
      <c r="K23" s="71"/>
      <c r="L23" s="20"/>
      <c r="M23" s="20"/>
      <c r="N23" s="20"/>
      <c r="O23" s="20"/>
      <c r="P23" s="20"/>
      <c r="Q23" s="20"/>
      <c r="R23" s="20"/>
      <c r="S23" s="20"/>
      <c r="T23" s="26"/>
      <c r="U23" s="17"/>
    </row>
    <row r="24" spans="1:21" x14ac:dyDescent="0.25">
      <c r="A24" s="2" t="str">
        <f>IFERROR(VLOOKUP(B24,Clientes!A:B,2,0),"")</f>
        <v/>
      </c>
      <c r="B24" s="20">
        <f t="shared" si="0"/>
        <v>15</v>
      </c>
      <c r="C24" s="52" t="s">
        <v>266</v>
      </c>
      <c r="D24" s="55" t="s">
        <v>267</v>
      </c>
      <c r="E24" s="2"/>
      <c r="F24" s="71">
        <v>200515</v>
      </c>
      <c r="G24" s="29" t="s">
        <v>56</v>
      </c>
      <c r="H24" s="20" t="s">
        <v>72</v>
      </c>
      <c r="I24" s="20" t="s">
        <v>84</v>
      </c>
      <c r="J24" s="20" t="s">
        <v>83</v>
      </c>
      <c r="K24" s="71"/>
      <c r="L24" s="20"/>
      <c r="M24" s="20"/>
      <c r="N24" s="20"/>
      <c r="O24" s="20"/>
      <c r="P24" s="20"/>
      <c r="Q24" s="20"/>
      <c r="R24" s="20"/>
      <c r="S24" s="20"/>
      <c r="T24" s="26"/>
      <c r="U24" s="17"/>
    </row>
    <row r="25" spans="1:21" x14ac:dyDescent="0.25">
      <c r="A25" s="2" t="str">
        <f>IFERROR(VLOOKUP(B25,Clientes!A:B,2,0),"")</f>
        <v/>
      </c>
      <c r="B25" s="20">
        <f t="shared" si="0"/>
        <v>16</v>
      </c>
      <c r="C25" s="52"/>
      <c r="D25" s="55"/>
      <c r="E25" s="2"/>
      <c r="F25" s="71"/>
      <c r="G25" s="29"/>
      <c r="H25" s="20"/>
      <c r="I25" s="20" t="s">
        <v>84</v>
      </c>
      <c r="J25" s="20"/>
      <c r="K25" s="71"/>
      <c r="L25" s="20"/>
      <c r="M25" s="20"/>
      <c r="N25" s="20"/>
      <c r="O25" s="20"/>
      <c r="P25" s="20"/>
      <c r="Q25" s="20"/>
      <c r="R25" s="20"/>
      <c r="S25" s="20"/>
      <c r="T25" s="26"/>
      <c r="U25" s="17"/>
    </row>
    <row r="26" spans="1:21" x14ac:dyDescent="0.25">
      <c r="A26" s="2" t="str">
        <f>IFERROR(VLOOKUP(B26,Clientes!A:B,2,0),"")</f>
        <v/>
      </c>
      <c r="B26" s="20">
        <f t="shared" si="0"/>
        <v>17</v>
      </c>
      <c r="C26" s="52" t="s">
        <v>258</v>
      </c>
      <c r="D26" s="55" t="s">
        <v>259</v>
      </c>
      <c r="E26" s="2" t="s">
        <v>233</v>
      </c>
      <c r="F26" s="71">
        <v>210515</v>
      </c>
      <c r="G26" s="29" t="s">
        <v>58</v>
      </c>
      <c r="H26" s="20" t="s">
        <v>72</v>
      </c>
      <c r="I26" s="20" t="s">
        <v>84</v>
      </c>
      <c r="J26" s="20" t="s">
        <v>83</v>
      </c>
      <c r="K26" s="71"/>
      <c r="L26" s="20"/>
      <c r="M26" s="20"/>
      <c r="N26" s="20"/>
      <c r="O26" s="20"/>
      <c r="P26" s="20"/>
      <c r="Q26" s="20"/>
      <c r="R26" s="20"/>
      <c r="S26" s="20"/>
      <c r="T26" s="26"/>
      <c r="U26" s="17"/>
    </row>
    <row r="27" spans="1:21" x14ac:dyDescent="0.25">
      <c r="A27" s="2" t="str">
        <f>IFERROR(VLOOKUP(B27,Clientes!A:B,2,0),"")</f>
        <v/>
      </c>
      <c r="B27" s="20">
        <f t="shared" ref="B27:B30" si="1">B26+1</f>
        <v>18</v>
      </c>
      <c r="C27" s="52" t="s">
        <v>361</v>
      </c>
      <c r="D27" s="55" t="s">
        <v>362</v>
      </c>
      <c r="E27" s="2" t="s">
        <v>228</v>
      </c>
      <c r="F27" s="71">
        <v>210515</v>
      </c>
      <c r="G27" s="29" t="s">
        <v>66</v>
      </c>
      <c r="H27" s="20"/>
      <c r="I27" s="20" t="s">
        <v>84</v>
      </c>
      <c r="J27" s="20" t="s">
        <v>82</v>
      </c>
      <c r="K27" s="71"/>
      <c r="L27" s="20"/>
      <c r="M27" s="20"/>
      <c r="N27" s="20"/>
      <c r="O27" s="20"/>
      <c r="P27" s="20"/>
      <c r="Q27" s="20"/>
      <c r="R27" s="20"/>
      <c r="S27" s="20"/>
      <c r="T27" s="26"/>
      <c r="U27" s="17"/>
    </row>
    <row r="28" spans="1:21" x14ac:dyDescent="0.25">
      <c r="A28" s="2" t="str">
        <f>IFERROR(VLOOKUP(B28,Clientes!A:B,2,0),"")</f>
        <v/>
      </c>
      <c r="B28" s="20">
        <f t="shared" si="1"/>
        <v>19</v>
      </c>
      <c r="C28" s="52"/>
      <c r="D28" s="55" t="s">
        <v>275</v>
      </c>
      <c r="E28" s="2"/>
      <c r="F28" s="71">
        <v>220515</v>
      </c>
      <c r="G28" s="29" t="s">
        <v>56</v>
      </c>
      <c r="H28" s="20" t="s">
        <v>73</v>
      </c>
      <c r="I28" s="20" t="s">
        <v>84</v>
      </c>
      <c r="J28" s="20" t="s">
        <v>1232</v>
      </c>
      <c r="K28" s="71"/>
      <c r="L28" s="20"/>
      <c r="M28" s="20"/>
      <c r="N28" s="20"/>
      <c r="O28" s="20"/>
      <c r="P28" s="20"/>
      <c r="Q28" s="20"/>
      <c r="R28" s="20"/>
      <c r="S28" s="20"/>
      <c r="T28" s="26"/>
      <c r="U28" s="17"/>
    </row>
    <row r="29" spans="1:21" x14ac:dyDescent="0.25">
      <c r="A29" s="2" t="str">
        <f>IFERROR(VLOOKUP(B29,Clientes!A:B,2,0),"")</f>
        <v/>
      </c>
      <c r="B29" s="20">
        <f t="shared" si="1"/>
        <v>20</v>
      </c>
      <c r="C29" s="52" t="s">
        <v>305</v>
      </c>
      <c r="D29" s="55" t="s">
        <v>306</v>
      </c>
      <c r="E29" s="2" t="s">
        <v>228</v>
      </c>
      <c r="F29" s="71">
        <v>220515</v>
      </c>
      <c r="G29" s="29" t="s">
        <v>59</v>
      </c>
      <c r="H29" s="20"/>
      <c r="I29" s="20" t="s">
        <v>84</v>
      </c>
      <c r="J29" s="20" t="s">
        <v>82</v>
      </c>
      <c r="K29" s="71"/>
      <c r="L29" s="20"/>
      <c r="M29" s="20"/>
      <c r="N29" s="20"/>
      <c r="O29" s="20"/>
      <c r="P29" s="20"/>
      <c r="Q29" s="20"/>
      <c r="R29" s="20"/>
      <c r="S29" s="20"/>
      <c r="T29" s="26" t="s">
        <v>307</v>
      </c>
      <c r="U29" s="17"/>
    </row>
    <row r="30" spans="1:21" x14ac:dyDescent="0.25">
      <c r="A30" s="2" t="str">
        <f>IFERROR(VLOOKUP(B30,Clientes!A:B,2,0),"")</f>
        <v/>
      </c>
      <c r="B30" s="20">
        <f t="shared" si="1"/>
        <v>21</v>
      </c>
      <c r="C30" s="52" t="s">
        <v>303</v>
      </c>
      <c r="D30" s="55" t="s">
        <v>304</v>
      </c>
      <c r="E30" s="2" t="s">
        <v>218</v>
      </c>
      <c r="F30" s="71">
        <v>220515</v>
      </c>
      <c r="G30" s="29" t="s">
        <v>59</v>
      </c>
      <c r="H30" s="20"/>
      <c r="I30" s="20" t="s">
        <v>84</v>
      </c>
      <c r="J30" s="20" t="s">
        <v>82</v>
      </c>
      <c r="K30" s="71"/>
      <c r="L30" s="20"/>
      <c r="M30" s="20"/>
      <c r="N30" s="20"/>
      <c r="O30" s="20"/>
      <c r="P30" s="20"/>
      <c r="Q30" s="20"/>
      <c r="R30" s="20"/>
      <c r="S30" s="20"/>
      <c r="T30" s="26"/>
      <c r="U30" s="17"/>
    </row>
    <row r="31" spans="1:21" x14ac:dyDescent="0.25">
      <c r="A31" s="2" t="str">
        <f>IFERROR(VLOOKUP(B31,Clientes!A:B,2,0),"")</f>
        <v/>
      </c>
      <c r="B31" s="20">
        <f>B30+1</f>
        <v>22</v>
      </c>
      <c r="C31" s="52" t="s">
        <v>278</v>
      </c>
      <c r="D31" s="55" t="s">
        <v>279</v>
      </c>
      <c r="E31" s="2" t="s">
        <v>231</v>
      </c>
      <c r="F31" s="71">
        <v>250515</v>
      </c>
      <c r="G31" s="29" t="s">
        <v>56</v>
      </c>
      <c r="H31" s="20" t="s">
        <v>280</v>
      </c>
      <c r="I31" s="20" t="s">
        <v>84</v>
      </c>
      <c r="J31" s="20" t="s">
        <v>83</v>
      </c>
      <c r="K31" s="71"/>
      <c r="L31" s="20"/>
      <c r="M31" s="20"/>
      <c r="N31" s="20"/>
      <c r="O31" s="20"/>
      <c r="P31" s="20"/>
      <c r="Q31" s="20"/>
      <c r="R31" s="20"/>
      <c r="S31" s="20"/>
      <c r="T31" s="26"/>
      <c r="U31" s="17"/>
    </row>
    <row r="32" spans="1:21" x14ac:dyDescent="0.25">
      <c r="A32" s="2"/>
      <c r="B32" s="20" t="s">
        <v>300</v>
      </c>
      <c r="C32" s="52" t="s">
        <v>301</v>
      </c>
      <c r="D32" s="55" t="s">
        <v>302</v>
      </c>
      <c r="E32" s="2" t="s">
        <v>235</v>
      </c>
      <c r="F32" s="71">
        <v>220515</v>
      </c>
      <c r="G32" s="29" t="s">
        <v>64</v>
      </c>
      <c r="H32" s="20" t="s">
        <v>77</v>
      </c>
      <c r="I32" s="20" t="s">
        <v>84</v>
      </c>
      <c r="J32" s="20" t="s">
        <v>81</v>
      </c>
      <c r="K32" s="71"/>
      <c r="L32" s="20"/>
      <c r="M32" s="20"/>
      <c r="N32" s="20"/>
      <c r="O32" s="20"/>
      <c r="P32" s="20"/>
      <c r="Q32" s="20"/>
      <c r="R32" s="20"/>
      <c r="S32" s="20"/>
      <c r="T32" s="26"/>
      <c r="U32" s="17"/>
    </row>
    <row r="33" spans="1:21" x14ac:dyDescent="0.25">
      <c r="A33" s="2" t="str">
        <f>IFERROR(VLOOKUP(B33,Clientes!A:B,2,0),"")</f>
        <v/>
      </c>
      <c r="B33" s="20">
        <f>B31+1</f>
        <v>23</v>
      </c>
      <c r="C33" s="52" t="s">
        <v>281</v>
      </c>
      <c r="D33" s="55" t="s">
        <v>282</v>
      </c>
      <c r="E33" s="2" t="s">
        <v>221</v>
      </c>
      <c r="F33" s="71">
        <v>250515</v>
      </c>
      <c r="G33" s="29" t="s">
        <v>58</v>
      </c>
      <c r="H33" s="20" t="s">
        <v>72</v>
      </c>
      <c r="I33" s="20" t="s">
        <v>84</v>
      </c>
      <c r="J33" s="20" t="s">
        <v>83</v>
      </c>
      <c r="K33" s="71"/>
      <c r="L33" s="20"/>
      <c r="M33" s="20"/>
      <c r="N33" s="20"/>
      <c r="O33" s="20"/>
      <c r="P33" s="20"/>
      <c r="Q33" s="20"/>
      <c r="R33" s="20"/>
      <c r="S33" s="20"/>
      <c r="T33" s="26"/>
      <c r="U33" s="17"/>
    </row>
    <row r="34" spans="1:21" x14ac:dyDescent="0.25">
      <c r="A34" s="2"/>
      <c r="B34" s="20" t="s">
        <v>310</v>
      </c>
      <c r="C34" s="52" t="s">
        <v>311</v>
      </c>
      <c r="D34" s="55" t="s">
        <v>312</v>
      </c>
      <c r="E34" s="2" t="s">
        <v>236</v>
      </c>
      <c r="F34" s="71">
        <v>220515</v>
      </c>
      <c r="G34" s="29" t="s">
        <v>62</v>
      </c>
      <c r="H34" s="20" t="s">
        <v>74</v>
      </c>
      <c r="I34" s="20" t="s">
        <v>84</v>
      </c>
      <c r="J34" s="20" t="s">
        <v>81</v>
      </c>
      <c r="K34" s="71"/>
      <c r="L34" s="20"/>
      <c r="M34" s="20"/>
      <c r="N34" s="20"/>
      <c r="O34" s="20"/>
      <c r="P34" s="20"/>
      <c r="Q34" s="20"/>
      <c r="R34" s="20"/>
      <c r="S34" s="20"/>
      <c r="T34" s="26" t="s">
        <v>313</v>
      </c>
      <c r="U34" s="17"/>
    </row>
    <row r="35" spans="1:21" x14ac:dyDescent="0.25">
      <c r="A35" s="2" t="str">
        <f>IFERROR(VLOOKUP(B35,Clientes!A:B,2,0),"")</f>
        <v/>
      </c>
      <c r="B35" s="20">
        <f>B33+1</f>
        <v>24</v>
      </c>
      <c r="C35" s="52" t="s">
        <v>276</v>
      </c>
      <c r="D35" s="55" t="s">
        <v>277</v>
      </c>
      <c r="E35" s="2" t="s">
        <v>223</v>
      </c>
      <c r="F35" s="71">
        <v>250515</v>
      </c>
      <c r="G35" s="29" t="s">
        <v>56</v>
      </c>
      <c r="H35" s="20" t="s">
        <v>72</v>
      </c>
      <c r="I35" s="20" t="s">
        <v>84</v>
      </c>
      <c r="J35" s="20" t="s">
        <v>83</v>
      </c>
      <c r="K35" s="71"/>
      <c r="L35" s="20"/>
      <c r="M35" s="20"/>
      <c r="N35" s="20"/>
      <c r="O35" s="20"/>
      <c r="P35" s="20"/>
      <c r="Q35" s="20"/>
      <c r="R35" s="20"/>
      <c r="S35" s="20"/>
      <c r="T35" s="26"/>
      <c r="U35" s="17"/>
    </row>
    <row r="36" spans="1:21" ht="25.5" x14ac:dyDescent="0.25">
      <c r="A36" s="2" t="str">
        <f>IFERROR(VLOOKUP(B36,Clientes!A:B,2,0),"")</f>
        <v/>
      </c>
      <c r="B36" s="20">
        <f t="shared" ref="B36:B41" si="2">B35+1</f>
        <v>25</v>
      </c>
      <c r="C36" s="52" t="s">
        <v>768</v>
      </c>
      <c r="D36" s="55" t="s">
        <v>769</v>
      </c>
      <c r="E36" s="2" t="s">
        <v>237</v>
      </c>
      <c r="F36" s="71">
        <v>250515</v>
      </c>
      <c r="G36" s="29" t="s">
        <v>63</v>
      </c>
      <c r="H36" s="20"/>
      <c r="I36" s="20" t="s">
        <v>84</v>
      </c>
      <c r="J36" s="20" t="s">
        <v>81</v>
      </c>
      <c r="K36" s="71"/>
      <c r="L36" s="20"/>
      <c r="M36" s="20"/>
      <c r="N36" s="20"/>
      <c r="O36" s="20"/>
      <c r="P36" s="20"/>
      <c r="Q36" s="20"/>
      <c r="R36" s="20"/>
      <c r="S36" s="20"/>
      <c r="T36" s="26" t="s">
        <v>770</v>
      </c>
      <c r="U36" s="17"/>
    </row>
    <row r="37" spans="1:21" x14ac:dyDescent="0.25">
      <c r="A37" s="2" t="str">
        <f>IFERROR(VLOOKUP(B37,Clientes!A:B,2,0),"")</f>
        <v/>
      </c>
      <c r="B37" s="20">
        <f t="shared" si="2"/>
        <v>26</v>
      </c>
      <c r="C37" s="52" t="s">
        <v>487</v>
      </c>
      <c r="D37" s="55" t="s">
        <v>488</v>
      </c>
      <c r="E37" s="2" t="s">
        <v>224</v>
      </c>
      <c r="F37" s="71">
        <v>250515</v>
      </c>
      <c r="G37" s="29" t="s">
        <v>57</v>
      </c>
      <c r="H37" s="20"/>
      <c r="I37" s="20" t="s">
        <v>84</v>
      </c>
      <c r="J37" s="20" t="s">
        <v>81</v>
      </c>
      <c r="K37" s="71"/>
      <c r="L37" s="20" t="s">
        <v>148</v>
      </c>
      <c r="M37" s="20"/>
      <c r="N37" s="20"/>
      <c r="O37" s="20"/>
      <c r="P37" s="20"/>
      <c r="Q37" s="20"/>
      <c r="R37" s="20"/>
      <c r="S37" s="20"/>
      <c r="T37" s="26"/>
      <c r="U37" s="17"/>
    </row>
    <row r="38" spans="1:21" x14ac:dyDescent="0.25">
      <c r="A38" s="2" t="str">
        <f>IFERROR(VLOOKUP(B38,Clientes!A:B,2,0),"")</f>
        <v/>
      </c>
      <c r="B38" s="20">
        <f t="shared" si="2"/>
        <v>27</v>
      </c>
      <c r="C38" s="52" t="s">
        <v>283</v>
      </c>
      <c r="D38" s="55" t="s">
        <v>284</v>
      </c>
      <c r="E38" s="2" t="s">
        <v>228</v>
      </c>
      <c r="F38" s="71">
        <v>260515</v>
      </c>
      <c r="G38" s="29" t="s">
        <v>285</v>
      </c>
      <c r="H38" s="20"/>
      <c r="I38" s="20" t="s">
        <v>84</v>
      </c>
      <c r="J38" s="20" t="s">
        <v>81</v>
      </c>
      <c r="K38" s="71"/>
      <c r="L38" s="20"/>
      <c r="M38" s="20"/>
      <c r="N38" s="20"/>
      <c r="O38" s="20"/>
      <c r="P38" s="20"/>
      <c r="Q38" s="20"/>
      <c r="R38" s="20"/>
      <c r="S38" s="20"/>
      <c r="T38" s="26" t="s">
        <v>286</v>
      </c>
      <c r="U38" s="17"/>
    </row>
    <row r="39" spans="1:21" x14ac:dyDescent="0.25">
      <c r="A39" s="2" t="str">
        <f>IFERROR(VLOOKUP(B39,Clientes!A:B,2,0),"")</f>
        <v/>
      </c>
      <c r="B39" s="20">
        <f t="shared" si="2"/>
        <v>28</v>
      </c>
      <c r="C39" s="52" t="s">
        <v>287</v>
      </c>
      <c r="D39" s="55" t="s">
        <v>288</v>
      </c>
      <c r="E39" s="2" t="s">
        <v>229</v>
      </c>
      <c r="F39" s="71">
        <v>260515</v>
      </c>
      <c r="G39" s="29" t="s">
        <v>285</v>
      </c>
      <c r="H39" s="20"/>
      <c r="I39" s="20" t="s">
        <v>84</v>
      </c>
      <c r="J39" s="20" t="s">
        <v>83</v>
      </c>
      <c r="K39" s="71"/>
      <c r="L39" s="20"/>
      <c r="M39" s="20"/>
      <c r="N39" s="20"/>
      <c r="O39" s="20"/>
      <c r="P39" s="20"/>
      <c r="Q39" s="20"/>
      <c r="R39" s="20"/>
      <c r="S39" s="20"/>
      <c r="T39" s="26"/>
      <c r="U39" s="17"/>
    </row>
    <row r="40" spans="1:21" x14ac:dyDescent="0.25">
      <c r="A40" s="2" t="str">
        <f>IFERROR(VLOOKUP(B40,Clientes!A:B,2,0),"")</f>
        <v/>
      </c>
      <c r="B40" s="20">
        <f t="shared" si="2"/>
        <v>29</v>
      </c>
      <c r="C40" s="52" t="s">
        <v>314</v>
      </c>
      <c r="D40" s="55" t="s">
        <v>315</v>
      </c>
      <c r="E40" s="2" t="s">
        <v>232</v>
      </c>
      <c r="F40" s="71">
        <v>260515</v>
      </c>
      <c r="G40" s="29" t="s">
        <v>56</v>
      </c>
      <c r="H40" s="20" t="s">
        <v>72</v>
      </c>
      <c r="I40" s="20" t="s">
        <v>84</v>
      </c>
      <c r="J40" s="20" t="s">
        <v>83</v>
      </c>
      <c r="K40" s="71"/>
      <c r="L40" s="20"/>
      <c r="M40" s="20"/>
      <c r="N40" s="20"/>
      <c r="O40" s="20"/>
      <c r="P40" s="20"/>
      <c r="Q40" s="20"/>
      <c r="R40" s="20"/>
      <c r="S40" s="20"/>
      <c r="T40" s="26"/>
      <c r="U40" s="17"/>
    </row>
    <row r="41" spans="1:21" x14ac:dyDescent="0.25">
      <c r="A41" s="2" t="str">
        <f>IFERROR(VLOOKUP(B41,Clientes!A:B,2,0),"")</f>
        <v/>
      </c>
      <c r="B41" s="20">
        <f t="shared" si="2"/>
        <v>30</v>
      </c>
      <c r="C41" s="52" t="s">
        <v>297</v>
      </c>
      <c r="D41" s="55" t="s">
        <v>298</v>
      </c>
      <c r="E41" s="2"/>
      <c r="F41" s="71">
        <v>270515</v>
      </c>
      <c r="G41" s="29" t="s">
        <v>62</v>
      </c>
      <c r="H41" s="20" t="s">
        <v>74</v>
      </c>
      <c r="I41" s="20" t="s">
        <v>84</v>
      </c>
      <c r="J41" s="20" t="s">
        <v>83</v>
      </c>
      <c r="K41" s="71"/>
      <c r="L41" s="20"/>
      <c r="M41" s="20"/>
      <c r="N41" s="20"/>
      <c r="O41" s="20"/>
      <c r="P41" s="20"/>
      <c r="Q41" s="20"/>
      <c r="R41" s="20"/>
      <c r="S41" s="20"/>
      <c r="T41" s="26" t="s">
        <v>299</v>
      </c>
      <c r="U41" s="17"/>
    </row>
    <row r="42" spans="1:21" x14ac:dyDescent="0.25">
      <c r="A42" s="2"/>
      <c r="B42" s="20" t="s">
        <v>359</v>
      </c>
      <c r="C42" s="52" t="s">
        <v>273</v>
      </c>
      <c r="D42" s="55" t="s">
        <v>360</v>
      </c>
      <c r="E42" s="2"/>
      <c r="F42" s="71">
        <v>260515</v>
      </c>
      <c r="G42" s="29" t="s">
        <v>62</v>
      </c>
      <c r="H42" s="20" t="s">
        <v>296</v>
      </c>
      <c r="I42" s="20" t="s">
        <v>84</v>
      </c>
      <c r="J42" s="20" t="s">
        <v>81</v>
      </c>
      <c r="K42" s="71"/>
      <c r="L42" s="20"/>
      <c r="M42" s="20"/>
      <c r="N42" s="20"/>
      <c r="O42" s="20"/>
      <c r="P42" s="20"/>
      <c r="Q42" s="20"/>
      <c r="R42" s="20"/>
      <c r="S42" s="20"/>
      <c r="T42" s="26"/>
      <c r="U42" s="17"/>
    </row>
    <row r="43" spans="1:21" x14ac:dyDescent="0.25">
      <c r="A43" s="2" t="str">
        <f>IFERROR(VLOOKUP(B43,Clientes!A:B,2,0),"")</f>
        <v/>
      </c>
      <c r="B43" s="20">
        <f>B41+1</f>
        <v>31</v>
      </c>
      <c r="C43" s="52" t="s">
        <v>294</v>
      </c>
      <c r="D43" s="55" t="s">
        <v>295</v>
      </c>
      <c r="E43" s="2" t="s">
        <v>234</v>
      </c>
      <c r="F43" s="71">
        <v>260515</v>
      </c>
      <c r="G43" s="29" t="s">
        <v>62</v>
      </c>
      <c r="H43" s="20" t="s">
        <v>296</v>
      </c>
      <c r="I43" s="20" t="s">
        <v>84</v>
      </c>
      <c r="J43" s="20" t="s">
        <v>81</v>
      </c>
      <c r="K43" s="71"/>
      <c r="L43" s="20"/>
      <c r="M43" s="20"/>
      <c r="N43" s="20"/>
      <c r="O43" s="20"/>
      <c r="P43" s="20"/>
      <c r="Q43" s="20"/>
      <c r="R43" s="20"/>
      <c r="S43" s="20"/>
      <c r="T43" s="26"/>
      <c r="U43" s="17"/>
    </row>
    <row r="44" spans="1:21" x14ac:dyDescent="0.25">
      <c r="A44" s="2"/>
      <c r="B44" s="20" t="s">
        <v>316</v>
      </c>
      <c r="C44" s="52" t="s">
        <v>317</v>
      </c>
      <c r="D44" s="55" t="s">
        <v>318</v>
      </c>
      <c r="E44" s="2" t="s">
        <v>225</v>
      </c>
      <c r="F44" s="71">
        <v>270515</v>
      </c>
      <c r="G44" s="29" t="s">
        <v>56</v>
      </c>
      <c r="H44" s="20" t="s">
        <v>73</v>
      </c>
      <c r="I44" s="20" t="s">
        <v>84</v>
      </c>
      <c r="J44" s="20" t="s">
        <v>83</v>
      </c>
      <c r="K44" s="71"/>
      <c r="L44" s="20"/>
      <c r="M44" s="20"/>
      <c r="N44" s="20"/>
      <c r="O44" s="20"/>
      <c r="P44" s="20"/>
      <c r="Q44" s="20"/>
      <c r="R44" s="20"/>
      <c r="S44" s="20"/>
      <c r="T44" s="26"/>
      <c r="U44" s="17"/>
    </row>
    <row r="45" spans="1:21" x14ac:dyDescent="0.25">
      <c r="A45" s="2" t="str">
        <f>IFERROR(VLOOKUP(B45,Clientes!A:B,2,0),"")</f>
        <v/>
      </c>
      <c r="B45" s="20">
        <f>B43+1</f>
        <v>32</v>
      </c>
      <c r="C45" s="52" t="s">
        <v>308</v>
      </c>
      <c r="D45" s="55" t="s">
        <v>309</v>
      </c>
      <c r="E45" s="2" t="s">
        <v>229</v>
      </c>
      <c r="F45" s="71">
        <v>270515</v>
      </c>
      <c r="G45" s="29" t="s">
        <v>62</v>
      </c>
      <c r="H45" s="20" t="s">
        <v>296</v>
      </c>
      <c r="I45" s="20" t="s">
        <v>84</v>
      </c>
      <c r="J45" s="20" t="s">
        <v>81</v>
      </c>
      <c r="K45" s="71"/>
      <c r="L45" s="20"/>
      <c r="M45" s="20"/>
      <c r="N45" s="20"/>
      <c r="O45" s="20"/>
      <c r="P45" s="20"/>
      <c r="Q45" s="20"/>
      <c r="R45" s="20"/>
      <c r="S45" s="20"/>
      <c r="T45" s="26"/>
      <c r="U45" s="17"/>
    </row>
    <row r="46" spans="1:21" x14ac:dyDescent="0.25">
      <c r="A46" s="2" t="str">
        <f>IFERROR(VLOOKUP(B46,Clientes!A:B,2,0),"")</f>
        <v/>
      </c>
      <c r="B46" s="20">
        <f t="shared" ref="B46:B51" si="3">B45+1</f>
        <v>33</v>
      </c>
      <c r="C46" s="52" t="s">
        <v>323</v>
      </c>
      <c r="D46" s="55" t="s">
        <v>324</v>
      </c>
      <c r="E46" s="2"/>
      <c r="F46" s="71">
        <v>280515</v>
      </c>
      <c r="G46" s="29" t="s">
        <v>325</v>
      </c>
      <c r="H46" s="20"/>
      <c r="I46" s="20" t="s">
        <v>84</v>
      </c>
      <c r="J46" s="20" t="s">
        <v>83</v>
      </c>
      <c r="K46" s="71"/>
      <c r="L46" s="20"/>
      <c r="M46" s="20"/>
      <c r="N46" s="20"/>
      <c r="O46" s="20"/>
      <c r="P46" s="20"/>
      <c r="Q46" s="20"/>
      <c r="R46" s="20"/>
      <c r="S46" s="20"/>
      <c r="T46" s="26"/>
      <c r="U46" s="17"/>
    </row>
    <row r="47" spans="1:21" x14ac:dyDescent="0.25">
      <c r="A47" s="2" t="str">
        <f>IFERROR(VLOOKUP(B47,Clientes!A:B,2,0),"")</f>
        <v/>
      </c>
      <c r="B47" s="20">
        <f t="shared" si="3"/>
        <v>34</v>
      </c>
      <c r="C47" s="52" t="s">
        <v>292</v>
      </c>
      <c r="D47" s="55" t="s">
        <v>293</v>
      </c>
      <c r="E47" s="2" t="s">
        <v>224</v>
      </c>
      <c r="F47" s="71">
        <v>270515</v>
      </c>
      <c r="G47" s="29" t="s">
        <v>64</v>
      </c>
      <c r="H47" s="20" t="s">
        <v>77</v>
      </c>
      <c r="I47" s="20" t="s">
        <v>84</v>
      </c>
      <c r="J47" s="20" t="s">
        <v>83</v>
      </c>
      <c r="K47" s="71"/>
      <c r="L47" s="20"/>
      <c r="M47" s="20"/>
      <c r="N47" s="20"/>
      <c r="O47" s="20"/>
      <c r="P47" s="20"/>
      <c r="Q47" s="20"/>
      <c r="R47" s="20"/>
      <c r="S47" s="20"/>
      <c r="T47" s="26"/>
      <c r="U47" s="17"/>
    </row>
    <row r="48" spans="1:21" x14ac:dyDescent="0.25">
      <c r="A48" s="2" t="str">
        <f>IFERROR(VLOOKUP(B48,Clientes!A:B,2,0),"")</f>
        <v/>
      </c>
      <c r="B48" s="20">
        <f t="shared" si="3"/>
        <v>35</v>
      </c>
      <c r="C48" s="52" t="s">
        <v>375</v>
      </c>
      <c r="D48" s="55" t="s">
        <v>376</v>
      </c>
      <c r="E48" s="2"/>
      <c r="F48" s="71">
        <v>270515</v>
      </c>
      <c r="G48" s="29" t="s">
        <v>62</v>
      </c>
      <c r="H48" s="20"/>
      <c r="I48" s="20" t="s">
        <v>84</v>
      </c>
      <c r="J48" s="20" t="s">
        <v>82</v>
      </c>
      <c r="K48" s="71"/>
      <c r="L48" s="20"/>
      <c r="M48" s="20"/>
      <c r="N48" s="20"/>
      <c r="O48" s="20"/>
      <c r="P48" s="20"/>
      <c r="Q48" s="20"/>
      <c r="R48" s="20"/>
      <c r="S48" s="20"/>
      <c r="T48" s="26"/>
      <c r="U48" s="17"/>
    </row>
    <row r="49" spans="1:21" x14ac:dyDescent="0.25">
      <c r="A49" s="2" t="str">
        <f>IFERROR(VLOOKUP(B49,Clientes!A:B,2,0),"")</f>
        <v/>
      </c>
      <c r="B49" s="20">
        <f t="shared" si="3"/>
        <v>36</v>
      </c>
      <c r="C49" s="52" t="s">
        <v>321</v>
      </c>
      <c r="D49" s="55" t="s">
        <v>322</v>
      </c>
      <c r="E49" s="2" t="s">
        <v>238</v>
      </c>
      <c r="F49" s="71">
        <v>280515</v>
      </c>
      <c r="G49" s="29" t="s">
        <v>56</v>
      </c>
      <c r="H49" s="20" t="s">
        <v>72</v>
      </c>
      <c r="I49" s="20" t="s">
        <v>84</v>
      </c>
      <c r="J49" s="20" t="s">
        <v>83</v>
      </c>
      <c r="K49" s="71"/>
      <c r="L49" s="20"/>
      <c r="M49" s="20"/>
      <c r="N49" s="20"/>
      <c r="O49" s="20"/>
      <c r="P49" s="20"/>
      <c r="Q49" s="20"/>
      <c r="R49" s="20"/>
      <c r="S49" s="20"/>
      <c r="T49" s="26"/>
      <c r="U49" s="17"/>
    </row>
    <row r="50" spans="1:21" x14ac:dyDescent="0.25">
      <c r="A50" s="2" t="str">
        <f>IFERROR(VLOOKUP(B50,Clientes!A:B,2,0),"")</f>
        <v/>
      </c>
      <c r="B50" s="20">
        <f t="shared" si="3"/>
        <v>37</v>
      </c>
      <c r="C50" s="52" t="s">
        <v>345</v>
      </c>
      <c r="D50" s="55" t="s">
        <v>346</v>
      </c>
      <c r="E50" s="2" t="s">
        <v>236</v>
      </c>
      <c r="F50" s="71">
        <v>280515</v>
      </c>
      <c r="G50" s="29" t="s">
        <v>62</v>
      </c>
      <c r="H50" s="20"/>
      <c r="I50" s="20" t="s">
        <v>84</v>
      </c>
      <c r="J50" s="20" t="s">
        <v>81</v>
      </c>
      <c r="K50" s="71"/>
      <c r="L50" s="20" t="s">
        <v>132</v>
      </c>
      <c r="M50" s="20"/>
      <c r="N50" s="20"/>
      <c r="O50" s="20"/>
      <c r="P50" s="20"/>
      <c r="Q50" s="20"/>
      <c r="R50" s="20"/>
      <c r="S50" s="20"/>
      <c r="T50" s="26"/>
      <c r="U50" s="17"/>
    </row>
    <row r="51" spans="1:21" x14ac:dyDescent="0.25">
      <c r="A51" s="2" t="str">
        <f>IFERROR(VLOOKUP(B51,Clientes!A:B,2,0),"")</f>
        <v/>
      </c>
      <c r="B51" s="20">
        <f t="shared" si="3"/>
        <v>38</v>
      </c>
      <c r="C51" s="52" t="s">
        <v>319</v>
      </c>
      <c r="D51" s="55" t="s">
        <v>320</v>
      </c>
      <c r="E51" s="2" t="s">
        <v>237</v>
      </c>
      <c r="F51" s="71">
        <v>280515</v>
      </c>
      <c r="G51" s="29" t="s">
        <v>56</v>
      </c>
      <c r="H51" s="20" t="s">
        <v>75</v>
      </c>
      <c r="I51" s="20" t="s">
        <v>84</v>
      </c>
      <c r="J51" s="20" t="s">
        <v>83</v>
      </c>
      <c r="K51" s="71"/>
      <c r="L51" s="20"/>
      <c r="M51" s="20"/>
      <c r="N51" s="20"/>
      <c r="O51" s="20"/>
      <c r="P51" s="20"/>
      <c r="Q51" s="20"/>
      <c r="R51" s="20"/>
      <c r="S51" s="20"/>
      <c r="T51" s="26"/>
      <c r="U51" s="17"/>
    </row>
    <row r="52" spans="1:21" x14ac:dyDescent="0.25">
      <c r="A52" s="2" t="str">
        <f>IFERROR(VLOOKUP(B52,Clientes!A:B,2,0),"")</f>
        <v/>
      </c>
      <c r="B52" s="20">
        <f t="shared" ref="B52:B63" si="4">B51+1</f>
        <v>39</v>
      </c>
      <c r="C52" s="52" t="s">
        <v>327</v>
      </c>
      <c r="D52" s="55" t="s">
        <v>328</v>
      </c>
      <c r="E52" s="2" t="s">
        <v>231</v>
      </c>
      <c r="F52" s="71">
        <v>10615</v>
      </c>
      <c r="G52" s="29" t="s">
        <v>56</v>
      </c>
      <c r="H52" s="20" t="s">
        <v>72</v>
      </c>
      <c r="I52" s="20" t="s">
        <v>84</v>
      </c>
      <c r="J52" s="20" t="s">
        <v>83</v>
      </c>
      <c r="K52" s="71"/>
      <c r="L52" s="20"/>
      <c r="M52" s="20"/>
      <c r="N52" s="20"/>
      <c r="O52" s="20"/>
      <c r="P52" s="20"/>
      <c r="Q52" s="20"/>
      <c r="R52" s="20"/>
      <c r="S52" s="20"/>
      <c r="T52" s="26"/>
      <c r="U52" s="17"/>
    </row>
    <row r="53" spans="1:21" x14ac:dyDescent="0.25">
      <c r="A53" s="2"/>
      <c r="B53" s="20" t="s">
        <v>1320</v>
      </c>
      <c r="C53" s="52" t="s">
        <v>969</v>
      </c>
      <c r="D53" s="55" t="s">
        <v>970</v>
      </c>
      <c r="E53" s="2" t="s">
        <v>1237</v>
      </c>
      <c r="F53" s="71">
        <v>10915</v>
      </c>
      <c r="G53" s="29" t="s">
        <v>325</v>
      </c>
      <c r="H53" s="20"/>
      <c r="I53" s="20" t="s">
        <v>84</v>
      </c>
      <c r="J53" s="20" t="s">
        <v>81</v>
      </c>
      <c r="K53" s="71"/>
      <c r="L53" s="20"/>
      <c r="M53" s="20"/>
      <c r="N53" s="20"/>
      <c r="O53" s="20"/>
      <c r="P53" s="20"/>
      <c r="Q53" s="20"/>
      <c r="R53" s="20"/>
      <c r="S53" s="20"/>
      <c r="T53" s="26"/>
      <c r="U53" s="17"/>
    </row>
    <row r="54" spans="1:21" x14ac:dyDescent="0.25">
      <c r="A54" s="2" t="str">
        <f>IFERROR(VLOOKUP(B54,Clientes!A:B,2,0),"")</f>
        <v/>
      </c>
      <c r="B54" s="20">
        <f>B52+1</f>
        <v>40</v>
      </c>
      <c r="C54" s="52" t="s">
        <v>329</v>
      </c>
      <c r="D54" s="55" t="s">
        <v>330</v>
      </c>
      <c r="E54" s="2" t="s">
        <v>218</v>
      </c>
      <c r="F54" s="71">
        <v>10615</v>
      </c>
      <c r="G54" s="29" t="s">
        <v>56</v>
      </c>
      <c r="H54" s="20" t="s">
        <v>72</v>
      </c>
      <c r="I54" s="20" t="s">
        <v>84</v>
      </c>
      <c r="J54" s="20" t="s">
        <v>81</v>
      </c>
      <c r="K54" s="71"/>
      <c r="L54" s="20"/>
      <c r="M54" s="20"/>
      <c r="N54" s="20"/>
      <c r="O54" s="20"/>
      <c r="P54" s="20"/>
      <c r="Q54" s="20"/>
      <c r="R54" s="20"/>
      <c r="S54" s="20"/>
      <c r="T54" s="26"/>
      <c r="U54" s="17"/>
    </row>
    <row r="55" spans="1:21" x14ac:dyDescent="0.25">
      <c r="A55" s="2" t="str">
        <f>IFERROR(VLOOKUP(B55,Clientes!A:B,2,0),"")</f>
        <v/>
      </c>
      <c r="B55" s="20">
        <f t="shared" si="4"/>
        <v>41</v>
      </c>
      <c r="C55" s="52" t="s">
        <v>331</v>
      </c>
      <c r="D55" s="55" t="s">
        <v>332</v>
      </c>
      <c r="E55" s="2" t="s">
        <v>225</v>
      </c>
      <c r="F55" s="71"/>
      <c r="G55" s="29"/>
      <c r="H55" s="20"/>
      <c r="I55" s="20" t="s">
        <v>84</v>
      </c>
      <c r="J55" s="20" t="s">
        <v>83</v>
      </c>
      <c r="K55" s="71"/>
      <c r="L55" s="20"/>
      <c r="M55" s="20"/>
      <c r="N55" s="20"/>
      <c r="O55" s="20"/>
      <c r="P55" s="20"/>
      <c r="Q55" s="20"/>
      <c r="R55" s="20"/>
      <c r="S55" s="20"/>
      <c r="T55" s="26"/>
      <c r="U55" s="17"/>
    </row>
    <row r="56" spans="1:21" x14ac:dyDescent="0.25">
      <c r="A56" s="2" t="str">
        <f>IFERROR(VLOOKUP(B56,Clientes!A:B,2,0),"")</f>
        <v/>
      </c>
      <c r="B56" s="20">
        <f t="shared" si="4"/>
        <v>42</v>
      </c>
      <c r="C56" s="52" t="s">
        <v>333</v>
      </c>
      <c r="D56" s="55" t="s">
        <v>334</v>
      </c>
      <c r="E56" s="2" t="s">
        <v>221</v>
      </c>
      <c r="F56" s="71">
        <v>10615</v>
      </c>
      <c r="G56" s="29" t="s">
        <v>56</v>
      </c>
      <c r="H56" s="20" t="s">
        <v>72</v>
      </c>
      <c r="I56" s="20" t="s">
        <v>84</v>
      </c>
      <c r="J56" s="20"/>
      <c r="K56" s="71"/>
      <c r="L56" s="20"/>
      <c r="M56" s="20"/>
      <c r="N56" s="20"/>
      <c r="O56" s="20"/>
      <c r="P56" s="20"/>
      <c r="Q56" s="20"/>
      <c r="R56" s="20"/>
      <c r="S56" s="20"/>
      <c r="T56" s="26"/>
      <c r="U56" s="17"/>
    </row>
    <row r="57" spans="1:21" x14ac:dyDescent="0.25">
      <c r="A57" s="2" t="str">
        <f>IFERROR(VLOOKUP(B57,Clientes!A:B,2,0),"")</f>
        <v/>
      </c>
      <c r="B57" s="20">
        <f t="shared" si="4"/>
        <v>43</v>
      </c>
      <c r="C57" s="52" t="s">
        <v>354</v>
      </c>
      <c r="D57" s="55" t="s">
        <v>355</v>
      </c>
      <c r="E57" s="2" t="s">
        <v>233</v>
      </c>
      <c r="F57" s="71">
        <v>10615</v>
      </c>
      <c r="G57" s="29" t="s">
        <v>69</v>
      </c>
      <c r="H57" s="20" t="s">
        <v>353</v>
      </c>
      <c r="I57" s="20" t="s">
        <v>84</v>
      </c>
      <c r="J57" s="20" t="s">
        <v>83</v>
      </c>
      <c r="K57" s="71"/>
      <c r="L57" s="20"/>
      <c r="M57" s="20"/>
      <c r="N57" s="20"/>
      <c r="O57" s="20"/>
      <c r="P57" s="20"/>
      <c r="Q57" s="20"/>
      <c r="R57" s="20"/>
      <c r="S57" s="20"/>
      <c r="T57" s="26"/>
      <c r="U57" s="17"/>
    </row>
    <row r="58" spans="1:21" x14ac:dyDescent="0.25">
      <c r="A58" s="2" t="str">
        <f>IFERROR(VLOOKUP(B58,Clientes!A:B,2,0),"")</f>
        <v/>
      </c>
      <c r="B58" s="20">
        <f t="shared" si="4"/>
        <v>44</v>
      </c>
      <c r="C58" s="52" t="s">
        <v>351</v>
      </c>
      <c r="D58" s="55" t="s">
        <v>352</v>
      </c>
      <c r="E58" s="2" t="s">
        <v>233</v>
      </c>
      <c r="F58" s="71">
        <v>10615</v>
      </c>
      <c r="G58" s="29" t="s">
        <v>69</v>
      </c>
      <c r="H58" s="20" t="s">
        <v>353</v>
      </c>
      <c r="I58" s="20" t="s">
        <v>84</v>
      </c>
      <c r="J58" s="20" t="s">
        <v>83</v>
      </c>
      <c r="K58" s="71"/>
      <c r="L58" s="20"/>
      <c r="M58" s="20"/>
      <c r="N58" s="20"/>
      <c r="O58" s="20"/>
      <c r="P58" s="20"/>
      <c r="Q58" s="20"/>
      <c r="R58" s="20"/>
      <c r="S58" s="20"/>
      <c r="T58" s="26"/>
      <c r="U58" s="17"/>
    </row>
    <row r="59" spans="1:21" x14ac:dyDescent="0.25">
      <c r="A59" s="2" t="str">
        <f>IFERROR(VLOOKUP(B59,Clientes!A:B,2,0),"")</f>
        <v/>
      </c>
      <c r="B59" s="20">
        <f t="shared" si="4"/>
        <v>45</v>
      </c>
      <c r="C59" s="52" t="s">
        <v>349</v>
      </c>
      <c r="D59" s="55" t="s">
        <v>350</v>
      </c>
      <c r="E59" s="2" t="s">
        <v>237</v>
      </c>
      <c r="F59" s="71">
        <v>10615</v>
      </c>
      <c r="G59" s="29" t="s">
        <v>64</v>
      </c>
      <c r="H59" s="20" t="s">
        <v>77</v>
      </c>
      <c r="I59" s="20" t="s">
        <v>84</v>
      </c>
      <c r="J59" s="20" t="s">
        <v>81</v>
      </c>
      <c r="K59" s="71"/>
      <c r="L59" s="20"/>
      <c r="M59" s="20"/>
      <c r="N59" s="20"/>
      <c r="O59" s="20"/>
      <c r="P59" s="20"/>
      <c r="Q59" s="20"/>
      <c r="R59" s="20"/>
      <c r="S59" s="20"/>
      <c r="T59" s="26"/>
      <c r="U59" s="17"/>
    </row>
    <row r="60" spans="1:21" x14ac:dyDescent="0.25">
      <c r="A60" s="2" t="str">
        <f>IFERROR(VLOOKUP(B60,Clientes!A:B,2,0),"")</f>
        <v/>
      </c>
      <c r="B60" s="20">
        <f t="shared" si="4"/>
        <v>46</v>
      </c>
      <c r="C60" s="52" t="s">
        <v>347</v>
      </c>
      <c r="D60" s="55" t="s">
        <v>348</v>
      </c>
      <c r="E60" s="2"/>
      <c r="F60" s="71">
        <v>10615</v>
      </c>
      <c r="G60" s="29" t="s">
        <v>56</v>
      </c>
      <c r="H60" s="20" t="s">
        <v>72</v>
      </c>
      <c r="I60" s="20" t="s">
        <v>84</v>
      </c>
      <c r="J60" s="20" t="s">
        <v>81</v>
      </c>
      <c r="K60" s="71"/>
      <c r="L60" s="20"/>
      <c r="M60" s="20"/>
      <c r="N60" s="20"/>
      <c r="O60" s="20"/>
      <c r="P60" s="20"/>
      <c r="Q60" s="20"/>
      <c r="R60" s="20"/>
      <c r="S60" s="20"/>
      <c r="T60" s="26"/>
      <c r="U60" s="17"/>
    </row>
    <row r="61" spans="1:21" x14ac:dyDescent="0.25">
      <c r="A61" s="2" t="str">
        <f>IFERROR(VLOOKUP(B61,Clientes!A:B,2,0),"")</f>
        <v/>
      </c>
      <c r="B61" s="20">
        <f t="shared" si="4"/>
        <v>47</v>
      </c>
      <c r="C61" s="52" t="s">
        <v>343</v>
      </c>
      <c r="D61" s="55" t="s">
        <v>344</v>
      </c>
      <c r="E61" s="2" t="s">
        <v>235</v>
      </c>
      <c r="F61" s="71">
        <v>10615</v>
      </c>
      <c r="G61" s="29" t="s">
        <v>58</v>
      </c>
      <c r="H61" s="20" t="s">
        <v>72</v>
      </c>
      <c r="I61" s="20" t="s">
        <v>84</v>
      </c>
      <c r="J61" s="20" t="s">
        <v>81</v>
      </c>
      <c r="K61" s="71"/>
      <c r="L61" s="20" t="s">
        <v>169</v>
      </c>
      <c r="M61" s="20"/>
      <c r="N61" s="20"/>
      <c r="O61" s="20"/>
      <c r="P61" s="20"/>
      <c r="Q61" s="20"/>
      <c r="R61" s="20"/>
      <c r="S61" s="20"/>
      <c r="T61" s="26"/>
      <c r="U61" s="17"/>
    </row>
    <row r="62" spans="1:21" x14ac:dyDescent="0.25">
      <c r="A62" s="2" t="str">
        <f>IFERROR(VLOOKUP(B62,Clientes!A:B,2,0),"")</f>
        <v/>
      </c>
      <c r="B62" s="20">
        <f t="shared" si="4"/>
        <v>48</v>
      </c>
      <c r="C62" s="52" t="s">
        <v>341</v>
      </c>
      <c r="D62" s="55" t="s">
        <v>342</v>
      </c>
      <c r="E62" s="2"/>
      <c r="F62" s="71">
        <v>10615</v>
      </c>
      <c r="G62" s="29" t="s">
        <v>64</v>
      </c>
      <c r="H62" s="20" t="s">
        <v>77</v>
      </c>
      <c r="I62" s="20" t="s">
        <v>84</v>
      </c>
      <c r="J62" s="20" t="s">
        <v>83</v>
      </c>
      <c r="K62" s="71"/>
      <c r="L62" s="20"/>
      <c r="M62" s="20"/>
      <c r="N62" s="20"/>
      <c r="O62" s="20"/>
      <c r="P62" s="20"/>
      <c r="Q62" s="20"/>
      <c r="R62" s="20"/>
      <c r="S62" s="20"/>
      <c r="T62" s="26"/>
      <c r="U62" s="17"/>
    </row>
    <row r="63" spans="1:21" x14ac:dyDescent="0.25">
      <c r="A63" s="2" t="str">
        <f>IFERROR(VLOOKUP(B63,Clientes!A:B,2,0),"")</f>
        <v/>
      </c>
      <c r="B63" s="20">
        <f t="shared" si="4"/>
        <v>49</v>
      </c>
      <c r="C63" s="52" t="s">
        <v>339</v>
      </c>
      <c r="D63" s="55" t="s">
        <v>340</v>
      </c>
      <c r="E63" s="2"/>
      <c r="F63" s="71">
        <v>10615</v>
      </c>
      <c r="G63" s="29" t="s">
        <v>285</v>
      </c>
      <c r="H63" s="20"/>
      <c r="I63" s="20" t="s">
        <v>84</v>
      </c>
      <c r="J63" s="20" t="s">
        <v>81</v>
      </c>
      <c r="K63" s="71"/>
      <c r="L63" s="20"/>
      <c r="M63" s="20"/>
      <c r="N63" s="20"/>
      <c r="O63" s="20"/>
      <c r="P63" s="20"/>
      <c r="Q63" s="20"/>
      <c r="R63" s="20"/>
      <c r="S63" s="20"/>
      <c r="T63" s="26"/>
      <c r="U63" s="17"/>
    </row>
    <row r="64" spans="1:21" x14ac:dyDescent="0.25">
      <c r="A64" s="2" t="str">
        <f>IFERROR(VLOOKUP(B64,Clientes!A:B,2,0),"")</f>
        <v/>
      </c>
      <c r="B64" s="20">
        <f t="shared" ref="B64:B70" si="5">B63+1</f>
        <v>50</v>
      </c>
      <c r="C64" s="52"/>
      <c r="D64" s="55"/>
      <c r="E64" s="2"/>
      <c r="F64" s="71"/>
      <c r="G64" s="29"/>
      <c r="H64" s="20"/>
      <c r="I64" s="20" t="s">
        <v>84</v>
      </c>
      <c r="J64" s="20"/>
      <c r="K64" s="71"/>
      <c r="L64" s="20"/>
      <c r="M64" s="20"/>
      <c r="N64" s="20"/>
      <c r="O64" s="20"/>
      <c r="P64" s="20"/>
      <c r="Q64" s="20"/>
      <c r="R64" s="20"/>
      <c r="S64" s="20"/>
      <c r="T64" s="26"/>
      <c r="U64" s="17"/>
    </row>
    <row r="65" spans="1:21" x14ac:dyDescent="0.25">
      <c r="A65" s="2" t="str">
        <f>IFERROR(VLOOKUP(B65,Clientes!A:B,2,0),"")</f>
        <v/>
      </c>
      <c r="B65" s="20">
        <f t="shared" si="5"/>
        <v>51</v>
      </c>
      <c r="C65" s="52"/>
      <c r="D65" s="55"/>
      <c r="E65" s="2"/>
      <c r="F65" s="71"/>
      <c r="G65" s="29"/>
      <c r="H65" s="20"/>
      <c r="I65" s="20" t="s">
        <v>84</v>
      </c>
      <c r="J65" s="20"/>
      <c r="K65" s="71"/>
      <c r="L65" s="20"/>
      <c r="M65" s="20"/>
      <c r="N65" s="20"/>
      <c r="O65" s="20"/>
      <c r="P65" s="20"/>
      <c r="Q65" s="20"/>
      <c r="R65" s="20"/>
      <c r="S65" s="20"/>
      <c r="T65" s="26"/>
      <c r="U65" s="17"/>
    </row>
    <row r="66" spans="1:21" x14ac:dyDescent="0.25">
      <c r="A66" s="2" t="str">
        <f>IFERROR(VLOOKUP(B66,Clientes!A:B,2,0),"")</f>
        <v/>
      </c>
      <c r="B66" s="20">
        <f t="shared" si="5"/>
        <v>52</v>
      </c>
      <c r="C66" s="52"/>
      <c r="D66" s="55"/>
      <c r="E66" s="2"/>
      <c r="F66" s="71"/>
      <c r="G66" s="29"/>
      <c r="H66" s="20"/>
      <c r="I66" s="20" t="s">
        <v>84</v>
      </c>
      <c r="J66" s="20"/>
      <c r="K66" s="71"/>
      <c r="L66" s="20"/>
      <c r="M66" s="20"/>
      <c r="N66" s="20"/>
      <c r="O66" s="20"/>
      <c r="P66" s="20"/>
      <c r="Q66" s="20"/>
      <c r="R66" s="20"/>
      <c r="S66" s="20"/>
      <c r="T66" s="26"/>
      <c r="U66" s="17"/>
    </row>
    <row r="67" spans="1:21" x14ac:dyDescent="0.25">
      <c r="A67" s="2" t="str">
        <f>IFERROR(VLOOKUP(B67,Clientes!A:B,2,0),"")</f>
        <v/>
      </c>
      <c r="B67" s="20">
        <f t="shared" si="5"/>
        <v>53</v>
      </c>
      <c r="C67" s="52"/>
      <c r="D67" s="55"/>
      <c r="E67" s="2"/>
      <c r="F67" s="71"/>
      <c r="G67" s="29"/>
      <c r="H67" s="20"/>
      <c r="I67" s="20" t="s">
        <v>84</v>
      </c>
      <c r="J67" s="20"/>
      <c r="K67" s="71"/>
      <c r="L67" s="20"/>
      <c r="M67" s="20"/>
      <c r="N67" s="20"/>
      <c r="O67" s="20"/>
      <c r="P67" s="20"/>
      <c r="Q67" s="20"/>
      <c r="R67" s="20"/>
      <c r="S67" s="20"/>
      <c r="T67" s="26"/>
      <c r="U67" s="17"/>
    </row>
    <row r="68" spans="1:21" x14ac:dyDescent="0.25">
      <c r="A68" s="2" t="str">
        <f>IFERROR(VLOOKUP(B68,Clientes!A:B,2,0),"")</f>
        <v/>
      </c>
      <c r="B68" s="20">
        <f t="shared" si="5"/>
        <v>54</v>
      </c>
      <c r="C68" s="52" t="s">
        <v>363</v>
      </c>
      <c r="D68" s="55" t="s">
        <v>275</v>
      </c>
      <c r="E68" s="2" t="s">
        <v>234</v>
      </c>
      <c r="F68" s="71">
        <v>30615</v>
      </c>
      <c r="G68" s="29" t="s">
        <v>56</v>
      </c>
      <c r="H68" s="20" t="s">
        <v>72</v>
      </c>
      <c r="I68" s="20" t="s">
        <v>84</v>
      </c>
      <c r="J68" s="20"/>
      <c r="K68" s="71"/>
      <c r="L68" s="20"/>
      <c r="M68" s="20"/>
      <c r="N68" s="20"/>
      <c r="O68" s="20"/>
      <c r="P68" s="20"/>
      <c r="Q68" s="20"/>
      <c r="R68" s="20"/>
      <c r="S68" s="20"/>
      <c r="T68" s="26"/>
      <c r="U68" s="17"/>
    </row>
    <row r="69" spans="1:21" x14ac:dyDescent="0.25">
      <c r="A69" s="2" t="str">
        <f>IFERROR(VLOOKUP(B69,Clientes!A:B,2,0),"")</f>
        <v/>
      </c>
      <c r="B69" s="20">
        <f t="shared" si="5"/>
        <v>55</v>
      </c>
      <c r="C69" s="52" t="s">
        <v>341</v>
      </c>
      <c r="D69" s="55" t="s">
        <v>342</v>
      </c>
      <c r="E69" s="2"/>
      <c r="F69" s="71">
        <v>30615</v>
      </c>
      <c r="G69" s="29" t="s">
        <v>69</v>
      </c>
      <c r="H69" s="20"/>
      <c r="I69" s="20" t="s">
        <v>84</v>
      </c>
      <c r="J69" s="20" t="s">
        <v>81</v>
      </c>
      <c r="K69" s="71"/>
      <c r="L69" s="20"/>
      <c r="M69" s="20"/>
      <c r="N69" s="20"/>
      <c r="O69" s="20"/>
      <c r="P69" s="20"/>
      <c r="Q69" s="20"/>
      <c r="R69" s="20"/>
      <c r="S69" s="20"/>
      <c r="T69" s="26"/>
      <c r="U69" s="17"/>
    </row>
    <row r="70" spans="1:21" x14ac:dyDescent="0.25">
      <c r="A70" s="2" t="str">
        <f>IFERROR(VLOOKUP(B70,Clientes!A:B,2,0),"")</f>
        <v/>
      </c>
      <c r="B70" s="20">
        <f t="shared" si="5"/>
        <v>56</v>
      </c>
      <c r="C70" s="52" t="s">
        <v>364</v>
      </c>
      <c r="D70" s="55" t="s">
        <v>365</v>
      </c>
      <c r="E70" s="2" t="s">
        <v>226</v>
      </c>
      <c r="F70" s="71">
        <v>50615</v>
      </c>
      <c r="G70" s="29"/>
      <c r="H70" s="20" t="s">
        <v>73</v>
      </c>
      <c r="I70" s="20" t="s">
        <v>84</v>
      </c>
      <c r="J70" s="20"/>
      <c r="K70" s="71"/>
      <c r="L70" s="20"/>
      <c r="M70" s="20"/>
      <c r="N70" s="20"/>
      <c r="O70" s="20"/>
      <c r="P70" s="20"/>
      <c r="Q70" s="20"/>
      <c r="R70" s="20"/>
      <c r="S70" s="20"/>
      <c r="T70" s="26"/>
      <c r="U70" s="17"/>
    </row>
    <row r="71" spans="1:21" x14ac:dyDescent="0.25">
      <c r="A71" s="2" t="str">
        <f>IFERROR(VLOOKUP(B71,Clientes!A:B,2,0),"")</f>
        <v/>
      </c>
      <c r="B71" s="20">
        <f t="shared" ref="B71:B75" si="6">B70+1</f>
        <v>57</v>
      </c>
      <c r="C71" s="52" t="s">
        <v>366</v>
      </c>
      <c r="D71" s="55" t="s">
        <v>367</v>
      </c>
      <c r="E71" s="2" t="s">
        <v>229</v>
      </c>
      <c r="F71" s="71">
        <v>50615</v>
      </c>
      <c r="G71" s="29" t="s">
        <v>59</v>
      </c>
      <c r="H71" s="20"/>
      <c r="I71" s="20" t="s">
        <v>84</v>
      </c>
      <c r="J71" s="20" t="s">
        <v>82</v>
      </c>
      <c r="K71" s="71"/>
      <c r="L71" s="20"/>
      <c r="M71" s="20"/>
      <c r="N71" s="20"/>
      <c r="O71" s="20"/>
      <c r="P71" s="20"/>
      <c r="Q71" s="20"/>
      <c r="R71" s="20"/>
      <c r="S71" s="20"/>
      <c r="T71" s="26"/>
      <c r="U71" s="17"/>
    </row>
    <row r="72" spans="1:21" x14ac:dyDescent="0.25">
      <c r="A72" s="2" t="str">
        <f>IFERROR(VLOOKUP(B72,Clientes!A:B,2,0),"")</f>
        <v/>
      </c>
      <c r="B72" s="20">
        <f t="shared" si="6"/>
        <v>58</v>
      </c>
      <c r="C72" s="52"/>
      <c r="D72" s="55"/>
      <c r="E72" s="2"/>
      <c r="F72" s="71"/>
      <c r="G72" s="29"/>
      <c r="H72" s="20"/>
      <c r="I72" s="20" t="s">
        <v>84</v>
      </c>
      <c r="J72" s="20"/>
      <c r="K72" s="71"/>
      <c r="L72" s="20"/>
      <c r="M72" s="20"/>
      <c r="N72" s="20"/>
      <c r="O72" s="20"/>
      <c r="P72" s="20"/>
      <c r="Q72" s="20"/>
      <c r="R72" s="20"/>
      <c r="S72" s="20"/>
      <c r="T72" s="26"/>
      <c r="U72" s="17"/>
    </row>
    <row r="73" spans="1:21" x14ac:dyDescent="0.25">
      <c r="A73" s="2" t="str">
        <f>IFERROR(VLOOKUP(B73,Clientes!A:B,2,0),"")</f>
        <v/>
      </c>
      <c r="B73" s="20">
        <f t="shared" si="6"/>
        <v>59</v>
      </c>
      <c r="C73" s="52" t="s">
        <v>373</v>
      </c>
      <c r="D73" s="55" t="s">
        <v>374</v>
      </c>
      <c r="E73" s="2"/>
      <c r="F73" s="71">
        <v>80615</v>
      </c>
      <c r="G73" s="29" t="s">
        <v>56</v>
      </c>
      <c r="H73" s="20" t="s">
        <v>73</v>
      </c>
      <c r="I73" s="20" t="s">
        <v>84</v>
      </c>
      <c r="J73" s="20" t="s">
        <v>81</v>
      </c>
      <c r="K73" s="71"/>
      <c r="L73" s="20"/>
      <c r="M73" s="20"/>
      <c r="N73" s="20"/>
      <c r="O73" s="20"/>
      <c r="P73" s="20"/>
      <c r="Q73" s="20"/>
      <c r="R73" s="20"/>
      <c r="S73" s="20"/>
      <c r="T73" s="26"/>
      <c r="U73" s="17"/>
    </row>
    <row r="74" spans="1:21" x14ac:dyDescent="0.25">
      <c r="A74" s="2" t="str">
        <f>IFERROR(VLOOKUP(B74,Clientes!A:B,2,0),"")</f>
        <v/>
      </c>
      <c r="B74" s="20">
        <f t="shared" si="6"/>
        <v>60</v>
      </c>
      <c r="C74" s="52" t="s">
        <v>363</v>
      </c>
      <c r="D74" s="55" t="s">
        <v>275</v>
      </c>
      <c r="E74" s="2"/>
      <c r="F74" s="71">
        <v>90615</v>
      </c>
      <c r="G74" s="29" t="s">
        <v>56</v>
      </c>
      <c r="H74" s="20" t="s">
        <v>73</v>
      </c>
      <c r="I74" s="20" t="s">
        <v>84</v>
      </c>
      <c r="J74" s="20" t="s">
        <v>1232</v>
      </c>
      <c r="K74" s="71"/>
      <c r="L74" s="20"/>
      <c r="M74" s="20"/>
      <c r="N74" s="20"/>
      <c r="O74" s="20"/>
      <c r="P74" s="20"/>
      <c r="Q74" s="20"/>
      <c r="R74" s="20"/>
      <c r="S74" s="20"/>
      <c r="T74" s="26"/>
      <c r="U74" s="17"/>
    </row>
    <row r="75" spans="1:21" x14ac:dyDescent="0.25">
      <c r="A75" s="2" t="str">
        <f>IFERROR(VLOOKUP(B75,Clientes!A:B,2,0),"")</f>
        <v/>
      </c>
      <c r="B75" s="20">
        <f t="shared" si="6"/>
        <v>61</v>
      </c>
      <c r="C75" s="52" t="s">
        <v>428</v>
      </c>
      <c r="D75" s="55" t="s">
        <v>429</v>
      </c>
      <c r="E75" s="2" t="s">
        <v>214</v>
      </c>
      <c r="F75" s="71">
        <v>110615</v>
      </c>
      <c r="G75" s="29" t="s">
        <v>56</v>
      </c>
      <c r="H75" s="20" t="s">
        <v>72</v>
      </c>
      <c r="I75" s="20" t="s">
        <v>84</v>
      </c>
      <c r="J75" s="20" t="s">
        <v>83</v>
      </c>
      <c r="K75" s="71"/>
      <c r="L75" s="20"/>
      <c r="M75" s="20"/>
      <c r="N75" s="20"/>
      <c r="O75" s="20"/>
      <c r="P75" s="20"/>
      <c r="Q75" s="20"/>
      <c r="R75" s="20"/>
      <c r="S75" s="20"/>
      <c r="T75" s="26"/>
      <c r="U75" s="17"/>
    </row>
    <row r="76" spans="1:21" x14ac:dyDescent="0.25">
      <c r="A76" s="2"/>
      <c r="B76" s="20" t="s">
        <v>455</v>
      </c>
      <c r="C76" s="52" t="s">
        <v>271</v>
      </c>
      <c r="D76" s="55" t="s">
        <v>272</v>
      </c>
      <c r="E76" s="2"/>
      <c r="F76" s="71">
        <v>110615</v>
      </c>
      <c r="G76" s="29" t="s">
        <v>58</v>
      </c>
      <c r="H76" s="20" t="s">
        <v>72</v>
      </c>
      <c r="I76" s="20" t="s">
        <v>84</v>
      </c>
      <c r="J76" s="20" t="s">
        <v>81</v>
      </c>
      <c r="K76" s="71"/>
      <c r="L76" s="20" t="s">
        <v>137</v>
      </c>
      <c r="M76" s="20"/>
      <c r="N76" s="20"/>
      <c r="O76" s="20"/>
      <c r="P76" s="20"/>
      <c r="Q76" s="20"/>
      <c r="R76" s="20"/>
      <c r="S76" s="20"/>
      <c r="T76" s="26"/>
      <c r="U76" s="17"/>
    </row>
    <row r="77" spans="1:21" x14ac:dyDescent="0.25">
      <c r="A77" s="2" t="str">
        <f>IFERROR(VLOOKUP(B77,Clientes!A:B,2,0),"")</f>
        <v/>
      </c>
      <c r="B77" s="20">
        <f>B75+1</f>
        <v>62</v>
      </c>
      <c r="C77" s="52" t="s">
        <v>419</v>
      </c>
      <c r="D77" s="55" t="s">
        <v>420</v>
      </c>
      <c r="E77" s="2" t="s">
        <v>228</v>
      </c>
      <c r="F77" s="71">
        <v>110615</v>
      </c>
      <c r="G77" s="29" t="s">
        <v>57</v>
      </c>
      <c r="H77" s="20"/>
      <c r="I77" s="20" t="s">
        <v>84</v>
      </c>
      <c r="J77" s="20" t="s">
        <v>83</v>
      </c>
      <c r="K77" s="71"/>
      <c r="L77" s="20" t="s">
        <v>137</v>
      </c>
      <c r="M77" s="20"/>
      <c r="N77" s="20"/>
      <c r="O77" s="20"/>
      <c r="P77" s="20"/>
      <c r="Q77" s="20"/>
      <c r="R77" s="20"/>
      <c r="S77" s="20"/>
      <c r="T77" s="26"/>
      <c r="U77" s="17"/>
    </row>
    <row r="78" spans="1:21" x14ac:dyDescent="0.25">
      <c r="A78" s="2"/>
      <c r="B78" s="20" t="s">
        <v>421</v>
      </c>
      <c r="C78" s="52" t="s">
        <v>422</v>
      </c>
      <c r="D78" s="55" t="s">
        <v>423</v>
      </c>
      <c r="E78" s="2" t="s">
        <v>219</v>
      </c>
      <c r="F78" s="71">
        <v>110615</v>
      </c>
      <c r="G78" s="29" t="s">
        <v>58</v>
      </c>
      <c r="H78" s="20" t="s">
        <v>72</v>
      </c>
      <c r="I78" s="20" t="s">
        <v>84</v>
      </c>
      <c r="J78" s="20" t="s">
        <v>81</v>
      </c>
      <c r="K78" s="71"/>
      <c r="L78" s="20" t="s">
        <v>145</v>
      </c>
      <c r="M78" s="20"/>
      <c r="N78" s="20" t="s">
        <v>39</v>
      </c>
      <c r="O78" s="20"/>
      <c r="P78" s="20" t="s">
        <v>39</v>
      </c>
      <c r="Q78" s="20"/>
      <c r="R78" s="20"/>
      <c r="S78" s="20"/>
      <c r="T78" s="26"/>
      <c r="U78" s="17"/>
    </row>
    <row r="79" spans="1:21" x14ac:dyDescent="0.25">
      <c r="A79" s="2" t="str">
        <f>IFERROR(VLOOKUP(B79,Clientes!A:B,2,0),"")</f>
        <v/>
      </c>
      <c r="B79" s="20">
        <f>B77+1</f>
        <v>63</v>
      </c>
      <c r="C79" s="52" t="s">
        <v>426</v>
      </c>
      <c r="D79" s="55" t="s">
        <v>427</v>
      </c>
      <c r="E79" s="2" t="s">
        <v>239</v>
      </c>
      <c r="F79" s="71">
        <v>120615</v>
      </c>
      <c r="G79" s="29" t="s">
        <v>64</v>
      </c>
      <c r="H79" s="20" t="s">
        <v>77</v>
      </c>
      <c r="I79" s="20" t="s">
        <v>84</v>
      </c>
      <c r="J79" s="20" t="s">
        <v>81</v>
      </c>
      <c r="K79" s="71"/>
      <c r="L79" s="20"/>
      <c r="M79" s="20"/>
      <c r="N79" s="20"/>
      <c r="O79" s="20"/>
      <c r="P79" s="20"/>
      <c r="Q79" s="20"/>
      <c r="R79" s="20"/>
      <c r="S79" s="20"/>
      <c r="T79" s="26"/>
      <c r="U79" s="17"/>
    </row>
    <row r="80" spans="1:21" x14ac:dyDescent="0.25">
      <c r="A80" s="2" t="str">
        <f>IFERROR(VLOOKUP(B80,Clientes!A:B,2,0),"")</f>
        <v/>
      </c>
      <c r="B80" s="20">
        <f t="shared" ref="B80:B91" si="7">B79+1</f>
        <v>64</v>
      </c>
      <c r="C80" s="52" t="s">
        <v>424</v>
      </c>
      <c r="D80" s="55" t="s">
        <v>425</v>
      </c>
      <c r="E80" s="2" t="s">
        <v>218</v>
      </c>
      <c r="F80" s="71">
        <v>120615</v>
      </c>
      <c r="G80" s="29" t="s">
        <v>64</v>
      </c>
      <c r="H80" s="20" t="s">
        <v>77</v>
      </c>
      <c r="I80" s="20" t="s">
        <v>84</v>
      </c>
      <c r="J80" s="20" t="s">
        <v>81</v>
      </c>
      <c r="K80" s="71"/>
      <c r="L80" s="20"/>
      <c r="M80" s="20"/>
      <c r="N80" s="20"/>
      <c r="O80" s="20"/>
      <c r="P80" s="20"/>
      <c r="Q80" s="20"/>
      <c r="R80" s="20"/>
      <c r="S80" s="20"/>
      <c r="T80" s="26"/>
      <c r="U80" s="17"/>
    </row>
    <row r="81" spans="1:21" x14ac:dyDescent="0.25">
      <c r="A81" s="2" t="str">
        <f>IFERROR(VLOOKUP(B81,Clientes!A:B,2,0),"")</f>
        <v/>
      </c>
      <c r="B81" s="20">
        <f t="shared" si="7"/>
        <v>65</v>
      </c>
      <c r="C81" s="52" t="s">
        <v>317</v>
      </c>
      <c r="D81" s="55" t="s">
        <v>318</v>
      </c>
      <c r="E81" s="2" t="s">
        <v>225</v>
      </c>
      <c r="F81" s="71">
        <v>150615</v>
      </c>
      <c r="G81" s="29" t="s">
        <v>56</v>
      </c>
      <c r="H81" s="20" t="s">
        <v>72</v>
      </c>
      <c r="I81" s="20" t="s">
        <v>84</v>
      </c>
      <c r="J81" s="20" t="s">
        <v>83</v>
      </c>
      <c r="K81" s="71"/>
      <c r="L81" s="20"/>
      <c r="M81" s="20"/>
      <c r="N81" s="20"/>
      <c r="O81" s="20"/>
      <c r="P81" s="20"/>
      <c r="Q81" s="20"/>
      <c r="R81" s="20"/>
      <c r="S81" s="20"/>
      <c r="T81" s="26"/>
      <c r="U81" s="17"/>
    </row>
    <row r="82" spans="1:21" x14ac:dyDescent="0.25">
      <c r="A82" s="2" t="str">
        <f>IFERROR(VLOOKUP(B82,Clientes!A:B,2,0),"")</f>
        <v/>
      </c>
      <c r="B82" s="20">
        <f t="shared" si="7"/>
        <v>66</v>
      </c>
      <c r="C82" s="52"/>
      <c r="D82" s="55"/>
      <c r="E82" s="2"/>
      <c r="F82" s="71"/>
      <c r="G82" s="29"/>
      <c r="H82" s="20"/>
      <c r="I82" s="20" t="s">
        <v>84</v>
      </c>
      <c r="J82" s="20"/>
      <c r="K82" s="71"/>
      <c r="L82" s="20"/>
      <c r="M82" s="20"/>
      <c r="N82" s="20"/>
      <c r="O82" s="20"/>
      <c r="P82" s="20"/>
      <c r="Q82" s="20"/>
      <c r="R82" s="20"/>
      <c r="S82" s="20"/>
      <c r="T82" s="26"/>
      <c r="U82" s="17"/>
    </row>
    <row r="83" spans="1:21" x14ac:dyDescent="0.25">
      <c r="A83" s="2" t="str">
        <f>IFERROR(VLOOKUP(B83,Clientes!A:B,2,0),"")</f>
        <v/>
      </c>
      <c r="B83" s="20">
        <f t="shared" si="7"/>
        <v>67</v>
      </c>
      <c r="C83" s="52" t="s">
        <v>485</v>
      </c>
      <c r="D83" s="55" t="s">
        <v>486</v>
      </c>
      <c r="E83" s="2" t="s">
        <v>225</v>
      </c>
      <c r="F83" s="71">
        <v>150615</v>
      </c>
      <c r="G83" s="29" t="s">
        <v>58</v>
      </c>
      <c r="H83" s="20" t="s">
        <v>72</v>
      </c>
      <c r="I83" s="20" t="s">
        <v>84</v>
      </c>
      <c r="J83" s="20" t="s">
        <v>81</v>
      </c>
      <c r="K83" s="71"/>
      <c r="L83" s="20" t="s">
        <v>20</v>
      </c>
      <c r="M83" s="20"/>
      <c r="N83" s="20"/>
      <c r="O83" s="20"/>
      <c r="P83" s="20"/>
      <c r="Q83" s="20"/>
      <c r="R83" s="20"/>
      <c r="S83" s="20"/>
      <c r="T83" s="26"/>
      <c r="U83" s="17"/>
    </row>
    <row r="84" spans="1:21" x14ac:dyDescent="0.25">
      <c r="A84" s="2" t="str">
        <f>IFERROR(VLOOKUP(B84,Clientes!A:B,2,0),"")</f>
        <v/>
      </c>
      <c r="B84" s="20">
        <f t="shared" si="7"/>
        <v>68</v>
      </c>
      <c r="C84" s="52" t="s">
        <v>438</v>
      </c>
      <c r="D84" s="55" t="s">
        <v>439</v>
      </c>
      <c r="E84" s="2" t="s">
        <v>238</v>
      </c>
      <c r="F84" s="71">
        <v>150615</v>
      </c>
      <c r="G84" s="29" t="s">
        <v>57</v>
      </c>
      <c r="H84" s="20"/>
      <c r="I84" s="20" t="s">
        <v>84</v>
      </c>
      <c r="J84" s="20" t="s">
        <v>81</v>
      </c>
      <c r="K84" s="71"/>
      <c r="L84" s="20" t="s">
        <v>40</v>
      </c>
      <c r="M84" s="20"/>
      <c r="N84" s="20"/>
      <c r="O84" s="20"/>
      <c r="P84" s="20"/>
      <c r="Q84" s="20"/>
      <c r="R84" s="20"/>
      <c r="S84" s="20"/>
      <c r="T84" s="26" t="s">
        <v>750</v>
      </c>
      <c r="U84" s="17"/>
    </row>
    <row r="85" spans="1:21" x14ac:dyDescent="0.25">
      <c r="A85" s="2" t="str">
        <f>IFERROR(VLOOKUP(B85,Clientes!A:B,2,0),"")</f>
        <v/>
      </c>
      <c r="B85" s="20">
        <f t="shared" si="7"/>
        <v>69</v>
      </c>
      <c r="C85" s="52"/>
      <c r="D85" s="55" t="s">
        <v>1231</v>
      </c>
      <c r="E85" s="2"/>
      <c r="F85" s="71"/>
      <c r="G85" s="29" t="s">
        <v>56</v>
      </c>
      <c r="H85" s="20" t="s">
        <v>72</v>
      </c>
      <c r="I85" s="20" t="s">
        <v>84</v>
      </c>
      <c r="J85" s="20" t="s">
        <v>83</v>
      </c>
      <c r="K85" s="71"/>
      <c r="L85" s="20"/>
      <c r="M85" s="20"/>
      <c r="N85" s="20"/>
      <c r="O85" s="20"/>
      <c r="P85" s="20"/>
      <c r="Q85" s="20"/>
      <c r="R85" s="20"/>
      <c r="S85" s="20"/>
      <c r="T85" s="26"/>
      <c r="U85" s="17"/>
    </row>
    <row r="86" spans="1:21" x14ac:dyDescent="0.25">
      <c r="A86" s="2" t="str">
        <f>IFERROR(VLOOKUP(B86,Clientes!A:B,2,0),"")</f>
        <v/>
      </c>
      <c r="B86" s="20">
        <f t="shared" si="7"/>
        <v>70</v>
      </c>
      <c r="C86" s="52" t="s">
        <v>452</v>
      </c>
      <c r="D86" s="55" t="s">
        <v>453</v>
      </c>
      <c r="E86" s="2" t="s">
        <v>235</v>
      </c>
      <c r="F86" s="71">
        <v>150615</v>
      </c>
      <c r="G86" s="29" t="s">
        <v>65</v>
      </c>
      <c r="H86" s="20"/>
      <c r="I86" s="20" t="s">
        <v>84</v>
      </c>
      <c r="J86" s="20" t="s">
        <v>83</v>
      </c>
      <c r="K86" s="71"/>
      <c r="L86" s="20"/>
      <c r="M86" s="20"/>
      <c r="N86" s="20"/>
      <c r="O86" s="20"/>
      <c r="P86" s="20"/>
      <c r="Q86" s="20"/>
      <c r="R86" s="20"/>
      <c r="S86" s="20"/>
      <c r="T86" s="26" t="s">
        <v>454</v>
      </c>
      <c r="U86" s="17"/>
    </row>
    <row r="87" spans="1:21" x14ac:dyDescent="0.25">
      <c r="A87" s="2" t="str">
        <f>IFERROR(VLOOKUP(B87,Clientes!A:B,2,0),"")</f>
        <v/>
      </c>
      <c r="B87" s="20">
        <f t="shared" si="7"/>
        <v>71</v>
      </c>
      <c r="C87" s="52" t="s">
        <v>297</v>
      </c>
      <c r="D87" s="55" t="s">
        <v>298</v>
      </c>
      <c r="E87" s="2" t="s">
        <v>223</v>
      </c>
      <c r="F87" s="71">
        <v>150615</v>
      </c>
      <c r="G87" s="29" t="s">
        <v>56</v>
      </c>
      <c r="H87" s="20" t="s">
        <v>74</v>
      </c>
      <c r="I87" s="20" t="s">
        <v>84</v>
      </c>
      <c r="J87" s="20" t="s">
        <v>83</v>
      </c>
      <c r="K87" s="71"/>
      <c r="L87" s="20"/>
      <c r="M87" s="20"/>
      <c r="N87" s="20"/>
      <c r="O87" s="20"/>
      <c r="P87" s="20"/>
      <c r="Q87" s="20"/>
      <c r="R87" s="20"/>
      <c r="S87" s="20"/>
      <c r="T87" s="26"/>
      <c r="U87" s="17"/>
    </row>
    <row r="88" spans="1:21" x14ac:dyDescent="0.25">
      <c r="A88" s="2" t="str">
        <f>IFERROR(VLOOKUP(B88,Clientes!A:B,2,0),"")</f>
        <v/>
      </c>
      <c r="B88" s="20">
        <f t="shared" si="7"/>
        <v>72</v>
      </c>
      <c r="C88" s="52" t="s">
        <v>435</v>
      </c>
      <c r="D88" s="55" t="s">
        <v>436</v>
      </c>
      <c r="E88" s="2" t="s">
        <v>236</v>
      </c>
      <c r="F88" s="71">
        <v>150615</v>
      </c>
      <c r="G88" s="29" t="s">
        <v>56</v>
      </c>
      <c r="H88" s="20"/>
      <c r="I88" s="20" t="s">
        <v>84</v>
      </c>
      <c r="J88" s="20" t="s">
        <v>83</v>
      </c>
      <c r="K88" s="71"/>
      <c r="L88" s="20"/>
      <c r="M88" s="20"/>
      <c r="N88" s="20"/>
      <c r="O88" s="20"/>
      <c r="P88" s="20"/>
      <c r="Q88" s="20"/>
      <c r="R88" s="20"/>
      <c r="S88" s="20"/>
      <c r="T88" s="26" t="s">
        <v>437</v>
      </c>
      <c r="U88" s="17"/>
    </row>
    <row r="89" spans="1:21" x14ac:dyDescent="0.25">
      <c r="A89" s="2" t="str">
        <f>IFERROR(VLOOKUP(B89,Clientes!A:B,2,0),"")</f>
        <v/>
      </c>
      <c r="B89" s="20">
        <f t="shared" si="7"/>
        <v>73</v>
      </c>
      <c r="C89" s="52"/>
      <c r="D89" s="55"/>
      <c r="E89" s="2"/>
      <c r="F89" s="71"/>
      <c r="G89" s="29"/>
      <c r="H89" s="20"/>
      <c r="I89" s="20" t="s">
        <v>84</v>
      </c>
      <c r="J89" s="20"/>
      <c r="K89" s="71"/>
      <c r="L89" s="20"/>
      <c r="M89" s="20"/>
      <c r="N89" s="20"/>
      <c r="O89" s="20"/>
      <c r="P89" s="20"/>
      <c r="Q89" s="20"/>
      <c r="R89" s="20"/>
      <c r="S89" s="20"/>
      <c r="T89" s="26"/>
      <c r="U89" s="17"/>
    </row>
    <row r="90" spans="1:21" x14ac:dyDescent="0.25">
      <c r="A90" s="2" t="str">
        <f>IFERROR(VLOOKUP(B90,Clientes!A:B,2,0),"")</f>
        <v/>
      </c>
      <c r="B90" s="20">
        <f t="shared" si="7"/>
        <v>74</v>
      </c>
      <c r="C90" s="52"/>
      <c r="D90" s="55"/>
      <c r="E90" s="2"/>
      <c r="F90" s="71"/>
      <c r="G90" s="29"/>
      <c r="H90" s="20"/>
      <c r="I90" s="20" t="s">
        <v>84</v>
      </c>
      <c r="J90" s="20"/>
      <c r="K90" s="71"/>
      <c r="L90" s="20"/>
      <c r="M90" s="20"/>
      <c r="N90" s="20"/>
      <c r="O90" s="20"/>
      <c r="P90" s="20"/>
      <c r="Q90" s="20"/>
      <c r="R90" s="20"/>
      <c r="S90" s="20"/>
      <c r="T90" s="26"/>
      <c r="U90" s="17"/>
    </row>
    <row r="91" spans="1:21" x14ac:dyDescent="0.25">
      <c r="A91" s="2" t="str">
        <f>IFERROR(VLOOKUP(B91,Clientes!A:B,2,0),"")</f>
        <v/>
      </c>
      <c r="B91" s="20">
        <f t="shared" si="7"/>
        <v>75</v>
      </c>
      <c r="C91" s="52" t="s">
        <v>433</v>
      </c>
      <c r="D91" s="55" t="s">
        <v>434</v>
      </c>
      <c r="E91" s="2" t="s">
        <v>223</v>
      </c>
      <c r="F91" s="71">
        <v>150615</v>
      </c>
      <c r="G91" s="29" t="s">
        <v>57</v>
      </c>
      <c r="H91" s="20"/>
      <c r="I91" s="20" t="s">
        <v>84</v>
      </c>
      <c r="J91" s="20" t="s">
        <v>81</v>
      </c>
      <c r="K91" s="71"/>
      <c r="L91" s="20" t="s">
        <v>169</v>
      </c>
      <c r="M91" s="20"/>
      <c r="N91" s="20"/>
      <c r="O91" s="20"/>
      <c r="P91" s="20"/>
      <c r="Q91" s="20"/>
      <c r="R91" s="20"/>
      <c r="S91" s="20"/>
      <c r="T91" s="26"/>
      <c r="U91" s="17"/>
    </row>
    <row r="92" spans="1:21" x14ac:dyDescent="0.25">
      <c r="A92" s="2" t="str">
        <f>IFERROR(VLOOKUP(B92,Clientes!A:B,2,0),"")</f>
        <v/>
      </c>
      <c r="B92" s="20">
        <f t="shared" ref="B92:B98" si="8">B91+1</f>
        <v>76</v>
      </c>
      <c r="C92" s="52" t="s">
        <v>450</v>
      </c>
      <c r="D92" s="55" t="s">
        <v>451</v>
      </c>
      <c r="E92" s="2" t="s">
        <v>235</v>
      </c>
      <c r="F92" s="71">
        <v>160615</v>
      </c>
      <c r="G92" s="29" t="s">
        <v>57</v>
      </c>
      <c r="H92" s="20"/>
      <c r="I92" s="20" t="s">
        <v>84</v>
      </c>
      <c r="J92" s="20" t="s">
        <v>83</v>
      </c>
      <c r="K92" s="71"/>
      <c r="L92" s="20" t="s">
        <v>168</v>
      </c>
      <c r="M92" s="20"/>
      <c r="N92" s="20"/>
      <c r="O92" s="20"/>
      <c r="P92" s="20"/>
      <c r="Q92" s="20"/>
      <c r="R92" s="20"/>
      <c r="S92" s="20"/>
      <c r="T92" s="26"/>
      <c r="U92" s="17"/>
    </row>
    <row r="93" spans="1:21" x14ac:dyDescent="0.25">
      <c r="A93" s="2"/>
      <c r="B93" s="20" t="s">
        <v>489</v>
      </c>
      <c r="C93" s="52" t="s">
        <v>490</v>
      </c>
      <c r="D93" s="55" t="s">
        <v>491</v>
      </c>
      <c r="E93" s="2" t="s">
        <v>222</v>
      </c>
      <c r="F93" s="71">
        <v>160615</v>
      </c>
      <c r="G93" s="29" t="s">
        <v>58</v>
      </c>
      <c r="H93" s="20" t="s">
        <v>72</v>
      </c>
      <c r="I93" s="20" t="s">
        <v>84</v>
      </c>
      <c r="J93" s="20" t="s">
        <v>81</v>
      </c>
      <c r="K93" s="71"/>
      <c r="L93" s="20" t="s">
        <v>21</v>
      </c>
      <c r="M93" s="20"/>
      <c r="N93" s="20"/>
      <c r="O93" s="20"/>
      <c r="P93" s="20"/>
      <c r="Q93" s="20"/>
      <c r="R93" s="20"/>
      <c r="S93" s="20"/>
      <c r="T93" s="26"/>
      <c r="U93" s="17"/>
    </row>
    <row r="94" spans="1:21" x14ac:dyDescent="0.25">
      <c r="A94" s="2" t="str">
        <f>IFERROR(VLOOKUP(B94,Clientes!A:B,2,0),"")</f>
        <v/>
      </c>
      <c r="B94" s="20">
        <f>B92+1</f>
        <v>77</v>
      </c>
      <c r="C94" s="52" t="s">
        <v>930</v>
      </c>
      <c r="D94" s="55" t="s">
        <v>931</v>
      </c>
      <c r="E94" s="2"/>
      <c r="F94" s="71">
        <v>160615</v>
      </c>
      <c r="G94" s="29" t="s">
        <v>56</v>
      </c>
      <c r="H94" s="20"/>
      <c r="I94" s="20" t="s">
        <v>84</v>
      </c>
      <c r="J94" s="20" t="s">
        <v>82</v>
      </c>
      <c r="K94" s="71"/>
      <c r="L94" s="20"/>
      <c r="M94" s="20"/>
      <c r="N94" s="20"/>
      <c r="O94" s="20"/>
      <c r="P94" s="20"/>
      <c r="Q94" s="20"/>
      <c r="R94" s="20"/>
      <c r="S94" s="20"/>
      <c r="T94" s="26"/>
      <c r="U94" s="17"/>
    </row>
    <row r="95" spans="1:21" x14ac:dyDescent="0.25">
      <c r="A95" s="2" t="str">
        <f>IFERROR(VLOOKUP(B95,Clientes!A:B,2,0),"")</f>
        <v/>
      </c>
      <c r="B95" s="20">
        <f t="shared" si="8"/>
        <v>78</v>
      </c>
      <c r="C95" s="52" t="s">
        <v>258</v>
      </c>
      <c r="D95" s="55" t="s">
        <v>259</v>
      </c>
      <c r="E95" s="2" t="s">
        <v>233</v>
      </c>
      <c r="F95" s="71">
        <v>160615</v>
      </c>
      <c r="G95" s="29" t="s">
        <v>58</v>
      </c>
      <c r="H95" s="20" t="s">
        <v>72</v>
      </c>
      <c r="I95" s="20" t="s">
        <v>84</v>
      </c>
      <c r="J95" s="20" t="s">
        <v>81</v>
      </c>
      <c r="K95" s="71"/>
      <c r="L95" s="20" t="s">
        <v>139</v>
      </c>
      <c r="M95" s="20"/>
      <c r="N95" s="20"/>
      <c r="O95" s="20"/>
      <c r="P95" s="20"/>
      <c r="Q95" s="20"/>
      <c r="R95" s="20"/>
      <c r="S95" s="20"/>
      <c r="T95" s="26"/>
      <c r="U95" s="17"/>
    </row>
    <row r="96" spans="1:21" x14ac:dyDescent="0.25">
      <c r="A96" s="2" t="str">
        <f>IFERROR(VLOOKUP(B96,Clientes!A:B,2,0),"")</f>
        <v/>
      </c>
      <c r="B96" s="20">
        <f t="shared" si="8"/>
        <v>79</v>
      </c>
      <c r="C96" s="52" t="s">
        <v>448</v>
      </c>
      <c r="D96" s="55" t="s">
        <v>449</v>
      </c>
      <c r="E96" s="2" t="s">
        <v>223</v>
      </c>
      <c r="F96" s="71">
        <v>160615</v>
      </c>
      <c r="G96" s="29" t="s">
        <v>56</v>
      </c>
      <c r="H96" s="20" t="s">
        <v>74</v>
      </c>
      <c r="I96" s="20" t="s">
        <v>84</v>
      </c>
      <c r="J96" s="20" t="s">
        <v>83</v>
      </c>
      <c r="K96" s="71"/>
      <c r="L96" s="20"/>
      <c r="M96" s="20"/>
      <c r="N96" s="20"/>
      <c r="O96" s="20"/>
      <c r="P96" s="20"/>
      <c r="Q96" s="20"/>
      <c r="R96" s="20"/>
      <c r="S96" s="20"/>
      <c r="T96" s="26"/>
      <c r="U96" s="17"/>
    </row>
    <row r="97" spans="1:21" x14ac:dyDescent="0.25">
      <c r="A97" s="2" t="str">
        <f>IFERROR(VLOOKUP(B97,Clientes!A:B,2,0),"")</f>
        <v/>
      </c>
      <c r="B97" s="20">
        <f t="shared" si="8"/>
        <v>80</v>
      </c>
      <c r="C97" s="52" t="s">
        <v>444</v>
      </c>
      <c r="D97" s="55" t="s">
        <v>445</v>
      </c>
      <c r="E97" s="2" t="s">
        <v>235</v>
      </c>
      <c r="F97" s="71">
        <v>160615</v>
      </c>
      <c r="G97" s="29" t="s">
        <v>58</v>
      </c>
      <c r="H97" s="20" t="s">
        <v>72</v>
      </c>
      <c r="I97" s="20" t="s">
        <v>84</v>
      </c>
      <c r="J97" s="20" t="s">
        <v>81</v>
      </c>
      <c r="K97" s="71"/>
      <c r="L97" s="20" t="s">
        <v>168</v>
      </c>
      <c r="M97" s="20"/>
      <c r="N97" s="20" t="s">
        <v>150</v>
      </c>
      <c r="O97" s="20"/>
      <c r="P97" s="20"/>
      <c r="Q97" s="20"/>
      <c r="R97" s="20"/>
      <c r="S97" s="20"/>
      <c r="T97" s="26"/>
      <c r="U97" s="17"/>
    </row>
    <row r="98" spans="1:21" x14ac:dyDescent="0.25">
      <c r="A98" s="2" t="str">
        <f>IFERROR(VLOOKUP(B98,Clientes!A:B,2,0),"")</f>
        <v/>
      </c>
      <c r="B98" s="20">
        <f t="shared" si="8"/>
        <v>81</v>
      </c>
      <c r="C98" s="52" t="s">
        <v>446</v>
      </c>
      <c r="D98" s="55" t="s">
        <v>447</v>
      </c>
      <c r="E98" s="2" t="s">
        <v>235</v>
      </c>
      <c r="F98" s="71">
        <v>160615</v>
      </c>
      <c r="G98" s="29" t="s">
        <v>57</v>
      </c>
      <c r="H98" s="20"/>
      <c r="I98" s="20" t="s">
        <v>84</v>
      </c>
      <c r="J98" s="20" t="s">
        <v>83</v>
      </c>
      <c r="K98" s="71"/>
      <c r="L98" s="20" t="s">
        <v>168</v>
      </c>
      <c r="M98" s="20"/>
      <c r="N98" s="20"/>
      <c r="O98" s="20"/>
      <c r="P98" s="20"/>
      <c r="Q98" s="20"/>
      <c r="R98" s="20"/>
      <c r="S98" s="20"/>
      <c r="T98" s="26"/>
      <c r="U98" s="17"/>
    </row>
    <row r="99" spans="1:21" x14ac:dyDescent="0.25">
      <c r="A99" s="2" t="str">
        <f>IFERROR(VLOOKUP(B99,Clientes!A:B,2,0),"")</f>
        <v/>
      </c>
      <c r="B99" s="20">
        <f t="shared" ref="B99:B102" si="9">B98+1</f>
        <v>82</v>
      </c>
      <c r="C99" s="52" t="s">
        <v>492</v>
      </c>
      <c r="D99" s="55" t="s">
        <v>493</v>
      </c>
      <c r="E99" s="2" t="s">
        <v>214</v>
      </c>
      <c r="F99" s="71">
        <v>170615</v>
      </c>
      <c r="G99" s="29" t="s">
        <v>58</v>
      </c>
      <c r="H99" s="20" t="s">
        <v>72</v>
      </c>
      <c r="I99" s="20" t="s">
        <v>84</v>
      </c>
      <c r="J99" s="20" t="s">
        <v>81</v>
      </c>
      <c r="K99" s="71"/>
      <c r="L99" s="20" t="s">
        <v>33</v>
      </c>
      <c r="M99" s="20"/>
      <c r="N99" s="20"/>
      <c r="O99" s="20"/>
      <c r="P99" s="20"/>
      <c r="Q99" s="20"/>
      <c r="R99" s="20"/>
      <c r="S99" s="20"/>
      <c r="T99" s="26"/>
      <c r="U99" s="17"/>
    </row>
    <row r="100" spans="1:21" x14ac:dyDescent="0.25">
      <c r="A100" s="2" t="str">
        <f>IFERROR(VLOOKUP(B100,Clientes!A:B,2,0),"")</f>
        <v/>
      </c>
      <c r="B100" s="20">
        <f t="shared" si="9"/>
        <v>83</v>
      </c>
      <c r="C100" s="52" t="s">
        <v>464</v>
      </c>
      <c r="D100" s="55" t="s">
        <v>465</v>
      </c>
      <c r="E100" s="2" t="s">
        <v>218</v>
      </c>
      <c r="F100" s="71">
        <v>170615</v>
      </c>
      <c r="G100" s="29" t="s">
        <v>58</v>
      </c>
      <c r="H100" s="20" t="s">
        <v>72</v>
      </c>
      <c r="I100" s="20" t="s">
        <v>84</v>
      </c>
      <c r="J100" s="20" t="s">
        <v>81</v>
      </c>
      <c r="K100" s="71"/>
      <c r="L100" s="20"/>
      <c r="M100" s="20"/>
      <c r="N100" s="20"/>
      <c r="O100" s="20"/>
      <c r="P100" s="20"/>
      <c r="Q100" s="20"/>
      <c r="R100" s="20"/>
      <c r="S100" s="20"/>
      <c r="T100" s="26"/>
      <c r="U100" s="17"/>
    </row>
    <row r="101" spans="1:21" x14ac:dyDescent="0.25">
      <c r="A101" s="2" t="str">
        <f>IFERROR(VLOOKUP(B101,Clientes!A:B,2,0),"")</f>
        <v/>
      </c>
      <c r="B101" s="20">
        <f t="shared" si="9"/>
        <v>84</v>
      </c>
      <c r="C101" s="52" t="s">
        <v>462</v>
      </c>
      <c r="D101" s="55" t="s">
        <v>463</v>
      </c>
      <c r="E101" s="2" t="s">
        <v>222</v>
      </c>
      <c r="F101" s="71">
        <v>170615</v>
      </c>
      <c r="G101" s="29" t="s">
        <v>56</v>
      </c>
      <c r="H101" s="20" t="s">
        <v>72</v>
      </c>
      <c r="I101" s="20" t="s">
        <v>84</v>
      </c>
      <c r="J101" s="20" t="s">
        <v>83</v>
      </c>
      <c r="K101" s="71"/>
      <c r="L101" s="20"/>
      <c r="M101" s="20"/>
      <c r="N101" s="20"/>
      <c r="O101" s="20"/>
      <c r="P101" s="20"/>
      <c r="Q101" s="20"/>
      <c r="R101" s="20"/>
      <c r="S101" s="20"/>
      <c r="T101" s="26"/>
      <c r="U101" s="17"/>
    </row>
    <row r="102" spans="1:21" x14ac:dyDescent="0.25">
      <c r="A102" s="2" t="str">
        <f>IFERROR(VLOOKUP(B102,Clientes!A:B,2,0),"")</f>
        <v/>
      </c>
      <c r="B102" s="20">
        <f t="shared" si="9"/>
        <v>85</v>
      </c>
      <c r="C102" s="52" t="s">
        <v>460</v>
      </c>
      <c r="D102" s="55" t="s">
        <v>461</v>
      </c>
      <c r="E102" s="2" t="s">
        <v>224</v>
      </c>
      <c r="F102" s="71">
        <v>170615</v>
      </c>
      <c r="G102" s="29" t="s">
        <v>56</v>
      </c>
      <c r="H102" s="20" t="s">
        <v>74</v>
      </c>
      <c r="I102" s="20" t="s">
        <v>84</v>
      </c>
      <c r="J102" s="20" t="s">
        <v>83</v>
      </c>
      <c r="K102" s="71"/>
      <c r="L102" s="20"/>
      <c r="M102" s="20"/>
      <c r="N102" s="20"/>
      <c r="O102" s="20"/>
      <c r="P102" s="20"/>
      <c r="Q102" s="20"/>
      <c r="R102" s="20"/>
      <c r="S102" s="20"/>
      <c r="T102" s="26"/>
      <c r="U102" s="17"/>
    </row>
    <row r="103" spans="1:21" x14ac:dyDescent="0.25">
      <c r="A103" s="2" t="str">
        <f>IFERROR(VLOOKUP(B103,Clientes!A:B,2,0),"")</f>
        <v/>
      </c>
      <c r="B103" s="20">
        <f>B102+1</f>
        <v>86</v>
      </c>
      <c r="C103" s="52" t="s">
        <v>458</v>
      </c>
      <c r="D103" s="55" t="s">
        <v>459</v>
      </c>
      <c r="E103" s="2" t="s">
        <v>233</v>
      </c>
      <c r="F103" s="71">
        <v>170615</v>
      </c>
      <c r="G103" s="29" t="s">
        <v>66</v>
      </c>
      <c r="H103" s="20" t="s">
        <v>77</v>
      </c>
      <c r="I103" s="20" t="s">
        <v>84</v>
      </c>
      <c r="J103" s="20" t="s">
        <v>83</v>
      </c>
      <c r="K103" s="71"/>
      <c r="L103" s="20"/>
      <c r="M103" s="20"/>
      <c r="N103" s="20"/>
      <c r="O103" s="20"/>
      <c r="P103" s="20"/>
      <c r="Q103" s="20"/>
      <c r="R103" s="20"/>
      <c r="S103" s="20"/>
      <c r="T103" s="26"/>
      <c r="U103" s="17"/>
    </row>
    <row r="104" spans="1:21" x14ac:dyDescent="0.25">
      <c r="A104" s="2"/>
      <c r="B104" s="20" t="s">
        <v>470</v>
      </c>
      <c r="C104" s="52" t="s">
        <v>471</v>
      </c>
      <c r="D104" s="55" t="s">
        <v>472</v>
      </c>
      <c r="E104" s="2" t="s">
        <v>225</v>
      </c>
      <c r="F104" s="71">
        <v>180615</v>
      </c>
      <c r="G104" s="29" t="s">
        <v>56</v>
      </c>
      <c r="H104" s="20" t="s">
        <v>72</v>
      </c>
      <c r="I104" s="20" t="s">
        <v>84</v>
      </c>
      <c r="J104" s="20" t="s">
        <v>83</v>
      </c>
      <c r="K104" s="71"/>
      <c r="L104" s="20"/>
      <c r="M104" s="20"/>
      <c r="N104" s="20"/>
      <c r="O104" s="20"/>
      <c r="P104" s="20"/>
      <c r="Q104" s="20"/>
      <c r="R104" s="20"/>
      <c r="S104" s="20"/>
      <c r="T104" s="26"/>
      <c r="U104" s="17"/>
    </row>
    <row r="105" spans="1:21" x14ac:dyDescent="0.25">
      <c r="A105" s="2" t="str">
        <f>IFERROR(VLOOKUP(B105,Clientes!A:B,2,0),"")</f>
        <v/>
      </c>
      <c r="B105" s="20">
        <f>B103+1</f>
        <v>87</v>
      </c>
      <c r="C105" s="52" t="s">
        <v>456</v>
      </c>
      <c r="D105" s="55" t="s">
        <v>457</v>
      </c>
      <c r="E105" s="2" t="s">
        <v>235</v>
      </c>
      <c r="F105" s="71">
        <v>170615</v>
      </c>
      <c r="G105" s="29" t="s">
        <v>57</v>
      </c>
      <c r="H105" s="20"/>
      <c r="I105" s="20" t="s">
        <v>84</v>
      </c>
      <c r="J105" s="20" t="s">
        <v>83</v>
      </c>
      <c r="K105" s="71"/>
      <c r="L105" s="20" t="s">
        <v>168</v>
      </c>
      <c r="M105" s="20"/>
      <c r="N105" s="20"/>
      <c r="O105" s="20"/>
      <c r="P105" s="20"/>
      <c r="Q105" s="20"/>
      <c r="R105" s="20"/>
      <c r="S105" s="20"/>
      <c r="T105" s="26"/>
      <c r="U105" s="17"/>
    </row>
    <row r="106" spans="1:21" x14ac:dyDescent="0.25">
      <c r="A106" s="2" t="str">
        <f>IFERROR(VLOOKUP(B106,Clientes!A:B,2,0),"")</f>
        <v/>
      </c>
      <c r="B106" s="20">
        <f t="shared" ref="B106:B113" si="10">B105+1</f>
        <v>88</v>
      </c>
      <c r="C106" s="52"/>
      <c r="D106" s="55"/>
      <c r="E106" s="2"/>
      <c r="F106" s="71"/>
      <c r="G106" s="29"/>
      <c r="H106" s="20"/>
      <c r="I106" s="20" t="s">
        <v>84</v>
      </c>
      <c r="J106" s="20"/>
      <c r="K106" s="71"/>
      <c r="L106" s="20"/>
      <c r="M106" s="20"/>
      <c r="N106" s="20"/>
      <c r="O106" s="20"/>
      <c r="P106" s="20"/>
      <c r="Q106" s="20"/>
      <c r="R106" s="20"/>
      <c r="S106" s="20"/>
      <c r="T106" s="26"/>
      <c r="U106" s="17"/>
    </row>
    <row r="107" spans="1:21" x14ac:dyDescent="0.25">
      <c r="A107" s="2" t="str">
        <f>IFERROR(VLOOKUP(B107,Clientes!A:B,2,0),"")</f>
        <v/>
      </c>
      <c r="B107" s="20">
        <f t="shared" si="10"/>
        <v>89</v>
      </c>
      <c r="C107" s="52"/>
      <c r="D107" s="55"/>
      <c r="E107" s="2"/>
      <c r="F107" s="71"/>
      <c r="G107" s="29"/>
      <c r="H107" s="20"/>
      <c r="I107" s="20" t="s">
        <v>84</v>
      </c>
      <c r="J107" s="20"/>
      <c r="K107" s="71"/>
      <c r="L107" s="20"/>
      <c r="M107" s="20"/>
      <c r="N107" s="20"/>
      <c r="O107" s="20"/>
      <c r="P107" s="20"/>
      <c r="Q107" s="20"/>
      <c r="R107" s="20"/>
      <c r="S107" s="20"/>
      <c r="T107" s="26"/>
      <c r="U107" s="17"/>
    </row>
    <row r="108" spans="1:21" x14ac:dyDescent="0.25">
      <c r="A108" s="2" t="str">
        <f>IFERROR(VLOOKUP(B108,Clientes!A:B,2,0),"")</f>
        <v/>
      </c>
      <c r="B108" s="20">
        <f t="shared" si="10"/>
        <v>90</v>
      </c>
      <c r="C108" s="52"/>
      <c r="D108" s="55"/>
      <c r="E108" s="2"/>
      <c r="F108" s="71"/>
      <c r="G108" s="29"/>
      <c r="H108" s="20"/>
      <c r="I108" s="20" t="s">
        <v>84</v>
      </c>
      <c r="J108" s="20"/>
      <c r="K108" s="71"/>
      <c r="L108" s="20"/>
      <c r="M108" s="20"/>
      <c r="N108" s="20"/>
      <c r="O108" s="20"/>
      <c r="P108" s="20"/>
      <c r="Q108" s="20"/>
      <c r="R108" s="20"/>
      <c r="S108" s="20"/>
      <c r="T108" s="26"/>
      <c r="U108" s="17"/>
    </row>
    <row r="109" spans="1:21" x14ac:dyDescent="0.25">
      <c r="A109" s="2" t="str">
        <f>IFERROR(VLOOKUP(B109,Clientes!A:B,2,0),"")</f>
        <v/>
      </c>
      <c r="B109" s="20">
        <f t="shared" si="10"/>
        <v>91</v>
      </c>
      <c r="C109" s="52" t="s">
        <v>468</v>
      </c>
      <c r="D109" s="55" t="s">
        <v>469</v>
      </c>
      <c r="E109" s="2" t="s">
        <v>226</v>
      </c>
      <c r="F109" s="71">
        <v>200615</v>
      </c>
      <c r="G109" s="29" t="s">
        <v>56</v>
      </c>
      <c r="H109" s="20" t="s">
        <v>72</v>
      </c>
      <c r="I109" s="20" t="s">
        <v>84</v>
      </c>
      <c r="J109" s="20" t="s">
        <v>83</v>
      </c>
      <c r="K109" s="71"/>
      <c r="L109" s="20"/>
      <c r="M109" s="20"/>
      <c r="N109" s="20"/>
      <c r="O109" s="20"/>
      <c r="P109" s="20"/>
      <c r="Q109" s="20"/>
      <c r="R109" s="20"/>
      <c r="S109" s="20"/>
      <c r="T109" s="26"/>
      <c r="U109" s="17"/>
    </row>
    <row r="110" spans="1:21" x14ac:dyDescent="0.25">
      <c r="A110" s="2" t="str">
        <f>IFERROR(VLOOKUP(B110,Clientes!A:B,2,0),"")</f>
        <v/>
      </c>
      <c r="B110" s="20">
        <f t="shared" si="10"/>
        <v>92</v>
      </c>
      <c r="C110" s="52" t="s">
        <v>473</v>
      </c>
      <c r="D110" s="55" t="s">
        <v>474</v>
      </c>
      <c r="E110" s="2" t="s">
        <v>238</v>
      </c>
      <c r="F110" s="71">
        <v>220615</v>
      </c>
      <c r="G110" s="29" t="s">
        <v>56</v>
      </c>
      <c r="H110" s="20" t="s">
        <v>72</v>
      </c>
      <c r="I110" s="20" t="s">
        <v>84</v>
      </c>
      <c r="J110" s="20" t="s">
        <v>83</v>
      </c>
      <c r="K110" s="71"/>
      <c r="L110" s="20"/>
      <c r="M110" s="20"/>
      <c r="N110" s="20"/>
      <c r="O110" s="20"/>
      <c r="P110" s="20"/>
      <c r="Q110" s="20"/>
      <c r="R110" s="20"/>
      <c r="S110" s="20"/>
      <c r="T110" s="26"/>
      <c r="U110" s="17"/>
    </row>
    <row r="111" spans="1:21" x14ac:dyDescent="0.25">
      <c r="A111" s="2" t="str">
        <f>IFERROR(VLOOKUP(B111,Clientes!A:B,2,0),"")</f>
        <v/>
      </c>
      <c r="B111" s="20">
        <f t="shared" si="10"/>
        <v>93</v>
      </c>
      <c r="C111" s="52" t="s">
        <v>271</v>
      </c>
      <c r="D111" s="55" t="s">
        <v>272</v>
      </c>
      <c r="E111" s="2" t="s">
        <v>228</v>
      </c>
      <c r="F111" s="71">
        <v>220615</v>
      </c>
      <c r="G111" s="29" t="s">
        <v>58</v>
      </c>
      <c r="H111" s="20" t="s">
        <v>72</v>
      </c>
      <c r="I111" s="20" t="s">
        <v>84</v>
      </c>
      <c r="J111" s="20" t="s">
        <v>81</v>
      </c>
      <c r="K111" s="71"/>
      <c r="L111" s="20"/>
      <c r="M111" s="20"/>
      <c r="N111" s="20"/>
      <c r="O111" s="20"/>
      <c r="P111" s="20"/>
      <c r="Q111" s="20"/>
      <c r="R111" s="20"/>
      <c r="S111" s="20"/>
      <c r="T111" s="26" t="s">
        <v>553</v>
      </c>
      <c r="U111" s="17"/>
    </row>
    <row r="112" spans="1:21" x14ac:dyDescent="0.25">
      <c r="A112" s="2" t="str">
        <f>IFERROR(VLOOKUP(B112,Clientes!A:B,2,0),"")</f>
        <v/>
      </c>
      <c r="B112" s="20">
        <f t="shared" si="10"/>
        <v>94</v>
      </c>
      <c r="C112" s="52"/>
      <c r="D112" s="55"/>
      <c r="E112" s="2"/>
      <c r="F112" s="71"/>
      <c r="G112" s="29"/>
      <c r="H112" s="20"/>
      <c r="I112" s="20" t="s">
        <v>84</v>
      </c>
      <c r="J112" s="20"/>
      <c r="K112" s="71"/>
      <c r="L112" s="20"/>
      <c r="M112" s="20"/>
      <c r="N112" s="20"/>
      <c r="O112" s="20"/>
      <c r="P112" s="20"/>
      <c r="Q112" s="20"/>
      <c r="R112" s="20"/>
      <c r="S112" s="20"/>
      <c r="T112" s="26"/>
      <c r="U112" s="17"/>
    </row>
    <row r="113" spans="1:21" x14ac:dyDescent="0.25">
      <c r="A113" s="2" t="str">
        <f>IFERROR(VLOOKUP(B113,Clientes!A:B,2,0),"")</f>
        <v/>
      </c>
      <c r="B113" s="20">
        <f t="shared" si="10"/>
        <v>95</v>
      </c>
      <c r="C113" s="52" t="s">
        <v>475</v>
      </c>
      <c r="D113" s="55" t="s">
        <v>476</v>
      </c>
      <c r="E113" s="2" t="s">
        <v>226</v>
      </c>
      <c r="F113" s="71">
        <v>230615</v>
      </c>
      <c r="G113" s="29" t="s">
        <v>59</v>
      </c>
      <c r="H113" s="20"/>
      <c r="I113" s="20" t="s">
        <v>84</v>
      </c>
      <c r="J113" s="20" t="s">
        <v>83</v>
      </c>
      <c r="K113" s="71"/>
      <c r="L113" s="20"/>
      <c r="M113" s="20"/>
      <c r="N113" s="20"/>
      <c r="O113" s="20"/>
      <c r="P113" s="20"/>
      <c r="Q113" s="20"/>
      <c r="R113" s="20"/>
      <c r="S113" s="20"/>
      <c r="T113" s="26"/>
      <c r="U113" s="17"/>
    </row>
    <row r="114" spans="1:21" x14ac:dyDescent="0.25">
      <c r="A114" s="2" t="str">
        <f>IFERROR(VLOOKUP(B114,Clientes!A:B,2,0),"")</f>
        <v/>
      </c>
      <c r="B114" s="20">
        <f t="shared" ref="B114:B123" si="11">B113+1</f>
        <v>96</v>
      </c>
      <c r="C114" s="52" t="s">
        <v>331</v>
      </c>
      <c r="D114" s="55" t="s">
        <v>332</v>
      </c>
      <c r="E114" s="2" t="s">
        <v>225</v>
      </c>
      <c r="F114" s="71">
        <v>230615</v>
      </c>
      <c r="G114" s="29" t="s">
        <v>58</v>
      </c>
      <c r="H114" s="20" t="s">
        <v>72</v>
      </c>
      <c r="I114" s="20" t="s">
        <v>84</v>
      </c>
      <c r="J114" s="20" t="s">
        <v>81</v>
      </c>
      <c r="K114" s="71"/>
      <c r="L114" s="20" t="s">
        <v>40</v>
      </c>
      <c r="M114" s="20"/>
      <c r="N114" s="20" t="s">
        <v>23</v>
      </c>
      <c r="O114" s="20"/>
      <c r="P114" s="20"/>
      <c r="Q114" s="20"/>
      <c r="R114" s="20"/>
      <c r="S114" s="20"/>
      <c r="T114" s="26"/>
      <c r="U114" s="17"/>
    </row>
    <row r="115" spans="1:21" x14ac:dyDescent="0.25">
      <c r="A115" s="2" t="str">
        <f>IFERROR(VLOOKUP(B115,Clientes!A:B,2,0),"")</f>
        <v/>
      </c>
      <c r="B115" s="20">
        <f t="shared" si="11"/>
        <v>97</v>
      </c>
      <c r="C115" s="52" t="s">
        <v>483</v>
      </c>
      <c r="D115" s="55" t="s">
        <v>484</v>
      </c>
      <c r="E115" s="2" t="s">
        <v>219</v>
      </c>
      <c r="F115" s="71">
        <v>230615</v>
      </c>
      <c r="G115" s="29" t="s">
        <v>58</v>
      </c>
      <c r="H115" s="20" t="s">
        <v>72</v>
      </c>
      <c r="I115" s="20" t="s">
        <v>84</v>
      </c>
      <c r="J115" s="20" t="s">
        <v>81</v>
      </c>
      <c r="K115" s="71"/>
      <c r="L115" s="20" t="s">
        <v>21</v>
      </c>
      <c r="M115" s="20"/>
      <c r="N115" s="20"/>
      <c r="O115" s="20"/>
      <c r="P115" s="20"/>
      <c r="Q115" s="20"/>
      <c r="R115" s="20"/>
      <c r="S115" s="20"/>
      <c r="T115" s="26"/>
      <c r="U115" s="17"/>
    </row>
    <row r="116" spans="1:21" x14ac:dyDescent="0.25">
      <c r="A116" s="2" t="str">
        <f>IFERROR(VLOOKUP(B116,Clientes!A:B,2,0),"")</f>
        <v/>
      </c>
      <c r="B116" s="20">
        <f t="shared" si="11"/>
        <v>98</v>
      </c>
      <c r="C116" s="52" t="s">
        <v>327</v>
      </c>
      <c r="D116" s="55" t="s">
        <v>328</v>
      </c>
      <c r="E116" s="2" t="s">
        <v>231</v>
      </c>
      <c r="F116" s="71">
        <v>230615</v>
      </c>
      <c r="G116" s="29" t="s">
        <v>58</v>
      </c>
      <c r="H116" s="20" t="s">
        <v>72</v>
      </c>
      <c r="I116" s="20" t="s">
        <v>84</v>
      </c>
      <c r="J116" s="20" t="s">
        <v>81</v>
      </c>
      <c r="K116" s="71"/>
      <c r="L116" s="20" t="s">
        <v>158</v>
      </c>
      <c r="M116" s="20"/>
      <c r="N116" s="20" t="s">
        <v>139</v>
      </c>
      <c r="O116" s="20"/>
      <c r="P116" s="20"/>
      <c r="Q116" s="20"/>
      <c r="R116" s="20"/>
      <c r="S116" s="20"/>
      <c r="T116" s="26"/>
      <c r="U116" s="17"/>
    </row>
    <row r="117" spans="1:21" x14ac:dyDescent="0.25">
      <c r="A117" s="2" t="str">
        <f>IFERROR(VLOOKUP(B117,Clientes!A:B,2,0),"")</f>
        <v/>
      </c>
      <c r="B117" s="20">
        <f t="shared" si="11"/>
        <v>99</v>
      </c>
      <c r="C117" s="52"/>
      <c r="D117" s="55"/>
      <c r="E117" s="2"/>
      <c r="F117" s="71"/>
      <c r="G117" s="29"/>
      <c r="H117" s="20"/>
      <c r="I117" s="20" t="s">
        <v>84</v>
      </c>
      <c r="J117" s="20"/>
      <c r="K117" s="71"/>
      <c r="L117" s="20"/>
      <c r="M117" s="20"/>
      <c r="N117" s="20"/>
      <c r="O117" s="20"/>
      <c r="P117" s="20"/>
      <c r="Q117" s="20"/>
      <c r="R117" s="20"/>
      <c r="S117" s="20"/>
      <c r="T117" s="26"/>
      <c r="U117" s="17"/>
    </row>
    <row r="118" spans="1:21" x14ac:dyDescent="0.25">
      <c r="A118" s="2" t="str">
        <f>IFERROR(VLOOKUP(B118,Clientes!A:B,2,0),"")</f>
        <v/>
      </c>
      <c r="B118" s="20">
        <f t="shared" si="11"/>
        <v>100</v>
      </c>
      <c r="C118" s="52" t="s">
        <v>251</v>
      </c>
      <c r="D118" s="55" t="s">
        <v>252</v>
      </c>
      <c r="E118" s="2" t="s">
        <v>228</v>
      </c>
      <c r="F118" s="71">
        <v>240615</v>
      </c>
      <c r="G118" s="29" t="s">
        <v>56</v>
      </c>
      <c r="H118" s="20" t="s">
        <v>72</v>
      </c>
      <c r="I118" s="20" t="s">
        <v>84</v>
      </c>
      <c r="J118" s="20" t="s">
        <v>81</v>
      </c>
      <c r="K118" s="71"/>
      <c r="L118" s="20"/>
      <c r="M118" s="20"/>
      <c r="N118" s="20"/>
      <c r="O118" s="20"/>
      <c r="P118" s="20"/>
      <c r="Q118" s="20"/>
      <c r="R118" s="20"/>
      <c r="S118" s="20"/>
      <c r="T118" s="26"/>
      <c r="U118" s="17"/>
    </row>
    <row r="119" spans="1:21" x14ac:dyDescent="0.25">
      <c r="A119" s="2" t="str">
        <f>IFERROR(VLOOKUP(B119,Clientes!A:B,2,0),"")</f>
        <v/>
      </c>
      <c r="B119" s="20">
        <f t="shared" si="11"/>
        <v>101</v>
      </c>
      <c r="C119" s="52" t="s">
        <v>473</v>
      </c>
      <c r="D119" s="55" t="s">
        <v>474</v>
      </c>
      <c r="E119" s="2" t="s">
        <v>238</v>
      </c>
      <c r="F119" s="71">
        <v>240615</v>
      </c>
      <c r="G119" s="29" t="s">
        <v>57</v>
      </c>
      <c r="H119" s="20"/>
      <c r="I119" s="20" t="s">
        <v>84</v>
      </c>
      <c r="J119" s="20" t="s">
        <v>81</v>
      </c>
      <c r="K119" s="71"/>
      <c r="L119" s="20" t="s">
        <v>169</v>
      </c>
      <c r="M119" s="20"/>
      <c r="N119" s="20"/>
      <c r="O119" s="20"/>
      <c r="P119" s="20"/>
      <c r="Q119" s="20"/>
      <c r="R119" s="20"/>
      <c r="S119" s="20"/>
      <c r="T119" s="26" t="s">
        <v>750</v>
      </c>
      <c r="U119" s="17"/>
    </row>
    <row r="120" spans="1:21" x14ac:dyDescent="0.25">
      <c r="A120" s="2" t="str">
        <f>IFERROR(VLOOKUP(B120,Clientes!A:B,2,0),"")</f>
        <v/>
      </c>
      <c r="B120" s="20">
        <f t="shared" si="11"/>
        <v>102</v>
      </c>
      <c r="C120" s="52" t="s">
        <v>494</v>
      </c>
      <c r="D120" s="55" t="s">
        <v>495</v>
      </c>
      <c r="E120" s="2" t="s">
        <v>239</v>
      </c>
      <c r="F120" s="71">
        <v>240615</v>
      </c>
      <c r="G120" s="29" t="s">
        <v>58</v>
      </c>
      <c r="H120" s="20" t="s">
        <v>72</v>
      </c>
      <c r="I120" s="20" t="s">
        <v>84</v>
      </c>
      <c r="J120" s="20" t="s">
        <v>81</v>
      </c>
      <c r="K120" s="71"/>
      <c r="L120" s="20"/>
      <c r="M120" s="20"/>
      <c r="N120" s="20"/>
      <c r="O120" s="20"/>
      <c r="P120" s="20"/>
      <c r="Q120" s="20"/>
      <c r="R120" s="20"/>
      <c r="S120" s="20"/>
      <c r="T120" s="26"/>
      <c r="U120" s="17"/>
    </row>
    <row r="121" spans="1:21" x14ac:dyDescent="0.25">
      <c r="A121" s="2" t="str">
        <f>IFERROR(VLOOKUP(B121,Clientes!A:B,2,0),"")</f>
        <v/>
      </c>
      <c r="B121" s="20">
        <f t="shared" si="11"/>
        <v>103</v>
      </c>
      <c r="C121" s="52" t="s">
        <v>551</v>
      </c>
      <c r="D121" s="55" t="s">
        <v>552</v>
      </c>
      <c r="E121" s="2"/>
      <c r="F121" s="71">
        <v>240615</v>
      </c>
      <c r="G121" s="29" t="s">
        <v>63</v>
      </c>
      <c r="H121" s="20"/>
      <c r="I121" s="20" t="s">
        <v>84</v>
      </c>
      <c r="J121" s="20" t="s">
        <v>81</v>
      </c>
      <c r="K121" s="71"/>
      <c r="L121" s="20" t="s">
        <v>132</v>
      </c>
      <c r="M121" s="20"/>
      <c r="N121" s="20"/>
      <c r="O121" s="20"/>
      <c r="P121" s="20"/>
      <c r="Q121" s="20"/>
      <c r="R121" s="20"/>
      <c r="S121" s="20"/>
      <c r="T121" s="26"/>
      <c r="U121" s="17"/>
    </row>
    <row r="122" spans="1:21" x14ac:dyDescent="0.25">
      <c r="A122" s="2" t="str">
        <f>IFERROR(VLOOKUP(B122,Clientes!A:B,2,0),"")</f>
        <v/>
      </c>
      <c r="B122" s="20">
        <f t="shared" si="11"/>
        <v>104</v>
      </c>
      <c r="C122" s="52" t="s">
        <v>490</v>
      </c>
      <c r="D122" s="55" t="s">
        <v>491</v>
      </c>
      <c r="E122" s="2" t="s">
        <v>222</v>
      </c>
      <c r="F122" s="71">
        <v>250615</v>
      </c>
      <c r="G122" s="29" t="s">
        <v>58</v>
      </c>
      <c r="H122" s="20" t="s">
        <v>72</v>
      </c>
      <c r="I122" s="20" t="s">
        <v>84</v>
      </c>
      <c r="J122" s="20" t="s">
        <v>81</v>
      </c>
      <c r="K122" s="71"/>
      <c r="L122" s="20" t="s">
        <v>157</v>
      </c>
      <c r="M122" s="20"/>
      <c r="N122" s="20"/>
      <c r="O122" s="20"/>
      <c r="P122" s="20"/>
      <c r="Q122" s="20"/>
      <c r="R122" s="20"/>
      <c r="S122" s="20"/>
      <c r="T122" s="26"/>
      <c r="U122" s="17"/>
    </row>
    <row r="123" spans="1:21" x14ac:dyDescent="0.25">
      <c r="A123" s="2" t="str">
        <f>IFERROR(VLOOKUP(B123,Clientes!A:B,2,0),"")</f>
        <v/>
      </c>
      <c r="B123" s="20">
        <f t="shared" si="11"/>
        <v>105</v>
      </c>
      <c r="C123" s="52" t="s">
        <v>477</v>
      </c>
      <c r="D123" s="55" t="s">
        <v>478</v>
      </c>
      <c r="E123" s="2" t="s">
        <v>233</v>
      </c>
      <c r="F123" s="71">
        <v>250615</v>
      </c>
      <c r="G123" s="29" t="s">
        <v>58</v>
      </c>
      <c r="H123" s="20" t="s">
        <v>72</v>
      </c>
      <c r="I123" s="20" t="s">
        <v>84</v>
      </c>
      <c r="J123" s="20" t="s">
        <v>81</v>
      </c>
      <c r="K123" s="71"/>
      <c r="L123" s="20"/>
      <c r="M123" s="20"/>
      <c r="N123" s="20"/>
      <c r="O123" s="20"/>
      <c r="P123" s="20"/>
      <c r="Q123" s="20"/>
      <c r="R123" s="20"/>
      <c r="S123" s="20"/>
      <c r="T123" s="26"/>
      <c r="U123" s="17"/>
    </row>
    <row r="124" spans="1:21" x14ac:dyDescent="0.25">
      <c r="A124" s="2" t="str">
        <f>IFERROR(VLOOKUP(B124,Clientes!A:B,2,0),"")</f>
        <v/>
      </c>
      <c r="B124" s="20">
        <f t="shared" ref="B124:B141" si="12">B123+1</f>
        <v>106</v>
      </c>
      <c r="C124" s="52" t="s">
        <v>297</v>
      </c>
      <c r="D124" s="55" t="s">
        <v>298</v>
      </c>
      <c r="E124" s="2" t="s">
        <v>234</v>
      </c>
      <c r="F124" s="71">
        <v>250615</v>
      </c>
      <c r="G124" s="29" t="s">
        <v>56</v>
      </c>
      <c r="H124" s="20" t="s">
        <v>74</v>
      </c>
      <c r="I124" s="20" t="s">
        <v>84</v>
      </c>
      <c r="J124" s="20" t="s">
        <v>81</v>
      </c>
      <c r="K124" s="71"/>
      <c r="L124" s="20"/>
      <c r="M124" s="20"/>
      <c r="N124" s="20"/>
      <c r="O124" s="20"/>
      <c r="P124" s="20"/>
      <c r="Q124" s="20"/>
      <c r="R124" s="20"/>
      <c r="S124" s="20"/>
      <c r="T124" s="26"/>
      <c r="U124" s="17"/>
    </row>
    <row r="125" spans="1:21" x14ac:dyDescent="0.25">
      <c r="A125" s="2" t="str">
        <f>IFERROR(VLOOKUP(B125,Clientes!A:B,2,0),"")</f>
        <v/>
      </c>
      <c r="B125" s="20">
        <f t="shared" si="12"/>
        <v>107</v>
      </c>
      <c r="C125" s="52" t="s">
        <v>505</v>
      </c>
      <c r="D125" s="55" t="s">
        <v>506</v>
      </c>
      <c r="E125" s="2" t="s">
        <v>238</v>
      </c>
      <c r="F125" s="71">
        <v>260615</v>
      </c>
      <c r="G125" s="29" t="s">
        <v>57</v>
      </c>
      <c r="H125" s="20"/>
      <c r="I125" s="20" t="s">
        <v>84</v>
      </c>
      <c r="J125" s="20" t="s">
        <v>81</v>
      </c>
      <c r="K125" s="71"/>
      <c r="L125" s="20" t="s">
        <v>169</v>
      </c>
      <c r="M125" s="20"/>
      <c r="N125" s="20"/>
      <c r="O125" s="20"/>
      <c r="P125" s="20"/>
      <c r="Q125" s="20"/>
      <c r="R125" s="20"/>
      <c r="S125" s="20"/>
      <c r="T125" s="26" t="s">
        <v>750</v>
      </c>
      <c r="U125" s="17"/>
    </row>
    <row r="126" spans="1:21" x14ac:dyDescent="0.25">
      <c r="A126" s="2" t="str">
        <f>IFERROR(VLOOKUP(B126,Clientes!A:B,2,0),"")</f>
        <v/>
      </c>
      <c r="B126" s="20">
        <f t="shared" si="12"/>
        <v>108</v>
      </c>
      <c r="C126" s="52"/>
      <c r="D126" s="55"/>
      <c r="E126" s="2"/>
      <c r="F126" s="71"/>
      <c r="G126" s="29"/>
      <c r="H126" s="20"/>
      <c r="I126" s="20" t="s">
        <v>84</v>
      </c>
      <c r="J126" s="20"/>
      <c r="K126" s="71"/>
      <c r="L126" s="20"/>
      <c r="M126" s="20"/>
      <c r="N126" s="20"/>
      <c r="O126" s="20"/>
      <c r="P126" s="20"/>
      <c r="Q126" s="20"/>
      <c r="R126" s="20"/>
      <c r="S126" s="20"/>
      <c r="T126" s="26"/>
      <c r="U126" s="17"/>
    </row>
    <row r="127" spans="1:21" x14ac:dyDescent="0.25">
      <c r="A127" s="2" t="str">
        <f>IFERROR(VLOOKUP(B127,Clientes!A:B,2,0),"")</f>
        <v/>
      </c>
      <c r="B127" s="20">
        <f t="shared" si="12"/>
        <v>109</v>
      </c>
      <c r="C127" s="52" t="s">
        <v>329</v>
      </c>
      <c r="D127" s="55" t="s">
        <v>330</v>
      </c>
      <c r="E127" s="2" t="s">
        <v>218</v>
      </c>
      <c r="F127" s="71">
        <v>260615</v>
      </c>
      <c r="G127" s="29" t="s">
        <v>58</v>
      </c>
      <c r="H127" s="20"/>
      <c r="I127" s="20" t="s">
        <v>84</v>
      </c>
      <c r="J127" s="20" t="s">
        <v>81</v>
      </c>
      <c r="K127" s="71"/>
      <c r="L127" s="20" t="s">
        <v>160</v>
      </c>
      <c r="M127" s="20"/>
      <c r="N127" s="20"/>
      <c r="O127" s="20"/>
      <c r="P127" s="20"/>
      <c r="Q127" s="20"/>
      <c r="R127" s="20"/>
      <c r="S127" s="20"/>
      <c r="T127" s="26" t="s">
        <v>496</v>
      </c>
      <c r="U127" s="17"/>
    </row>
    <row r="128" spans="1:21" x14ac:dyDescent="0.25">
      <c r="A128" s="2" t="str">
        <f>IFERROR(VLOOKUP(B128,Clientes!A:B,2,0),"")</f>
        <v/>
      </c>
      <c r="B128" s="20">
        <f t="shared" si="12"/>
        <v>110</v>
      </c>
      <c r="C128" s="52" t="s">
        <v>329</v>
      </c>
      <c r="D128" s="55" t="s">
        <v>330</v>
      </c>
      <c r="E128" s="2" t="s">
        <v>218</v>
      </c>
      <c r="F128" s="71">
        <v>260615</v>
      </c>
      <c r="G128" s="29" t="s">
        <v>57</v>
      </c>
      <c r="H128" s="20"/>
      <c r="I128" s="20" t="s">
        <v>84</v>
      </c>
      <c r="J128" s="20" t="s">
        <v>81</v>
      </c>
      <c r="K128" s="71"/>
      <c r="L128" s="20" t="s">
        <v>145</v>
      </c>
      <c r="M128" s="20"/>
      <c r="N128" s="20" t="s">
        <v>39</v>
      </c>
      <c r="O128" s="20"/>
      <c r="P128" s="20"/>
      <c r="Q128" s="20"/>
      <c r="R128" s="20"/>
      <c r="S128" s="20"/>
      <c r="T128" s="26"/>
      <c r="U128" s="17"/>
    </row>
    <row r="129" spans="1:21" x14ac:dyDescent="0.25">
      <c r="A129" s="2" t="str">
        <f>IFERROR(VLOOKUP(B129,Clientes!A:B,2,0),"")</f>
        <v/>
      </c>
      <c r="B129" s="20">
        <f t="shared" si="12"/>
        <v>111</v>
      </c>
      <c r="C129" s="52" t="s">
        <v>499</v>
      </c>
      <c r="D129" s="55" t="s">
        <v>500</v>
      </c>
      <c r="E129" s="2" t="s">
        <v>227</v>
      </c>
      <c r="F129" s="71">
        <v>260615</v>
      </c>
      <c r="G129" s="29" t="s">
        <v>57</v>
      </c>
      <c r="H129" s="20"/>
      <c r="I129" s="20" t="s">
        <v>84</v>
      </c>
      <c r="J129" s="20" t="s">
        <v>81</v>
      </c>
      <c r="K129" s="71"/>
      <c r="L129" s="20" t="s">
        <v>17</v>
      </c>
      <c r="M129" s="20"/>
      <c r="N129" s="20"/>
      <c r="O129" s="20"/>
      <c r="P129" s="20"/>
      <c r="Q129" s="20"/>
      <c r="R129" s="20"/>
      <c r="S129" s="20"/>
      <c r="T129" s="26"/>
      <c r="U129" s="17"/>
    </row>
    <row r="130" spans="1:21" x14ac:dyDescent="0.25">
      <c r="A130" s="2" t="str">
        <f>IFERROR(VLOOKUP(B130,Clientes!A:B,2,0),"")</f>
        <v/>
      </c>
      <c r="B130" s="20">
        <f t="shared" si="12"/>
        <v>112</v>
      </c>
      <c r="C130" s="52" t="s">
        <v>497</v>
      </c>
      <c r="D130" s="55" t="s">
        <v>498</v>
      </c>
      <c r="E130" s="2" t="s">
        <v>216</v>
      </c>
      <c r="F130" s="71">
        <v>260615</v>
      </c>
      <c r="G130" s="29" t="s">
        <v>57</v>
      </c>
      <c r="H130" s="20"/>
      <c r="I130" s="20" t="s">
        <v>84</v>
      </c>
      <c r="J130" s="20" t="s">
        <v>81</v>
      </c>
      <c r="K130" s="71"/>
      <c r="L130" s="20" t="s">
        <v>43</v>
      </c>
      <c r="M130" s="20"/>
      <c r="N130" s="20"/>
      <c r="O130" s="20"/>
      <c r="P130" s="20"/>
      <c r="Q130" s="20"/>
      <c r="R130" s="20"/>
      <c r="S130" s="20"/>
      <c r="T130" s="26"/>
      <c r="U130" s="17"/>
    </row>
    <row r="131" spans="1:21" x14ac:dyDescent="0.25">
      <c r="A131" s="2" t="str">
        <f>IFERROR(VLOOKUP(B131,Clientes!A:B,2,0),"")</f>
        <v/>
      </c>
      <c r="B131" s="20">
        <f t="shared" si="12"/>
        <v>113</v>
      </c>
      <c r="C131" s="52" t="s">
        <v>501</v>
      </c>
      <c r="D131" s="55" t="s">
        <v>502</v>
      </c>
      <c r="E131" s="2" t="s">
        <v>238</v>
      </c>
      <c r="F131" s="71">
        <v>260615</v>
      </c>
      <c r="G131" s="29" t="s">
        <v>58</v>
      </c>
      <c r="H131" s="20" t="s">
        <v>72</v>
      </c>
      <c r="I131" s="20" t="s">
        <v>84</v>
      </c>
      <c r="J131" s="20" t="s">
        <v>81</v>
      </c>
      <c r="K131" s="71"/>
      <c r="L131" s="20" t="s">
        <v>151</v>
      </c>
      <c r="M131" s="20"/>
      <c r="N131" s="20" t="s">
        <v>169</v>
      </c>
      <c r="O131" s="20"/>
      <c r="P131" s="20" t="s">
        <v>208</v>
      </c>
      <c r="Q131" s="20"/>
      <c r="R131" s="20"/>
      <c r="S131" s="20"/>
      <c r="T131" s="26"/>
      <c r="U131" s="17"/>
    </row>
    <row r="132" spans="1:21" x14ac:dyDescent="0.25">
      <c r="A132" s="2" t="str">
        <f>IFERROR(VLOOKUP(B132,Clientes!A:B,2,0),"")</f>
        <v/>
      </c>
      <c r="B132" s="20">
        <f t="shared" si="12"/>
        <v>114</v>
      </c>
      <c r="C132" s="52" t="s">
        <v>503</v>
      </c>
      <c r="D132" s="55" t="s">
        <v>504</v>
      </c>
      <c r="E132" s="2" t="s">
        <v>231</v>
      </c>
      <c r="F132" s="71">
        <v>260615</v>
      </c>
      <c r="G132" s="29" t="s">
        <v>57</v>
      </c>
      <c r="H132" s="20"/>
      <c r="I132" s="20" t="s">
        <v>84</v>
      </c>
      <c r="J132" s="20" t="s">
        <v>83</v>
      </c>
      <c r="K132" s="71"/>
      <c r="L132" s="20" t="s">
        <v>145</v>
      </c>
      <c r="M132" s="20"/>
      <c r="N132" s="20"/>
      <c r="O132" s="20"/>
      <c r="P132" s="20"/>
      <c r="Q132" s="20"/>
      <c r="R132" s="20"/>
      <c r="S132" s="20"/>
      <c r="T132" s="26"/>
      <c r="U132" s="17"/>
    </row>
    <row r="133" spans="1:21" x14ac:dyDescent="0.25">
      <c r="A133" s="2" t="str">
        <f>IFERROR(VLOOKUP(B133,Clientes!A:B,2,0),"")</f>
        <v/>
      </c>
      <c r="B133" s="20">
        <f t="shared" si="12"/>
        <v>115</v>
      </c>
      <c r="C133" s="52" t="s">
        <v>347</v>
      </c>
      <c r="D133" s="55" t="s">
        <v>348</v>
      </c>
      <c r="E133" s="2" t="s">
        <v>238</v>
      </c>
      <c r="F133" s="71">
        <v>260615</v>
      </c>
      <c r="G133" s="29" t="s">
        <v>57</v>
      </c>
      <c r="H133" s="20"/>
      <c r="I133" s="20" t="s">
        <v>84</v>
      </c>
      <c r="J133" s="20" t="s">
        <v>81</v>
      </c>
      <c r="K133" s="71"/>
      <c r="L133" s="20" t="s">
        <v>169</v>
      </c>
      <c r="M133" s="20"/>
      <c r="N133" s="20"/>
      <c r="O133" s="20"/>
      <c r="P133" s="20"/>
      <c r="Q133" s="20"/>
      <c r="R133" s="20"/>
      <c r="S133" s="20"/>
      <c r="T133" s="26" t="s">
        <v>750</v>
      </c>
      <c r="U133" s="17"/>
    </row>
    <row r="134" spans="1:21" x14ac:dyDescent="0.25">
      <c r="A134" s="2" t="str">
        <f>IFERROR(VLOOKUP(B134,Clientes!A:B,2,0),"")</f>
        <v/>
      </c>
      <c r="B134" s="20">
        <f t="shared" si="12"/>
        <v>116</v>
      </c>
      <c r="C134" s="52" t="s">
        <v>507</v>
      </c>
      <c r="D134" s="55" t="s">
        <v>508</v>
      </c>
      <c r="E134" s="2" t="s">
        <v>232</v>
      </c>
      <c r="F134" s="71">
        <v>260615</v>
      </c>
      <c r="G134" s="29" t="s">
        <v>58</v>
      </c>
      <c r="H134" s="20" t="s">
        <v>72</v>
      </c>
      <c r="I134" s="20" t="s">
        <v>84</v>
      </c>
      <c r="J134" s="20" t="s">
        <v>81</v>
      </c>
      <c r="K134" s="71"/>
      <c r="L134" s="20" t="s">
        <v>18</v>
      </c>
      <c r="M134" s="20"/>
      <c r="N134" s="20"/>
      <c r="O134" s="20"/>
      <c r="P134" s="20"/>
      <c r="Q134" s="20"/>
      <c r="R134" s="20"/>
      <c r="S134" s="20"/>
      <c r="T134" s="26"/>
      <c r="U134" s="17"/>
    </row>
    <row r="135" spans="1:21" x14ac:dyDescent="0.25">
      <c r="A135" s="2" t="str">
        <f>IFERROR(VLOOKUP(B135,Clientes!A:B,2,0),"")</f>
        <v/>
      </c>
      <c r="B135" s="20">
        <f t="shared" si="12"/>
        <v>117</v>
      </c>
      <c r="C135" s="52" t="s">
        <v>327</v>
      </c>
      <c r="D135" s="55" t="s">
        <v>509</v>
      </c>
      <c r="E135" s="2" t="s">
        <v>231</v>
      </c>
      <c r="F135" s="71">
        <v>290615</v>
      </c>
      <c r="G135" s="29" t="s">
        <v>58</v>
      </c>
      <c r="H135" s="20" t="s">
        <v>72</v>
      </c>
      <c r="I135" s="20" t="s">
        <v>84</v>
      </c>
      <c r="J135" s="20" t="s">
        <v>81</v>
      </c>
      <c r="K135" s="71"/>
      <c r="L135" s="20" t="s">
        <v>145</v>
      </c>
      <c r="M135" s="20"/>
      <c r="N135" s="55" t="s">
        <v>510</v>
      </c>
      <c r="O135" s="20"/>
      <c r="P135" s="20"/>
      <c r="Q135" s="20"/>
      <c r="R135" s="20"/>
      <c r="S135" s="20"/>
      <c r="T135" s="26"/>
      <c r="U135" s="17"/>
    </row>
    <row r="136" spans="1:21" x14ac:dyDescent="0.25">
      <c r="A136" s="2" t="str">
        <f>IFERROR(VLOOKUP(B136,Clientes!A:B,2,0),"")</f>
        <v/>
      </c>
      <c r="B136" s="20">
        <f t="shared" si="12"/>
        <v>118</v>
      </c>
      <c r="C136" s="52" t="s">
        <v>479</v>
      </c>
      <c r="D136" s="55" t="s">
        <v>480</v>
      </c>
      <c r="E136" s="2" t="s">
        <v>230</v>
      </c>
      <c r="F136" s="71">
        <v>290615</v>
      </c>
      <c r="G136" s="29" t="s">
        <v>57</v>
      </c>
      <c r="H136" s="20"/>
      <c r="I136" s="20" t="s">
        <v>84</v>
      </c>
      <c r="J136" s="20" t="s">
        <v>83</v>
      </c>
      <c r="K136" s="71"/>
      <c r="L136" s="20" t="s">
        <v>18</v>
      </c>
      <c r="M136" s="20"/>
      <c r="N136" s="20" t="s">
        <v>145</v>
      </c>
      <c r="O136" s="20"/>
      <c r="P136" s="20"/>
      <c r="Q136" s="20"/>
      <c r="R136" s="20"/>
      <c r="S136" s="20"/>
      <c r="T136" s="26"/>
      <c r="U136" s="17"/>
    </row>
    <row r="137" spans="1:21" x14ac:dyDescent="0.25">
      <c r="A137" s="2" t="str">
        <f>IFERROR(VLOOKUP(B137,Clientes!A:B,2,0),"")</f>
        <v/>
      </c>
      <c r="B137" s="20">
        <f t="shared" si="12"/>
        <v>119</v>
      </c>
      <c r="C137" s="52" t="s">
        <v>511</v>
      </c>
      <c r="D137" s="55" t="s">
        <v>512</v>
      </c>
      <c r="E137" s="2" t="s">
        <v>214</v>
      </c>
      <c r="F137" s="71">
        <v>290615</v>
      </c>
      <c r="G137" s="29" t="s">
        <v>58</v>
      </c>
      <c r="H137" s="20" t="s">
        <v>72</v>
      </c>
      <c r="I137" s="20" t="s">
        <v>84</v>
      </c>
      <c r="J137" s="20" t="s">
        <v>81</v>
      </c>
      <c r="K137" s="71"/>
      <c r="L137" s="20" t="s">
        <v>43</v>
      </c>
      <c r="M137" s="20"/>
      <c r="N137" s="20"/>
      <c r="O137" s="20"/>
      <c r="P137" s="20"/>
      <c r="Q137" s="20"/>
      <c r="R137" s="20"/>
      <c r="S137" s="20"/>
      <c r="T137" s="26"/>
      <c r="U137" s="17"/>
    </row>
    <row r="138" spans="1:21" x14ac:dyDescent="0.25">
      <c r="A138" s="2" t="str">
        <f>IFERROR(VLOOKUP(B138,Clientes!A:B,2,0),"")</f>
        <v/>
      </c>
      <c r="B138" s="20">
        <f t="shared" si="12"/>
        <v>120</v>
      </c>
      <c r="C138" s="52" t="s">
        <v>444</v>
      </c>
      <c r="D138" s="55" t="s">
        <v>445</v>
      </c>
      <c r="E138" s="2" t="s">
        <v>235</v>
      </c>
      <c r="F138" s="71">
        <v>290615</v>
      </c>
      <c r="G138" s="29" t="s">
        <v>64</v>
      </c>
      <c r="H138" s="20"/>
      <c r="I138" s="20" t="s">
        <v>84</v>
      </c>
      <c r="J138" s="20" t="s">
        <v>83</v>
      </c>
      <c r="K138" s="71"/>
      <c r="L138" s="20"/>
      <c r="M138" s="20"/>
      <c r="N138" s="20"/>
      <c r="O138" s="20"/>
      <c r="P138" s="20"/>
      <c r="Q138" s="20"/>
      <c r="R138" s="20"/>
      <c r="S138" s="20"/>
      <c r="T138" s="26"/>
      <c r="U138" s="17"/>
    </row>
    <row r="139" spans="1:21" x14ac:dyDescent="0.25">
      <c r="A139" s="2" t="str">
        <f>IFERROR(VLOOKUP(B139,Clientes!A:B,2,0),"")</f>
        <v/>
      </c>
      <c r="B139" s="20">
        <f t="shared" si="12"/>
        <v>121</v>
      </c>
      <c r="C139" s="52"/>
      <c r="D139" s="55"/>
      <c r="E139" s="2"/>
      <c r="F139" s="71"/>
      <c r="G139" s="29"/>
      <c r="H139" s="20"/>
      <c r="I139" s="20" t="s">
        <v>84</v>
      </c>
      <c r="J139" s="20" t="s">
        <v>83</v>
      </c>
      <c r="K139" s="71"/>
      <c r="L139" s="20"/>
      <c r="M139" s="20"/>
      <c r="N139" s="20"/>
      <c r="O139" s="20"/>
      <c r="P139" s="20"/>
      <c r="Q139" s="20"/>
      <c r="R139" s="20"/>
      <c r="S139" s="20"/>
      <c r="T139" s="26"/>
      <c r="U139" s="17"/>
    </row>
    <row r="140" spans="1:21" x14ac:dyDescent="0.25">
      <c r="A140" s="2" t="str">
        <f>IFERROR(VLOOKUP(B140,Clientes!A:B,2,0),"")</f>
        <v/>
      </c>
      <c r="B140" s="20">
        <f t="shared" si="12"/>
        <v>122</v>
      </c>
      <c r="C140" s="52" t="s">
        <v>481</v>
      </c>
      <c r="D140" s="55" t="s">
        <v>482</v>
      </c>
      <c r="E140" s="2" t="s">
        <v>230</v>
      </c>
      <c r="F140" s="71">
        <v>290615</v>
      </c>
      <c r="G140" s="29" t="s">
        <v>58</v>
      </c>
      <c r="H140" s="20" t="s">
        <v>72</v>
      </c>
      <c r="I140" s="20" t="s">
        <v>84</v>
      </c>
      <c r="J140" s="20" t="s">
        <v>81</v>
      </c>
      <c r="K140" s="71"/>
      <c r="L140" s="20" t="s">
        <v>145</v>
      </c>
      <c r="M140" s="20"/>
      <c r="N140" s="20" t="s">
        <v>18</v>
      </c>
      <c r="O140" s="20"/>
      <c r="P140" s="20" t="s">
        <v>139</v>
      </c>
      <c r="Q140" s="20"/>
      <c r="R140" s="20"/>
      <c r="S140" s="20"/>
      <c r="T140" s="26"/>
      <c r="U140" s="17"/>
    </row>
    <row r="141" spans="1:21" x14ac:dyDescent="0.25">
      <c r="A141" s="2" t="str">
        <f>IFERROR(VLOOKUP(B141,Clientes!A:B,2,0),"")</f>
        <v/>
      </c>
      <c r="B141" s="20">
        <f t="shared" si="12"/>
        <v>123</v>
      </c>
      <c r="C141" s="52" t="s">
        <v>343</v>
      </c>
      <c r="D141" s="55" t="s">
        <v>344</v>
      </c>
      <c r="E141" s="2" t="s">
        <v>235</v>
      </c>
      <c r="F141" s="71">
        <v>290615</v>
      </c>
      <c r="G141" s="29" t="s">
        <v>58</v>
      </c>
      <c r="H141" s="20" t="s">
        <v>72</v>
      </c>
      <c r="I141" s="20" t="s">
        <v>84</v>
      </c>
      <c r="J141" s="20" t="s">
        <v>81</v>
      </c>
      <c r="K141" s="71"/>
      <c r="L141" s="20" t="s">
        <v>169</v>
      </c>
      <c r="M141" s="20"/>
      <c r="N141" s="20"/>
      <c r="O141" s="20"/>
      <c r="P141" s="20"/>
      <c r="Q141" s="20"/>
      <c r="R141" s="20"/>
      <c r="S141" s="20"/>
      <c r="T141" s="26"/>
      <c r="U141" s="17"/>
    </row>
    <row r="142" spans="1:21" x14ac:dyDescent="0.25">
      <c r="A142" s="2" t="str">
        <f>IFERROR(VLOOKUP(B142,Clientes!A:B,2,0),"")</f>
        <v/>
      </c>
      <c r="B142" s="20">
        <f t="shared" ref="B142:B150" si="13">B141+1</f>
        <v>124</v>
      </c>
      <c r="C142" s="52" t="s">
        <v>521</v>
      </c>
      <c r="D142" s="55" t="s">
        <v>522</v>
      </c>
      <c r="E142" s="2" t="s">
        <v>217</v>
      </c>
      <c r="F142" s="71">
        <v>300715</v>
      </c>
      <c r="G142" s="29" t="s">
        <v>58</v>
      </c>
      <c r="H142" s="20" t="s">
        <v>72</v>
      </c>
      <c r="I142" s="20" t="s">
        <v>84</v>
      </c>
      <c r="J142" s="20" t="s">
        <v>81</v>
      </c>
      <c r="K142" s="71"/>
      <c r="L142" s="20" t="s">
        <v>137</v>
      </c>
      <c r="M142" s="20"/>
      <c r="N142" s="20"/>
      <c r="O142" s="20"/>
      <c r="P142" s="20"/>
      <c r="Q142" s="20"/>
      <c r="R142" s="20"/>
      <c r="S142" s="20"/>
      <c r="T142" s="26"/>
      <c r="U142" s="17"/>
    </row>
    <row r="143" spans="1:21" x14ac:dyDescent="0.25">
      <c r="A143" s="2" t="str">
        <f>IFERROR(VLOOKUP(B143,Clientes!A:B,2,0),"")</f>
        <v/>
      </c>
      <c r="B143" s="20">
        <f t="shared" si="13"/>
        <v>125</v>
      </c>
      <c r="C143" s="52" t="s">
        <v>545</v>
      </c>
      <c r="D143" s="55" t="s">
        <v>546</v>
      </c>
      <c r="E143" s="2" t="s">
        <v>229</v>
      </c>
      <c r="F143" s="71">
        <v>300615</v>
      </c>
      <c r="G143" s="29" t="s">
        <v>58</v>
      </c>
      <c r="H143" s="20" t="s">
        <v>72</v>
      </c>
      <c r="I143" s="20" t="s">
        <v>84</v>
      </c>
      <c r="J143" s="20" t="s">
        <v>81</v>
      </c>
      <c r="K143" s="71"/>
      <c r="L143" s="20" t="s">
        <v>15</v>
      </c>
      <c r="M143" s="20"/>
      <c r="N143" s="20"/>
      <c r="O143" s="20"/>
      <c r="P143" s="20"/>
      <c r="Q143" s="20"/>
      <c r="R143" s="20"/>
      <c r="S143" s="20"/>
      <c r="T143" s="26"/>
      <c r="U143" s="17"/>
    </row>
    <row r="144" spans="1:21" x14ac:dyDescent="0.25">
      <c r="A144" s="2" t="str">
        <f>IFERROR(VLOOKUP(B144,Clientes!A:B,2,0),"")</f>
        <v/>
      </c>
      <c r="B144" s="20">
        <f t="shared" si="13"/>
        <v>126</v>
      </c>
      <c r="C144" s="52" t="s">
        <v>519</v>
      </c>
      <c r="D144" s="55" t="s">
        <v>520</v>
      </c>
      <c r="E144" s="2" t="s">
        <v>225</v>
      </c>
      <c r="F144" s="71">
        <v>10715</v>
      </c>
      <c r="G144" s="29" t="s">
        <v>57</v>
      </c>
      <c r="H144" s="20"/>
      <c r="I144" s="20" t="s">
        <v>84</v>
      </c>
      <c r="J144" s="20" t="s">
        <v>83</v>
      </c>
      <c r="K144" s="71"/>
      <c r="L144" s="20" t="s">
        <v>145</v>
      </c>
      <c r="M144" s="20"/>
      <c r="N144" s="20"/>
      <c r="O144" s="20"/>
      <c r="P144" s="20"/>
      <c r="Q144" s="20"/>
      <c r="R144" s="20"/>
      <c r="S144" s="20"/>
      <c r="T144" s="26"/>
      <c r="U144" s="17"/>
    </row>
    <row r="145" spans="1:21" x14ac:dyDescent="0.25">
      <c r="A145" s="2"/>
      <c r="B145" s="20" t="s">
        <v>542</v>
      </c>
      <c r="C145" s="52" t="s">
        <v>543</v>
      </c>
      <c r="D145" s="55" t="s">
        <v>544</v>
      </c>
      <c r="E145" s="2" t="s">
        <v>226</v>
      </c>
      <c r="F145" s="71">
        <v>300615</v>
      </c>
      <c r="G145" s="29" t="s">
        <v>58</v>
      </c>
      <c r="H145" s="20" t="s">
        <v>72</v>
      </c>
      <c r="I145" s="20" t="s">
        <v>84</v>
      </c>
      <c r="J145" s="20" t="s">
        <v>81</v>
      </c>
      <c r="K145" s="71"/>
      <c r="L145" s="20"/>
      <c r="M145" s="20"/>
      <c r="N145" s="20"/>
      <c r="O145" s="20"/>
      <c r="P145" s="20"/>
      <c r="Q145" s="20"/>
      <c r="R145" s="20"/>
      <c r="S145" s="20"/>
      <c r="T145" s="26"/>
      <c r="U145" s="17"/>
    </row>
    <row r="146" spans="1:21" x14ac:dyDescent="0.25">
      <c r="A146" s="2" t="str">
        <f>IFERROR(VLOOKUP(B146,Clientes!A:B,2,0),"")</f>
        <v/>
      </c>
      <c r="B146" s="20">
        <f>B144+1</f>
        <v>127</v>
      </c>
      <c r="C146" s="52" t="s">
        <v>517</v>
      </c>
      <c r="D146" s="55" t="s">
        <v>518</v>
      </c>
      <c r="E146" s="2" t="s">
        <v>217</v>
      </c>
      <c r="F146" s="71">
        <v>10715</v>
      </c>
      <c r="G146" s="29" t="s">
        <v>58</v>
      </c>
      <c r="H146" s="20" t="s">
        <v>72</v>
      </c>
      <c r="I146" s="20" t="s">
        <v>84</v>
      </c>
      <c r="J146" s="20" t="s">
        <v>81</v>
      </c>
      <c r="K146" s="71"/>
      <c r="L146" s="20" t="s">
        <v>15</v>
      </c>
      <c r="M146" s="20"/>
      <c r="N146" s="20" t="s">
        <v>148</v>
      </c>
      <c r="O146" s="20"/>
      <c r="P146" s="20"/>
      <c r="Q146" s="20"/>
      <c r="R146" s="20"/>
      <c r="S146" s="20"/>
      <c r="T146" s="26"/>
      <c r="U146" s="17"/>
    </row>
    <row r="147" spans="1:21" x14ac:dyDescent="0.25">
      <c r="A147" s="2" t="str">
        <f>IFERROR(VLOOKUP(B147,Clientes!A:B,2,0),"")</f>
        <v/>
      </c>
      <c r="B147" s="20">
        <f t="shared" si="13"/>
        <v>128</v>
      </c>
      <c r="C147" s="52" t="s">
        <v>515</v>
      </c>
      <c r="D147" s="55" t="s">
        <v>516</v>
      </c>
      <c r="E147" s="2" t="s">
        <v>227</v>
      </c>
      <c r="F147" s="71">
        <v>10715</v>
      </c>
      <c r="G147" s="29" t="s">
        <v>57</v>
      </c>
      <c r="H147" s="20"/>
      <c r="I147" s="20" t="s">
        <v>84</v>
      </c>
      <c r="J147" s="20" t="s">
        <v>83</v>
      </c>
      <c r="K147" s="71"/>
      <c r="L147" s="20" t="s">
        <v>145</v>
      </c>
      <c r="M147" s="20"/>
      <c r="N147" s="20"/>
      <c r="O147" s="20"/>
      <c r="P147" s="20"/>
      <c r="Q147" s="20"/>
      <c r="R147" s="20"/>
      <c r="S147" s="20"/>
      <c r="T147" s="26"/>
      <c r="U147" s="17"/>
    </row>
    <row r="148" spans="1:21" x14ac:dyDescent="0.25">
      <c r="A148" s="2" t="str">
        <f>IFERROR(VLOOKUP(B148,Clientes!A:B,2,0),"")</f>
        <v/>
      </c>
      <c r="B148" s="20">
        <f t="shared" si="13"/>
        <v>129</v>
      </c>
      <c r="C148" s="52" t="s">
        <v>513</v>
      </c>
      <c r="D148" s="55" t="s">
        <v>514</v>
      </c>
      <c r="E148" s="2" t="s">
        <v>229</v>
      </c>
      <c r="F148" s="71">
        <v>10715</v>
      </c>
      <c r="G148" s="29" t="s">
        <v>57</v>
      </c>
      <c r="H148" s="20"/>
      <c r="I148" s="20" t="s">
        <v>84</v>
      </c>
      <c r="J148" s="20" t="s">
        <v>83</v>
      </c>
      <c r="K148" s="71"/>
      <c r="L148" s="20" t="s">
        <v>145</v>
      </c>
      <c r="M148" s="20"/>
      <c r="N148" s="20"/>
      <c r="O148" s="20"/>
      <c r="P148" s="20"/>
      <c r="Q148" s="20"/>
      <c r="R148" s="20"/>
      <c r="S148" s="20"/>
      <c r="T148" s="26"/>
      <c r="U148" s="17"/>
    </row>
    <row r="149" spans="1:21" x14ac:dyDescent="0.25">
      <c r="A149" s="2" t="str">
        <f>IFERROR(VLOOKUP(B149,Clientes!A:B,2,0),"")</f>
        <v/>
      </c>
      <c r="B149" s="20">
        <f t="shared" si="13"/>
        <v>130</v>
      </c>
      <c r="C149" s="52" t="s">
        <v>523</v>
      </c>
      <c r="D149" s="55" t="s">
        <v>524</v>
      </c>
      <c r="E149" s="2" t="s">
        <v>216</v>
      </c>
      <c r="F149" s="71">
        <v>10715</v>
      </c>
      <c r="G149" s="29" t="s">
        <v>57</v>
      </c>
      <c r="H149" s="20"/>
      <c r="I149" s="20" t="s">
        <v>84</v>
      </c>
      <c r="J149" s="20" t="s">
        <v>81</v>
      </c>
      <c r="K149" s="71"/>
      <c r="L149" s="20" t="s">
        <v>145</v>
      </c>
      <c r="M149" s="20"/>
      <c r="N149" s="20"/>
      <c r="O149" s="20"/>
      <c r="P149" s="20"/>
      <c r="Q149" s="20"/>
      <c r="R149" s="20"/>
      <c r="S149" s="20"/>
      <c r="T149" s="26"/>
      <c r="U149" s="17"/>
    </row>
    <row r="150" spans="1:21" x14ac:dyDescent="0.25">
      <c r="A150" s="2" t="str">
        <f>IFERROR(VLOOKUP(B150,Clientes!A:B,2,0),"")</f>
        <v/>
      </c>
      <c r="B150" s="20">
        <f t="shared" si="13"/>
        <v>131</v>
      </c>
      <c r="C150" s="52" t="s">
        <v>525</v>
      </c>
      <c r="D150" s="55" t="s">
        <v>526</v>
      </c>
      <c r="E150" s="2" t="s">
        <v>230</v>
      </c>
      <c r="F150" s="71">
        <v>10715</v>
      </c>
      <c r="G150" s="29" t="s">
        <v>57</v>
      </c>
      <c r="H150" s="20"/>
      <c r="I150" s="20" t="s">
        <v>84</v>
      </c>
      <c r="J150" s="20" t="s">
        <v>81</v>
      </c>
      <c r="K150" s="71"/>
      <c r="L150" s="20" t="s">
        <v>17</v>
      </c>
      <c r="M150" s="20"/>
      <c r="N150" s="20"/>
      <c r="O150" s="20"/>
      <c r="P150" s="20"/>
      <c r="Q150" s="20"/>
      <c r="R150" s="20"/>
      <c r="S150" s="20"/>
      <c r="T150" s="26"/>
      <c r="U150" s="17"/>
    </row>
    <row r="151" spans="1:21" x14ac:dyDescent="0.25">
      <c r="A151" s="2" t="str">
        <f>IFERROR(VLOOKUP(B151,Clientes!A:B,2,0),"")</f>
        <v/>
      </c>
      <c r="B151" s="20">
        <f t="shared" ref="B151:B152" si="14">B150+1</f>
        <v>132</v>
      </c>
      <c r="C151" s="52" t="s">
        <v>527</v>
      </c>
      <c r="D151" s="55" t="s">
        <v>528</v>
      </c>
      <c r="E151" s="2" t="s">
        <v>227</v>
      </c>
      <c r="F151" s="71">
        <v>10715</v>
      </c>
      <c r="G151" s="29" t="s">
        <v>57</v>
      </c>
      <c r="H151" s="20" t="s">
        <v>72</v>
      </c>
      <c r="I151" s="20" t="s">
        <v>84</v>
      </c>
      <c r="J151" s="20" t="s">
        <v>81</v>
      </c>
      <c r="K151" s="71"/>
      <c r="L151" s="20"/>
      <c r="M151" s="20"/>
      <c r="N151" s="20"/>
      <c r="O151" s="20"/>
      <c r="P151" s="20"/>
      <c r="Q151" s="20"/>
      <c r="R151" s="20"/>
      <c r="S151" s="20"/>
      <c r="T151" s="26"/>
      <c r="U151" s="17"/>
    </row>
    <row r="152" spans="1:21" x14ac:dyDescent="0.25">
      <c r="A152" s="2" t="str">
        <f>IFERROR(VLOOKUP(B152,Clientes!A:B,2,0),"")</f>
        <v/>
      </c>
      <c r="B152" s="20">
        <f t="shared" si="14"/>
        <v>133</v>
      </c>
      <c r="C152" s="52" t="s">
        <v>529</v>
      </c>
      <c r="D152" s="55" t="s">
        <v>530</v>
      </c>
      <c r="E152" s="2" t="s">
        <v>226</v>
      </c>
      <c r="F152" s="71">
        <v>10715</v>
      </c>
      <c r="G152" s="29" t="s">
        <v>57</v>
      </c>
      <c r="H152" s="20"/>
      <c r="I152" s="20" t="s">
        <v>84</v>
      </c>
      <c r="J152" s="20" t="s">
        <v>83</v>
      </c>
      <c r="K152" s="71"/>
      <c r="L152" s="20" t="s">
        <v>145</v>
      </c>
      <c r="M152" s="20"/>
      <c r="N152" s="20"/>
      <c r="O152" s="20"/>
      <c r="P152" s="20"/>
      <c r="Q152" s="20"/>
      <c r="R152" s="20"/>
      <c r="S152" s="20"/>
      <c r="T152" s="26"/>
      <c r="U152" s="17"/>
    </row>
    <row r="153" spans="1:21" x14ac:dyDescent="0.25">
      <c r="A153" s="2"/>
      <c r="B153" s="20">
        <v>134</v>
      </c>
      <c r="C153" s="52" t="s">
        <v>533</v>
      </c>
      <c r="D153" s="55" t="s">
        <v>534</v>
      </c>
      <c r="E153" s="2" t="s">
        <v>222</v>
      </c>
      <c r="F153" s="71">
        <v>10715</v>
      </c>
      <c r="G153" s="29"/>
      <c r="H153" s="20"/>
      <c r="I153" s="20" t="s">
        <v>84</v>
      </c>
      <c r="J153" s="20" t="s">
        <v>83</v>
      </c>
      <c r="K153" s="71"/>
      <c r="L153" s="20"/>
      <c r="M153" s="20"/>
      <c r="N153" s="20"/>
      <c r="O153" s="20"/>
      <c r="P153" s="20"/>
      <c r="Q153" s="20"/>
      <c r="R153" s="20"/>
      <c r="S153" s="20"/>
      <c r="T153" s="26"/>
      <c r="U153" s="17"/>
    </row>
    <row r="154" spans="1:21" x14ac:dyDescent="0.25">
      <c r="A154" s="2" t="str">
        <f>IFERROR(VLOOKUP(B154,Clientes!A:B,2,0),"")</f>
        <v/>
      </c>
      <c r="B154" s="20">
        <v>136</v>
      </c>
      <c r="C154" s="52" t="s">
        <v>531</v>
      </c>
      <c r="D154" s="55" t="s">
        <v>532</v>
      </c>
      <c r="E154" s="2"/>
      <c r="F154" s="71">
        <v>10716</v>
      </c>
      <c r="G154" s="29"/>
      <c r="H154" s="20"/>
      <c r="I154" s="20" t="s">
        <v>84</v>
      </c>
      <c r="J154" s="20" t="s">
        <v>81</v>
      </c>
      <c r="K154" s="71"/>
      <c r="L154" s="20"/>
      <c r="M154" s="20"/>
      <c r="N154" s="20"/>
      <c r="O154" s="20"/>
      <c r="P154" s="20"/>
      <c r="Q154" s="20"/>
      <c r="R154" s="20"/>
      <c r="S154" s="20"/>
      <c r="T154" s="26"/>
      <c r="U154" s="17"/>
    </row>
    <row r="155" spans="1:21" x14ac:dyDescent="0.25">
      <c r="A155" s="2" t="str">
        <f>IFERROR(VLOOKUP(B155,Clientes!A:B,2,0),"")</f>
        <v/>
      </c>
      <c r="B155" s="20">
        <f t="shared" ref="B155:B163" si="15">B154+1</f>
        <v>137</v>
      </c>
      <c r="C155" s="52" t="s">
        <v>549</v>
      </c>
      <c r="D155" s="55" t="s">
        <v>550</v>
      </c>
      <c r="E155" s="2" t="s">
        <v>217</v>
      </c>
      <c r="F155" s="71">
        <v>20715</v>
      </c>
      <c r="G155" s="29" t="s">
        <v>58</v>
      </c>
      <c r="H155" s="20" t="s">
        <v>72</v>
      </c>
      <c r="I155" s="20" t="s">
        <v>84</v>
      </c>
      <c r="J155" s="20" t="s">
        <v>83</v>
      </c>
      <c r="K155" s="71"/>
      <c r="L155" s="20" t="s">
        <v>148</v>
      </c>
      <c r="M155" s="20"/>
      <c r="N155" s="20" t="s">
        <v>167</v>
      </c>
      <c r="O155" s="20"/>
      <c r="P155" s="20" t="s">
        <v>15</v>
      </c>
      <c r="Q155" s="20"/>
      <c r="R155" s="20"/>
      <c r="S155" s="20"/>
      <c r="T155" s="26"/>
      <c r="U155" s="17"/>
    </row>
    <row r="156" spans="1:21" x14ac:dyDescent="0.25">
      <c r="A156" s="2" t="str">
        <f>IFERROR(VLOOKUP(B156,Clientes!A:B,2,0),"")</f>
        <v/>
      </c>
      <c r="B156" s="20">
        <f t="shared" si="15"/>
        <v>138</v>
      </c>
      <c r="C156" s="52" t="s">
        <v>515</v>
      </c>
      <c r="D156" s="55" t="s">
        <v>516</v>
      </c>
      <c r="E156" s="2" t="s">
        <v>227</v>
      </c>
      <c r="F156" s="71">
        <v>20715</v>
      </c>
      <c r="G156" s="29" t="s">
        <v>57</v>
      </c>
      <c r="H156" s="20"/>
      <c r="I156" s="20" t="s">
        <v>84</v>
      </c>
      <c r="J156" s="20" t="s">
        <v>83</v>
      </c>
      <c r="K156" s="71"/>
      <c r="L156" s="20" t="s">
        <v>160</v>
      </c>
      <c r="M156" s="20"/>
      <c r="N156" s="20"/>
      <c r="O156" s="20"/>
      <c r="P156" s="20"/>
      <c r="Q156" s="20"/>
      <c r="R156" s="20"/>
      <c r="S156" s="20"/>
      <c r="T156" s="26"/>
      <c r="U156" s="17"/>
    </row>
    <row r="157" spans="1:21" x14ac:dyDescent="0.25">
      <c r="A157" s="2" t="str">
        <f>IFERROR(VLOOKUP(B157,Clientes!A:B,2,0),"")</f>
        <v/>
      </c>
      <c r="B157" s="20">
        <f t="shared" si="15"/>
        <v>139</v>
      </c>
      <c r="C157" s="52" t="s">
        <v>547</v>
      </c>
      <c r="D157" s="55" t="s">
        <v>548</v>
      </c>
      <c r="E157" s="2" t="s">
        <v>227</v>
      </c>
      <c r="F157" s="71">
        <v>20715</v>
      </c>
      <c r="G157" s="29" t="s">
        <v>57</v>
      </c>
      <c r="H157" s="20" t="s">
        <v>73</v>
      </c>
      <c r="I157" s="20" t="s">
        <v>84</v>
      </c>
      <c r="J157" s="20" t="s">
        <v>83</v>
      </c>
      <c r="K157" s="71"/>
      <c r="L157" s="20" t="s">
        <v>160</v>
      </c>
      <c r="M157" s="20"/>
      <c r="N157" s="20"/>
      <c r="O157" s="20"/>
      <c r="P157" s="20"/>
      <c r="Q157" s="20"/>
      <c r="R157" s="20"/>
      <c r="S157" s="20"/>
      <c r="T157" s="26"/>
      <c r="U157" s="17"/>
    </row>
    <row r="158" spans="1:21" x14ac:dyDescent="0.25">
      <c r="A158" s="2" t="str">
        <f>IFERROR(VLOOKUP(B158,Clientes!A:B,2,0),"")</f>
        <v/>
      </c>
      <c r="B158" s="20">
        <f t="shared" si="15"/>
        <v>140</v>
      </c>
      <c r="C158" s="52" t="s">
        <v>303</v>
      </c>
      <c r="D158" s="55" t="s">
        <v>304</v>
      </c>
      <c r="E158" s="2" t="s">
        <v>218</v>
      </c>
      <c r="F158" s="71">
        <v>20715</v>
      </c>
      <c r="G158" s="29" t="s">
        <v>58</v>
      </c>
      <c r="H158" s="20" t="s">
        <v>73</v>
      </c>
      <c r="I158" s="20" t="s">
        <v>84</v>
      </c>
      <c r="J158" s="20" t="s">
        <v>83</v>
      </c>
      <c r="K158" s="71"/>
      <c r="L158" s="20" t="s">
        <v>167</v>
      </c>
      <c r="M158" s="20"/>
      <c r="N158" s="20" t="s">
        <v>13</v>
      </c>
      <c r="O158" s="20"/>
      <c r="P158" s="20"/>
      <c r="Q158" s="20"/>
      <c r="R158" s="20"/>
      <c r="S158" s="20"/>
      <c r="T158" s="26"/>
      <c r="U158" s="17"/>
    </row>
    <row r="159" spans="1:21" x14ac:dyDescent="0.25">
      <c r="A159" s="2" t="str">
        <f>IFERROR(VLOOKUP(B159,Clientes!A:B,2,0),"")</f>
        <v/>
      </c>
      <c r="B159" s="20">
        <f t="shared" si="15"/>
        <v>141</v>
      </c>
      <c r="C159" s="52"/>
      <c r="D159" s="55"/>
      <c r="E159" s="2"/>
      <c r="F159" s="71"/>
      <c r="G159" s="29"/>
      <c r="H159" s="20"/>
      <c r="I159" s="20" t="s">
        <v>84</v>
      </c>
      <c r="J159" s="20"/>
      <c r="K159" s="71"/>
      <c r="L159" s="20"/>
      <c r="M159" s="20"/>
      <c r="N159" s="20"/>
      <c r="O159" s="20"/>
      <c r="P159" s="20"/>
      <c r="Q159" s="20"/>
      <c r="R159" s="20"/>
      <c r="S159" s="20"/>
      <c r="T159" s="26"/>
      <c r="U159" s="17"/>
    </row>
    <row r="160" spans="1:21" x14ac:dyDescent="0.25">
      <c r="A160" s="2" t="str">
        <f>IFERROR(VLOOKUP(B160,Clientes!A:B,2,0),"")</f>
        <v/>
      </c>
      <c r="B160" s="20">
        <f t="shared" si="15"/>
        <v>142</v>
      </c>
      <c r="C160" s="52" t="s">
        <v>271</v>
      </c>
      <c r="D160" s="55" t="s">
        <v>272</v>
      </c>
      <c r="E160" s="2" t="s">
        <v>228</v>
      </c>
      <c r="F160" s="71">
        <v>20715</v>
      </c>
      <c r="G160" s="29" t="s">
        <v>58</v>
      </c>
      <c r="H160" s="20" t="s">
        <v>72</v>
      </c>
      <c r="I160" s="20" t="s">
        <v>84</v>
      </c>
      <c r="J160" s="20" t="s">
        <v>83</v>
      </c>
      <c r="K160" s="71"/>
      <c r="L160" s="20"/>
      <c r="M160" s="20"/>
      <c r="N160" s="20"/>
      <c r="O160" s="20"/>
      <c r="P160" s="20"/>
      <c r="Q160" s="20"/>
      <c r="R160" s="20"/>
      <c r="S160" s="20"/>
      <c r="T160" s="26"/>
      <c r="U160" s="17"/>
    </row>
    <row r="161" spans="1:21" x14ac:dyDescent="0.25">
      <c r="A161" s="2" t="str">
        <f>IFERROR(VLOOKUP(B161,Clientes!A:B,2,0),"")</f>
        <v/>
      </c>
      <c r="B161" s="20">
        <f t="shared" si="15"/>
        <v>143</v>
      </c>
      <c r="C161" s="52" t="s">
        <v>540</v>
      </c>
      <c r="D161" s="55" t="s">
        <v>541</v>
      </c>
      <c r="E161" s="2" t="s">
        <v>232</v>
      </c>
      <c r="F161" s="71">
        <v>20715</v>
      </c>
      <c r="G161" s="29" t="s">
        <v>56</v>
      </c>
      <c r="H161" s="20" t="s">
        <v>72</v>
      </c>
      <c r="I161" s="20" t="s">
        <v>84</v>
      </c>
      <c r="J161" s="20" t="s">
        <v>83</v>
      </c>
      <c r="K161" s="71"/>
      <c r="L161" s="20"/>
      <c r="M161" s="20"/>
      <c r="N161" s="20"/>
      <c r="O161" s="20"/>
      <c r="P161" s="20"/>
      <c r="Q161" s="20"/>
      <c r="R161" s="20"/>
      <c r="S161" s="20"/>
      <c r="T161" s="26"/>
      <c r="U161" s="17"/>
    </row>
    <row r="162" spans="1:21" x14ac:dyDescent="0.25">
      <c r="A162" s="2" t="str">
        <f>IFERROR(VLOOKUP(B162,Clientes!A:B,2,0),"")</f>
        <v/>
      </c>
      <c r="B162" s="20">
        <f t="shared" si="15"/>
        <v>144</v>
      </c>
      <c r="C162" s="52" t="s">
        <v>538</v>
      </c>
      <c r="D162" s="55" t="s">
        <v>539</v>
      </c>
      <c r="E162" s="2" t="s">
        <v>236</v>
      </c>
      <c r="F162" s="71">
        <v>20715</v>
      </c>
      <c r="G162" s="29" t="s">
        <v>64</v>
      </c>
      <c r="H162" s="20" t="s">
        <v>77</v>
      </c>
      <c r="I162" s="20" t="s">
        <v>84</v>
      </c>
      <c r="J162" s="20" t="s">
        <v>83</v>
      </c>
      <c r="K162" s="71"/>
      <c r="L162" s="20"/>
      <c r="M162" s="20"/>
      <c r="N162" s="20"/>
      <c r="O162" s="20"/>
      <c r="P162" s="20"/>
      <c r="Q162" s="20"/>
      <c r="R162" s="20"/>
      <c r="S162" s="20"/>
      <c r="T162" s="26"/>
      <c r="U162" s="17"/>
    </row>
    <row r="163" spans="1:21" x14ac:dyDescent="0.25">
      <c r="A163" s="2" t="str">
        <f>IFERROR(VLOOKUP(B163,Clientes!A:B,2,0),"")</f>
        <v/>
      </c>
      <c r="B163" s="20">
        <f t="shared" si="15"/>
        <v>145</v>
      </c>
      <c r="C163" s="52" t="s">
        <v>535</v>
      </c>
      <c r="D163" s="55" t="s">
        <v>536</v>
      </c>
      <c r="E163" s="2" t="s">
        <v>237</v>
      </c>
      <c r="F163" s="71">
        <v>20715</v>
      </c>
      <c r="G163" s="29" t="s">
        <v>537</v>
      </c>
      <c r="H163" s="20"/>
      <c r="I163" s="20" t="s">
        <v>84</v>
      </c>
      <c r="J163" s="20" t="s">
        <v>81</v>
      </c>
      <c r="K163" s="71"/>
      <c r="L163" s="20"/>
      <c r="M163" s="20"/>
      <c r="N163" s="20"/>
      <c r="O163" s="20"/>
      <c r="P163" s="20"/>
      <c r="Q163" s="20"/>
      <c r="R163" s="20"/>
      <c r="S163" s="20"/>
      <c r="T163" s="26"/>
      <c r="U163" s="17"/>
    </row>
    <row r="164" spans="1:21" x14ac:dyDescent="0.25">
      <c r="A164" s="2" t="str">
        <f>IFERROR(VLOOKUP(B164,Clientes!A:B,2,0),"")</f>
        <v/>
      </c>
      <c r="B164" s="20">
        <f t="shared" ref="B164:B177" si="16">B163+1</f>
        <v>146</v>
      </c>
      <c r="C164" s="52"/>
      <c r="D164" s="55"/>
      <c r="E164" s="2"/>
      <c r="F164" s="71"/>
      <c r="G164" s="29"/>
      <c r="H164" s="20"/>
      <c r="I164" s="20" t="s">
        <v>84</v>
      </c>
      <c r="J164" s="20"/>
      <c r="K164" s="71"/>
      <c r="L164" s="20"/>
      <c r="M164" s="20"/>
      <c r="N164" s="20"/>
      <c r="O164" s="20"/>
      <c r="P164" s="20"/>
      <c r="Q164" s="20"/>
      <c r="R164" s="20"/>
      <c r="S164" s="20"/>
      <c r="T164" s="26"/>
      <c r="U164" s="17"/>
    </row>
    <row r="165" spans="1:21" x14ac:dyDescent="0.25">
      <c r="A165" s="2" t="str">
        <f>IFERROR(VLOOKUP(B165,Clientes!A:B,2,0),"")</f>
        <v/>
      </c>
      <c r="B165" s="20">
        <f t="shared" si="16"/>
        <v>147</v>
      </c>
      <c r="C165" s="52"/>
      <c r="D165" s="55"/>
      <c r="E165" s="2"/>
      <c r="F165" s="71"/>
      <c r="G165" s="29"/>
      <c r="H165" s="20"/>
      <c r="I165" s="20" t="s">
        <v>84</v>
      </c>
      <c r="J165" s="20"/>
      <c r="K165" s="71"/>
      <c r="L165" s="20"/>
      <c r="M165" s="20"/>
      <c r="N165" s="20"/>
      <c r="O165" s="20"/>
      <c r="P165" s="20"/>
      <c r="Q165" s="20"/>
      <c r="R165" s="20"/>
      <c r="S165" s="20"/>
      <c r="T165" s="26"/>
      <c r="U165" s="17"/>
    </row>
    <row r="166" spans="1:21" x14ac:dyDescent="0.25">
      <c r="A166" s="2" t="str">
        <f>IFERROR(VLOOKUP(B166,Clientes!A:B,2,0),"")</f>
        <v/>
      </c>
      <c r="B166" s="20">
        <f t="shared" si="16"/>
        <v>148</v>
      </c>
      <c r="C166" s="52"/>
      <c r="D166" s="55"/>
      <c r="E166" s="2"/>
      <c r="F166" s="71"/>
      <c r="G166" s="29"/>
      <c r="H166" s="20"/>
      <c r="I166" s="20" t="s">
        <v>84</v>
      </c>
      <c r="J166" s="20"/>
      <c r="K166" s="71"/>
      <c r="L166" s="20"/>
      <c r="M166" s="20"/>
      <c r="N166" s="20"/>
      <c r="O166" s="20"/>
      <c r="P166" s="20"/>
      <c r="Q166" s="20"/>
      <c r="R166" s="20"/>
      <c r="S166" s="20"/>
      <c r="T166" s="26"/>
      <c r="U166" s="17"/>
    </row>
    <row r="167" spans="1:21" x14ac:dyDescent="0.25">
      <c r="A167" s="2" t="str">
        <f>IFERROR(VLOOKUP(B167,Clientes!A:B,2,0),"")</f>
        <v/>
      </c>
      <c r="B167" s="20">
        <f t="shared" si="16"/>
        <v>149</v>
      </c>
      <c r="C167" s="52" t="s">
        <v>468</v>
      </c>
      <c r="D167" s="55" t="s">
        <v>469</v>
      </c>
      <c r="E167" s="2" t="s">
        <v>226</v>
      </c>
      <c r="F167" s="71">
        <v>30715</v>
      </c>
      <c r="G167" s="29" t="s">
        <v>56</v>
      </c>
      <c r="H167" s="20" t="s">
        <v>73</v>
      </c>
      <c r="I167" s="20" t="s">
        <v>84</v>
      </c>
      <c r="J167" s="20" t="s">
        <v>83</v>
      </c>
      <c r="K167" s="71"/>
      <c r="L167" s="20"/>
      <c r="M167" s="20"/>
      <c r="N167" s="20"/>
      <c r="O167" s="20"/>
      <c r="P167" s="20"/>
      <c r="Q167" s="20"/>
      <c r="R167" s="20"/>
      <c r="S167" s="20"/>
      <c r="T167" s="26"/>
      <c r="U167" s="17"/>
    </row>
    <row r="168" spans="1:21" x14ac:dyDescent="0.25">
      <c r="A168" s="2" t="str">
        <f>IFERROR(VLOOKUP(B168,Clientes!A:B,2,0),"")</f>
        <v/>
      </c>
      <c r="B168" s="20">
        <f t="shared" si="16"/>
        <v>150</v>
      </c>
      <c r="C168" s="52" t="s">
        <v>260</v>
      </c>
      <c r="D168" s="55" t="s">
        <v>554</v>
      </c>
      <c r="E168" s="2" t="s">
        <v>237</v>
      </c>
      <c r="F168" s="71">
        <v>30715</v>
      </c>
      <c r="G168" s="29" t="s">
        <v>537</v>
      </c>
      <c r="H168" s="20"/>
      <c r="I168" s="20" t="s">
        <v>84</v>
      </c>
      <c r="J168" s="20" t="s">
        <v>81</v>
      </c>
      <c r="K168" s="71"/>
      <c r="L168" s="20"/>
      <c r="M168" s="20"/>
      <c r="N168" s="20"/>
      <c r="O168" s="20"/>
      <c r="P168" s="20"/>
      <c r="Q168" s="20"/>
      <c r="R168" s="20"/>
      <c r="S168" s="20"/>
      <c r="T168" s="26"/>
      <c r="U168" s="17"/>
    </row>
    <row r="169" spans="1:21" x14ac:dyDescent="0.25">
      <c r="A169" s="2" t="str">
        <f>IFERROR(VLOOKUP(B169,Clientes!A:B,2,0),"")</f>
        <v/>
      </c>
      <c r="B169" s="20">
        <f t="shared" si="16"/>
        <v>151</v>
      </c>
      <c r="C169" s="52" t="s">
        <v>555</v>
      </c>
      <c r="D169" s="55" t="s">
        <v>556</v>
      </c>
      <c r="E169" s="2" t="s">
        <v>225</v>
      </c>
      <c r="F169" s="71">
        <v>60715</v>
      </c>
      <c r="G169" s="29" t="s">
        <v>58</v>
      </c>
      <c r="H169" s="20" t="s">
        <v>72</v>
      </c>
      <c r="I169" s="20" t="s">
        <v>84</v>
      </c>
      <c r="J169" s="20" t="s">
        <v>83</v>
      </c>
      <c r="K169" s="71"/>
      <c r="L169" s="55" t="s">
        <v>557</v>
      </c>
      <c r="M169" s="20"/>
      <c r="N169" s="20"/>
      <c r="O169" s="20"/>
      <c r="P169" s="20"/>
      <c r="Q169" s="20"/>
      <c r="R169" s="20"/>
      <c r="S169" s="20"/>
      <c r="T169" s="26"/>
      <c r="U169" s="17"/>
    </row>
    <row r="170" spans="1:21" x14ac:dyDescent="0.25">
      <c r="A170" s="2" t="str">
        <f>IFERROR(VLOOKUP(B170,Clientes!A:B,2,0),"")</f>
        <v/>
      </c>
      <c r="B170" s="20">
        <f t="shared" si="16"/>
        <v>152</v>
      </c>
      <c r="C170" s="52"/>
      <c r="D170" s="55"/>
      <c r="E170" s="2"/>
      <c r="F170" s="71"/>
      <c r="G170" s="29"/>
      <c r="H170" s="20"/>
      <c r="I170" s="20" t="s">
        <v>84</v>
      </c>
      <c r="J170" s="20"/>
      <c r="K170" s="71"/>
      <c r="L170" s="20"/>
      <c r="M170" s="20"/>
      <c r="N170" s="20"/>
      <c r="O170" s="20"/>
      <c r="P170" s="20"/>
      <c r="Q170" s="20"/>
      <c r="R170" s="20"/>
      <c r="S170" s="20"/>
      <c r="T170" s="26"/>
      <c r="U170" s="17"/>
    </row>
    <row r="171" spans="1:21" x14ac:dyDescent="0.25">
      <c r="A171" s="2" t="str">
        <f>IFERROR(VLOOKUP(B171,Clientes!A:B,2,0),"")</f>
        <v/>
      </c>
      <c r="B171" s="20">
        <f t="shared" si="16"/>
        <v>153</v>
      </c>
      <c r="C171" s="52" t="s">
        <v>1102</v>
      </c>
      <c r="D171" s="55" t="s">
        <v>1103</v>
      </c>
      <c r="E171" s="2" t="s">
        <v>217</v>
      </c>
      <c r="F171" s="71">
        <v>60715</v>
      </c>
      <c r="G171" s="29" t="s">
        <v>57</v>
      </c>
      <c r="H171" s="20" t="s">
        <v>72</v>
      </c>
      <c r="I171" s="20" t="s">
        <v>84</v>
      </c>
      <c r="J171" s="20" t="s">
        <v>1232</v>
      </c>
      <c r="K171" s="71"/>
      <c r="L171" s="20"/>
      <c r="M171" s="20"/>
      <c r="N171" s="20"/>
      <c r="O171" s="20"/>
      <c r="P171" s="20"/>
      <c r="Q171" s="20"/>
      <c r="R171" s="20"/>
      <c r="S171" s="20"/>
      <c r="T171" s="26"/>
      <c r="U171" s="17"/>
    </row>
    <row r="172" spans="1:21" x14ac:dyDescent="0.25">
      <c r="A172" s="2" t="str">
        <f>IFERROR(VLOOKUP(B172,Clientes!A:B,2,0),"")</f>
        <v/>
      </c>
      <c r="B172" s="20">
        <f t="shared" si="16"/>
        <v>154</v>
      </c>
      <c r="C172" s="52"/>
      <c r="D172" s="55"/>
      <c r="E172" s="2"/>
      <c r="F172" s="71"/>
      <c r="G172" s="29"/>
      <c r="H172" s="20"/>
      <c r="I172" s="20" t="s">
        <v>84</v>
      </c>
      <c r="J172" s="20"/>
      <c r="K172" s="71"/>
      <c r="L172" s="20"/>
      <c r="M172" s="20"/>
      <c r="N172" s="20"/>
      <c r="O172" s="20"/>
      <c r="P172" s="20"/>
      <c r="Q172" s="20"/>
      <c r="R172" s="20"/>
      <c r="S172" s="20"/>
      <c r="T172" s="26"/>
      <c r="U172" s="17"/>
    </row>
    <row r="173" spans="1:21" x14ac:dyDescent="0.25">
      <c r="A173" s="2" t="str">
        <f>IFERROR(VLOOKUP(B173,Clientes!A:B,2,0),"")</f>
        <v/>
      </c>
      <c r="B173" s="20">
        <f t="shared" si="16"/>
        <v>155</v>
      </c>
      <c r="C173" s="52"/>
      <c r="D173" s="55"/>
      <c r="E173" s="2"/>
      <c r="F173" s="71"/>
      <c r="G173" s="29"/>
      <c r="H173" s="20"/>
      <c r="I173" s="20" t="s">
        <v>84</v>
      </c>
      <c r="J173" s="20"/>
      <c r="K173" s="71"/>
      <c r="L173" s="20"/>
      <c r="M173" s="20"/>
      <c r="N173" s="20"/>
      <c r="O173" s="20"/>
      <c r="P173" s="20"/>
      <c r="Q173" s="20"/>
      <c r="R173" s="20"/>
      <c r="S173" s="20"/>
      <c r="T173" s="26"/>
      <c r="U173" s="17"/>
    </row>
    <row r="174" spans="1:21" x14ac:dyDescent="0.25">
      <c r="A174" s="2" t="str">
        <f>IFERROR(VLOOKUP(B174,Clientes!A:B,2,0),"")</f>
        <v/>
      </c>
      <c r="B174" s="20">
        <f t="shared" si="16"/>
        <v>156</v>
      </c>
      <c r="C174" s="52" t="s">
        <v>333</v>
      </c>
      <c r="D174" s="55" t="s">
        <v>334</v>
      </c>
      <c r="E174" s="2" t="s">
        <v>221</v>
      </c>
      <c r="F174" s="71">
        <v>60715</v>
      </c>
      <c r="G174" s="29" t="s">
        <v>56</v>
      </c>
      <c r="H174" s="20" t="s">
        <v>72</v>
      </c>
      <c r="I174" s="20" t="s">
        <v>84</v>
      </c>
      <c r="J174" s="20" t="s">
        <v>83</v>
      </c>
      <c r="K174" s="71"/>
      <c r="L174" s="20"/>
      <c r="M174" s="20"/>
      <c r="N174" s="20"/>
      <c r="O174" s="20"/>
      <c r="P174" s="20"/>
      <c r="Q174" s="20"/>
      <c r="R174" s="20"/>
      <c r="S174" s="20"/>
      <c r="T174" s="26"/>
      <c r="U174" s="17"/>
    </row>
    <row r="175" spans="1:21" x14ac:dyDescent="0.25">
      <c r="A175" s="2" t="str">
        <f>IFERROR(VLOOKUP(B175,Clientes!A:B,2,0),"")</f>
        <v/>
      </c>
      <c r="B175" s="20">
        <f t="shared" si="16"/>
        <v>157</v>
      </c>
      <c r="C175" s="52" t="s">
        <v>460</v>
      </c>
      <c r="D175" s="55" t="s">
        <v>461</v>
      </c>
      <c r="E175" s="2" t="s">
        <v>224</v>
      </c>
      <c r="F175" s="71">
        <v>60715</v>
      </c>
      <c r="G175" s="29" t="s">
        <v>56</v>
      </c>
      <c r="H175" s="20" t="s">
        <v>74</v>
      </c>
      <c r="I175" s="20" t="s">
        <v>84</v>
      </c>
      <c r="J175" s="20" t="s">
        <v>83</v>
      </c>
      <c r="K175" s="71"/>
      <c r="L175" s="20"/>
      <c r="M175" s="20"/>
      <c r="N175" s="20"/>
      <c r="O175" s="20"/>
      <c r="P175" s="20"/>
      <c r="Q175" s="20"/>
      <c r="R175" s="20"/>
      <c r="S175" s="20"/>
      <c r="T175" s="26"/>
      <c r="U175" s="17"/>
    </row>
    <row r="176" spans="1:21" x14ac:dyDescent="0.25">
      <c r="A176" s="2" t="str">
        <f>IFERROR(VLOOKUP(B176,Clientes!A:B,2,0),"")</f>
        <v/>
      </c>
      <c r="B176" s="20">
        <f t="shared" si="16"/>
        <v>158</v>
      </c>
      <c r="C176" s="52" t="s">
        <v>373</v>
      </c>
      <c r="D176" s="55" t="s">
        <v>374</v>
      </c>
      <c r="E176" s="2" t="s">
        <v>223</v>
      </c>
      <c r="F176" s="71">
        <v>60715</v>
      </c>
      <c r="G176" s="29" t="s">
        <v>56</v>
      </c>
      <c r="H176" s="20" t="s">
        <v>74</v>
      </c>
      <c r="I176" s="20" t="s">
        <v>84</v>
      </c>
      <c r="J176" s="20" t="s">
        <v>83</v>
      </c>
      <c r="K176" s="71"/>
      <c r="L176" s="20"/>
      <c r="M176" s="20"/>
      <c r="N176" s="20"/>
      <c r="O176" s="20"/>
      <c r="P176" s="20"/>
      <c r="Q176" s="20"/>
      <c r="R176" s="20"/>
      <c r="S176" s="20"/>
      <c r="T176" s="26"/>
      <c r="U176" s="17"/>
    </row>
    <row r="177" spans="1:21" x14ac:dyDescent="0.25">
      <c r="A177" s="2" t="str">
        <f>IFERROR(VLOOKUP(B177,Clientes!A:B,2,0),"")</f>
        <v/>
      </c>
      <c r="B177" s="20">
        <f t="shared" si="16"/>
        <v>159</v>
      </c>
      <c r="C177" s="52" t="s">
        <v>558</v>
      </c>
      <c r="D177" s="55" t="s">
        <v>559</v>
      </c>
      <c r="E177" s="2" t="s">
        <v>224</v>
      </c>
      <c r="F177" s="71">
        <v>60715</v>
      </c>
      <c r="G177" s="29" t="s">
        <v>57</v>
      </c>
      <c r="H177" s="20"/>
      <c r="I177" s="20" t="s">
        <v>84</v>
      </c>
      <c r="J177" s="20" t="s">
        <v>83</v>
      </c>
      <c r="K177" s="71"/>
      <c r="L177" s="20" t="s">
        <v>163</v>
      </c>
      <c r="M177" s="20"/>
      <c r="N177" s="20"/>
      <c r="O177" s="20"/>
      <c r="P177" s="20"/>
      <c r="Q177" s="20"/>
      <c r="R177" s="20"/>
      <c r="S177" s="20"/>
      <c r="T177" s="26"/>
      <c r="U177" s="17"/>
    </row>
    <row r="178" spans="1:21" x14ac:dyDescent="0.25">
      <c r="A178" s="2" t="str">
        <f>IFERROR(VLOOKUP(B178,Clientes!A:B,2,0),"")</f>
        <v/>
      </c>
      <c r="B178" s="20">
        <f t="shared" ref="B178:B183" si="17">B177+1</f>
        <v>160</v>
      </c>
      <c r="C178" s="52"/>
      <c r="D178" s="55"/>
      <c r="E178" s="2"/>
      <c r="F178" s="71"/>
      <c r="G178" s="29"/>
      <c r="H178" s="20"/>
      <c r="I178" s="20" t="s">
        <v>84</v>
      </c>
      <c r="J178" s="20"/>
      <c r="K178" s="71"/>
      <c r="L178" s="20"/>
      <c r="M178" s="20"/>
      <c r="N178" s="20"/>
      <c r="O178" s="20"/>
      <c r="P178" s="20"/>
      <c r="Q178" s="20"/>
      <c r="R178" s="20"/>
      <c r="S178" s="20"/>
      <c r="T178" s="26"/>
      <c r="U178" s="17"/>
    </row>
    <row r="179" spans="1:21" x14ac:dyDescent="0.25">
      <c r="A179" s="2" t="str">
        <f>IFERROR(VLOOKUP(B179,Clientes!A:B,2,0),"")</f>
        <v/>
      </c>
      <c r="B179" s="20">
        <f t="shared" si="17"/>
        <v>161</v>
      </c>
      <c r="C179" s="52"/>
      <c r="D179" s="55"/>
      <c r="E179" s="2"/>
      <c r="F179" s="71"/>
      <c r="G179" s="29"/>
      <c r="H179" s="20"/>
      <c r="I179" s="20" t="s">
        <v>84</v>
      </c>
      <c r="J179" s="20"/>
      <c r="K179" s="71"/>
      <c r="L179" s="20"/>
      <c r="M179" s="20"/>
      <c r="N179" s="20"/>
      <c r="O179" s="20"/>
      <c r="P179" s="20"/>
      <c r="Q179" s="20"/>
      <c r="R179" s="20"/>
      <c r="S179" s="20"/>
      <c r="T179" s="26"/>
      <c r="U179" s="17"/>
    </row>
    <row r="180" spans="1:21" x14ac:dyDescent="0.25">
      <c r="A180" s="2" t="str">
        <f>IFERROR(VLOOKUP(B180,Clientes!A:B,2,0),"")</f>
        <v/>
      </c>
      <c r="B180" s="20">
        <f t="shared" si="17"/>
        <v>162</v>
      </c>
      <c r="C180" s="52"/>
      <c r="D180" s="55"/>
      <c r="E180" s="2"/>
      <c r="F180" s="71"/>
      <c r="G180" s="29"/>
      <c r="H180" s="20"/>
      <c r="I180" s="20" t="s">
        <v>84</v>
      </c>
      <c r="J180" s="20"/>
      <c r="K180" s="71"/>
      <c r="L180" s="20"/>
      <c r="M180" s="20"/>
      <c r="N180" s="20"/>
      <c r="O180" s="20"/>
      <c r="P180" s="20"/>
      <c r="Q180" s="20"/>
      <c r="R180" s="20"/>
      <c r="S180" s="20"/>
      <c r="T180" s="26"/>
      <c r="U180" s="17"/>
    </row>
    <row r="181" spans="1:21" ht="25.5" x14ac:dyDescent="0.25">
      <c r="A181" s="2" t="str">
        <f>IFERROR(VLOOKUP(B181,Clientes!A:B,2,0),"")</f>
        <v/>
      </c>
      <c r="B181" s="20">
        <f t="shared" si="17"/>
        <v>163</v>
      </c>
      <c r="C181" s="52" t="s">
        <v>596</v>
      </c>
      <c r="D181" s="55" t="s">
        <v>597</v>
      </c>
      <c r="E181" s="2" t="s">
        <v>233</v>
      </c>
      <c r="F181" s="71">
        <v>70715</v>
      </c>
      <c r="G181" s="29" t="s">
        <v>69</v>
      </c>
      <c r="H181" s="55" t="s">
        <v>598</v>
      </c>
      <c r="I181" s="20" t="s">
        <v>84</v>
      </c>
      <c r="J181" s="20" t="s">
        <v>81</v>
      </c>
      <c r="K181" s="71"/>
      <c r="L181" s="20"/>
      <c r="M181" s="20"/>
      <c r="N181" s="20"/>
      <c r="O181" s="20"/>
      <c r="P181" s="20"/>
      <c r="Q181" s="20"/>
      <c r="R181" s="20"/>
      <c r="S181" s="20"/>
      <c r="T181" s="26"/>
      <c r="U181" s="17"/>
    </row>
    <row r="182" spans="1:21" x14ac:dyDescent="0.25">
      <c r="A182" s="2" t="str">
        <f>IFERROR(VLOOKUP(B182,Clientes!A:B,2,0),"")</f>
        <v/>
      </c>
      <c r="B182" s="20">
        <f t="shared" si="17"/>
        <v>164</v>
      </c>
      <c r="C182" s="52" t="s">
        <v>560</v>
      </c>
      <c r="D182" s="55" t="s">
        <v>561</v>
      </c>
      <c r="E182" s="2" t="s">
        <v>223</v>
      </c>
      <c r="F182" s="71">
        <v>70715</v>
      </c>
      <c r="G182" s="29" t="s">
        <v>58</v>
      </c>
      <c r="H182" s="20" t="s">
        <v>73</v>
      </c>
      <c r="I182" s="20" t="s">
        <v>84</v>
      </c>
      <c r="J182" s="20" t="s">
        <v>83</v>
      </c>
      <c r="K182" s="71"/>
      <c r="L182" s="20" t="s">
        <v>146</v>
      </c>
      <c r="M182" s="20"/>
      <c r="N182" s="20"/>
      <c r="O182" s="20"/>
      <c r="P182" s="20"/>
      <c r="Q182" s="20"/>
      <c r="R182" s="20"/>
      <c r="S182" s="20"/>
      <c r="T182" s="26"/>
      <c r="U182" s="17"/>
    </row>
    <row r="183" spans="1:21" x14ac:dyDescent="0.25">
      <c r="A183" s="2" t="str">
        <f>IFERROR(VLOOKUP(B183,Clientes!A:B,2,0),"")</f>
        <v/>
      </c>
      <c r="B183" s="20">
        <f t="shared" si="17"/>
        <v>165</v>
      </c>
      <c r="C183" s="52" t="s">
        <v>562</v>
      </c>
      <c r="D183" s="55" t="s">
        <v>563</v>
      </c>
      <c r="E183" s="2" t="s">
        <v>229</v>
      </c>
      <c r="F183" s="71">
        <v>70715</v>
      </c>
      <c r="G183" s="29" t="s">
        <v>57</v>
      </c>
      <c r="H183" s="20"/>
      <c r="I183" s="20" t="s">
        <v>84</v>
      </c>
      <c r="J183" s="20" t="s">
        <v>81</v>
      </c>
      <c r="K183" s="71"/>
      <c r="L183" s="20" t="s">
        <v>159</v>
      </c>
      <c r="M183" s="20"/>
      <c r="N183" s="20"/>
      <c r="O183" s="20"/>
      <c r="P183" s="20"/>
      <c r="Q183" s="20"/>
      <c r="R183" s="20"/>
      <c r="S183" s="20"/>
      <c r="T183" s="26"/>
      <c r="U183" s="17"/>
    </row>
    <row r="184" spans="1:21" x14ac:dyDescent="0.25">
      <c r="A184" s="2"/>
      <c r="B184" s="20" t="s">
        <v>567</v>
      </c>
      <c r="C184" s="52" t="s">
        <v>317</v>
      </c>
      <c r="D184" s="55" t="s">
        <v>318</v>
      </c>
      <c r="E184" s="2" t="s">
        <v>225</v>
      </c>
      <c r="F184" s="71">
        <v>80715</v>
      </c>
      <c r="G184" s="29" t="s">
        <v>58</v>
      </c>
      <c r="H184" s="20" t="s">
        <v>72</v>
      </c>
      <c r="I184" s="20" t="s">
        <v>84</v>
      </c>
      <c r="J184" s="20" t="s">
        <v>83</v>
      </c>
      <c r="K184" s="71"/>
      <c r="L184" s="20" t="s">
        <v>145</v>
      </c>
      <c r="M184" s="20"/>
      <c r="N184" s="20" t="s">
        <v>42</v>
      </c>
      <c r="O184" s="20"/>
      <c r="P184" s="55" t="s">
        <v>557</v>
      </c>
      <c r="Q184" s="20"/>
      <c r="R184" s="20"/>
      <c r="S184" s="20"/>
      <c r="T184" s="26"/>
      <c r="U184" s="17"/>
    </row>
    <row r="185" spans="1:21" x14ac:dyDescent="0.25">
      <c r="A185" s="2" t="str">
        <f>IFERROR(VLOOKUP(B185,Clientes!A:B,2,0),"")</f>
        <v/>
      </c>
      <c r="B185" s="20">
        <f>B183+1</f>
        <v>166</v>
      </c>
      <c r="C185" s="52" t="s">
        <v>448</v>
      </c>
      <c r="D185" s="55" t="s">
        <v>449</v>
      </c>
      <c r="E185" s="2" t="s">
        <v>223</v>
      </c>
      <c r="F185" s="71">
        <v>70715</v>
      </c>
      <c r="G185" s="29" t="s">
        <v>58</v>
      </c>
      <c r="H185" s="20" t="s">
        <v>73</v>
      </c>
      <c r="I185" s="20" t="s">
        <v>84</v>
      </c>
      <c r="J185" s="20" t="s">
        <v>83</v>
      </c>
      <c r="K185" s="71"/>
      <c r="L185" s="55" t="s">
        <v>568</v>
      </c>
      <c r="M185" s="20"/>
      <c r="N185" s="20"/>
      <c r="O185" s="20"/>
      <c r="P185" s="20"/>
      <c r="Q185" s="20"/>
      <c r="R185" s="20"/>
      <c r="S185" s="20"/>
      <c r="T185" s="26"/>
      <c r="U185" s="17"/>
    </row>
    <row r="186" spans="1:21" x14ac:dyDescent="0.25">
      <c r="A186" s="2" t="str">
        <f>IFERROR(VLOOKUP(B186,Clientes!A:B,2,0),"")</f>
        <v/>
      </c>
      <c r="B186" s="20">
        <f t="shared" ref="B186:B191" si="18">B185+1</f>
        <v>167</v>
      </c>
      <c r="C186" s="52" t="s">
        <v>564</v>
      </c>
      <c r="D186" s="55" t="s">
        <v>565</v>
      </c>
      <c r="E186" s="2" t="s">
        <v>223</v>
      </c>
      <c r="F186" s="71">
        <v>70715</v>
      </c>
      <c r="G186" s="29" t="s">
        <v>58</v>
      </c>
      <c r="H186" s="20" t="s">
        <v>72</v>
      </c>
      <c r="I186" s="20" t="s">
        <v>84</v>
      </c>
      <c r="J186" s="20" t="s">
        <v>83</v>
      </c>
      <c r="K186" s="71"/>
      <c r="L186" s="20" t="s">
        <v>167</v>
      </c>
      <c r="M186" s="20"/>
      <c r="N186" s="20" t="s">
        <v>134</v>
      </c>
      <c r="O186" s="20"/>
      <c r="P186" s="20" t="s">
        <v>148</v>
      </c>
      <c r="Q186" s="20"/>
      <c r="R186" s="20" t="s">
        <v>37</v>
      </c>
      <c r="S186" s="20"/>
      <c r="T186" s="26" t="s">
        <v>566</v>
      </c>
      <c r="U186" s="17"/>
    </row>
    <row r="187" spans="1:21" x14ac:dyDescent="0.25">
      <c r="A187" s="2" t="str">
        <f>IFERROR(VLOOKUP(B187,Clientes!A:B,2,0),"")</f>
        <v/>
      </c>
      <c r="B187" s="20">
        <f t="shared" si="18"/>
        <v>168</v>
      </c>
      <c r="C187" s="52" t="s">
        <v>571</v>
      </c>
      <c r="D187" s="55" t="s">
        <v>572</v>
      </c>
      <c r="E187" s="2" t="s">
        <v>225</v>
      </c>
      <c r="F187" s="71">
        <v>80715</v>
      </c>
      <c r="G187" s="29" t="s">
        <v>58</v>
      </c>
      <c r="H187" s="20" t="s">
        <v>72</v>
      </c>
      <c r="I187" s="20" t="s">
        <v>84</v>
      </c>
      <c r="J187" s="20" t="s">
        <v>83</v>
      </c>
      <c r="K187" s="71"/>
      <c r="L187" s="20" t="s">
        <v>20</v>
      </c>
      <c r="M187" s="20"/>
      <c r="N187" s="20"/>
      <c r="O187" s="20"/>
      <c r="P187" s="20"/>
      <c r="Q187" s="20"/>
      <c r="R187" s="20"/>
      <c r="S187" s="20"/>
      <c r="T187" s="26"/>
      <c r="U187" s="17"/>
    </row>
    <row r="188" spans="1:21" x14ac:dyDescent="0.25">
      <c r="A188" s="2" t="str">
        <f>IFERROR(VLOOKUP(B188,Clientes!A:B,2,0),"")</f>
        <v/>
      </c>
      <c r="B188" s="20">
        <f t="shared" si="18"/>
        <v>169</v>
      </c>
      <c r="C188" s="52"/>
      <c r="D188" s="55"/>
      <c r="E188" s="2"/>
      <c r="F188" s="71"/>
      <c r="G188" s="29"/>
      <c r="H188" s="20"/>
      <c r="I188" s="20" t="s">
        <v>84</v>
      </c>
      <c r="J188" s="20"/>
      <c r="K188" s="71"/>
      <c r="L188" s="20"/>
      <c r="M188" s="20"/>
      <c r="N188" s="20"/>
      <c r="O188" s="20"/>
      <c r="P188" s="20"/>
      <c r="Q188" s="20"/>
      <c r="R188" s="20"/>
      <c r="S188" s="20"/>
      <c r="T188" s="26"/>
      <c r="U188" s="17"/>
    </row>
    <row r="189" spans="1:21" x14ac:dyDescent="0.25">
      <c r="A189" s="2" t="str">
        <f>IFERROR(VLOOKUP(B189,Clientes!A:B,2,0),"")</f>
        <v/>
      </c>
      <c r="B189" s="20">
        <f t="shared" si="18"/>
        <v>170</v>
      </c>
      <c r="C189" s="52" t="s">
        <v>569</v>
      </c>
      <c r="D189" s="55" t="s">
        <v>570</v>
      </c>
      <c r="E189" s="2"/>
      <c r="F189" s="71">
        <v>80715</v>
      </c>
      <c r="G189" s="55" t="s">
        <v>537</v>
      </c>
      <c r="H189" s="20"/>
      <c r="I189" s="20" t="s">
        <v>84</v>
      </c>
      <c r="J189" s="20" t="s">
        <v>81</v>
      </c>
      <c r="K189" s="71"/>
      <c r="L189" s="20"/>
      <c r="M189" s="20"/>
      <c r="N189" s="20"/>
      <c r="O189" s="20"/>
      <c r="P189" s="20"/>
      <c r="Q189" s="20"/>
      <c r="R189" s="20"/>
      <c r="S189" s="20"/>
      <c r="T189" s="26"/>
      <c r="U189" s="17"/>
    </row>
    <row r="190" spans="1:21" x14ac:dyDescent="0.25">
      <c r="A190" s="2" t="str">
        <f>IFERROR(VLOOKUP(B190,Clientes!A:B,2,0),"")</f>
        <v/>
      </c>
      <c r="B190" s="20">
        <f t="shared" si="18"/>
        <v>171</v>
      </c>
      <c r="C190" s="52" t="s">
        <v>517</v>
      </c>
      <c r="D190" s="55" t="s">
        <v>573</v>
      </c>
      <c r="E190" s="2" t="s">
        <v>217</v>
      </c>
      <c r="F190" s="71">
        <v>70715</v>
      </c>
      <c r="G190" s="29" t="s">
        <v>58</v>
      </c>
      <c r="H190" s="20" t="s">
        <v>72</v>
      </c>
      <c r="I190" s="20" t="s">
        <v>84</v>
      </c>
      <c r="J190" s="20" t="s">
        <v>83</v>
      </c>
      <c r="K190" s="71"/>
      <c r="L190" s="20" t="s">
        <v>206</v>
      </c>
      <c r="M190" s="20"/>
      <c r="N190" s="20" t="s">
        <v>162</v>
      </c>
      <c r="O190" s="20"/>
      <c r="P190" s="20"/>
      <c r="Q190" s="20"/>
      <c r="R190" s="20"/>
      <c r="S190" s="20"/>
      <c r="T190" s="26"/>
      <c r="U190" s="17"/>
    </row>
    <row r="191" spans="1:21" x14ac:dyDescent="0.25">
      <c r="A191" s="2" t="str">
        <f>IFERROR(VLOOKUP(B191,Clientes!A:B,2,0),"")</f>
        <v/>
      </c>
      <c r="B191" s="20">
        <f t="shared" si="18"/>
        <v>172</v>
      </c>
      <c r="C191" s="52" t="s">
        <v>575</v>
      </c>
      <c r="D191" s="55" t="s">
        <v>576</v>
      </c>
      <c r="E191" s="2" t="s">
        <v>229</v>
      </c>
      <c r="F191" s="71">
        <v>90715</v>
      </c>
      <c r="G191" s="29" t="s">
        <v>57</v>
      </c>
      <c r="H191" s="20"/>
      <c r="I191" s="20" t="s">
        <v>84</v>
      </c>
      <c r="J191" s="20" t="s">
        <v>81</v>
      </c>
      <c r="K191" s="71"/>
      <c r="L191" s="55" t="s">
        <v>557</v>
      </c>
      <c r="M191" s="20"/>
      <c r="N191" s="20"/>
      <c r="O191" s="20"/>
      <c r="P191" s="20"/>
      <c r="Q191" s="20"/>
      <c r="R191" s="20"/>
      <c r="S191" s="20"/>
      <c r="T191" s="26"/>
      <c r="U191" s="17"/>
    </row>
    <row r="192" spans="1:21" x14ac:dyDescent="0.25">
      <c r="A192" s="2"/>
      <c r="B192" s="20" t="s">
        <v>574</v>
      </c>
      <c r="C192" s="52" t="s">
        <v>577</v>
      </c>
      <c r="D192" s="55" t="s">
        <v>578</v>
      </c>
      <c r="E192" s="2" t="s">
        <v>225</v>
      </c>
      <c r="F192" s="71">
        <v>90715</v>
      </c>
      <c r="G192" s="29" t="s">
        <v>58</v>
      </c>
      <c r="H192" s="20" t="s">
        <v>72</v>
      </c>
      <c r="I192" s="20" t="s">
        <v>84</v>
      </c>
      <c r="J192" s="20" t="s">
        <v>83</v>
      </c>
      <c r="K192" s="71"/>
      <c r="L192" s="55" t="s">
        <v>557</v>
      </c>
      <c r="M192" s="20"/>
      <c r="N192" s="20"/>
      <c r="O192" s="20"/>
      <c r="P192" s="20"/>
      <c r="Q192" s="20"/>
      <c r="R192" s="20"/>
      <c r="S192" s="20"/>
      <c r="T192" s="26"/>
      <c r="U192" s="17"/>
    </row>
    <row r="193" spans="1:21" x14ac:dyDescent="0.25">
      <c r="A193" s="2" t="str">
        <f>IFERROR(VLOOKUP(B193,Clientes!A:B,2,0),"")</f>
        <v/>
      </c>
      <c r="B193" s="20">
        <f>B191+1</f>
        <v>173</v>
      </c>
      <c r="C193" s="52" t="s">
        <v>579</v>
      </c>
      <c r="D193" s="55" t="s">
        <v>580</v>
      </c>
      <c r="E193" s="2" t="s">
        <v>228</v>
      </c>
      <c r="F193" s="71">
        <v>90715</v>
      </c>
      <c r="G193" s="29" t="s">
        <v>58</v>
      </c>
      <c r="H193" s="20"/>
      <c r="I193" s="20" t="s">
        <v>84</v>
      </c>
      <c r="J193" s="20" t="s">
        <v>81</v>
      </c>
      <c r="K193" s="71"/>
      <c r="L193" s="20" t="s">
        <v>15</v>
      </c>
      <c r="M193" s="20"/>
      <c r="N193" s="20" t="s">
        <v>42</v>
      </c>
      <c r="O193" s="20"/>
      <c r="P193" s="20" t="s">
        <v>206</v>
      </c>
      <c r="Q193" s="20"/>
      <c r="R193" s="20"/>
      <c r="S193" s="20"/>
      <c r="T193" s="26"/>
      <c r="U193" s="17"/>
    </row>
    <row r="194" spans="1:21" x14ac:dyDescent="0.25">
      <c r="A194" s="2"/>
      <c r="B194" s="20" t="s">
        <v>588</v>
      </c>
      <c r="C194" s="52" t="s">
        <v>569</v>
      </c>
      <c r="D194" s="55" t="s">
        <v>589</v>
      </c>
      <c r="E194" s="2"/>
      <c r="F194" s="71">
        <v>100715</v>
      </c>
      <c r="G194" s="29" t="s">
        <v>56</v>
      </c>
      <c r="H194" s="20" t="s">
        <v>74</v>
      </c>
      <c r="I194" s="20" t="s">
        <v>84</v>
      </c>
      <c r="J194" s="20" t="s">
        <v>83</v>
      </c>
      <c r="K194" s="71"/>
      <c r="L194" s="20"/>
      <c r="M194" s="20"/>
      <c r="N194" s="20"/>
      <c r="O194" s="20"/>
      <c r="P194" s="20"/>
      <c r="Q194" s="20"/>
      <c r="R194" s="20"/>
      <c r="S194" s="20"/>
      <c r="T194" s="26"/>
      <c r="U194" s="17"/>
    </row>
    <row r="195" spans="1:21" x14ac:dyDescent="0.25">
      <c r="A195" s="2" t="str">
        <f>IFERROR(VLOOKUP(B195,Clientes!A:B,2,0),"")</f>
        <v/>
      </c>
      <c r="B195" s="20">
        <f>B193+1</f>
        <v>174</v>
      </c>
      <c r="C195" s="52" t="s">
        <v>499</v>
      </c>
      <c r="D195" s="55" t="s">
        <v>500</v>
      </c>
      <c r="E195" s="2" t="s">
        <v>227</v>
      </c>
      <c r="F195" s="71">
        <v>100715</v>
      </c>
      <c r="G195" s="29" t="s">
        <v>57</v>
      </c>
      <c r="H195" s="20"/>
      <c r="I195" s="20" t="s">
        <v>84</v>
      </c>
      <c r="J195" s="20" t="s">
        <v>81</v>
      </c>
      <c r="K195" s="71"/>
      <c r="L195" s="20" t="s">
        <v>160</v>
      </c>
      <c r="M195" s="20"/>
      <c r="N195" s="20"/>
      <c r="O195" s="20"/>
      <c r="P195" s="20"/>
      <c r="Q195" s="20"/>
      <c r="R195" s="20"/>
      <c r="S195" s="20"/>
      <c r="T195" s="26"/>
      <c r="U195" s="17"/>
    </row>
    <row r="196" spans="1:21" x14ac:dyDescent="0.25">
      <c r="A196" s="2" t="str">
        <f>IFERROR(VLOOKUP(B196,Clientes!A:B,2,0),"")</f>
        <v/>
      </c>
      <c r="B196" s="20">
        <f t="shared" ref="B196:B202" si="19">B195+1</f>
        <v>175</v>
      </c>
      <c r="C196" s="52" t="s">
        <v>583</v>
      </c>
      <c r="D196" s="55" t="s">
        <v>584</v>
      </c>
      <c r="E196" s="2" t="s">
        <v>228</v>
      </c>
      <c r="F196" s="71">
        <v>100715</v>
      </c>
      <c r="G196" s="29" t="s">
        <v>58</v>
      </c>
      <c r="H196" s="20" t="s">
        <v>72</v>
      </c>
      <c r="I196" s="20" t="s">
        <v>84</v>
      </c>
      <c r="J196" s="20" t="s">
        <v>83</v>
      </c>
      <c r="K196" s="71"/>
      <c r="L196" s="20" t="s">
        <v>20</v>
      </c>
      <c r="M196" s="20"/>
      <c r="N196" s="55" t="s">
        <v>585</v>
      </c>
      <c r="O196" s="20"/>
      <c r="P196" s="20"/>
      <c r="Q196" s="20"/>
      <c r="R196" s="20"/>
      <c r="S196" s="20"/>
      <c r="T196" s="26"/>
      <c r="U196" s="17"/>
    </row>
    <row r="197" spans="1:21" x14ac:dyDescent="0.25">
      <c r="A197" s="2" t="str">
        <f>IFERROR(VLOOKUP(B197,Clientes!A:B,2,0),"")</f>
        <v/>
      </c>
      <c r="B197" s="20">
        <f t="shared" si="19"/>
        <v>176</v>
      </c>
      <c r="C197" s="52" t="s">
        <v>586</v>
      </c>
      <c r="D197" s="55" t="s">
        <v>587</v>
      </c>
      <c r="E197" s="2" t="s">
        <v>225</v>
      </c>
      <c r="F197" s="71">
        <v>100715</v>
      </c>
      <c r="G197" s="29" t="s">
        <v>58</v>
      </c>
      <c r="H197" s="20" t="s">
        <v>72</v>
      </c>
      <c r="I197" s="20" t="s">
        <v>84</v>
      </c>
      <c r="J197" s="20" t="s">
        <v>83</v>
      </c>
      <c r="K197" s="71"/>
      <c r="L197" s="20" t="s">
        <v>160</v>
      </c>
      <c r="M197" s="20"/>
      <c r="N197" s="20" t="s">
        <v>30</v>
      </c>
      <c r="O197" s="20"/>
      <c r="P197" s="20"/>
      <c r="Q197" s="20"/>
      <c r="R197" s="20"/>
      <c r="S197" s="20"/>
      <c r="T197" s="26"/>
      <c r="U197" s="17"/>
    </row>
    <row r="198" spans="1:21" x14ac:dyDescent="0.25">
      <c r="A198" s="2" t="str">
        <f>IFERROR(VLOOKUP(B198,Clientes!A:B,2,0),"")</f>
        <v/>
      </c>
      <c r="B198" s="20">
        <f t="shared" si="19"/>
        <v>177</v>
      </c>
      <c r="C198" s="52"/>
      <c r="D198" s="55"/>
      <c r="E198" s="2"/>
      <c r="F198" s="71"/>
      <c r="G198" s="29"/>
      <c r="H198" s="20"/>
      <c r="I198" s="20" t="s">
        <v>84</v>
      </c>
      <c r="J198" s="20"/>
      <c r="K198" s="71"/>
      <c r="L198" s="20"/>
      <c r="M198" s="20"/>
      <c r="N198" s="20"/>
      <c r="O198" s="20"/>
      <c r="P198" s="20"/>
      <c r="Q198" s="20"/>
      <c r="R198" s="20"/>
      <c r="S198" s="20"/>
      <c r="T198" s="26"/>
      <c r="U198" s="17"/>
    </row>
    <row r="199" spans="1:21" x14ac:dyDescent="0.25">
      <c r="A199" s="2" t="str">
        <f>IFERROR(VLOOKUP(B199,Clientes!A:B,2,0),"")</f>
        <v/>
      </c>
      <c r="B199" s="20">
        <f t="shared" si="19"/>
        <v>178</v>
      </c>
      <c r="C199" s="52"/>
      <c r="D199" s="55"/>
      <c r="E199" s="2"/>
      <c r="F199" s="71"/>
      <c r="G199" s="29"/>
      <c r="H199" s="20"/>
      <c r="I199" s="20" t="s">
        <v>84</v>
      </c>
      <c r="J199" s="20"/>
      <c r="K199" s="71"/>
      <c r="L199" s="20"/>
      <c r="M199" s="20"/>
      <c r="N199" s="20"/>
      <c r="O199" s="20"/>
      <c r="P199" s="20"/>
      <c r="Q199" s="20"/>
      <c r="R199" s="20"/>
      <c r="S199" s="20"/>
      <c r="T199" s="26"/>
      <c r="U199" s="17"/>
    </row>
    <row r="200" spans="1:21" x14ac:dyDescent="0.25">
      <c r="A200" s="2" t="str">
        <f>IFERROR(VLOOKUP(B200,Clientes!A:B,2,0),"")</f>
        <v/>
      </c>
      <c r="B200" s="20">
        <f t="shared" si="19"/>
        <v>179</v>
      </c>
      <c r="C200" s="52" t="s">
        <v>540</v>
      </c>
      <c r="D200" s="55" t="s">
        <v>593</v>
      </c>
      <c r="E200" s="2" t="s">
        <v>232</v>
      </c>
      <c r="F200" s="71">
        <v>130715</v>
      </c>
      <c r="G200" s="29" t="s">
        <v>57</v>
      </c>
      <c r="H200" s="20"/>
      <c r="I200" s="20" t="s">
        <v>84</v>
      </c>
      <c r="J200" s="20" t="s">
        <v>81</v>
      </c>
      <c r="K200" s="71"/>
      <c r="L200" s="20" t="s">
        <v>17</v>
      </c>
      <c r="M200" s="20"/>
      <c r="N200" s="20"/>
      <c r="O200" s="20"/>
      <c r="P200" s="20"/>
      <c r="Q200" s="20"/>
      <c r="R200" s="20"/>
      <c r="S200" s="20"/>
      <c r="T200" s="26"/>
      <c r="U200" s="17"/>
    </row>
    <row r="201" spans="1:21" x14ac:dyDescent="0.25">
      <c r="A201" s="2" t="str">
        <f>IFERROR(VLOOKUP(B201,Clientes!A:B,2,0),"")</f>
        <v/>
      </c>
      <c r="B201" s="20">
        <f t="shared" si="19"/>
        <v>180</v>
      </c>
      <c r="C201" s="52" t="s">
        <v>592</v>
      </c>
      <c r="D201" s="55" t="s">
        <v>418</v>
      </c>
      <c r="E201" s="2" t="s">
        <v>234</v>
      </c>
      <c r="F201" s="71">
        <v>130715</v>
      </c>
      <c r="G201" s="29" t="s">
        <v>58</v>
      </c>
      <c r="H201" s="20" t="s">
        <v>72</v>
      </c>
      <c r="I201" s="20" t="s">
        <v>84</v>
      </c>
      <c r="J201" s="20" t="s">
        <v>81</v>
      </c>
      <c r="K201" s="71"/>
      <c r="L201" s="20" t="s">
        <v>146</v>
      </c>
      <c r="M201" s="20"/>
      <c r="N201" s="20" t="s">
        <v>33</v>
      </c>
      <c r="O201" s="20"/>
      <c r="P201" s="20"/>
      <c r="Q201" s="20"/>
      <c r="R201" s="20"/>
      <c r="S201" s="20"/>
      <c r="T201" s="26"/>
      <c r="U201" s="17"/>
    </row>
    <row r="202" spans="1:21" x14ac:dyDescent="0.25">
      <c r="A202" s="2" t="str">
        <f>IFERROR(VLOOKUP(B202,Clientes!A:B,2,0),"")</f>
        <v/>
      </c>
      <c r="B202" s="20">
        <f t="shared" si="19"/>
        <v>181</v>
      </c>
      <c r="C202" s="52" t="s">
        <v>590</v>
      </c>
      <c r="D202" s="55" t="s">
        <v>591</v>
      </c>
      <c r="E202" s="2" t="s">
        <v>234</v>
      </c>
      <c r="F202" s="71">
        <v>130715</v>
      </c>
      <c r="G202" s="29" t="s">
        <v>58</v>
      </c>
      <c r="H202" s="20" t="s">
        <v>72</v>
      </c>
      <c r="I202" s="20" t="s">
        <v>84</v>
      </c>
      <c r="J202" s="20" t="s">
        <v>81</v>
      </c>
      <c r="K202" s="71"/>
      <c r="L202" s="20" t="s">
        <v>146</v>
      </c>
      <c r="M202" s="20"/>
      <c r="N202" s="20"/>
      <c r="O202" s="20"/>
      <c r="P202" s="20"/>
      <c r="Q202" s="20"/>
      <c r="R202" s="20"/>
      <c r="S202" s="20"/>
      <c r="T202" s="26"/>
      <c r="U202" s="17"/>
    </row>
    <row r="203" spans="1:21" x14ac:dyDescent="0.25">
      <c r="A203" s="2" t="str">
        <f>IFERROR(VLOOKUP(B203,Clientes!A:B,2,0),"")</f>
        <v/>
      </c>
      <c r="B203" s="20">
        <f>B202+1</f>
        <v>182</v>
      </c>
      <c r="C203" s="52" t="s">
        <v>594</v>
      </c>
      <c r="D203" s="55" t="s">
        <v>595</v>
      </c>
      <c r="E203" s="2" t="s">
        <v>218</v>
      </c>
      <c r="F203" s="71">
        <v>140715</v>
      </c>
      <c r="G203" s="29" t="s">
        <v>64</v>
      </c>
      <c r="H203" s="20" t="s">
        <v>77</v>
      </c>
      <c r="I203" s="20" t="s">
        <v>84</v>
      </c>
      <c r="J203" s="20" t="s">
        <v>81</v>
      </c>
      <c r="K203" s="71"/>
      <c r="L203" s="20"/>
      <c r="M203" s="20"/>
      <c r="N203" s="20"/>
      <c r="O203" s="20"/>
      <c r="P203" s="20"/>
      <c r="Q203" s="20"/>
      <c r="R203" s="20"/>
      <c r="S203" s="20"/>
      <c r="T203" s="26"/>
      <c r="U203" s="17"/>
    </row>
    <row r="204" spans="1:21" x14ac:dyDescent="0.25">
      <c r="A204" s="2"/>
      <c r="B204" s="20" t="s">
        <v>601</v>
      </c>
      <c r="C204" s="52" t="s">
        <v>408</v>
      </c>
      <c r="D204" s="55" t="s">
        <v>409</v>
      </c>
      <c r="E204" s="2" t="s">
        <v>234</v>
      </c>
      <c r="F204" s="71">
        <v>140715</v>
      </c>
      <c r="G204" s="29" t="s">
        <v>57</v>
      </c>
      <c r="H204" s="20"/>
      <c r="I204" s="20" t="s">
        <v>84</v>
      </c>
      <c r="J204" s="20" t="s">
        <v>1232</v>
      </c>
      <c r="K204" s="71"/>
      <c r="L204" s="20" t="s">
        <v>33</v>
      </c>
      <c r="M204" s="20"/>
      <c r="N204" s="20"/>
      <c r="O204" s="20"/>
      <c r="P204" s="20"/>
      <c r="Q204" s="20"/>
      <c r="R204" s="20"/>
      <c r="S204" s="20"/>
      <c r="T204" s="26"/>
      <c r="U204" s="17"/>
    </row>
    <row r="205" spans="1:21" x14ac:dyDescent="0.25">
      <c r="A205" s="2" t="str">
        <f>IFERROR(VLOOKUP(B205,Clientes!A:B,2,0),"")</f>
        <v/>
      </c>
      <c r="B205" s="20">
        <f>B203+1</f>
        <v>183</v>
      </c>
      <c r="C205" s="52" t="s">
        <v>599</v>
      </c>
      <c r="D205" s="55" t="s">
        <v>600</v>
      </c>
      <c r="E205" s="2" t="s">
        <v>220</v>
      </c>
      <c r="F205" s="71">
        <v>160715</v>
      </c>
      <c r="G205" s="29" t="s">
        <v>56</v>
      </c>
      <c r="H205" s="20" t="s">
        <v>73</v>
      </c>
      <c r="I205" s="20" t="s">
        <v>84</v>
      </c>
      <c r="J205" s="20" t="s">
        <v>83</v>
      </c>
      <c r="K205" s="71"/>
      <c r="L205" s="20"/>
      <c r="M205" s="20"/>
      <c r="N205" s="20"/>
      <c r="O205" s="20"/>
      <c r="P205" s="20"/>
      <c r="Q205" s="20"/>
      <c r="R205" s="20"/>
      <c r="S205" s="20"/>
      <c r="T205" s="26"/>
      <c r="U205" s="17"/>
    </row>
    <row r="206" spans="1:21" x14ac:dyDescent="0.25">
      <c r="A206" s="2"/>
      <c r="B206" s="20" t="s">
        <v>606</v>
      </c>
      <c r="C206" s="52" t="s">
        <v>607</v>
      </c>
      <c r="D206" s="55" t="s">
        <v>608</v>
      </c>
      <c r="E206" s="2" t="s">
        <v>238</v>
      </c>
      <c r="F206" s="71">
        <v>150715</v>
      </c>
      <c r="G206" s="29" t="s">
        <v>56</v>
      </c>
      <c r="H206" s="55" t="s">
        <v>609</v>
      </c>
      <c r="I206" s="20" t="s">
        <v>84</v>
      </c>
      <c r="J206" s="20" t="s">
        <v>83</v>
      </c>
      <c r="K206" s="71"/>
      <c r="L206" s="20"/>
      <c r="M206" s="20"/>
      <c r="N206" s="20"/>
      <c r="O206" s="20"/>
      <c r="P206" s="20"/>
      <c r="Q206" s="20"/>
      <c r="R206" s="20"/>
      <c r="S206" s="20"/>
      <c r="T206" s="75"/>
      <c r="U206" s="17"/>
    </row>
    <row r="207" spans="1:21" x14ac:dyDescent="0.25">
      <c r="A207" s="2" t="str">
        <f>IFERROR(VLOOKUP(B207,Clientes!A:B,2,0),"")</f>
        <v/>
      </c>
      <c r="B207" s="20">
        <f>B205+1</f>
        <v>184</v>
      </c>
      <c r="C207" s="52" t="s">
        <v>468</v>
      </c>
      <c r="D207" s="55" t="s">
        <v>469</v>
      </c>
      <c r="E207" s="2" t="s">
        <v>226</v>
      </c>
      <c r="F207" s="71">
        <v>150715</v>
      </c>
      <c r="G207" s="29" t="s">
        <v>56</v>
      </c>
      <c r="H207" s="55" t="s">
        <v>602</v>
      </c>
      <c r="I207" s="20" t="s">
        <v>84</v>
      </c>
      <c r="J207" s="20" t="s">
        <v>83</v>
      </c>
      <c r="K207" s="71"/>
      <c r="L207" s="20"/>
      <c r="M207" s="20"/>
      <c r="N207" s="20"/>
      <c r="O207" s="20"/>
      <c r="P207" s="20"/>
      <c r="Q207" s="20"/>
      <c r="R207" s="20"/>
      <c r="S207" s="20"/>
      <c r="T207" s="55" t="s">
        <v>605</v>
      </c>
      <c r="U207" s="17"/>
    </row>
    <row r="208" spans="1:21" x14ac:dyDescent="0.25">
      <c r="A208" s="2"/>
      <c r="B208" s="20" t="s">
        <v>624</v>
      </c>
      <c r="C208" s="52" t="s">
        <v>625</v>
      </c>
      <c r="D208" s="55" t="s">
        <v>626</v>
      </c>
      <c r="E208" s="2" t="s">
        <v>227</v>
      </c>
      <c r="F208" s="71">
        <v>170715</v>
      </c>
      <c r="G208" s="29" t="s">
        <v>57</v>
      </c>
      <c r="H208" s="55"/>
      <c r="I208" s="20" t="s">
        <v>84</v>
      </c>
      <c r="J208" s="20" t="s">
        <v>1232</v>
      </c>
      <c r="K208" s="71"/>
      <c r="L208" s="20" t="s">
        <v>17</v>
      </c>
      <c r="M208" s="20"/>
      <c r="N208" s="20" t="s">
        <v>160</v>
      </c>
      <c r="O208" s="20"/>
      <c r="P208" s="20"/>
      <c r="Q208" s="20"/>
      <c r="R208" s="20"/>
      <c r="S208" s="20"/>
      <c r="T208" s="55"/>
      <c r="U208" s="17"/>
    </row>
    <row r="209" spans="1:21" x14ac:dyDescent="0.25">
      <c r="A209" s="2" t="str">
        <f>IFERROR(VLOOKUP(B209,Clientes!A:B,2,0),"")</f>
        <v/>
      </c>
      <c r="B209" s="20">
        <f>B207+1</f>
        <v>185</v>
      </c>
      <c r="C209" s="52" t="s">
        <v>603</v>
      </c>
      <c r="D209" s="55" t="s">
        <v>604</v>
      </c>
      <c r="E209" s="2" t="s">
        <v>234</v>
      </c>
      <c r="F209" s="71">
        <v>150715</v>
      </c>
      <c r="G209" s="29" t="s">
        <v>57</v>
      </c>
      <c r="H209" s="20"/>
      <c r="I209" s="20" t="s">
        <v>84</v>
      </c>
      <c r="J209" s="20" t="s">
        <v>1232</v>
      </c>
      <c r="K209" s="71"/>
      <c r="L209" s="20" t="s">
        <v>33</v>
      </c>
      <c r="M209" s="20"/>
      <c r="N209" s="20"/>
      <c r="O209" s="20"/>
      <c r="P209" s="20"/>
      <c r="Q209" s="20"/>
      <c r="R209" s="20"/>
      <c r="S209" s="20"/>
      <c r="T209" s="26"/>
      <c r="U209" s="17"/>
    </row>
    <row r="210" spans="1:21" x14ac:dyDescent="0.25">
      <c r="A210" s="2"/>
      <c r="B210" s="20" t="s">
        <v>622</v>
      </c>
      <c r="C210" s="52" t="s">
        <v>521</v>
      </c>
      <c r="D210" s="55" t="s">
        <v>522</v>
      </c>
      <c r="E210" s="2" t="s">
        <v>217</v>
      </c>
      <c r="F210" s="71">
        <v>170715</v>
      </c>
      <c r="G210" s="29" t="s">
        <v>58</v>
      </c>
      <c r="H210" s="55" t="s">
        <v>623</v>
      </c>
      <c r="I210" s="20" t="s">
        <v>84</v>
      </c>
      <c r="J210" s="20" t="s">
        <v>81</v>
      </c>
      <c r="K210" s="71"/>
      <c r="L210" s="20" t="s">
        <v>162</v>
      </c>
      <c r="M210" s="20"/>
      <c r="N210" s="20"/>
      <c r="O210" s="20"/>
      <c r="P210" s="20"/>
      <c r="Q210" s="20"/>
      <c r="R210" s="20"/>
      <c r="S210" s="20"/>
      <c r="T210" s="26"/>
      <c r="U210" s="17"/>
    </row>
    <row r="211" spans="1:21" x14ac:dyDescent="0.25">
      <c r="A211" s="2" t="str">
        <f>IFERROR(VLOOKUP(B211,Clientes!A:B,2,0),"")</f>
        <v/>
      </c>
      <c r="B211" s="20">
        <f>B209+1</f>
        <v>186</v>
      </c>
      <c r="C211" s="52" t="s">
        <v>297</v>
      </c>
      <c r="D211" s="55" t="s">
        <v>298</v>
      </c>
      <c r="E211" s="2" t="s">
        <v>234</v>
      </c>
      <c r="F211" s="71">
        <v>150715</v>
      </c>
      <c r="G211" s="29" t="s">
        <v>58</v>
      </c>
      <c r="H211" s="55" t="s">
        <v>602</v>
      </c>
      <c r="I211" s="20" t="s">
        <v>84</v>
      </c>
      <c r="J211" s="20" t="s">
        <v>81</v>
      </c>
      <c r="K211" s="71"/>
      <c r="L211" s="20" t="s">
        <v>33</v>
      </c>
      <c r="M211" s="20"/>
      <c r="N211" s="20"/>
      <c r="O211" s="20"/>
      <c r="P211" s="20"/>
      <c r="Q211" s="20"/>
      <c r="R211" s="20"/>
      <c r="S211" s="20"/>
      <c r="T211" s="26"/>
      <c r="U211" s="17"/>
    </row>
    <row r="212" spans="1:21" x14ac:dyDescent="0.25">
      <c r="A212" s="2" t="str">
        <f>IFERROR(VLOOKUP(B212,Clientes!A:B,2,0),"")</f>
        <v/>
      </c>
      <c r="B212" s="20">
        <f t="shared" ref="B212:B219" si="20">B211+1</f>
        <v>187</v>
      </c>
      <c r="C212" s="52" t="s">
        <v>446</v>
      </c>
      <c r="D212" s="55" t="s">
        <v>447</v>
      </c>
      <c r="E212" s="2" t="s">
        <v>235</v>
      </c>
      <c r="F212" s="71">
        <v>150715</v>
      </c>
      <c r="G212" s="29" t="s">
        <v>56</v>
      </c>
      <c r="H212" s="20" t="s">
        <v>72</v>
      </c>
      <c r="I212" s="20" t="s">
        <v>84</v>
      </c>
      <c r="J212" s="20" t="s">
        <v>83</v>
      </c>
      <c r="K212" s="71"/>
      <c r="L212" s="20"/>
      <c r="M212" s="20"/>
      <c r="N212" s="20"/>
      <c r="O212" s="20"/>
      <c r="P212" s="20"/>
      <c r="Q212" s="20"/>
      <c r="R212" s="20"/>
      <c r="S212" s="20"/>
      <c r="T212" s="26"/>
      <c r="U212" s="17"/>
    </row>
    <row r="213" spans="1:21" x14ac:dyDescent="0.25">
      <c r="A213" s="2"/>
      <c r="B213" s="20" t="s">
        <v>627</v>
      </c>
      <c r="C213" s="52" t="s">
        <v>505</v>
      </c>
      <c r="D213" s="55" t="s">
        <v>506</v>
      </c>
      <c r="E213" s="2" t="s">
        <v>238</v>
      </c>
      <c r="F213" s="71">
        <v>170715</v>
      </c>
      <c r="G213" s="29" t="s">
        <v>56</v>
      </c>
      <c r="H213" s="76" t="s">
        <v>72</v>
      </c>
      <c r="I213" s="20" t="s">
        <v>84</v>
      </c>
      <c r="J213" s="20" t="s">
        <v>83</v>
      </c>
      <c r="K213" s="71"/>
      <c r="L213" s="20"/>
      <c r="M213" s="20"/>
      <c r="N213" s="20"/>
      <c r="O213" s="20"/>
      <c r="P213" s="20"/>
      <c r="Q213" s="20"/>
      <c r="R213" s="20"/>
      <c r="S213" s="20"/>
      <c r="T213" s="26"/>
      <c r="U213" s="17"/>
    </row>
    <row r="214" spans="1:21" x14ac:dyDescent="0.25">
      <c r="A214" s="2" t="str">
        <f>IFERROR(VLOOKUP(B214,Clientes!A:B,2,0),"")</f>
        <v/>
      </c>
      <c r="B214" s="20">
        <f>B212+1</f>
        <v>188</v>
      </c>
      <c r="C214" s="52" t="s">
        <v>446</v>
      </c>
      <c r="D214" s="55" t="s">
        <v>447</v>
      </c>
      <c r="E214" s="2" t="s">
        <v>235</v>
      </c>
      <c r="F214" s="71">
        <v>150715</v>
      </c>
      <c r="G214" s="29" t="s">
        <v>56</v>
      </c>
      <c r="H214" s="55" t="s">
        <v>602</v>
      </c>
      <c r="I214" s="20" t="s">
        <v>84</v>
      </c>
      <c r="J214" s="20" t="s">
        <v>83</v>
      </c>
      <c r="K214" s="71"/>
      <c r="L214" s="20"/>
      <c r="M214" s="20"/>
      <c r="N214" s="20"/>
      <c r="O214" s="20"/>
      <c r="P214" s="20"/>
      <c r="Q214" s="20"/>
      <c r="R214" s="20"/>
      <c r="S214" s="20"/>
      <c r="T214" s="26"/>
      <c r="U214" s="17"/>
    </row>
    <row r="215" spans="1:21" x14ac:dyDescent="0.25">
      <c r="A215" s="2" t="str">
        <f>IFERROR(VLOOKUP(B215,Clientes!A:B,2,0),"")</f>
        <v/>
      </c>
      <c r="B215" s="20">
        <f t="shared" si="20"/>
        <v>189</v>
      </c>
      <c r="C215" s="52" t="s">
        <v>610</v>
      </c>
      <c r="D215" s="55" t="s">
        <v>611</v>
      </c>
      <c r="E215" s="2" t="s">
        <v>225</v>
      </c>
      <c r="F215" s="71">
        <v>160715</v>
      </c>
      <c r="G215" s="29" t="s">
        <v>57</v>
      </c>
      <c r="H215" s="20"/>
      <c r="I215" s="20" t="s">
        <v>84</v>
      </c>
      <c r="J215" s="20" t="s">
        <v>1232</v>
      </c>
      <c r="K215" s="71"/>
      <c r="L215" s="20" t="s">
        <v>33</v>
      </c>
      <c r="M215" s="20"/>
      <c r="N215" s="20"/>
      <c r="O215" s="20"/>
      <c r="P215" s="20"/>
      <c r="Q215" s="20"/>
      <c r="R215" s="20"/>
      <c r="S215" s="20"/>
      <c r="T215" s="26"/>
      <c r="U215" s="17"/>
    </row>
    <row r="216" spans="1:21" x14ac:dyDescent="0.25">
      <c r="A216" s="2" t="str">
        <f>IFERROR(VLOOKUP(B216,Clientes!A:B,2,0),"")</f>
        <v/>
      </c>
      <c r="B216" s="20">
        <f t="shared" si="20"/>
        <v>190</v>
      </c>
      <c r="C216" s="52" t="s">
        <v>612</v>
      </c>
      <c r="D216" s="55" t="s">
        <v>613</v>
      </c>
      <c r="E216" s="2" t="s">
        <v>218</v>
      </c>
      <c r="F216" s="71">
        <v>160715</v>
      </c>
      <c r="G216" s="29" t="s">
        <v>56</v>
      </c>
      <c r="H216" s="20" t="s">
        <v>72</v>
      </c>
      <c r="I216" s="20" t="s">
        <v>84</v>
      </c>
      <c r="J216" s="20" t="s">
        <v>83</v>
      </c>
      <c r="K216" s="71"/>
      <c r="L216" s="20"/>
      <c r="M216" s="20"/>
      <c r="N216" s="20"/>
      <c r="O216" s="20"/>
      <c r="P216" s="20"/>
      <c r="Q216" s="20"/>
      <c r="R216" s="20"/>
      <c r="S216" s="20"/>
      <c r="T216" s="26"/>
      <c r="U216" s="17"/>
    </row>
    <row r="217" spans="1:21" x14ac:dyDescent="0.25">
      <c r="A217" s="2" t="str">
        <f>IFERROR(VLOOKUP(B217,Clientes!A:B,2,0),"")</f>
        <v/>
      </c>
      <c r="B217" s="20">
        <f t="shared" si="20"/>
        <v>191</v>
      </c>
      <c r="C217" s="52" t="s">
        <v>614</v>
      </c>
      <c r="D217" s="55" t="s">
        <v>615</v>
      </c>
      <c r="E217" s="2" t="s">
        <v>223</v>
      </c>
      <c r="F217" s="71">
        <v>160715</v>
      </c>
      <c r="G217" s="29" t="s">
        <v>56</v>
      </c>
      <c r="H217" s="55" t="s">
        <v>602</v>
      </c>
      <c r="I217" s="20" t="s">
        <v>84</v>
      </c>
      <c r="J217" s="20" t="s">
        <v>83</v>
      </c>
      <c r="K217" s="71"/>
      <c r="L217" s="20"/>
      <c r="M217" s="20"/>
      <c r="N217" s="20"/>
      <c r="O217" s="20"/>
      <c r="P217" s="20"/>
      <c r="Q217" s="20"/>
      <c r="R217" s="20"/>
      <c r="S217" s="20"/>
      <c r="T217" s="26"/>
      <c r="U217" s="17"/>
    </row>
    <row r="218" spans="1:21" x14ac:dyDescent="0.25">
      <c r="A218" s="2" t="str">
        <f>IFERROR(VLOOKUP(B218,Clientes!A:B,2,0),"")</f>
        <v/>
      </c>
      <c r="B218" s="20">
        <f t="shared" si="20"/>
        <v>192</v>
      </c>
      <c r="C218" s="52" t="s">
        <v>616</v>
      </c>
      <c r="D218" s="55" t="s">
        <v>617</v>
      </c>
      <c r="E218" s="2" t="s">
        <v>225</v>
      </c>
      <c r="F218" s="71">
        <v>170715</v>
      </c>
      <c r="G218" s="29" t="s">
        <v>57</v>
      </c>
      <c r="H218" s="20"/>
      <c r="I218" s="20" t="s">
        <v>84</v>
      </c>
      <c r="J218" s="20" t="s">
        <v>1232</v>
      </c>
      <c r="K218" s="71"/>
      <c r="L218" s="20" t="s">
        <v>33</v>
      </c>
      <c r="M218" s="20"/>
      <c r="N218" s="20"/>
      <c r="O218" s="20"/>
      <c r="P218" s="20"/>
      <c r="Q218" s="20"/>
      <c r="R218" s="20"/>
      <c r="S218" s="20"/>
      <c r="T218" s="26"/>
      <c r="U218" s="17"/>
    </row>
    <row r="219" spans="1:21" x14ac:dyDescent="0.25">
      <c r="A219" s="2" t="str">
        <f>IFERROR(VLOOKUP(B219,Clientes!A:B,2,0),"")</f>
        <v/>
      </c>
      <c r="B219" s="20">
        <f t="shared" si="20"/>
        <v>193</v>
      </c>
      <c r="C219" s="52" t="s">
        <v>618</v>
      </c>
      <c r="D219" s="55" t="s">
        <v>619</v>
      </c>
      <c r="E219" s="2" t="s">
        <v>221</v>
      </c>
      <c r="F219" s="71">
        <v>170715</v>
      </c>
      <c r="G219" s="29" t="s">
        <v>58</v>
      </c>
      <c r="H219" s="20" t="s">
        <v>72</v>
      </c>
      <c r="I219" s="20" t="s">
        <v>84</v>
      </c>
      <c r="J219" s="20" t="s">
        <v>81</v>
      </c>
      <c r="K219" s="71"/>
      <c r="L219" s="20" t="s">
        <v>21</v>
      </c>
      <c r="M219" s="20"/>
      <c r="N219" s="20" t="s">
        <v>134</v>
      </c>
      <c r="O219" s="20"/>
      <c r="P219" s="20" t="s">
        <v>146</v>
      </c>
      <c r="Q219" s="20"/>
      <c r="R219" s="20"/>
      <c r="S219" s="20"/>
      <c r="T219" s="26"/>
      <c r="U219" s="17"/>
    </row>
    <row r="220" spans="1:21" x14ac:dyDescent="0.25">
      <c r="A220" s="2" t="str">
        <f>IFERROR(VLOOKUP(B220,Clientes!A:B,2,0),"")</f>
        <v/>
      </c>
      <c r="B220" s="20">
        <f t="shared" ref="B220:B229" si="21">B219+1</f>
        <v>194</v>
      </c>
      <c r="C220" s="52" t="s">
        <v>271</v>
      </c>
      <c r="D220" s="55" t="s">
        <v>272</v>
      </c>
      <c r="E220" s="2" t="s">
        <v>217</v>
      </c>
      <c r="F220" s="71">
        <v>170715</v>
      </c>
      <c r="G220" s="29" t="s">
        <v>56</v>
      </c>
      <c r="H220" s="20" t="s">
        <v>72</v>
      </c>
      <c r="I220" s="20" t="s">
        <v>84</v>
      </c>
      <c r="J220" s="20" t="s">
        <v>83</v>
      </c>
      <c r="K220" s="71"/>
      <c r="L220" s="20"/>
      <c r="M220" s="20"/>
      <c r="N220" s="20"/>
      <c r="O220" s="20"/>
      <c r="P220" s="20"/>
      <c r="Q220" s="20"/>
      <c r="R220" s="20"/>
      <c r="S220" s="20"/>
      <c r="T220" s="26"/>
      <c r="U220" s="17"/>
    </row>
    <row r="221" spans="1:21" x14ac:dyDescent="0.25">
      <c r="A221" s="2" t="str">
        <f>IFERROR(VLOOKUP(B221,Clientes!A:B,2,0),"")</f>
        <v/>
      </c>
      <c r="B221" s="20">
        <f t="shared" si="21"/>
        <v>195</v>
      </c>
      <c r="C221" s="52" t="s">
        <v>620</v>
      </c>
      <c r="D221" s="55" t="s">
        <v>621</v>
      </c>
      <c r="E221" s="2" t="s">
        <v>228</v>
      </c>
      <c r="F221" s="71">
        <v>170715</v>
      </c>
      <c r="G221" s="29" t="s">
        <v>56</v>
      </c>
      <c r="H221" s="20" t="s">
        <v>72</v>
      </c>
      <c r="I221" s="20" t="s">
        <v>84</v>
      </c>
      <c r="J221" s="20" t="s">
        <v>83</v>
      </c>
      <c r="K221" s="71"/>
      <c r="L221" s="20"/>
      <c r="M221" s="20"/>
      <c r="N221" s="20"/>
      <c r="O221" s="20"/>
      <c r="P221" s="20"/>
      <c r="Q221" s="20"/>
      <c r="R221" s="20"/>
      <c r="S221" s="20"/>
      <c r="T221" s="26"/>
      <c r="U221" s="17"/>
    </row>
    <row r="222" spans="1:21" x14ac:dyDescent="0.25">
      <c r="A222" s="2" t="str">
        <f>IFERROR(VLOOKUP(B222,Clientes!A:B,2,0),"")</f>
        <v/>
      </c>
      <c r="B222" s="20">
        <f t="shared" si="21"/>
        <v>196</v>
      </c>
      <c r="C222" s="52" t="s">
        <v>628</v>
      </c>
      <c r="D222" s="55" t="s">
        <v>629</v>
      </c>
      <c r="E222" s="2" t="s">
        <v>222</v>
      </c>
      <c r="F222" s="71">
        <v>200715</v>
      </c>
      <c r="G222" s="29" t="s">
        <v>56</v>
      </c>
      <c r="H222" s="20" t="s">
        <v>72</v>
      </c>
      <c r="I222" s="20" t="s">
        <v>84</v>
      </c>
      <c r="J222" s="20" t="s">
        <v>83</v>
      </c>
      <c r="K222" s="71"/>
      <c r="L222" s="20"/>
      <c r="M222" s="20"/>
      <c r="N222" s="20"/>
      <c r="O222" s="20"/>
      <c r="P222" s="20"/>
      <c r="Q222" s="20"/>
      <c r="R222" s="20"/>
      <c r="S222" s="20"/>
      <c r="T222" s="26"/>
      <c r="U222" s="17"/>
    </row>
    <row r="223" spans="1:21" x14ac:dyDescent="0.25">
      <c r="A223" s="2" t="str">
        <f>IFERROR(VLOOKUP(B223,Clientes!A:B,2,0),"")</f>
        <v/>
      </c>
      <c r="B223" s="20">
        <f t="shared" si="21"/>
        <v>197</v>
      </c>
      <c r="C223" s="52" t="s">
        <v>647</v>
      </c>
      <c r="D223" s="55" t="s">
        <v>648</v>
      </c>
      <c r="E223" s="2" t="s">
        <v>221</v>
      </c>
      <c r="F223" s="71">
        <v>200715</v>
      </c>
      <c r="G223" s="29" t="s">
        <v>64</v>
      </c>
      <c r="H223" s="20" t="s">
        <v>77</v>
      </c>
      <c r="I223" s="20" t="s">
        <v>84</v>
      </c>
      <c r="J223" s="20" t="s">
        <v>83</v>
      </c>
      <c r="K223" s="71"/>
      <c r="L223" s="20"/>
      <c r="M223" s="20"/>
      <c r="N223" s="20"/>
      <c r="O223" s="20"/>
      <c r="P223" s="20"/>
      <c r="Q223" s="20"/>
      <c r="R223" s="20"/>
      <c r="S223" s="20"/>
      <c r="T223" s="26"/>
      <c r="U223" s="17"/>
    </row>
    <row r="224" spans="1:21" x14ac:dyDescent="0.25">
      <c r="A224" s="2"/>
      <c r="B224" s="20" t="s">
        <v>660</v>
      </c>
      <c r="C224" s="52" t="s">
        <v>661</v>
      </c>
      <c r="D224" s="55" t="s">
        <v>662</v>
      </c>
      <c r="E224" s="2" t="s">
        <v>232</v>
      </c>
      <c r="F224" s="71">
        <v>200715</v>
      </c>
      <c r="G224" s="29" t="s">
        <v>56</v>
      </c>
      <c r="H224" s="20" t="s">
        <v>72</v>
      </c>
      <c r="I224" s="20" t="s">
        <v>84</v>
      </c>
      <c r="J224" s="20" t="s">
        <v>83</v>
      </c>
      <c r="K224" s="71"/>
      <c r="L224" s="20"/>
      <c r="M224" s="20"/>
      <c r="N224" s="20"/>
      <c r="O224" s="20"/>
      <c r="P224" s="20"/>
      <c r="Q224" s="20"/>
      <c r="R224" s="20"/>
      <c r="S224" s="20"/>
      <c r="T224" s="26"/>
      <c r="U224" s="17"/>
    </row>
    <row r="225" spans="1:21" x14ac:dyDescent="0.25">
      <c r="A225" s="2" t="str">
        <f>IFERROR(VLOOKUP(B225,Clientes!A:B,2,0),"")</f>
        <v/>
      </c>
      <c r="B225" s="20">
        <f>B223+1</f>
        <v>198</v>
      </c>
      <c r="C225" s="52" t="s">
        <v>612</v>
      </c>
      <c r="D225" s="55" t="s">
        <v>613</v>
      </c>
      <c r="E225" s="2" t="s">
        <v>218</v>
      </c>
      <c r="F225" s="71">
        <v>200715</v>
      </c>
      <c r="G225" s="29" t="s">
        <v>58</v>
      </c>
      <c r="H225" s="20" t="s">
        <v>72</v>
      </c>
      <c r="I225" s="20" t="s">
        <v>84</v>
      </c>
      <c r="J225" s="20" t="s">
        <v>81</v>
      </c>
      <c r="K225" s="71"/>
      <c r="L225" s="20" t="s">
        <v>148</v>
      </c>
      <c r="M225" s="20"/>
      <c r="N225" s="20" t="s">
        <v>206</v>
      </c>
      <c r="O225" s="20"/>
      <c r="P225" s="20"/>
      <c r="Q225" s="20"/>
      <c r="R225" s="20"/>
      <c r="S225" s="20"/>
      <c r="T225" s="26"/>
      <c r="U225" s="17"/>
    </row>
    <row r="226" spans="1:21" x14ac:dyDescent="0.25">
      <c r="A226" s="2" t="str">
        <f>IFERROR(VLOOKUP(B226,Clientes!A:B,2,0),"")</f>
        <v/>
      </c>
      <c r="B226" s="20">
        <f t="shared" si="21"/>
        <v>199</v>
      </c>
      <c r="C226" s="52" t="s">
        <v>658</v>
      </c>
      <c r="D226" s="55" t="s">
        <v>659</v>
      </c>
      <c r="E226" s="2" t="s">
        <v>215</v>
      </c>
      <c r="F226" s="71">
        <v>200715</v>
      </c>
      <c r="G226" s="29" t="s">
        <v>56</v>
      </c>
      <c r="H226" s="20" t="s">
        <v>73</v>
      </c>
      <c r="I226" s="20" t="s">
        <v>84</v>
      </c>
      <c r="J226" s="20" t="s">
        <v>83</v>
      </c>
      <c r="K226" s="71"/>
      <c r="L226" s="20"/>
      <c r="M226" s="20"/>
      <c r="N226" s="20"/>
      <c r="O226" s="20"/>
      <c r="P226" s="20"/>
      <c r="Q226" s="20"/>
      <c r="R226" s="20"/>
      <c r="S226" s="20"/>
      <c r="T226" s="26"/>
      <c r="U226" s="17"/>
    </row>
    <row r="227" spans="1:21" x14ac:dyDescent="0.25">
      <c r="A227" s="2" t="str">
        <f>IFERROR(VLOOKUP(B227,Clientes!A:B,2,0),"")</f>
        <v/>
      </c>
      <c r="B227" s="20">
        <f t="shared" si="21"/>
        <v>200</v>
      </c>
      <c r="C227" s="52" t="s">
        <v>655</v>
      </c>
      <c r="D227" s="55" t="s">
        <v>656</v>
      </c>
      <c r="E227" s="2" t="s">
        <v>236</v>
      </c>
      <c r="F227" s="71">
        <v>200715</v>
      </c>
      <c r="G227" s="29" t="s">
        <v>62</v>
      </c>
      <c r="H227" s="55" t="s">
        <v>657</v>
      </c>
      <c r="I227" s="20" t="s">
        <v>84</v>
      </c>
      <c r="J227" s="20" t="s">
        <v>83</v>
      </c>
      <c r="K227" s="71"/>
      <c r="L227" s="20"/>
      <c r="M227" s="20"/>
      <c r="N227" s="20"/>
      <c r="O227" s="20"/>
      <c r="P227" s="20"/>
      <c r="Q227" s="20"/>
      <c r="R227" s="20"/>
      <c r="S227" s="20"/>
      <c r="T227" s="26"/>
      <c r="U227" s="17"/>
    </row>
    <row r="228" spans="1:21" x14ac:dyDescent="0.25">
      <c r="A228" s="2" t="str">
        <f>IFERROR(VLOOKUP(B228,Clientes!A:B,2,0),"")</f>
        <v/>
      </c>
      <c r="B228" s="20">
        <f t="shared" si="21"/>
        <v>201</v>
      </c>
      <c r="C228" s="52" t="s">
        <v>373</v>
      </c>
      <c r="D228" s="55" t="s">
        <v>374</v>
      </c>
      <c r="E228" s="2" t="s">
        <v>223</v>
      </c>
      <c r="F228" s="71">
        <v>200715</v>
      </c>
      <c r="G228" s="29" t="s">
        <v>58</v>
      </c>
      <c r="H228" s="20" t="s">
        <v>74</v>
      </c>
      <c r="I228" s="20" t="s">
        <v>84</v>
      </c>
      <c r="J228" s="20" t="s">
        <v>82</v>
      </c>
      <c r="K228" s="71"/>
      <c r="L228" s="20" t="s">
        <v>146</v>
      </c>
      <c r="M228" s="20"/>
      <c r="N228" s="20"/>
      <c r="O228" s="20"/>
      <c r="P228" s="20"/>
      <c r="Q228" s="20"/>
      <c r="R228" s="20"/>
      <c r="S228" s="20"/>
      <c r="T228" s="26"/>
      <c r="U228" s="17"/>
    </row>
    <row r="229" spans="1:21" ht="25.5" x14ac:dyDescent="0.25">
      <c r="A229" s="2" t="str">
        <f>IFERROR(VLOOKUP(B229,Clientes!A:B,2,0),"")</f>
        <v/>
      </c>
      <c r="B229" s="20">
        <f t="shared" si="21"/>
        <v>202</v>
      </c>
      <c r="C229" s="52" t="s">
        <v>630</v>
      </c>
      <c r="D229" s="55" t="s">
        <v>631</v>
      </c>
      <c r="E229" s="2" t="s">
        <v>234</v>
      </c>
      <c r="F229" s="71">
        <v>200715</v>
      </c>
      <c r="G229" s="29"/>
      <c r="H229" s="20"/>
      <c r="I229" s="20" t="s">
        <v>632</v>
      </c>
      <c r="J229" s="20" t="s">
        <v>81</v>
      </c>
      <c r="K229" s="71"/>
      <c r="L229" s="20"/>
      <c r="M229" s="20"/>
      <c r="N229" s="20"/>
      <c r="O229" s="20"/>
      <c r="P229" s="20"/>
      <c r="Q229" s="20"/>
      <c r="R229" s="20"/>
      <c r="S229" s="20"/>
      <c r="T229" s="26" t="s">
        <v>633</v>
      </c>
      <c r="U229" s="17"/>
    </row>
    <row r="230" spans="1:21" x14ac:dyDescent="0.25">
      <c r="A230" s="2" t="str">
        <f>IFERROR(VLOOKUP(B230,Clientes!A:B,2,0),"")</f>
        <v/>
      </c>
      <c r="B230" s="20">
        <f t="shared" ref="B230:B239" si="22">B229+1</f>
        <v>203</v>
      </c>
      <c r="C230" s="52" t="s">
        <v>653</v>
      </c>
      <c r="D230" s="55" t="s">
        <v>654</v>
      </c>
      <c r="E230" s="2" t="s">
        <v>214</v>
      </c>
      <c r="F230" s="71">
        <v>210715</v>
      </c>
      <c r="G230" s="29" t="s">
        <v>58</v>
      </c>
      <c r="H230" s="20" t="s">
        <v>72</v>
      </c>
      <c r="I230" s="20" t="s">
        <v>84</v>
      </c>
      <c r="J230" s="20" t="s">
        <v>81</v>
      </c>
      <c r="K230" s="71"/>
      <c r="L230" s="20"/>
      <c r="M230" s="20"/>
      <c r="N230" s="20"/>
      <c r="O230" s="20"/>
      <c r="P230" s="20"/>
      <c r="Q230" s="20"/>
      <c r="R230" s="20"/>
      <c r="S230" s="20"/>
      <c r="T230" s="26"/>
      <c r="U230" s="17"/>
    </row>
    <row r="231" spans="1:21" x14ac:dyDescent="0.25">
      <c r="A231" s="2" t="str">
        <f>IFERROR(VLOOKUP(B231,Clientes!A:B,2,0),"")</f>
        <v/>
      </c>
      <c r="B231" s="20">
        <f t="shared" si="22"/>
        <v>204</v>
      </c>
      <c r="C231" s="52" t="s">
        <v>634</v>
      </c>
      <c r="D231" s="55" t="s">
        <v>635</v>
      </c>
      <c r="E231" s="2"/>
      <c r="F231" s="71">
        <v>210715</v>
      </c>
      <c r="G231" s="29" t="s">
        <v>63</v>
      </c>
      <c r="H231" s="20"/>
      <c r="I231" s="20" t="s">
        <v>636</v>
      </c>
      <c r="J231" s="20" t="s">
        <v>82</v>
      </c>
      <c r="K231" s="71"/>
      <c r="L231" s="20"/>
      <c r="M231" s="20"/>
      <c r="N231" s="20"/>
      <c r="O231" s="20"/>
      <c r="P231" s="20"/>
      <c r="Q231" s="20"/>
      <c r="R231" s="20"/>
      <c r="S231" s="20"/>
      <c r="T231" s="26"/>
      <c r="U231" s="17"/>
    </row>
    <row r="232" spans="1:21" x14ac:dyDescent="0.25">
      <c r="A232" s="2" t="str">
        <f>IFERROR(VLOOKUP(B232,Clientes!A:B,2,0),"")</f>
        <v/>
      </c>
      <c r="B232" s="20">
        <f t="shared" si="22"/>
        <v>205</v>
      </c>
      <c r="C232" s="52" t="s">
        <v>651</v>
      </c>
      <c r="D232" s="55" t="s">
        <v>652</v>
      </c>
      <c r="E232" s="2" t="s">
        <v>216</v>
      </c>
      <c r="F232" s="71">
        <v>210715</v>
      </c>
      <c r="G232" s="29" t="s">
        <v>56</v>
      </c>
      <c r="H232" s="20" t="s">
        <v>72</v>
      </c>
      <c r="I232" s="20" t="s">
        <v>84</v>
      </c>
      <c r="J232" s="20" t="s">
        <v>83</v>
      </c>
      <c r="K232" s="71"/>
      <c r="L232" s="20"/>
      <c r="M232" s="20"/>
      <c r="N232" s="20"/>
      <c r="O232" s="20"/>
      <c r="P232" s="20"/>
      <c r="Q232" s="20"/>
      <c r="R232" s="20"/>
      <c r="S232" s="20"/>
      <c r="T232" s="26"/>
      <c r="U232" s="17"/>
    </row>
    <row r="233" spans="1:21" x14ac:dyDescent="0.25">
      <c r="A233" s="2" t="str">
        <f>IFERROR(VLOOKUP(B233,Clientes!A:B,2,0),"")</f>
        <v/>
      </c>
      <c r="B233" s="20">
        <f t="shared" si="22"/>
        <v>206</v>
      </c>
      <c r="C233" s="52" t="s">
        <v>649</v>
      </c>
      <c r="D233" s="55" t="s">
        <v>650</v>
      </c>
      <c r="E233" s="2" t="s">
        <v>228</v>
      </c>
      <c r="F233" s="71">
        <v>210715</v>
      </c>
      <c r="G233" s="29" t="s">
        <v>57</v>
      </c>
      <c r="H233" s="20"/>
      <c r="I233" s="20" t="s">
        <v>84</v>
      </c>
      <c r="J233" s="20" t="s">
        <v>1232</v>
      </c>
      <c r="K233" s="71"/>
      <c r="L233" s="20" t="s">
        <v>24</v>
      </c>
      <c r="M233" s="20"/>
      <c r="N233" s="20"/>
      <c r="O233" s="20"/>
      <c r="P233" s="20"/>
      <c r="Q233" s="20"/>
      <c r="R233" s="20"/>
      <c r="S233" s="20"/>
      <c r="T233" s="26"/>
      <c r="U233" s="17"/>
    </row>
    <row r="234" spans="1:21" x14ac:dyDescent="0.25">
      <c r="A234" s="2" t="str">
        <f>IFERROR(VLOOKUP(B234,Clientes!A:B,2,0),"")</f>
        <v/>
      </c>
      <c r="B234" s="20">
        <f t="shared" si="22"/>
        <v>207</v>
      </c>
      <c r="C234" s="52" t="s">
        <v>642</v>
      </c>
      <c r="D234" s="55" t="s">
        <v>643</v>
      </c>
      <c r="E234" s="2"/>
      <c r="F234" s="71">
        <v>210715</v>
      </c>
      <c r="G234" s="55" t="s">
        <v>537</v>
      </c>
      <c r="H234" s="55" t="s">
        <v>644</v>
      </c>
      <c r="I234" s="20" t="s">
        <v>84</v>
      </c>
      <c r="J234" s="20" t="s">
        <v>83</v>
      </c>
      <c r="K234" s="71"/>
      <c r="L234" s="20"/>
      <c r="M234" s="20"/>
      <c r="N234" s="20"/>
      <c r="O234" s="20"/>
      <c r="P234" s="20"/>
      <c r="Q234" s="20"/>
      <c r="R234" s="20"/>
      <c r="S234" s="20"/>
      <c r="T234" s="26"/>
      <c r="U234" s="17"/>
    </row>
    <row r="235" spans="1:21" x14ac:dyDescent="0.25">
      <c r="A235" s="2"/>
      <c r="B235" s="20" t="s">
        <v>679</v>
      </c>
      <c r="C235" s="52" t="s">
        <v>262</v>
      </c>
      <c r="D235" s="55" t="s">
        <v>263</v>
      </c>
      <c r="E235" s="2" t="s">
        <v>218</v>
      </c>
      <c r="F235" s="71">
        <v>220715</v>
      </c>
      <c r="G235" s="29" t="s">
        <v>56</v>
      </c>
      <c r="H235" s="55"/>
      <c r="I235" s="20" t="s">
        <v>84</v>
      </c>
      <c r="J235" s="20" t="s">
        <v>83</v>
      </c>
      <c r="K235" s="71"/>
      <c r="L235" s="20"/>
      <c r="M235" s="20"/>
      <c r="N235" s="20"/>
      <c r="O235" s="20"/>
      <c r="P235" s="20"/>
      <c r="Q235" s="20"/>
      <c r="R235" s="20"/>
      <c r="S235" s="20"/>
      <c r="T235" s="26"/>
      <c r="U235" s="17"/>
    </row>
    <row r="236" spans="1:21" x14ac:dyDescent="0.25">
      <c r="A236" s="2" t="str">
        <f>IFERROR(VLOOKUP(B236,Clientes!A:B,2,0),"")</f>
        <v/>
      </c>
      <c r="B236" s="20">
        <f>B234+1</f>
        <v>208</v>
      </c>
      <c r="C236" s="52"/>
      <c r="D236" s="55"/>
      <c r="E236" s="2"/>
      <c r="F236" s="71"/>
      <c r="G236" s="29"/>
      <c r="H236" s="20"/>
      <c r="I236" s="20" t="s">
        <v>84</v>
      </c>
      <c r="J236" s="20"/>
      <c r="K236" s="71"/>
      <c r="L236" s="20"/>
      <c r="M236" s="20"/>
      <c r="N236" s="20"/>
      <c r="O236" s="20"/>
      <c r="P236" s="20"/>
      <c r="Q236" s="20"/>
      <c r="R236" s="20"/>
      <c r="S236" s="20"/>
      <c r="T236" s="26"/>
      <c r="U236" s="17"/>
    </row>
    <row r="237" spans="1:21" x14ac:dyDescent="0.25">
      <c r="A237" s="2" t="str">
        <f>IFERROR(VLOOKUP(B237,Clientes!A:B,2,0),"")</f>
        <v/>
      </c>
      <c r="B237" s="20">
        <f t="shared" si="22"/>
        <v>209</v>
      </c>
      <c r="C237" s="52" t="s">
        <v>645</v>
      </c>
      <c r="D237" s="55" t="s">
        <v>646</v>
      </c>
      <c r="E237" s="2" t="s">
        <v>236</v>
      </c>
      <c r="F237" s="71">
        <v>210715</v>
      </c>
      <c r="G237" s="29" t="s">
        <v>58</v>
      </c>
      <c r="H237" s="20" t="s">
        <v>72</v>
      </c>
      <c r="I237" s="20" t="s">
        <v>84</v>
      </c>
      <c r="J237" s="20" t="s">
        <v>81</v>
      </c>
      <c r="K237" s="71"/>
      <c r="L237" s="20" t="s">
        <v>150</v>
      </c>
      <c r="M237" s="20"/>
      <c r="N237" s="20" t="s">
        <v>153</v>
      </c>
      <c r="O237" s="20"/>
      <c r="P237" s="20"/>
      <c r="Q237" s="20"/>
      <c r="R237" s="20"/>
      <c r="S237" s="20"/>
      <c r="T237" s="26"/>
      <c r="U237" s="17"/>
    </row>
    <row r="238" spans="1:21" x14ac:dyDescent="0.25">
      <c r="A238" s="2" t="str">
        <f>IFERROR(VLOOKUP(B238,Clientes!A:B,2,0),"")</f>
        <v/>
      </c>
      <c r="B238" s="20">
        <f t="shared" si="22"/>
        <v>210</v>
      </c>
      <c r="C238" s="52" t="s">
        <v>637</v>
      </c>
      <c r="D238" s="55" t="s">
        <v>638</v>
      </c>
      <c r="E238" s="2" t="s">
        <v>235</v>
      </c>
      <c r="F238" s="71">
        <v>210715</v>
      </c>
      <c r="G238" s="29" t="s">
        <v>57</v>
      </c>
      <c r="H238" s="20"/>
      <c r="I238" s="20" t="s">
        <v>84</v>
      </c>
      <c r="J238" s="20" t="s">
        <v>1232</v>
      </c>
      <c r="K238" s="71"/>
      <c r="L238" s="20" t="s">
        <v>150</v>
      </c>
      <c r="M238" s="20"/>
      <c r="N238" s="20"/>
      <c r="O238" s="20"/>
      <c r="P238" s="20"/>
      <c r="Q238" s="20"/>
      <c r="R238" s="20"/>
      <c r="S238" s="20"/>
      <c r="T238" s="26"/>
      <c r="U238" s="17"/>
    </row>
    <row r="239" spans="1:21" x14ac:dyDescent="0.25">
      <c r="A239" s="2" t="str">
        <f>IFERROR(VLOOKUP(B239,Clientes!A:B,2,0),"")</f>
        <v/>
      </c>
      <c r="B239" s="20">
        <f t="shared" si="22"/>
        <v>211</v>
      </c>
      <c r="C239" s="52" t="s">
        <v>639</v>
      </c>
      <c r="D239" s="55" t="s">
        <v>640</v>
      </c>
      <c r="E239" s="2" t="s">
        <v>230</v>
      </c>
      <c r="F239" s="71">
        <v>220715</v>
      </c>
      <c r="G239" s="29" t="s">
        <v>58</v>
      </c>
      <c r="H239" s="55" t="s">
        <v>641</v>
      </c>
      <c r="I239" s="20" t="s">
        <v>84</v>
      </c>
      <c r="J239" s="20" t="s">
        <v>81</v>
      </c>
      <c r="K239" s="71"/>
      <c r="L239" s="20" t="s">
        <v>158</v>
      </c>
      <c r="M239" s="20"/>
      <c r="N239" s="20"/>
      <c r="O239" s="20"/>
      <c r="P239" s="20"/>
      <c r="Q239" s="20"/>
      <c r="R239" s="20"/>
      <c r="S239" s="20"/>
      <c r="T239" s="26"/>
      <c r="U239" s="17"/>
    </row>
    <row r="240" spans="1:21" x14ac:dyDescent="0.25">
      <c r="A240" s="2"/>
      <c r="B240" s="20" t="s">
        <v>676</v>
      </c>
      <c r="C240" s="52" t="s">
        <v>677</v>
      </c>
      <c r="D240" s="55" t="s">
        <v>678</v>
      </c>
      <c r="E240" s="2" t="s">
        <v>226</v>
      </c>
      <c r="F240" s="71">
        <v>220715</v>
      </c>
      <c r="G240" s="29" t="s">
        <v>57</v>
      </c>
      <c r="H240" s="55"/>
      <c r="I240" s="20" t="s">
        <v>84</v>
      </c>
      <c r="J240" s="20" t="s">
        <v>1232</v>
      </c>
      <c r="K240" s="71"/>
      <c r="L240" s="20" t="s">
        <v>40</v>
      </c>
      <c r="M240" s="20"/>
      <c r="N240" s="20" t="s">
        <v>13</v>
      </c>
      <c r="O240" s="20"/>
      <c r="P240" s="20"/>
      <c r="Q240" s="20"/>
      <c r="R240" s="20"/>
      <c r="S240" s="20"/>
      <c r="T240" s="26"/>
      <c r="U240" s="17"/>
    </row>
    <row r="241" spans="1:21" x14ac:dyDescent="0.25">
      <c r="A241" s="2" t="str">
        <f>IFERROR(VLOOKUP(B241,Clientes!A:B,2,0),"")</f>
        <v/>
      </c>
      <c r="B241" s="20">
        <f>B239+1</f>
        <v>212</v>
      </c>
      <c r="C241" s="52" t="s">
        <v>560</v>
      </c>
      <c r="D241" s="55" t="s">
        <v>561</v>
      </c>
      <c r="E241" s="2" t="s">
        <v>223</v>
      </c>
      <c r="F241" s="71">
        <v>220715</v>
      </c>
      <c r="G241" s="29" t="s">
        <v>57</v>
      </c>
      <c r="H241" s="20"/>
      <c r="I241" s="20" t="s">
        <v>84</v>
      </c>
      <c r="J241" s="20" t="s">
        <v>81</v>
      </c>
      <c r="K241" s="71"/>
      <c r="L241" s="20" t="s">
        <v>134</v>
      </c>
      <c r="M241" s="20"/>
      <c r="N241" s="20"/>
      <c r="O241" s="20"/>
      <c r="P241" s="20"/>
      <c r="Q241" s="20"/>
      <c r="R241" s="20"/>
      <c r="S241" s="20"/>
      <c r="T241" s="26"/>
      <c r="U241" s="17"/>
    </row>
    <row r="242" spans="1:21" x14ac:dyDescent="0.25">
      <c r="A242" s="2" t="str">
        <f>IFERROR(VLOOKUP(B242,Clientes!A:B,2,0),"")</f>
        <v/>
      </c>
      <c r="B242" s="20">
        <f t="shared" ref="B242:B256" si="23">B241+1</f>
        <v>213</v>
      </c>
      <c r="C242" s="52" t="s">
        <v>674</v>
      </c>
      <c r="D242" s="55" t="s">
        <v>675</v>
      </c>
      <c r="E242" s="2" t="s">
        <v>223</v>
      </c>
      <c r="F242" s="71">
        <v>220715</v>
      </c>
      <c r="G242" s="29" t="s">
        <v>56</v>
      </c>
      <c r="H242" s="20" t="s">
        <v>73</v>
      </c>
      <c r="I242" s="20" t="s">
        <v>84</v>
      </c>
      <c r="J242" s="20" t="s">
        <v>83</v>
      </c>
      <c r="K242" s="71"/>
      <c r="L242" s="20"/>
      <c r="M242" s="20"/>
      <c r="N242" s="20"/>
      <c r="O242" s="20"/>
      <c r="P242" s="20"/>
      <c r="Q242" s="20"/>
      <c r="R242" s="20"/>
      <c r="S242" s="20"/>
      <c r="T242" s="26"/>
      <c r="U242" s="17"/>
    </row>
    <row r="243" spans="1:21" x14ac:dyDescent="0.25">
      <c r="A243" s="2" t="str">
        <f>IFERROR(VLOOKUP(B243,Clientes!A:B,2,0),"")</f>
        <v/>
      </c>
      <c r="B243" s="20">
        <f t="shared" si="23"/>
        <v>214</v>
      </c>
      <c r="C243" s="52" t="s">
        <v>778</v>
      </c>
      <c r="D243" s="55" t="s">
        <v>779</v>
      </c>
      <c r="E243" s="2" t="s">
        <v>223</v>
      </c>
      <c r="F243" s="71">
        <v>220715</v>
      </c>
      <c r="G243" s="29" t="s">
        <v>58</v>
      </c>
      <c r="H243" s="20" t="s">
        <v>73</v>
      </c>
      <c r="I243" s="20" t="s">
        <v>84</v>
      </c>
      <c r="J243" s="20" t="s">
        <v>82</v>
      </c>
      <c r="K243" s="71"/>
      <c r="L243" s="20"/>
      <c r="M243" s="20"/>
      <c r="N243" s="20"/>
      <c r="O243" s="20"/>
      <c r="P243" s="20"/>
      <c r="Q243" s="20"/>
      <c r="R243" s="20"/>
      <c r="S243" s="20"/>
      <c r="T243" s="26"/>
      <c r="U243" s="17"/>
    </row>
    <row r="244" spans="1:21" x14ac:dyDescent="0.25">
      <c r="A244" s="2" t="str">
        <f>IFERROR(VLOOKUP(B244,Clientes!A:B,2,0),"")</f>
        <v/>
      </c>
      <c r="B244" s="20">
        <f t="shared" si="23"/>
        <v>215</v>
      </c>
      <c r="C244" s="52" t="s">
        <v>772</v>
      </c>
      <c r="D244" s="55" t="s">
        <v>773</v>
      </c>
      <c r="E244" s="2" t="s">
        <v>223</v>
      </c>
      <c r="F244" s="71">
        <v>220715</v>
      </c>
      <c r="G244" s="29" t="s">
        <v>57</v>
      </c>
      <c r="H244" s="20"/>
      <c r="I244" s="20" t="s">
        <v>84</v>
      </c>
      <c r="J244" s="20" t="s">
        <v>81</v>
      </c>
      <c r="K244" s="71"/>
      <c r="L244" s="20"/>
      <c r="M244" s="20"/>
      <c r="N244" s="20"/>
      <c r="O244" s="20"/>
      <c r="P244" s="20"/>
      <c r="Q244" s="20"/>
      <c r="R244" s="20"/>
      <c r="S244" s="20"/>
      <c r="T244" s="26"/>
      <c r="U244" s="17"/>
    </row>
    <row r="245" spans="1:21" x14ac:dyDescent="0.25">
      <c r="A245" s="2" t="str">
        <f>IFERROR(VLOOKUP(B245,Clientes!A:B,2,0),"")</f>
        <v/>
      </c>
      <c r="B245" s="20">
        <f t="shared" si="23"/>
        <v>216</v>
      </c>
      <c r="C245" s="52" t="s">
        <v>614</v>
      </c>
      <c r="D245" s="55" t="s">
        <v>615</v>
      </c>
      <c r="E245" s="2" t="s">
        <v>223</v>
      </c>
      <c r="F245" s="71">
        <v>220715</v>
      </c>
      <c r="G245" s="29" t="s">
        <v>57</v>
      </c>
      <c r="H245" s="20"/>
      <c r="I245" s="20" t="s">
        <v>84</v>
      </c>
      <c r="J245" s="20" t="s">
        <v>81</v>
      </c>
      <c r="K245" s="71"/>
      <c r="L245" s="20"/>
      <c r="M245" s="20"/>
      <c r="N245" s="20"/>
      <c r="O245" s="20"/>
      <c r="P245" s="20"/>
      <c r="Q245" s="20"/>
      <c r="R245" s="20"/>
      <c r="S245" s="20"/>
      <c r="T245" s="26"/>
      <c r="U245" s="17"/>
    </row>
    <row r="246" spans="1:21" x14ac:dyDescent="0.25">
      <c r="A246" s="2" t="str">
        <f>IFERROR(VLOOKUP(B246,Clientes!A:B,2,0),"")</f>
        <v/>
      </c>
      <c r="B246" s="20">
        <f t="shared" si="23"/>
        <v>217</v>
      </c>
      <c r="C246" s="52" t="s">
        <v>446</v>
      </c>
      <c r="D246" s="55" t="s">
        <v>447</v>
      </c>
      <c r="E246" s="2" t="s">
        <v>235</v>
      </c>
      <c r="F246" s="71">
        <v>220715</v>
      </c>
      <c r="G246" s="29" t="s">
        <v>56</v>
      </c>
      <c r="H246" s="20" t="s">
        <v>73</v>
      </c>
      <c r="I246" s="20" t="s">
        <v>84</v>
      </c>
      <c r="J246" s="20" t="s">
        <v>83</v>
      </c>
      <c r="K246" s="71"/>
      <c r="L246" s="20"/>
      <c r="M246" s="20"/>
      <c r="N246" s="20"/>
      <c r="O246" s="20"/>
      <c r="P246" s="20"/>
      <c r="Q246" s="20"/>
      <c r="R246" s="20"/>
      <c r="S246" s="20"/>
      <c r="T246" s="26"/>
      <c r="U246" s="17"/>
    </row>
    <row r="247" spans="1:21" x14ac:dyDescent="0.25">
      <c r="A247" s="2" t="str">
        <f>IFERROR(VLOOKUP(B247,Clientes!A:B,2,0),"")</f>
        <v/>
      </c>
      <c r="B247" s="20">
        <f t="shared" si="23"/>
        <v>218</v>
      </c>
      <c r="C247" s="52" t="s">
        <v>774</v>
      </c>
      <c r="D247" s="55" t="s">
        <v>775</v>
      </c>
      <c r="E247" s="2" t="s">
        <v>223</v>
      </c>
      <c r="F247" s="71">
        <v>220715</v>
      </c>
      <c r="G247" s="29" t="s">
        <v>57</v>
      </c>
      <c r="H247" s="20"/>
      <c r="I247" s="20" t="s">
        <v>84</v>
      </c>
      <c r="J247" s="20" t="s">
        <v>81</v>
      </c>
      <c r="K247" s="71"/>
      <c r="L247" s="20"/>
      <c r="M247" s="20"/>
      <c r="N247" s="20"/>
      <c r="O247" s="20"/>
      <c r="P247" s="20"/>
      <c r="Q247" s="20"/>
      <c r="R247" s="20"/>
      <c r="S247" s="20"/>
      <c r="T247" s="26"/>
      <c r="U247" s="17"/>
    </row>
    <row r="248" spans="1:21" x14ac:dyDescent="0.25">
      <c r="A248" s="2" t="str">
        <f>IFERROR(VLOOKUP(B248,Clientes!A:B,2,0),"")</f>
        <v/>
      </c>
      <c r="B248" s="20">
        <f t="shared" si="23"/>
        <v>219</v>
      </c>
      <c r="C248" s="52" t="s">
        <v>776</v>
      </c>
      <c r="D248" s="55" t="s">
        <v>777</v>
      </c>
      <c r="E248" s="2" t="s">
        <v>223</v>
      </c>
      <c r="F248" s="71">
        <v>220715</v>
      </c>
      <c r="G248" s="29" t="s">
        <v>57</v>
      </c>
      <c r="H248" s="20"/>
      <c r="I248" s="20" t="s">
        <v>84</v>
      </c>
      <c r="J248" s="20" t="s">
        <v>81</v>
      </c>
      <c r="K248" s="71"/>
      <c r="L248" s="20"/>
      <c r="M248" s="20"/>
      <c r="N248" s="20"/>
      <c r="O248" s="20"/>
      <c r="P248" s="20"/>
      <c r="Q248" s="20"/>
      <c r="R248" s="20"/>
      <c r="S248" s="20"/>
      <c r="T248" s="26"/>
      <c r="U248" s="17"/>
    </row>
    <row r="249" spans="1:21" x14ac:dyDescent="0.25">
      <c r="A249" s="2" t="str">
        <f>IFERROR(VLOOKUP(B249,Clientes!A:B,2,0),"")</f>
        <v/>
      </c>
      <c r="B249" s="20">
        <f t="shared" si="23"/>
        <v>220</v>
      </c>
      <c r="C249" s="52" t="s">
        <v>392</v>
      </c>
      <c r="D249" s="55" t="s">
        <v>393</v>
      </c>
      <c r="E249" s="2" t="s">
        <v>1233</v>
      </c>
      <c r="F249" s="71">
        <v>220715</v>
      </c>
      <c r="G249" s="29" t="s">
        <v>57</v>
      </c>
      <c r="H249" s="20"/>
      <c r="I249" s="20" t="s">
        <v>84</v>
      </c>
      <c r="J249" s="20" t="s">
        <v>1232</v>
      </c>
      <c r="K249" s="71"/>
      <c r="L249" s="20"/>
      <c r="M249" s="20"/>
      <c r="N249" s="20"/>
      <c r="O249" s="20"/>
      <c r="P249" s="20"/>
      <c r="Q249" s="20"/>
      <c r="R249" s="20"/>
      <c r="S249" s="20"/>
      <c r="T249" s="26"/>
      <c r="U249" s="17"/>
    </row>
    <row r="250" spans="1:21" x14ac:dyDescent="0.25">
      <c r="A250" s="2" t="str">
        <f>IFERROR(VLOOKUP(B250,Clientes!A:B,2,0),"")</f>
        <v/>
      </c>
      <c r="B250" s="20">
        <f t="shared" si="23"/>
        <v>221</v>
      </c>
      <c r="C250" s="52" t="s">
        <v>1163</v>
      </c>
      <c r="D250" s="55" t="s">
        <v>1164</v>
      </c>
      <c r="E250" s="2"/>
      <c r="F250" s="71"/>
      <c r="G250" s="29"/>
      <c r="H250" s="20"/>
      <c r="I250" s="20" t="s">
        <v>84</v>
      </c>
      <c r="J250" s="20" t="s">
        <v>81</v>
      </c>
      <c r="K250" s="71"/>
      <c r="L250" s="20"/>
      <c r="M250" s="20"/>
      <c r="N250" s="20"/>
      <c r="O250" s="20"/>
      <c r="P250" s="20"/>
      <c r="Q250" s="20"/>
      <c r="R250" s="20"/>
      <c r="S250" s="20"/>
      <c r="T250" s="26"/>
      <c r="U250" s="17"/>
    </row>
    <row r="251" spans="1:21" x14ac:dyDescent="0.25">
      <c r="A251" s="2" t="str">
        <f>IFERROR(VLOOKUP(B251,Clientes!A:B,2,0),"")</f>
        <v/>
      </c>
      <c r="B251" s="20">
        <f t="shared" si="23"/>
        <v>222</v>
      </c>
      <c r="C251" s="52" t="s">
        <v>726</v>
      </c>
      <c r="D251" s="55" t="s">
        <v>727</v>
      </c>
      <c r="E251" s="2" t="s">
        <v>223</v>
      </c>
      <c r="F251" s="71">
        <v>220715</v>
      </c>
      <c r="G251" s="29" t="s">
        <v>57</v>
      </c>
      <c r="H251" s="20"/>
      <c r="I251" s="20" t="s">
        <v>84</v>
      </c>
      <c r="J251" s="20" t="s">
        <v>81</v>
      </c>
      <c r="K251" s="71"/>
      <c r="L251" s="20"/>
      <c r="M251" s="20"/>
      <c r="N251" s="20"/>
      <c r="O251" s="20"/>
      <c r="P251" s="20"/>
      <c r="Q251" s="20"/>
      <c r="R251" s="20"/>
      <c r="S251" s="20"/>
      <c r="T251" s="26"/>
      <c r="U251" s="17"/>
    </row>
    <row r="252" spans="1:21" x14ac:dyDescent="0.25">
      <c r="A252" s="2" t="str">
        <f>IFERROR(VLOOKUP(B252,Clientes!A:B,2,0),"")</f>
        <v/>
      </c>
      <c r="B252" s="20">
        <f t="shared" si="23"/>
        <v>223</v>
      </c>
      <c r="C252" s="52" t="s">
        <v>672</v>
      </c>
      <c r="D252" s="55" t="s">
        <v>673</v>
      </c>
      <c r="E252" s="2" t="s">
        <v>223</v>
      </c>
      <c r="F252" s="71">
        <v>220715</v>
      </c>
      <c r="G252" s="29" t="s">
        <v>57</v>
      </c>
      <c r="H252" s="20"/>
      <c r="I252" s="20" t="s">
        <v>84</v>
      </c>
      <c r="J252" s="20" t="s">
        <v>82</v>
      </c>
      <c r="K252" s="71"/>
      <c r="L252" s="20" t="s">
        <v>167</v>
      </c>
      <c r="M252" s="20"/>
      <c r="N252" s="20"/>
      <c r="O252" s="20"/>
      <c r="P252" s="20"/>
      <c r="Q252" s="20"/>
      <c r="R252" s="20"/>
      <c r="S252" s="20"/>
      <c r="T252" s="26"/>
      <c r="U252" s="17"/>
    </row>
    <row r="253" spans="1:21" x14ac:dyDescent="0.25">
      <c r="A253" s="2" t="str">
        <f>IFERROR(VLOOKUP(B253,Clientes!A:B,2,0),"")</f>
        <v/>
      </c>
      <c r="B253" s="20">
        <f t="shared" si="23"/>
        <v>224</v>
      </c>
      <c r="C253" s="52" t="s">
        <v>668</v>
      </c>
      <c r="D253" s="55" t="s">
        <v>669</v>
      </c>
      <c r="E253" s="2" t="s">
        <v>223</v>
      </c>
      <c r="F253" s="71">
        <v>220715</v>
      </c>
      <c r="G253" s="29" t="s">
        <v>57</v>
      </c>
      <c r="H253" s="20"/>
      <c r="I253" s="20" t="s">
        <v>84</v>
      </c>
      <c r="J253" s="20" t="s">
        <v>82</v>
      </c>
      <c r="K253" s="71"/>
      <c r="L253" s="20"/>
      <c r="M253" s="20"/>
      <c r="N253" s="20"/>
      <c r="O253" s="20"/>
      <c r="P253" s="20"/>
      <c r="Q253" s="20"/>
      <c r="R253" s="20"/>
      <c r="S253" s="20"/>
      <c r="T253" s="26"/>
      <c r="U253" s="17"/>
    </row>
    <row r="254" spans="1:21" x14ac:dyDescent="0.25">
      <c r="A254" s="2" t="str">
        <f>IFERROR(VLOOKUP(B254,Clientes!A:B,2,0),"")</f>
        <v/>
      </c>
      <c r="B254" s="20">
        <f t="shared" si="23"/>
        <v>225</v>
      </c>
      <c r="C254" s="52" t="s">
        <v>289</v>
      </c>
      <c r="D254" s="55" t="s">
        <v>290</v>
      </c>
      <c r="E254" s="2" t="s">
        <v>223</v>
      </c>
      <c r="F254" s="71">
        <v>220715</v>
      </c>
      <c r="G254" s="29" t="s">
        <v>57</v>
      </c>
      <c r="H254" s="20"/>
      <c r="I254" s="20" t="s">
        <v>84</v>
      </c>
      <c r="J254" s="20" t="s">
        <v>81</v>
      </c>
      <c r="K254" s="71"/>
      <c r="L254" s="20" t="s">
        <v>134</v>
      </c>
      <c r="M254" s="20"/>
      <c r="N254" s="20"/>
      <c r="O254" s="20"/>
      <c r="P254" s="20"/>
      <c r="Q254" s="20"/>
      <c r="R254" s="20"/>
      <c r="S254" s="20"/>
      <c r="T254" s="26"/>
      <c r="U254" s="17"/>
    </row>
    <row r="255" spans="1:21" x14ac:dyDescent="0.25">
      <c r="A255" s="2" t="str">
        <f>IFERROR(VLOOKUP(B255,Clientes!A:B,2,0),"")</f>
        <v/>
      </c>
      <c r="B255" s="20">
        <f t="shared" si="23"/>
        <v>226</v>
      </c>
      <c r="C255" s="52" t="s">
        <v>366</v>
      </c>
      <c r="D255" s="55" t="s">
        <v>367</v>
      </c>
      <c r="E255" s="2" t="s">
        <v>229</v>
      </c>
      <c r="F255" s="71">
        <v>230715</v>
      </c>
      <c r="G255" s="29" t="s">
        <v>57</v>
      </c>
      <c r="H255" s="20"/>
      <c r="I255" s="20" t="s">
        <v>84</v>
      </c>
      <c r="J255" s="20" t="s">
        <v>1232</v>
      </c>
      <c r="K255" s="71"/>
      <c r="L255" s="20" t="s">
        <v>137</v>
      </c>
      <c r="M255" s="20"/>
      <c r="N255" s="20"/>
      <c r="O255" s="20"/>
      <c r="P255" s="20"/>
      <c r="Q255" s="20"/>
      <c r="R255" s="20"/>
      <c r="S255" s="20"/>
      <c r="T255" s="26"/>
      <c r="U255" s="17"/>
    </row>
    <row r="256" spans="1:21" x14ac:dyDescent="0.25">
      <c r="A256" s="2" t="str">
        <f>IFERROR(VLOOKUP(B256,Clientes!A:B,2,0),"")</f>
        <v/>
      </c>
      <c r="B256" s="20">
        <f t="shared" si="23"/>
        <v>227</v>
      </c>
      <c r="C256" s="52" t="s">
        <v>670</v>
      </c>
      <c r="D256" s="55" t="s">
        <v>671</v>
      </c>
      <c r="E256" s="2" t="s">
        <v>227</v>
      </c>
      <c r="F256" s="71">
        <v>230715</v>
      </c>
      <c r="G256" s="29" t="s">
        <v>57</v>
      </c>
      <c r="H256" s="20"/>
      <c r="I256" s="20" t="s">
        <v>84</v>
      </c>
      <c r="J256" s="20" t="s">
        <v>1232</v>
      </c>
      <c r="K256" s="71"/>
      <c r="L256" s="20" t="s">
        <v>145</v>
      </c>
      <c r="M256" s="20"/>
      <c r="N256" s="20"/>
      <c r="O256" s="20"/>
      <c r="P256" s="20"/>
      <c r="Q256" s="20"/>
      <c r="R256" s="20"/>
      <c r="S256" s="20"/>
      <c r="T256" s="26"/>
      <c r="U256" s="17"/>
    </row>
    <row r="257" spans="1:21" x14ac:dyDescent="0.25">
      <c r="A257" s="2" t="str">
        <f>IFERROR(VLOOKUP(B257,Clientes!A:B,2,0),"")</f>
        <v/>
      </c>
      <c r="B257" s="20">
        <f t="shared" ref="B257:B264" si="24">B256+1</f>
        <v>228</v>
      </c>
      <c r="C257" s="52" t="s">
        <v>684</v>
      </c>
      <c r="D257" s="55" t="s">
        <v>685</v>
      </c>
      <c r="E257" s="2" t="s">
        <v>230</v>
      </c>
      <c r="F257" s="71">
        <v>230715</v>
      </c>
      <c r="G257" s="29" t="s">
        <v>57</v>
      </c>
      <c r="H257" s="20"/>
      <c r="I257" s="20" t="s">
        <v>84</v>
      </c>
      <c r="J257" s="20" t="s">
        <v>82</v>
      </c>
      <c r="K257" s="71"/>
      <c r="L257" s="20" t="s">
        <v>158</v>
      </c>
      <c r="M257" s="20"/>
      <c r="N257" s="20" t="s">
        <v>164</v>
      </c>
      <c r="O257" s="20"/>
      <c r="P257" s="20"/>
      <c r="Q257" s="20"/>
      <c r="R257" s="20"/>
      <c r="S257" s="20"/>
      <c r="T257" s="26"/>
      <c r="U257" s="17"/>
    </row>
    <row r="258" spans="1:21" x14ac:dyDescent="0.25">
      <c r="A258" s="2" t="str">
        <f>IFERROR(VLOOKUP(B258,Clientes!A:B,2,0),"")</f>
        <v/>
      </c>
      <c r="B258" s="20">
        <f t="shared" si="24"/>
        <v>229</v>
      </c>
      <c r="C258" s="52" t="s">
        <v>479</v>
      </c>
      <c r="D258" s="55" t="s">
        <v>480</v>
      </c>
      <c r="E258" s="2" t="s">
        <v>230</v>
      </c>
      <c r="F258" s="71">
        <v>230715</v>
      </c>
      <c r="G258" s="29" t="s">
        <v>57</v>
      </c>
      <c r="H258" s="20"/>
      <c r="I258" s="20" t="s">
        <v>84</v>
      </c>
      <c r="J258" s="20" t="s">
        <v>83</v>
      </c>
      <c r="K258" s="71"/>
      <c r="L258" s="20" t="s">
        <v>158</v>
      </c>
      <c r="M258" s="20"/>
      <c r="N258" s="20"/>
      <c r="O258" s="20"/>
      <c r="P258" s="20"/>
      <c r="Q258" s="20"/>
      <c r="R258" s="20"/>
      <c r="S258" s="20"/>
      <c r="T258" s="26"/>
      <c r="U258" s="17"/>
    </row>
    <row r="259" spans="1:21" x14ac:dyDescent="0.25">
      <c r="A259" s="2" t="str">
        <f>IFERROR(VLOOKUP(B259,Clientes!A:B,2,0),"")</f>
        <v/>
      </c>
      <c r="B259" s="20">
        <f t="shared" si="24"/>
        <v>230</v>
      </c>
      <c r="C259" s="52" t="s">
        <v>680</v>
      </c>
      <c r="D259" s="55" t="s">
        <v>683</v>
      </c>
      <c r="E259" s="2" t="s">
        <v>229</v>
      </c>
      <c r="F259" s="71">
        <v>230715</v>
      </c>
      <c r="G259" s="29" t="s">
        <v>58</v>
      </c>
      <c r="H259" s="20" t="s">
        <v>72</v>
      </c>
      <c r="I259" s="20" t="s">
        <v>84</v>
      </c>
      <c r="J259" s="20" t="s">
        <v>81</v>
      </c>
      <c r="K259" s="71"/>
      <c r="L259" s="20" t="s">
        <v>13</v>
      </c>
      <c r="M259" s="20"/>
      <c r="N259" s="20" t="s">
        <v>137</v>
      </c>
      <c r="O259" s="20"/>
      <c r="P259" s="20" t="s">
        <v>145</v>
      </c>
      <c r="Q259" s="20"/>
      <c r="R259" s="20"/>
      <c r="S259" s="20"/>
      <c r="T259" s="26"/>
      <c r="U259" s="17"/>
    </row>
    <row r="260" spans="1:21" x14ac:dyDescent="0.25">
      <c r="A260" s="2" t="str">
        <f>IFERROR(VLOOKUP(B260,Clientes!A:B,2,0),"")</f>
        <v/>
      </c>
      <c r="B260" s="20">
        <f t="shared" si="24"/>
        <v>231</v>
      </c>
      <c r="C260" s="52" t="s">
        <v>575</v>
      </c>
      <c r="D260" s="55" t="s">
        <v>576</v>
      </c>
      <c r="E260" s="2" t="s">
        <v>229</v>
      </c>
      <c r="F260" s="71">
        <v>230715</v>
      </c>
      <c r="G260" s="29" t="s">
        <v>58</v>
      </c>
      <c r="H260" s="20" t="s">
        <v>73</v>
      </c>
      <c r="I260" s="20" t="s">
        <v>84</v>
      </c>
      <c r="J260" s="20" t="s">
        <v>83</v>
      </c>
      <c r="K260" s="71"/>
      <c r="L260" s="20" t="s">
        <v>137</v>
      </c>
      <c r="M260" s="20"/>
      <c r="N260" s="20"/>
      <c r="O260" s="20"/>
      <c r="P260" s="20"/>
      <c r="Q260" s="20"/>
      <c r="R260" s="20"/>
      <c r="S260" s="20"/>
      <c r="T260" s="26"/>
      <c r="U260" s="17"/>
    </row>
    <row r="261" spans="1:21" x14ac:dyDescent="0.25">
      <c r="A261" s="2" t="str">
        <f>IFERROR(VLOOKUP(B261,Clientes!A:B,2,0),"")</f>
        <v/>
      </c>
      <c r="B261" s="20">
        <f t="shared" si="24"/>
        <v>232</v>
      </c>
      <c r="C261" s="52" t="s">
        <v>450</v>
      </c>
      <c r="D261" s="55" t="s">
        <v>451</v>
      </c>
      <c r="E261" s="2" t="s">
        <v>235</v>
      </c>
      <c r="F261" s="71">
        <v>230715</v>
      </c>
      <c r="G261" s="29" t="s">
        <v>57</v>
      </c>
      <c r="H261" s="20"/>
      <c r="I261" s="20" t="s">
        <v>84</v>
      </c>
      <c r="J261" s="20" t="s">
        <v>81</v>
      </c>
      <c r="K261" s="71"/>
      <c r="L261" s="20" t="s">
        <v>150</v>
      </c>
      <c r="M261" s="20"/>
      <c r="N261" s="20"/>
      <c r="O261" s="20"/>
      <c r="P261" s="20"/>
      <c r="Q261" s="20"/>
      <c r="R261" s="20"/>
      <c r="S261" s="20"/>
      <c r="T261" s="26" t="s">
        <v>767</v>
      </c>
      <c r="U261" s="17"/>
    </row>
    <row r="262" spans="1:21" x14ac:dyDescent="0.25">
      <c r="A262" s="2" t="str">
        <f>IFERROR(VLOOKUP(B262,Clientes!A:B,2,0),"")</f>
        <v/>
      </c>
      <c r="B262" s="20">
        <f t="shared" si="24"/>
        <v>233</v>
      </c>
      <c r="C262" s="52" t="s">
        <v>499</v>
      </c>
      <c r="D262" s="55" t="s">
        <v>500</v>
      </c>
      <c r="E262" s="2" t="s">
        <v>227</v>
      </c>
      <c r="F262" s="71">
        <v>240715</v>
      </c>
      <c r="G262" s="29" t="s">
        <v>57</v>
      </c>
      <c r="H262" s="20"/>
      <c r="I262" s="20" t="s">
        <v>84</v>
      </c>
      <c r="J262" s="20" t="s">
        <v>1232</v>
      </c>
      <c r="K262" s="71"/>
      <c r="L262" s="20" t="s">
        <v>137</v>
      </c>
      <c r="M262" s="20"/>
      <c r="N262" s="20"/>
      <c r="O262" s="20"/>
      <c r="P262" s="20"/>
      <c r="Q262" s="20"/>
      <c r="R262" s="20"/>
      <c r="S262" s="20"/>
      <c r="T262" s="26"/>
      <c r="U262" s="17"/>
    </row>
    <row r="263" spans="1:21" x14ac:dyDescent="0.25">
      <c r="A263" s="2" t="str">
        <f>IFERROR(VLOOKUP(B263,Clientes!A:B,2,0),"")</f>
        <v/>
      </c>
      <c r="B263" s="20">
        <f t="shared" si="24"/>
        <v>234</v>
      </c>
      <c r="C263" s="52" t="s">
        <v>681</v>
      </c>
      <c r="D263" s="55" t="s">
        <v>682</v>
      </c>
      <c r="E263" s="2" t="s">
        <v>216</v>
      </c>
      <c r="F263" s="71">
        <v>240715</v>
      </c>
      <c r="G263" s="29" t="s">
        <v>57</v>
      </c>
      <c r="H263" s="20"/>
      <c r="I263" s="20" t="s">
        <v>84</v>
      </c>
      <c r="J263" s="20" t="s">
        <v>83</v>
      </c>
      <c r="K263" s="71"/>
      <c r="L263" s="20" t="s">
        <v>13</v>
      </c>
      <c r="M263" s="20"/>
      <c r="N263" s="20" t="s">
        <v>30</v>
      </c>
      <c r="O263" s="20"/>
      <c r="P263" s="20"/>
      <c r="Q263" s="20"/>
      <c r="R263" s="20"/>
      <c r="S263" s="20"/>
      <c r="T263" s="26"/>
      <c r="U263" s="17"/>
    </row>
    <row r="264" spans="1:21" x14ac:dyDescent="0.25">
      <c r="A264" s="2" t="str">
        <f>IFERROR(VLOOKUP(B264,Clientes!A:B,2,0),"")</f>
        <v/>
      </c>
      <c r="B264" s="20">
        <f t="shared" si="24"/>
        <v>235</v>
      </c>
      <c r="C264" s="52" t="s">
        <v>681</v>
      </c>
      <c r="D264" s="55" t="s">
        <v>682</v>
      </c>
      <c r="E264" s="2" t="s">
        <v>216</v>
      </c>
      <c r="F264" s="71">
        <v>240715</v>
      </c>
      <c r="G264" s="29" t="s">
        <v>57</v>
      </c>
      <c r="H264" s="20" t="s">
        <v>72</v>
      </c>
      <c r="I264" s="20" t="s">
        <v>84</v>
      </c>
      <c r="J264" s="20" t="s">
        <v>81</v>
      </c>
      <c r="K264" s="71"/>
      <c r="L264" s="20" t="s">
        <v>137</v>
      </c>
      <c r="M264" s="20"/>
      <c r="N264" s="20" t="s">
        <v>43</v>
      </c>
      <c r="O264" s="20"/>
      <c r="P264" s="20"/>
      <c r="Q264" s="20"/>
      <c r="R264" s="20"/>
      <c r="S264" s="20"/>
      <c r="T264" s="26"/>
      <c r="U264" s="17"/>
    </row>
    <row r="265" spans="1:21" x14ac:dyDescent="0.25">
      <c r="A265" s="2" t="str">
        <f>IFERROR(VLOOKUP(B265,Clientes!A:B,2,0),"")</f>
        <v/>
      </c>
      <c r="B265" s="20">
        <f>B264+1</f>
        <v>236</v>
      </c>
      <c r="C265" s="52" t="s">
        <v>690</v>
      </c>
      <c r="D265" s="55" t="s">
        <v>691</v>
      </c>
      <c r="E265" s="2"/>
      <c r="F265" s="71">
        <v>240715</v>
      </c>
      <c r="G265" s="29" t="s">
        <v>56</v>
      </c>
      <c r="H265" s="20" t="s">
        <v>72</v>
      </c>
      <c r="I265" s="20" t="s">
        <v>84</v>
      </c>
      <c r="J265" s="20" t="s">
        <v>83</v>
      </c>
      <c r="K265" s="71"/>
      <c r="L265" s="20"/>
      <c r="M265" s="20"/>
      <c r="N265" s="20"/>
      <c r="O265" s="20"/>
      <c r="P265" s="20"/>
      <c r="Q265" s="20"/>
      <c r="R265" s="20"/>
      <c r="S265" s="20"/>
      <c r="T265" s="26"/>
      <c r="U265" s="17"/>
    </row>
    <row r="266" spans="1:21" x14ac:dyDescent="0.25">
      <c r="A266" s="2"/>
      <c r="B266" s="20" t="s">
        <v>694</v>
      </c>
      <c r="C266" s="52" t="s">
        <v>695</v>
      </c>
      <c r="D266" s="55" t="s">
        <v>696</v>
      </c>
      <c r="E266" s="2" t="s">
        <v>223</v>
      </c>
      <c r="F266" s="71">
        <v>240715</v>
      </c>
      <c r="G266" s="29" t="s">
        <v>58</v>
      </c>
      <c r="H266" s="20" t="s">
        <v>74</v>
      </c>
      <c r="I266" s="20" t="s">
        <v>84</v>
      </c>
      <c r="J266" s="20" t="s">
        <v>81</v>
      </c>
      <c r="K266" s="71"/>
      <c r="L266" s="20" t="s">
        <v>134</v>
      </c>
      <c r="M266" s="20"/>
      <c r="N266" s="20" t="s">
        <v>167</v>
      </c>
      <c r="O266" s="20"/>
      <c r="P266" s="20" t="s">
        <v>37</v>
      </c>
      <c r="Q266" s="20"/>
      <c r="R266" s="20"/>
      <c r="S266" s="20"/>
      <c r="T266" s="26"/>
      <c r="U266" s="17"/>
    </row>
    <row r="267" spans="1:21" x14ac:dyDescent="0.25">
      <c r="A267" s="2" t="str">
        <f>IFERROR(VLOOKUP(B267,Clientes!A:B,2,0),"")</f>
        <v/>
      </c>
      <c r="B267" s="20">
        <f>B265+1</f>
        <v>237</v>
      </c>
      <c r="C267" s="52" t="s">
        <v>688</v>
      </c>
      <c r="D267" s="55" t="s">
        <v>689</v>
      </c>
      <c r="E267" s="2" t="s">
        <v>218</v>
      </c>
      <c r="F267" s="71">
        <v>240715</v>
      </c>
      <c r="G267" s="29" t="s">
        <v>58</v>
      </c>
      <c r="H267" s="20" t="s">
        <v>72</v>
      </c>
      <c r="I267" s="20" t="s">
        <v>84</v>
      </c>
      <c r="J267" s="20" t="s">
        <v>81</v>
      </c>
      <c r="K267" s="71"/>
      <c r="L267" s="20" t="s">
        <v>162</v>
      </c>
      <c r="M267" s="20"/>
      <c r="N267" s="20" t="s">
        <v>137</v>
      </c>
      <c r="O267" s="20"/>
      <c r="P267" s="20" t="s">
        <v>157</v>
      </c>
      <c r="Q267" s="20"/>
      <c r="R267" s="20"/>
      <c r="S267" s="20"/>
      <c r="T267" s="26"/>
      <c r="U267" s="17"/>
    </row>
    <row r="268" spans="1:21" x14ac:dyDescent="0.25">
      <c r="A268" s="2" t="str">
        <f>IFERROR(VLOOKUP(B268,Clientes!A:B,2,0),"")</f>
        <v/>
      </c>
      <c r="B268" s="20">
        <f t="shared" ref="B268:B275" si="25">B267+1</f>
        <v>238</v>
      </c>
      <c r="C268" s="52" t="s">
        <v>686</v>
      </c>
      <c r="D268" s="55" t="s">
        <v>687</v>
      </c>
      <c r="E268" s="2" t="s">
        <v>216</v>
      </c>
      <c r="F268" s="71">
        <v>240715</v>
      </c>
      <c r="G268" s="29" t="s">
        <v>58</v>
      </c>
      <c r="H268" s="20" t="s">
        <v>72</v>
      </c>
      <c r="I268" s="20" t="s">
        <v>84</v>
      </c>
      <c r="J268" s="20" t="s">
        <v>83</v>
      </c>
      <c r="K268" s="71"/>
      <c r="L268" s="20"/>
      <c r="M268" s="20"/>
      <c r="N268" s="20"/>
      <c r="O268" s="20"/>
      <c r="P268" s="20"/>
      <c r="Q268" s="20"/>
      <c r="R268" s="20"/>
      <c r="S268" s="20"/>
      <c r="T268" s="26"/>
      <c r="U268" s="17"/>
    </row>
    <row r="269" spans="1:21" x14ac:dyDescent="0.25">
      <c r="A269" s="2" t="str">
        <f>IFERROR(VLOOKUP(B269,Clientes!A:B,2,0),"")</f>
        <v/>
      </c>
      <c r="B269" s="20">
        <f t="shared" si="25"/>
        <v>239</v>
      </c>
      <c r="C269" s="52" t="s">
        <v>481</v>
      </c>
      <c r="D269" s="55" t="s">
        <v>482</v>
      </c>
      <c r="E269" s="2" t="s">
        <v>230</v>
      </c>
      <c r="F269" s="71">
        <v>240715</v>
      </c>
      <c r="G269" s="29" t="s">
        <v>57</v>
      </c>
      <c r="H269" s="20"/>
      <c r="I269" s="20" t="s">
        <v>84</v>
      </c>
      <c r="J269" s="20" t="s">
        <v>83</v>
      </c>
      <c r="K269" s="71"/>
      <c r="L269" s="20" t="s">
        <v>158</v>
      </c>
      <c r="M269" s="20"/>
      <c r="N269" s="20"/>
      <c r="O269" s="20"/>
      <c r="P269" s="20"/>
      <c r="Q269" s="20"/>
      <c r="R269" s="20"/>
      <c r="S269" s="20"/>
      <c r="T269" s="26"/>
      <c r="U269" s="17"/>
    </row>
    <row r="270" spans="1:21" x14ac:dyDescent="0.25">
      <c r="A270" s="2" t="str">
        <f>IFERROR(VLOOKUP(B270,Clientes!A:B,2,0),"")</f>
        <v/>
      </c>
      <c r="B270" s="20">
        <f t="shared" si="25"/>
        <v>240</v>
      </c>
      <c r="C270" s="52" t="s">
        <v>490</v>
      </c>
      <c r="D270" s="55" t="s">
        <v>491</v>
      </c>
      <c r="E270" s="2" t="s">
        <v>222</v>
      </c>
      <c r="F270" s="71">
        <v>240715</v>
      </c>
      <c r="G270" s="29" t="s">
        <v>57</v>
      </c>
      <c r="H270" s="20" t="s">
        <v>72</v>
      </c>
      <c r="I270" s="20" t="s">
        <v>84</v>
      </c>
      <c r="J270" s="20" t="s">
        <v>83</v>
      </c>
      <c r="K270" s="71"/>
      <c r="L270" s="20" t="s">
        <v>21</v>
      </c>
      <c r="M270" s="20"/>
      <c r="N270" s="20" t="s">
        <v>164</v>
      </c>
      <c r="O270" s="20"/>
      <c r="P270" s="20"/>
      <c r="Q270" s="20"/>
      <c r="R270" s="20"/>
      <c r="S270" s="20"/>
      <c r="T270" s="26"/>
      <c r="U270" s="17"/>
    </row>
    <row r="271" spans="1:21" x14ac:dyDescent="0.25">
      <c r="A271" s="2" t="str">
        <f>IFERROR(VLOOKUP(B271,Clientes!A:B,2,0),"")</f>
        <v/>
      </c>
      <c r="B271" s="20">
        <f t="shared" si="25"/>
        <v>241</v>
      </c>
      <c r="C271" s="52" t="s">
        <v>494</v>
      </c>
      <c r="D271" s="55" t="s">
        <v>699</v>
      </c>
      <c r="E271" s="2" t="s">
        <v>239</v>
      </c>
      <c r="F271" s="71">
        <v>240715</v>
      </c>
      <c r="G271" s="29" t="s">
        <v>58</v>
      </c>
      <c r="H271" s="20" t="s">
        <v>72</v>
      </c>
      <c r="I271" s="20" t="s">
        <v>84</v>
      </c>
      <c r="J271" s="20" t="s">
        <v>81</v>
      </c>
      <c r="K271" s="71"/>
      <c r="L271" s="55" t="s">
        <v>700</v>
      </c>
      <c r="M271" s="20"/>
      <c r="N271" s="20"/>
      <c r="O271" s="20"/>
      <c r="P271" s="20"/>
      <c r="Q271" s="20"/>
      <c r="R271" s="20"/>
      <c r="S271" s="20"/>
      <c r="T271" s="26"/>
      <c r="U271" s="17"/>
    </row>
    <row r="272" spans="1:21" x14ac:dyDescent="0.25">
      <c r="A272" s="2" t="str">
        <f>IFERROR(VLOOKUP(B272,Clientes!A:B,2,0),"")</f>
        <v/>
      </c>
      <c r="B272" s="20">
        <f t="shared" si="25"/>
        <v>242</v>
      </c>
      <c r="C272" s="52" t="s">
        <v>697</v>
      </c>
      <c r="D272" s="55" t="s">
        <v>698</v>
      </c>
      <c r="E272" s="2" t="s">
        <v>235</v>
      </c>
      <c r="F272" s="71">
        <v>240715</v>
      </c>
      <c r="G272" s="29" t="s">
        <v>64</v>
      </c>
      <c r="H272" s="20" t="s">
        <v>77</v>
      </c>
      <c r="I272" s="20" t="s">
        <v>84</v>
      </c>
      <c r="J272" s="20" t="s">
        <v>81</v>
      </c>
      <c r="K272" s="71"/>
      <c r="L272" s="20"/>
      <c r="M272" s="20"/>
      <c r="N272" s="20"/>
      <c r="O272" s="20"/>
      <c r="P272" s="20"/>
      <c r="Q272" s="20"/>
      <c r="R272" s="20"/>
      <c r="S272" s="20"/>
      <c r="T272" s="26"/>
      <c r="U272" s="17"/>
    </row>
    <row r="273" spans="1:21" x14ac:dyDescent="0.25">
      <c r="A273" s="2" t="str">
        <f>IFERROR(VLOOKUP(B273,Clientes!A:B,2,0),"")</f>
        <v/>
      </c>
      <c r="B273" s="20">
        <f t="shared" si="25"/>
        <v>243</v>
      </c>
      <c r="C273" s="52" t="s">
        <v>653</v>
      </c>
      <c r="D273" s="55" t="s">
        <v>654</v>
      </c>
      <c r="E273" s="2" t="s">
        <v>214</v>
      </c>
      <c r="F273" s="71">
        <v>270715</v>
      </c>
      <c r="G273" s="29" t="s">
        <v>58</v>
      </c>
      <c r="H273" s="20" t="s">
        <v>72</v>
      </c>
      <c r="I273" s="20" t="s">
        <v>84</v>
      </c>
      <c r="J273" s="20" t="s">
        <v>83</v>
      </c>
      <c r="K273" s="71"/>
      <c r="L273" s="20" t="s">
        <v>43</v>
      </c>
      <c r="M273" s="20"/>
      <c r="N273" s="20" t="s">
        <v>161</v>
      </c>
      <c r="O273" s="20"/>
      <c r="P273" s="20" t="s">
        <v>30</v>
      </c>
      <c r="Q273" s="20"/>
      <c r="R273" s="20"/>
      <c r="S273" s="20"/>
      <c r="T273" s="26"/>
      <c r="U273" s="17"/>
    </row>
    <row r="274" spans="1:21" x14ac:dyDescent="0.25">
      <c r="A274" s="2" t="str">
        <f>IFERROR(VLOOKUP(B274,Clientes!A:B,2,0),"")</f>
        <v/>
      </c>
      <c r="B274" s="20">
        <f t="shared" si="25"/>
        <v>244</v>
      </c>
      <c r="C274" s="52" t="s">
        <v>692</v>
      </c>
      <c r="D274" s="55" t="s">
        <v>693</v>
      </c>
      <c r="E274" s="2" t="s">
        <v>214</v>
      </c>
      <c r="F274" s="71">
        <v>270715</v>
      </c>
      <c r="G274" s="29" t="s">
        <v>57</v>
      </c>
      <c r="H274" s="20"/>
      <c r="I274" s="20" t="s">
        <v>84</v>
      </c>
      <c r="J274" s="20" t="s">
        <v>83</v>
      </c>
      <c r="K274" s="71"/>
      <c r="L274" s="20" t="s">
        <v>161</v>
      </c>
      <c r="M274" s="20"/>
      <c r="N274" s="20"/>
      <c r="O274" s="20"/>
      <c r="P274" s="20"/>
      <c r="Q274" s="20"/>
      <c r="R274" s="20"/>
      <c r="S274" s="20"/>
      <c r="T274" s="26"/>
      <c r="U274" s="17"/>
    </row>
    <row r="275" spans="1:21" x14ac:dyDescent="0.25">
      <c r="A275" s="2" t="str">
        <f>IFERROR(VLOOKUP(B275,Clientes!A:B,2,0),"")</f>
        <v/>
      </c>
      <c r="B275" s="20">
        <f t="shared" si="25"/>
        <v>245</v>
      </c>
      <c r="C275" s="52" t="s">
        <v>701</v>
      </c>
      <c r="D275" s="55" t="s">
        <v>702</v>
      </c>
      <c r="E275" s="2"/>
      <c r="F275" s="71">
        <v>270715</v>
      </c>
      <c r="G275" s="55" t="s">
        <v>537</v>
      </c>
      <c r="H275" s="20"/>
      <c r="I275" s="20" t="s">
        <v>84</v>
      </c>
      <c r="J275" s="20" t="s">
        <v>81</v>
      </c>
      <c r="K275" s="71"/>
      <c r="L275" s="20"/>
      <c r="M275" s="20"/>
      <c r="N275" s="20"/>
      <c r="O275" s="20"/>
      <c r="P275" s="20"/>
      <c r="Q275" s="20"/>
      <c r="R275" s="20"/>
      <c r="S275" s="20"/>
      <c r="T275" s="26"/>
      <c r="U275" s="17"/>
    </row>
    <row r="276" spans="1:21" x14ac:dyDescent="0.25">
      <c r="A276" s="2" t="str">
        <f>IFERROR(VLOOKUP(B276,Clientes!A:B,2,0),"")</f>
        <v/>
      </c>
      <c r="B276" s="20">
        <f>B275+1</f>
        <v>246</v>
      </c>
      <c r="C276" s="52" t="s">
        <v>719</v>
      </c>
      <c r="D276" s="55" t="s">
        <v>720</v>
      </c>
      <c r="E276" s="2" t="s">
        <v>221</v>
      </c>
      <c r="F276" s="71">
        <v>270715</v>
      </c>
      <c r="G276" s="29" t="s">
        <v>58</v>
      </c>
      <c r="H276" s="20" t="s">
        <v>72</v>
      </c>
      <c r="I276" s="20" t="s">
        <v>84</v>
      </c>
      <c r="J276" s="20" t="s">
        <v>81</v>
      </c>
      <c r="K276" s="71"/>
      <c r="L276" s="20" t="s">
        <v>21</v>
      </c>
      <c r="M276" s="20"/>
      <c r="N276" s="20" t="s">
        <v>142</v>
      </c>
      <c r="O276" s="20"/>
      <c r="P276" s="20"/>
      <c r="Q276" s="20"/>
      <c r="R276" s="20"/>
      <c r="S276" s="20"/>
      <c r="T276" s="26"/>
      <c r="U276" s="17"/>
    </row>
    <row r="277" spans="1:21" x14ac:dyDescent="0.25">
      <c r="A277" s="2"/>
      <c r="B277" s="20" t="s">
        <v>734</v>
      </c>
      <c r="C277" s="52" t="s">
        <v>735</v>
      </c>
      <c r="D277" s="55" t="s">
        <v>736</v>
      </c>
      <c r="E277" s="2" t="s">
        <v>228</v>
      </c>
      <c r="F277" s="71">
        <v>270715</v>
      </c>
      <c r="G277" s="29" t="s">
        <v>58</v>
      </c>
      <c r="H277" s="20" t="s">
        <v>72</v>
      </c>
      <c r="I277" s="20" t="s">
        <v>84</v>
      </c>
      <c r="J277" s="20" t="s">
        <v>81</v>
      </c>
      <c r="K277" s="71"/>
      <c r="L277" s="20" t="s">
        <v>24</v>
      </c>
      <c r="M277" s="20"/>
      <c r="N277" s="20" t="s">
        <v>137</v>
      </c>
      <c r="O277" s="20"/>
      <c r="P277" s="20" t="s">
        <v>206</v>
      </c>
      <c r="Q277" s="20"/>
      <c r="R277" s="20"/>
      <c r="S277" s="20"/>
      <c r="T277" s="26"/>
      <c r="U277" s="17"/>
    </row>
    <row r="278" spans="1:21" x14ac:dyDescent="0.25">
      <c r="A278" s="2" t="str">
        <f>IFERROR(VLOOKUP(B278,Clientes!A:B,2,0),"")</f>
        <v/>
      </c>
      <c r="B278" s="20">
        <f>B276+1</f>
        <v>247</v>
      </c>
      <c r="C278" s="52" t="s">
        <v>688</v>
      </c>
      <c r="D278" s="55" t="s">
        <v>689</v>
      </c>
      <c r="E278" s="2" t="s">
        <v>218</v>
      </c>
      <c r="F278" s="71">
        <v>270715</v>
      </c>
      <c r="G278" s="29" t="s">
        <v>58</v>
      </c>
      <c r="H278" s="55" t="s">
        <v>721</v>
      </c>
      <c r="I278" s="20" t="s">
        <v>84</v>
      </c>
      <c r="J278" s="20" t="s">
        <v>81</v>
      </c>
      <c r="K278" s="71"/>
      <c r="L278" s="20" t="s">
        <v>13</v>
      </c>
      <c r="M278" s="20"/>
      <c r="N278" s="20" t="s">
        <v>148</v>
      </c>
      <c r="O278" s="20"/>
      <c r="P278" s="20"/>
      <c r="Q278" s="20"/>
      <c r="R278" s="20"/>
      <c r="S278" s="20"/>
      <c r="T278" s="26"/>
      <c r="U278" s="17"/>
    </row>
    <row r="279" spans="1:21" x14ac:dyDescent="0.25">
      <c r="A279" s="2" t="str">
        <f>IFERROR(VLOOKUP(B279,Clientes!A:B,2,0),"")</f>
        <v/>
      </c>
      <c r="B279" s="20">
        <f>B278+1</f>
        <v>248</v>
      </c>
      <c r="C279" s="52" t="s">
        <v>705</v>
      </c>
      <c r="D279" s="55" t="s">
        <v>706</v>
      </c>
      <c r="E279" s="2" t="s">
        <v>230</v>
      </c>
      <c r="F279" s="71">
        <v>270715</v>
      </c>
      <c r="G279" s="29" t="s">
        <v>57</v>
      </c>
      <c r="H279" s="20"/>
      <c r="I279" s="20" t="s">
        <v>84</v>
      </c>
      <c r="J279" s="20" t="s">
        <v>81</v>
      </c>
      <c r="K279" s="71"/>
      <c r="L279" s="20" t="s">
        <v>139</v>
      </c>
      <c r="M279" s="20"/>
      <c r="N279" s="20" t="s">
        <v>158</v>
      </c>
      <c r="O279" s="20"/>
      <c r="P279" s="20"/>
      <c r="Q279" s="20"/>
      <c r="R279" s="20"/>
      <c r="S279" s="20"/>
      <c r="T279" s="26"/>
      <c r="U279" s="17"/>
    </row>
    <row r="280" spans="1:21" x14ac:dyDescent="0.25">
      <c r="A280" s="2" t="str">
        <f>IFERROR(VLOOKUP(B280,Clientes!A:B,2,0),"")</f>
        <v/>
      </c>
      <c r="B280" s="20">
        <f>B279+1</f>
        <v>249</v>
      </c>
      <c r="C280" s="52" t="s">
        <v>705</v>
      </c>
      <c r="D280" s="55" t="s">
        <v>706</v>
      </c>
      <c r="E280" s="2" t="s">
        <v>230</v>
      </c>
      <c r="F280" s="71">
        <v>270715</v>
      </c>
      <c r="G280" s="29" t="s">
        <v>58</v>
      </c>
      <c r="H280" s="20" t="s">
        <v>72</v>
      </c>
      <c r="I280" s="20" t="s">
        <v>84</v>
      </c>
      <c r="J280" s="20" t="s">
        <v>81</v>
      </c>
      <c r="K280" s="71"/>
      <c r="L280" s="20" t="s">
        <v>164</v>
      </c>
      <c r="M280" s="20"/>
      <c r="N280" s="20" t="s">
        <v>18</v>
      </c>
      <c r="O280" s="20"/>
      <c r="P280" s="20" t="s">
        <v>145</v>
      </c>
      <c r="Q280" s="20"/>
      <c r="R280" s="55" t="s">
        <v>700</v>
      </c>
      <c r="S280" s="20"/>
      <c r="T280" s="26"/>
      <c r="U280" s="17"/>
    </row>
    <row r="281" spans="1:21" x14ac:dyDescent="0.25">
      <c r="A281" s="2" t="str">
        <f>IFERROR(VLOOKUP(B281,Clientes!A:B,2,0),"")</f>
        <v/>
      </c>
      <c r="B281" s="20">
        <f>B280+1</f>
        <v>250</v>
      </c>
      <c r="C281" s="52" t="s">
        <v>709</v>
      </c>
      <c r="D281" s="55" t="s">
        <v>710</v>
      </c>
      <c r="E281" s="2" t="s">
        <v>222</v>
      </c>
      <c r="F281" s="71">
        <v>270715</v>
      </c>
      <c r="G281" s="29" t="s">
        <v>57</v>
      </c>
      <c r="H281" s="20"/>
      <c r="I281" s="20" t="s">
        <v>84</v>
      </c>
      <c r="J281" s="20" t="s">
        <v>82</v>
      </c>
      <c r="K281" s="71"/>
      <c r="L281" s="20" t="s">
        <v>142</v>
      </c>
      <c r="M281" s="20"/>
      <c r="N281" s="20"/>
      <c r="O281" s="20"/>
      <c r="P281" s="20"/>
      <c r="Q281" s="20"/>
      <c r="R281" s="20"/>
      <c r="S281" s="20"/>
      <c r="T281" s="26"/>
      <c r="U281" s="17"/>
    </row>
    <row r="282" spans="1:21" x14ac:dyDescent="0.25">
      <c r="A282" s="2"/>
      <c r="B282" s="20" t="s">
        <v>711</v>
      </c>
      <c r="C282" s="52" t="s">
        <v>712</v>
      </c>
      <c r="D282" s="55" t="s">
        <v>713</v>
      </c>
      <c r="E282" s="2" t="s">
        <v>222</v>
      </c>
      <c r="F282" s="71">
        <v>270715</v>
      </c>
      <c r="G282" s="29" t="s">
        <v>57</v>
      </c>
      <c r="H282" s="20"/>
      <c r="I282" s="20" t="s">
        <v>84</v>
      </c>
      <c r="J282" s="20" t="s">
        <v>82</v>
      </c>
      <c r="K282" s="71"/>
      <c r="L282" s="20" t="s">
        <v>142</v>
      </c>
      <c r="M282" s="20"/>
      <c r="N282" s="20"/>
      <c r="O282" s="20"/>
      <c r="P282" s="20"/>
      <c r="Q282" s="20"/>
      <c r="R282" s="20"/>
      <c r="S282" s="20"/>
      <c r="T282" s="26"/>
      <c r="U282" s="17"/>
    </row>
    <row r="283" spans="1:21" x14ac:dyDescent="0.25">
      <c r="A283" s="2" t="str">
        <f>IFERROR(VLOOKUP(B283,Clientes!A:B,2,0),"")</f>
        <v/>
      </c>
      <c r="B283" s="20">
        <f>B281+1</f>
        <v>251</v>
      </c>
      <c r="C283" s="52"/>
      <c r="D283" s="55"/>
      <c r="E283" s="2"/>
      <c r="F283" s="71"/>
      <c r="G283" s="29"/>
      <c r="H283" s="20"/>
      <c r="I283" s="20" t="s">
        <v>84</v>
      </c>
      <c r="J283" s="20"/>
      <c r="K283" s="71"/>
      <c r="L283" s="20"/>
      <c r="M283" s="20"/>
      <c r="N283" s="20"/>
      <c r="O283" s="20"/>
      <c r="P283" s="20"/>
      <c r="Q283" s="20"/>
      <c r="R283" s="20"/>
      <c r="S283" s="20"/>
      <c r="T283" s="26"/>
      <c r="U283" s="17"/>
    </row>
    <row r="284" spans="1:21" x14ac:dyDescent="0.25">
      <c r="A284" s="2" t="str">
        <f>IFERROR(VLOOKUP(B284,Clientes!A:B,2,0),"")</f>
        <v/>
      </c>
      <c r="B284" s="20">
        <f t="shared" ref="B284:B292" si="26">B283+1</f>
        <v>252</v>
      </c>
      <c r="C284" s="52"/>
      <c r="D284" s="55"/>
      <c r="E284" s="2"/>
      <c r="F284" s="71"/>
      <c r="G284" s="29"/>
      <c r="H284" s="20"/>
      <c r="I284" s="20" t="s">
        <v>84</v>
      </c>
      <c r="J284" s="20"/>
      <c r="K284" s="71"/>
      <c r="L284" s="20"/>
      <c r="M284" s="20"/>
      <c r="N284" s="20"/>
      <c r="O284" s="20"/>
      <c r="P284" s="20"/>
      <c r="Q284" s="20"/>
      <c r="R284" s="20"/>
      <c r="S284" s="20"/>
      <c r="T284" s="26"/>
      <c r="U284" s="17"/>
    </row>
    <row r="285" spans="1:21" x14ac:dyDescent="0.25">
      <c r="A285" s="2" t="str">
        <f>IFERROR(VLOOKUP(B285,Clientes!A:B,2,0),"")</f>
        <v/>
      </c>
      <c r="B285" s="20">
        <f t="shared" si="26"/>
        <v>253</v>
      </c>
      <c r="C285" s="52" t="s">
        <v>707</v>
      </c>
      <c r="D285" s="55" t="s">
        <v>708</v>
      </c>
      <c r="E285" s="2" t="s">
        <v>221</v>
      </c>
      <c r="F285" s="71">
        <v>270715</v>
      </c>
      <c r="G285" s="29" t="s">
        <v>57</v>
      </c>
      <c r="H285" s="20"/>
      <c r="I285" s="20" t="s">
        <v>84</v>
      </c>
      <c r="J285" s="20" t="s">
        <v>82</v>
      </c>
      <c r="K285" s="71"/>
      <c r="L285" s="20" t="s">
        <v>142</v>
      </c>
      <c r="M285" s="20"/>
      <c r="N285" s="20"/>
      <c r="O285" s="20"/>
      <c r="P285" s="20"/>
      <c r="Q285" s="20"/>
      <c r="R285" s="20"/>
      <c r="S285" s="20"/>
      <c r="T285" s="26"/>
      <c r="U285" s="17"/>
    </row>
    <row r="286" spans="1:21" x14ac:dyDescent="0.25">
      <c r="A286" s="2" t="str">
        <f>IFERROR(VLOOKUP(B286,Clientes!A:B,2,0),"")</f>
        <v/>
      </c>
      <c r="B286" s="20">
        <f t="shared" si="26"/>
        <v>254</v>
      </c>
      <c r="C286" s="52" t="s">
        <v>614</v>
      </c>
      <c r="D286" s="55" t="s">
        <v>615</v>
      </c>
      <c r="E286" s="2" t="s">
        <v>223</v>
      </c>
      <c r="F286" s="71">
        <v>270715</v>
      </c>
      <c r="G286" s="29" t="s">
        <v>57</v>
      </c>
      <c r="H286" s="55" t="s">
        <v>537</v>
      </c>
      <c r="I286" s="20" t="s">
        <v>84</v>
      </c>
      <c r="J286" s="20" t="s">
        <v>82</v>
      </c>
      <c r="K286" s="71"/>
      <c r="L286" s="20" t="s">
        <v>169</v>
      </c>
      <c r="M286" s="20"/>
      <c r="N286" s="20"/>
      <c r="O286" s="20"/>
      <c r="P286" s="20"/>
      <c r="Q286" s="20"/>
      <c r="R286" s="20"/>
      <c r="S286" s="20"/>
      <c r="T286" s="26"/>
      <c r="U286" s="17"/>
    </row>
    <row r="287" spans="1:21" x14ac:dyDescent="0.25">
      <c r="A287" s="2" t="str">
        <f>IFERROR(VLOOKUP(B287,Clientes!A:B,2,0),"")</f>
        <v/>
      </c>
      <c r="B287" s="20">
        <f t="shared" si="26"/>
        <v>255</v>
      </c>
      <c r="C287" s="52" t="s">
        <v>481</v>
      </c>
      <c r="D287" s="55" t="s">
        <v>482</v>
      </c>
      <c r="E287" s="2" t="s">
        <v>230</v>
      </c>
      <c r="F287" s="71">
        <v>270715</v>
      </c>
      <c r="G287" s="29" t="s">
        <v>58</v>
      </c>
      <c r="H287" s="20" t="s">
        <v>72</v>
      </c>
      <c r="I287" s="20" t="s">
        <v>84</v>
      </c>
      <c r="J287" s="20" t="s">
        <v>81</v>
      </c>
      <c r="K287" s="71"/>
      <c r="L287" s="20" t="s">
        <v>138</v>
      </c>
      <c r="M287" s="20"/>
      <c r="N287" s="20" t="s">
        <v>18</v>
      </c>
      <c r="O287" s="20"/>
      <c r="P287" s="20"/>
      <c r="Q287" s="20"/>
      <c r="R287" s="20"/>
      <c r="S287" s="20"/>
      <c r="T287" s="26"/>
      <c r="U287" s="17"/>
    </row>
    <row r="288" spans="1:21" x14ac:dyDescent="0.25">
      <c r="A288" s="2" t="str">
        <f>IFERROR(VLOOKUP(B288,Clientes!A:B,2,0),"")</f>
        <v/>
      </c>
      <c r="B288" s="20">
        <f t="shared" si="26"/>
        <v>256</v>
      </c>
      <c r="C288" s="52" t="s">
        <v>703</v>
      </c>
      <c r="D288" s="55" t="s">
        <v>704</v>
      </c>
      <c r="E288" s="2" t="s">
        <v>223</v>
      </c>
      <c r="F288" s="71">
        <v>270715</v>
      </c>
      <c r="G288" s="29" t="s">
        <v>57</v>
      </c>
      <c r="H288" s="20"/>
      <c r="I288" s="20" t="s">
        <v>84</v>
      </c>
      <c r="J288" s="20" t="s">
        <v>82</v>
      </c>
      <c r="K288" s="71"/>
      <c r="L288" s="20" t="s">
        <v>169</v>
      </c>
      <c r="M288" s="20"/>
      <c r="N288" s="20"/>
      <c r="O288" s="20"/>
      <c r="P288" s="20"/>
      <c r="Q288" s="20"/>
      <c r="R288" s="20"/>
      <c r="S288" s="20"/>
      <c r="T288" s="26"/>
      <c r="U288" s="17"/>
    </row>
    <row r="289" spans="1:21" x14ac:dyDescent="0.25">
      <c r="A289" s="2" t="str">
        <f>IFERROR(VLOOKUP(B289,Clientes!A:B,2,0),"")</f>
        <v/>
      </c>
      <c r="B289" s="20">
        <f t="shared" si="26"/>
        <v>257</v>
      </c>
      <c r="C289" s="52" t="s">
        <v>266</v>
      </c>
      <c r="D289" s="55" t="s">
        <v>716</v>
      </c>
      <c r="E289" s="2" t="s">
        <v>219</v>
      </c>
      <c r="F289" s="71">
        <v>280715</v>
      </c>
      <c r="G289" s="29" t="s">
        <v>57</v>
      </c>
      <c r="H289" s="20"/>
      <c r="I289" s="20" t="s">
        <v>84</v>
      </c>
      <c r="J289" s="20" t="s">
        <v>83</v>
      </c>
      <c r="K289" s="71"/>
      <c r="L289" s="20" t="s">
        <v>142</v>
      </c>
      <c r="M289" s="20"/>
      <c r="N289" s="20"/>
      <c r="O289" s="20"/>
      <c r="P289" s="20"/>
      <c r="Q289" s="20"/>
      <c r="R289" s="20"/>
      <c r="S289" s="20"/>
      <c r="T289" s="26"/>
      <c r="U289" s="17"/>
    </row>
    <row r="290" spans="1:21" x14ac:dyDescent="0.25">
      <c r="A290" s="2" t="str">
        <f>IFERROR(VLOOKUP(B290,Clientes!A:B,2,0),"")</f>
        <v/>
      </c>
      <c r="B290" s="20">
        <f t="shared" si="26"/>
        <v>258</v>
      </c>
      <c r="C290" s="52" t="s">
        <v>714</v>
      </c>
      <c r="D290" s="55" t="s">
        <v>715</v>
      </c>
      <c r="E290" s="2" t="s">
        <v>231</v>
      </c>
      <c r="F290" s="71">
        <v>280715</v>
      </c>
      <c r="G290" s="29" t="s">
        <v>58</v>
      </c>
      <c r="H290" s="20" t="s">
        <v>72</v>
      </c>
      <c r="I290" s="20" t="s">
        <v>84</v>
      </c>
      <c r="J290" s="20" t="s">
        <v>81</v>
      </c>
      <c r="K290" s="71"/>
      <c r="L290" s="20" t="s">
        <v>22</v>
      </c>
      <c r="M290" s="20"/>
      <c r="N290" s="20"/>
      <c r="O290" s="20"/>
      <c r="P290" s="20"/>
      <c r="Q290" s="20"/>
      <c r="R290" s="20"/>
      <c r="S290" s="20"/>
      <c r="T290" s="26"/>
      <c r="U290" s="17"/>
    </row>
    <row r="291" spans="1:21" x14ac:dyDescent="0.25">
      <c r="A291" s="2" t="str">
        <f>IFERROR(VLOOKUP(B291,Clientes!A:B,2,0),"")</f>
        <v/>
      </c>
      <c r="B291" s="20">
        <f t="shared" si="26"/>
        <v>259</v>
      </c>
      <c r="C291" s="52"/>
      <c r="D291" s="55"/>
      <c r="E291" s="2"/>
      <c r="F291" s="71"/>
      <c r="G291" s="29"/>
      <c r="H291" s="20"/>
      <c r="I291" s="20" t="s">
        <v>84</v>
      </c>
      <c r="J291" s="20"/>
      <c r="K291" s="71"/>
      <c r="L291" s="20"/>
      <c r="M291" s="20"/>
      <c r="N291" s="20"/>
      <c r="O291" s="20"/>
      <c r="P291" s="20"/>
      <c r="Q291" s="20"/>
      <c r="R291" s="20"/>
      <c r="S291" s="20"/>
      <c r="T291" s="26"/>
      <c r="U291" s="17"/>
    </row>
    <row r="292" spans="1:21" x14ac:dyDescent="0.25">
      <c r="A292" s="2" t="str">
        <f>IFERROR(VLOOKUP(B292,Clientes!A:B,2,0),"")</f>
        <v/>
      </c>
      <c r="B292" s="20">
        <f t="shared" si="26"/>
        <v>260</v>
      </c>
      <c r="C292" s="52" t="s">
        <v>717</v>
      </c>
      <c r="D292" s="55" t="s">
        <v>718</v>
      </c>
      <c r="E292" s="2" t="s">
        <v>231</v>
      </c>
      <c r="F292" s="71">
        <v>280715</v>
      </c>
      <c r="G292" s="29" t="s">
        <v>57</v>
      </c>
      <c r="H292" s="20"/>
      <c r="I292" s="20" t="s">
        <v>84</v>
      </c>
      <c r="J292" s="20" t="s">
        <v>1232</v>
      </c>
      <c r="K292" s="71"/>
      <c r="L292" s="20" t="s">
        <v>22</v>
      </c>
      <c r="M292" s="20"/>
      <c r="N292" s="20"/>
      <c r="O292" s="20"/>
      <c r="P292" s="20"/>
      <c r="Q292" s="20"/>
      <c r="R292" s="20"/>
      <c r="S292" s="20"/>
      <c r="T292" s="26"/>
      <c r="U292" s="17"/>
    </row>
    <row r="293" spans="1:21" x14ac:dyDescent="0.25">
      <c r="A293" s="2" t="str">
        <f>IFERROR(VLOOKUP(B293,Clientes!A:B,2,0),"")</f>
        <v/>
      </c>
      <c r="B293" s="20">
        <f>B292+1</f>
        <v>261</v>
      </c>
      <c r="C293" s="52" t="s">
        <v>733</v>
      </c>
      <c r="D293" s="55" t="s">
        <v>272</v>
      </c>
      <c r="E293" s="2" t="s">
        <v>228</v>
      </c>
      <c r="F293" s="71">
        <v>280715</v>
      </c>
      <c r="G293" s="29" t="s">
        <v>57</v>
      </c>
      <c r="H293" s="20"/>
      <c r="I293" s="20" t="s">
        <v>84</v>
      </c>
      <c r="J293" s="20" t="s">
        <v>83</v>
      </c>
      <c r="K293" s="71"/>
      <c r="L293" s="20" t="s">
        <v>137</v>
      </c>
      <c r="M293" s="20"/>
      <c r="N293" s="20"/>
      <c r="O293" s="20"/>
      <c r="P293" s="20"/>
      <c r="Q293" s="20"/>
      <c r="R293" s="20"/>
      <c r="S293" s="20"/>
      <c r="T293" s="26"/>
      <c r="U293" s="17"/>
    </row>
    <row r="294" spans="1:21" x14ac:dyDescent="0.25">
      <c r="A294" s="2" t="str">
        <f>IFERROR(VLOOKUP(B294,Clientes!A:B,2,0),"")</f>
        <v/>
      </c>
      <c r="B294" s="20">
        <f>B293+1</f>
        <v>262</v>
      </c>
      <c r="C294" s="52"/>
      <c r="D294" s="55"/>
      <c r="E294" s="2"/>
      <c r="F294" s="71"/>
      <c r="G294" s="29"/>
      <c r="H294" s="20"/>
      <c r="I294" s="20" t="s">
        <v>84</v>
      </c>
      <c r="J294" s="20"/>
      <c r="K294" s="71"/>
      <c r="L294" s="20"/>
      <c r="M294" s="20"/>
      <c r="N294" s="20"/>
      <c r="O294" s="20"/>
      <c r="P294" s="20"/>
      <c r="Q294" s="20"/>
      <c r="R294" s="20"/>
      <c r="S294" s="20"/>
      <c r="T294" s="26"/>
      <c r="U294" s="17"/>
    </row>
    <row r="295" spans="1:21" x14ac:dyDescent="0.25">
      <c r="A295" s="2" t="str">
        <f>IFERROR(VLOOKUP(B295,Clientes!A:B,2,0),"")</f>
        <v/>
      </c>
      <c r="B295" s="20">
        <f>B294+1</f>
        <v>263</v>
      </c>
      <c r="C295" s="52" t="s">
        <v>722</v>
      </c>
      <c r="D295" s="55" t="s">
        <v>723</v>
      </c>
      <c r="E295" s="2" t="s">
        <v>225</v>
      </c>
      <c r="F295" s="71">
        <v>280715</v>
      </c>
      <c r="G295" s="29" t="s">
        <v>57</v>
      </c>
      <c r="H295" s="20"/>
      <c r="I295" s="20" t="s">
        <v>84</v>
      </c>
      <c r="J295" s="20" t="s">
        <v>81</v>
      </c>
      <c r="K295" s="71"/>
      <c r="L295" s="20" t="s">
        <v>93</v>
      </c>
      <c r="M295" s="20"/>
      <c r="N295" s="20" t="s">
        <v>40</v>
      </c>
      <c r="O295" s="20"/>
      <c r="P295" s="20"/>
      <c r="Q295" s="20"/>
      <c r="R295" s="20"/>
      <c r="S295" s="20"/>
      <c r="T295" s="26"/>
      <c r="U295" s="17"/>
    </row>
    <row r="296" spans="1:21" x14ac:dyDescent="0.25">
      <c r="A296" s="2" t="str">
        <f>IFERROR(VLOOKUP(B296,Clientes!A:B,2,0),"")</f>
        <v/>
      </c>
      <c r="B296" s="20">
        <f>B295+1</f>
        <v>264</v>
      </c>
      <c r="C296" s="52" t="s">
        <v>724</v>
      </c>
      <c r="D296" s="55" t="s">
        <v>725</v>
      </c>
      <c r="E296" s="2" t="s">
        <v>226</v>
      </c>
      <c r="F296" s="71">
        <v>280715</v>
      </c>
      <c r="G296" s="29" t="s">
        <v>57</v>
      </c>
      <c r="H296" s="20"/>
      <c r="I296" s="20" t="s">
        <v>84</v>
      </c>
      <c r="J296" s="20" t="s">
        <v>81</v>
      </c>
      <c r="K296" s="71"/>
      <c r="L296" s="20" t="s">
        <v>23</v>
      </c>
      <c r="M296" s="20"/>
      <c r="N296" s="20" t="s">
        <v>40</v>
      </c>
      <c r="O296" s="20"/>
      <c r="P296" s="20"/>
      <c r="Q296" s="20"/>
      <c r="R296" s="20"/>
      <c r="S296" s="20"/>
      <c r="T296" s="26"/>
      <c r="U296" s="17"/>
    </row>
    <row r="297" spans="1:21" x14ac:dyDescent="0.25">
      <c r="A297" s="2"/>
      <c r="B297" s="20" t="s">
        <v>743</v>
      </c>
      <c r="C297" s="52" t="s">
        <v>744</v>
      </c>
      <c r="D297" s="55" t="s">
        <v>745</v>
      </c>
      <c r="E297" s="2" t="s">
        <v>231</v>
      </c>
      <c r="F297" s="71">
        <v>280715</v>
      </c>
      <c r="G297" s="29" t="s">
        <v>57</v>
      </c>
      <c r="H297" s="76"/>
      <c r="I297" s="20" t="s">
        <v>84</v>
      </c>
      <c r="J297" s="20" t="s">
        <v>82</v>
      </c>
      <c r="K297" s="71"/>
      <c r="L297" s="55" t="s">
        <v>746</v>
      </c>
      <c r="M297" s="20"/>
      <c r="N297" s="20"/>
      <c r="O297" s="20"/>
      <c r="P297" s="20"/>
      <c r="Q297" s="20"/>
      <c r="R297" s="20"/>
      <c r="S297" s="20"/>
      <c r="T297" s="26"/>
      <c r="U297" s="17"/>
    </row>
    <row r="298" spans="1:21" x14ac:dyDescent="0.25">
      <c r="A298" s="2" t="str">
        <f>IFERROR(VLOOKUP(B298,Clientes!A:B,2,0),"")</f>
        <v/>
      </c>
      <c r="B298" s="20">
        <f>B296+1</f>
        <v>265</v>
      </c>
      <c r="C298" s="52" t="s">
        <v>329</v>
      </c>
      <c r="D298" s="55" t="s">
        <v>730</v>
      </c>
      <c r="E298" s="2" t="s">
        <v>218</v>
      </c>
      <c r="F298" s="71">
        <v>280715</v>
      </c>
      <c r="G298" s="29" t="s">
        <v>58</v>
      </c>
      <c r="H298" s="55" t="s">
        <v>641</v>
      </c>
      <c r="I298" s="20" t="s">
        <v>84</v>
      </c>
      <c r="J298" s="20" t="s">
        <v>82</v>
      </c>
      <c r="K298" s="71"/>
      <c r="L298" s="20" t="s">
        <v>21</v>
      </c>
      <c r="M298" s="20"/>
      <c r="N298" s="20"/>
      <c r="O298" s="20"/>
      <c r="P298" s="20"/>
      <c r="Q298" s="20"/>
      <c r="R298" s="20"/>
      <c r="S298" s="20"/>
      <c r="T298" s="26"/>
      <c r="U298" s="17"/>
    </row>
    <row r="299" spans="1:21" x14ac:dyDescent="0.25">
      <c r="A299" s="2" t="str">
        <f>IFERROR(VLOOKUP(B299,Clientes!A:B,2,0),"")</f>
        <v/>
      </c>
      <c r="B299" s="20">
        <f t="shared" ref="B299:B315" si="27">B298+1</f>
        <v>266</v>
      </c>
      <c r="C299" s="52" t="s">
        <v>705</v>
      </c>
      <c r="D299" s="55" t="s">
        <v>706</v>
      </c>
      <c r="E299" s="2" t="s">
        <v>230</v>
      </c>
      <c r="F299" s="71">
        <v>280715</v>
      </c>
      <c r="G299" s="29" t="s">
        <v>58</v>
      </c>
      <c r="H299" s="55" t="s">
        <v>602</v>
      </c>
      <c r="I299" s="20" t="s">
        <v>84</v>
      </c>
      <c r="J299" s="20" t="s">
        <v>81</v>
      </c>
      <c r="K299" s="71"/>
      <c r="L299" s="20" t="s">
        <v>22</v>
      </c>
      <c r="M299" s="20"/>
      <c r="N299" s="20"/>
      <c r="O299" s="20"/>
      <c r="P299" s="20"/>
      <c r="Q299" s="20"/>
      <c r="R299" s="20"/>
      <c r="S299" s="20"/>
      <c r="T299" s="26"/>
      <c r="U299" s="17"/>
    </row>
    <row r="300" spans="1:21" x14ac:dyDescent="0.25">
      <c r="A300" s="2" t="str">
        <f>IFERROR(VLOOKUP(B300,Clientes!A:B,2,0),"")</f>
        <v/>
      </c>
      <c r="B300" s="20">
        <f t="shared" si="27"/>
        <v>267</v>
      </c>
      <c r="C300" s="52" t="s">
        <v>728</v>
      </c>
      <c r="D300" s="55" t="s">
        <v>729</v>
      </c>
      <c r="E300" s="2" t="s">
        <v>228</v>
      </c>
      <c r="F300" s="71">
        <v>280715</v>
      </c>
      <c r="G300" s="29" t="s">
        <v>58</v>
      </c>
      <c r="H300" s="20"/>
      <c r="I300" s="20" t="s">
        <v>84</v>
      </c>
      <c r="J300" s="20" t="s">
        <v>81</v>
      </c>
      <c r="K300" s="71"/>
      <c r="L300" s="20" t="s">
        <v>40</v>
      </c>
      <c r="M300" s="20"/>
      <c r="N300" s="20"/>
      <c r="O300" s="20"/>
      <c r="P300" s="20"/>
      <c r="Q300" s="20"/>
      <c r="R300" s="20"/>
      <c r="S300" s="20"/>
      <c r="T300" s="26"/>
      <c r="U300" s="17"/>
    </row>
    <row r="301" spans="1:21" x14ac:dyDescent="0.25">
      <c r="A301" s="2"/>
      <c r="B301" s="20"/>
      <c r="C301" s="52"/>
      <c r="D301" s="55"/>
      <c r="E301" s="2"/>
      <c r="F301" s="71"/>
      <c r="G301" s="29"/>
      <c r="H301" s="20"/>
      <c r="I301" s="20"/>
      <c r="J301" s="20"/>
      <c r="K301" s="71"/>
      <c r="L301" s="20"/>
      <c r="M301" s="20"/>
      <c r="N301" s="20"/>
      <c r="O301" s="20"/>
      <c r="P301" s="20"/>
      <c r="Q301" s="20"/>
      <c r="R301" s="20"/>
      <c r="S301" s="20"/>
      <c r="T301" s="26"/>
      <c r="U301" s="17"/>
    </row>
    <row r="302" spans="1:21" x14ac:dyDescent="0.25">
      <c r="A302" s="2" t="str">
        <f>IFERROR(VLOOKUP(B302,Clientes!A:B,2,0),"")</f>
        <v/>
      </c>
      <c r="B302" s="20">
        <f>B300+1</f>
        <v>268</v>
      </c>
      <c r="C302" s="52" t="s">
        <v>460</v>
      </c>
      <c r="D302" s="55" t="s">
        <v>461</v>
      </c>
      <c r="E302" s="2" t="s">
        <v>224</v>
      </c>
      <c r="F302" s="71">
        <v>280715</v>
      </c>
      <c r="G302" s="29" t="s">
        <v>58</v>
      </c>
      <c r="H302" s="20" t="s">
        <v>74</v>
      </c>
      <c r="I302" s="20" t="s">
        <v>84</v>
      </c>
      <c r="J302" s="20" t="s">
        <v>81</v>
      </c>
      <c r="K302" s="71"/>
      <c r="L302" s="20" t="s">
        <v>134</v>
      </c>
      <c r="M302" s="20"/>
      <c r="N302" s="20"/>
      <c r="O302" s="20"/>
      <c r="P302" s="20"/>
      <c r="Q302" s="20"/>
      <c r="R302" s="20"/>
      <c r="S302" s="20"/>
      <c r="T302" s="26"/>
      <c r="U302" s="17"/>
    </row>
    <row r="303" spans="1:21" x14ac:dyDescent="0.25">
      <c r="A303" s="2" t="str">
        <f>IFERROR(VLOOKUP(B303,Clientes!A:B,2,0),"")</f>
        <v/>
      </c>
      <c r="B303" s="20">
        <f t="shared" si="27"/>
        <v>269</v>
      </c>
      <c r="C303" s="52" t="s">
        <v>448</v>
      </c>
      <c r="D303" s="55" t="s">
        <v>449</v>
      </c>
      <c r="E303" s="2" t="s">
        <v>223</v>
      </c>
      <c r="F303" s="71">
        <v>280715</v>
      </c>
      <c r="G303" s="29" t="s">
        <v>58</v>
      </c>
      <c r="H303" s="20" t="s">
        <v>74</v>
      </c>
      <c r="I303" s="20" t="s">
        <v>84</v>
      </c>
      <c r="J303" s="20" t="s">
        <v>81</v>
      </c>
      <c r="K303" s="71"/>
      <c r="L303" s="20" t="s">
        <v>169</v>
      </c>
      <c r="M303" s="20"/>
      <c r="N303" s="20"/>
      <c r="O303" s="20"/>
      <c r="P303" s="20"/>
      <c r="Q303" s="20"/>
      <c r="R303" s="20"/>
      <c r="S303" s="20"/>
      <c r="T303" s="26"/>
      <c r="U303" s="17"/>
    </row>
    <row r="304" spans="1:21" x14ac:dyDescent="0.25">
      <c r="A304" s="2" t="str">
        <f>IFERROR(VLOOKUP(B304,Clientes!A:B,2,0),"")</f>
        <v/>
      </c>
      <c r="B304" s="20">
        <f t="shared" si="27"/>
        <v>270</v>
      </c>
      <c r="C304" s="52" t="s">
        <v>726</v>
      </c>
      <c r="D304" s="55" t="s">
        <v>727</v>
      </c>
      <c r="E304" s="2" t="s">
        <v>223</v>
      </c>
      <c r="F304" s="71">
        <v>280715</v>
      </c>
      <c r="G304" s="29" t="s">
        <v>57</v>
      </c>
      <c r="H304" s="20"/>
      <c r="I304" s="20" t="s">
        <v>84</v>
      </c>
      <c r="J304" s="20" t="s">
        <v>83</v>
      </c>
      <c r="K304" s="71"/>
      <c r="L304" s="20" t="s">
        <v>148</v>
      </c>
      <c r="M304" s="20"/>
      <c r="N304" s="20"/>
      <c r="O304" s="20"/>
      <c r="P304" s="20"/>
      <c r="Q304" s="20"/>
      <c r="R304" s="20"/>
      <c r="S304" s="20"/>
      <c r="T304" s="26"/>
      <c r="U304" s="17"/>
    </row>
    <row r="305" spans="1:21" x14ac:dyDescent="0.25">
      <c r="A305" s="2" t="str">
        <f>IFERROR(VLOOKUP(B305,Clientes!A:B,2,0),"")</f>
        <v/>
      </c>
      <c r="B305" s="20">
        <f t="shared" si="27"/>
        <v>271</v>
      </c>
      <c r="C305" s="52" t="s">
        <v>276</v>
      </c>
      <c r="D305" s="55" t="s">
        <v>277</v>
      </c>
      <c r="E305" s="2" t="s">
        <v>223</v>
      </c>
      <c r="F305" s="71">
        <v>280715</v>
      </c>
      <c r="G305" s="29" t="s">
        <v>58</v>
      </c>
      <c r="H305" s="20" t="s">
        <v>72</v>
      </c>
      <c r="I305" s="20" t="s">
        <v>84</v>
      </c>
      <c r="J305" s="20" t="s">
        <v>81</v>
      </c>
      <c r="K305" s="71"/>
      <c r="L305" s="20" t="s">
        <v>37</v>
      </c>
      <c r="M305" s="20"/>
      <c r="N305" s="20" t="s">
        <v>169</v>
      </c>
      <c r="O305" s="20"/>
      <c r="P305" s="20" t="s">
        <v>148</v>
      </c>
      <c r="Q305" s="20"/>
      <c r="R305" s="20"/>
      <c r="S305" s="20"/>
      <c r="T305" s="26"/>
      <c r="U305" s="17"/>
    </row>
    <row r="306" spans="1:21" x14ac:dyDescent="0.25">
      <c r="A306" s="2" t="str">
        <f>IFERROR(VLOOKUP(B306,Clientes!A:B,2,0),"")</f>
        <v/>
      </c>
      <c r="B306" s="20">
        <f t="shared" si="27"/>
        <v>272</v>
      </c>
      <c r="C306" s="52" t="s">
        <v>603</v>
      </c>
      <c r="D306" s="55" t="s">
        <v>604</v>
      </c>
      <c r="E306" s="2" t="s">
        <v>234</v>
      </c>
      <c r="F306" s="71">
        <v>280715</v>
      </c>
      <c r="G306" s="29" t="s">
        <v>57</v>
      </c>
      <c r="H306" s="20"/>
      <c r="I306" s="20" t="s">
        <v>84</v>
      </c>
      <c r="J306" s="20" t="s">
        <v>1232</v>
      </c>
      <c r="K306" s="71"/>
      <c r="L306" s="20" t="s">
        <v>168</v>
      </c>
      <c r="M306" s="20"/>
      <c r="N306" s="20"/>
      <c r="O306" s="20"/>
      <c r="P306" s="20"/>
      <c r="Q306" s="20"/>
      <c r="R306" s="20"/>
      <c r="S306" s="20"/>
      <c r="T306" s="26"/>
      <c r="U306" s="17"/>
    </row>
    <row r="307" spans="1:21" x14ac:dyDescent="0.25">
      <c r="A307" s="2" t="str">
        <f>IFERROR(VLOOKUP(B307,Clientes!A:B,2,0),"")</f>
        <v/>
      </c>
      <c r="B307" s="20">
        <f t="shared" si="27"/>
        <v>273</v>
      </c>
      <c r="C307" s="52" t="s">
        <v>737</v>
      </c>
      <c r="D307" s="55" t="s">
        <v>738</v>
      </c>
      <c r="E307" s="2" t="s">
        <v>228</v>
      </c>
      <c r="F307" s="71">
        <v>290715</v>
      </c>
      <c r="G307" s="29" t="s">
        <v>57</v>
      </c>
      <c r="H307" s="20"/>
      <c r="I307" s="20" t="s">
        <v>84</v>
      </c>
      <c r="J307" s="20" t="s">
        <v>81</v>
      </c>
      <c r="K307" s="71"/>
      <c r="L307" s="20" t="s">
        <v>40</v>
      </c>
      <c r="M307" s="20"/>
      <c r="N307" s="20"/>
      <c r="O307" s="20"/>
      <c r="P307" s="20"/>
      <c r="Q307" s="20"/>
      <c r="R307" s="20"/>
      <c r="S307" s="20"/>
      <c r="T307" s="26"/>
      <c r="U307" s="17"/>
    </row>
    <row r="308" spans="1:21" x14ac:dyDescent="0.25">
      <c r="A308" s="2" t="str">
        <f>IFERROR(VLOOKUP(B308,Clientes!A:B,2,0),"")</f>
        <v/>
      </c>
      <c r="B308" s="20">
        <f t="shared" si="27"/>
        <v>274</v>
      </c>
      <c r="C308" s="52" t="s">
        <v>731</v>
      </c>
      <c r="D308" s="55" t="s">
        <v>732</v>
      </c>
      <c r="E308" s="2" t="s">
        <v>229</v>
      </c>
      <c r="F308" s="71">
        <v>290715</v>
      </c>
      <c r="G308" s="29" t="s">
        <v>58</v>
      </c>
      <c r="H308" s="20" t="s">
        <v>72</v>
      </c>
      <c r="I308" s="20" t="s">
        <v>84</v>
      </c>
      <c r="J308" s="20" t="s">
        <v>81</v>
      </c>
      <c r="K308" s="71"/>
      <c r="L308" s="20" t="s">
        <v>40</v>
      </c>
      <c r="M308" s="20"/>
      <c r="N308" s="20"/>
      <c r="O308" s="20"/>
      <c r="P308" s="20"/>
      <c r="Q308" s="20"/>
      <c r="R308" s="20"/>
      <c r="S308" s="20"/>
      <c r="T308" s="26"/>
      <c r="U308" s="17"/>
    </row>
    <row r="309" spans="1:21" x14ac:dyDescent="0.25">
      <c r="A309" s="2" t="str">
        <f>IFERROR(VLOOKUP(B309,Clientes!A:B,2,0),"")</f>
        <v/>
      </c>
      <c r="B309" s="20">
        <f t="shared" si="27"/>
        <v>275</v>
      </c>
      <c r="C309" s="52" t="s">
        <v>739</v>
      </c>
      <c r="D309" s="55" t="s">
        <v>740</v>
      </c>
      <c r="E309" s="2" t="s">
        <v>227</v>
      </c>
      <c r="F309" s="71">
        <v>290715</v>
      </c>
      <c r="G309" s="29" t="s">
        <v>57</v>
      </c>
      <c r="H309" s="20"/>
      <c r="I309" s="20" t="s">
        <v>84</v>
      </c>
      <c r="J309" s="20" t="s">
        <v>81</v>
      </c>
      <c r="K309" s="71"/>
      <c r="L309" s="20" t="s">
        <v>40</v>
      </c>
      <c r="M309" s="20"/>
      <c r="N309" s="20"/>
      <c r="O309" s="20"/>
      <c r="P309" s="20"/>
      <c r="Q309" s="20"/>
      <c r="R309" s="20"/>
      <c r="S309" s="20"/>
      <c r="T309" s="26"/>
      <c r="U309" s="17"/>
    </row>
    <row r="310" spans="1:21" x14ac:dyDescent="0.25">
      <c r="A310" s="2" t="str">
        <f>IFERROR(VLOOKUP(B310,Clientes!A:B,2,0),"")</f>
        <v/>
      </c>
      <c r="B310" s="20">
        <f t="shared" si="27"/>
        <v>276</v>
      </c>
      <c r="C310" s="52" t="s">
        <v>741</v>
      </c>
      <c r="D310" s="55" t="s">
        <v>742</v>
      </c>
      <c r="E310" s="2" t="s">
        <v>228</v>
      </c>
      <c r="F310" s="71">
        <v>290715</v>
      </c>
      <c r="G310" s="29" t="s">
        <v>58</v>
      </c>
      <c r="H310" s="20" t="s">
        <v>72</v>
      </c>
      <c r="I310" s="20" t="s">
        <v>84</v>
      </c>
      <c r="J310" s="20" t="s">
        <v>81</v>
      </c>
      <c r="K310" s="71"/>
      <c r="L310" s="20" t="s">
        <v>24</v>
      </c>
      <c r="M310" s="20"/>
      <c r="N310" s="20"/>
      <c r="O310" s="20"/>
      <c r="P310" s="20"/>
      <c r="Q310" s="20"/>
      <c r="R310" s="20"/>
      <c r="S310" s="20"/>
      <c r="T310" s="26"/>
      <c r="U310" s="17"/>
    </row>
    <row r="311" spans="1:21" x14ac:dyDescent="0.25">
      <c r="A311" s="2" t="str">
        <f>IFERROR(VLOOKUP(B311,Clientes!A:B,2,0),"")</f>
        <v/>
      </c>
      <c r="B311" s="20">
        <f t="shared" si="27"/>
        <v>277</v>
      </c>
      <c r="C311" s="52" t="s">
        <v>747</v>
      </c>
      <c r="D311" s="55" t="s">
        <v>771</v>
      </c>
      <c r="E311" s="2" t="s">
        <v>238</v>
      </c>
      <c r="F311" s="71">
        <v>290715</v>
      </c>
      <c r="G311" s="29" t="s">
        <v>57</v>
      </c>
      <c r="H311" s="20"/>
      <c r="I311" s="20" t="s">
        <v>84</v>
      </c>
      <c r="J311" s="20" t="s">
        <v>82</v>
      </c>
      <c r="K311" s="71"/>
      <c r="L311" s="55" t="s">
        <v>746</v>
      </c>
      <c r="M311" s="20"/>
      <c r="N311" s="20"/>
      <c r="O311" s="20"/>
      <c r="P311" s="20"/>
      <c r="Q311" s="20"/>
      <c r="R311" s="20"/>
      <c r="S311" s="20"/>
      <c r="T311" s="26"/>
      <c r="U311" s="17"/>
    </row>
    <row r="312" spans="1:21" x14ac:dyDescent="0.25">
      <c r="A312" s="2" t="str">
        <f>IFERROR(VLOOKUP(B312,Clientes!A:B,2,0),"")</f>
        <v/>
      </c>
      <c r="B312" s="20">
        <f t="shared" si="27"/>
        <v>278</v>
      </c>
      <c r="C312" s="52" t="s">
        <v>513</v>
      </c>
      <c r="D312" s="55" t="s">
        <v>514</v>
      </c>
      <c r="E312" s="2" t="s">
        <v>229</v>
      </c>
      <c r="F312" s="71">
        <v>290715</v>
      </c>
      <c r="G312" s="29" t="s">
        <v>57</v>
      </c>
      <c r="H312" s="20"/>
      <c r="I312" s="20" t="s">
        <v>84</v>
      </c>
      <c r="J312" s="20" t="s">
        <v>1232</v>
      </c>
      <c r="K312" s="71"/>
      <c r="L312" s="20" t="s">
        <v>40</v>
      </c>
      <c r="M312" s="20"/>
      <c r="N312" s="20"/>
      <c r="O312" s="20"/>
      <c r="P312" s="20"/>
      <c r="Q312" s="20"/>
      <c r="R312" s="20"/>
      <c r="S312" s="20"/>
      <c r="T312" s="26"/>
      <c r="U312" s="17"/>
    </row>
    <row r="313" spans="1:21" x14ac:dyDescent="0.25">
      <c r="A313" s="2" t="str">
        <f>IFERROR(VLOOKUP(B313,Clientes!A:B,2,0),"")</f>
        <v/>
      </c>
      <c r="B313" s="20">
        <f t="shared" si="27"/>
        <v>279</v>
      </c>
      <c r="C313" s="52" t="s">
        <v>748</v>
      </c>
      <c r="D313" s="55" t="s">
        <v>749</v>
      </c>
      <c r="E313" s="2"/>
      <c r="F313" s="71">
        <v>290715</v>
      </c>
      <c r="G313" s="55" t="s">
        <v>537</v>
      </c>
      <c r="H313" s="20"/>
      <c r="I313" s="20" t="s">
        <v>84</v>
      </c>
      <c r="J313" s="20" t="s">
        <v>81</v>
      </c>
      <c r="K313" s="71"/>
      <c r="L313" s="20" t="s">
        <v>132</v>
      </c>
      <c r="M313" s="20"/>
      <c r="N313" s="20"/>
      <c r="O313" s="20"/>
      <c r="P313" s="20"/>
      <c r="Q313" s="20"/>
      <c r="R313" s="20"/>
      <c r="S313" s="20"/>
      <c r="T313" s="26"/>
      <c r="U313" s="17"/>
    </row>
    <row r="314" spans="1:21" x14ac:dyDescent="0.25">
      <c r="A314" s="2" t="str">
        <f>IFERROR(VLOOKUP(B314,Clientes!A:B,2,0),"")</f>
        <v/>
      </c>
      <c r="B314" s="20">
        <f t="shared" si="27"/>
        <v>280</v>
      </c>
      <c r="C314" s="52" t="s">
        <v>755</v>
      </c>
      <c r="D314" s="55" t="s">
        <v>756</v>
      </c>
      <c r="E314" s="2" t="s">
        <v>224</v>
      </c>
      <c r="F314" s="71">
        <v>290715</v>
      </c>
      <c r="G314" s="29" t="s">
        <v>66</v>
      </c>
      <c r="H314" s="20" t="s">
        <v>77</v>
      </c>
      <c r="I314" s="20" t="s">
        <v>84</v>
      </c>
      <c r="J314" s="20" t="s">
        <v>83</v>
      </c>
      <c r="K314" s="71"/>
      <c r="L314" s="20"/>
      <c r="M314" s="20"/>
      <c r="N314" s="20"/>
      <c r="O314" s="20"/>
      <c r="P314" s="20"/>
      <c r="Q314" s="20"/>
      <c r="R314" s="20"/>
      <c r="S314" s="20"/>
      <c r="T314" s="26"/>
      <c r="U314" s="17"/>
    </row>
    <row r="315" spans="1:21" x14ac:dyDescent="0.25">
      <c r="A315" s="2" t="str">
        <f>IFERROR(VLOOKUP(B315,Clientes!A:B,2,0),"")</f>
        <v/>
      </c>
      <c r="B315" s="20">
        <f t="shared" si="27"/>
        <v>281</v>
      </c>
      <c r="C315" s="52" t="s">
        <v>402</v>
      </c>
      <c r="D315" s="55" t="s">
        <v>403</v>
      </c>
      <c r="E315" s="2" t="s">
        <v>234</v>
      </c>
      <c r="F315" s="71">
        <v>290715</v>
      </c>
      <c r="G315" s="29" t="s">
        <v>57</v>
      </c>
      <c r="H315" s="20"/>
      <c r="I315" s="20" t="s">
        <v>84</v>
      </c>
      <c r="J315" s="20" t="s">
        <v>1232</v>
      </c>
      <c r="K315" s="71"/>
      <c r="L315" s="20" t="s">
        <v>148</v>
      </c>
      <c r="M315" s="20"/>
      <c r="N315" s="20"/>
      <c r="O315" s="20"/>
      <c r="P315" s="20"/>
      <c r="Q315" s="20"/>
      <c r="R315" s="20"/>
      <c r="S315" s="20"/>
      <c r="T315" s="26"/>
      <c r="U315" s="17"/>
    </row>
    <row r="316" spans="1:21" x14ac:dyDescent="0.25">
      <c r="A316" s="2" t="str">
        <f>IFERROR(VLOOKUP(B316,Clientes!A:B,2,0),"")</f>
        <v/>
      </c>
      <c r="B316" s="20">
        <f t="shared" ref="B316:B334" si="28">B315+1</f>
        <v>282</v>
      </c>
      <c r="C316" s="52"/>
      <c r="D316" s="55"/>
      <c r="E316" s="2"/>
      <c r="F316" s="71"/>
      <c r="G316" s="29"/>
      <c r="H316" s="20"/>
      <c r="I316" s="20" t="s">
        <v>84</v>
      </c>
      <c r="J316" s="20"/>
      <c r="K316" s="71"/>
      <c r="L316" s="20"/>
      <c r="M316" s="20"/>
      <c r="N316" s="20"/>
      <c r="O316" s="20"/>
      <c r="P316" s="20"/>
      <c r="Q316" s="20"/>
      <c r="R316" s="20"/>
      <c r="S316" s="20"/>
      <c r="T316" s="26"/>
      <c r="U316" s="17"/>
    </row>
    <row r="317" spans="1:21" x14ac:dyDescent="0.25">
      <c r="A317" s="2" t="str">
        <f>IFERROR(VLOOKUP(B317,Clientes!A:B,2,0),"")</f>
        <v/>
      </c>
      <c r="B317" s="20">
        <f t="shared" si="28"/>
        <v>283</v>
      </c>
      <c r="C317" s="52" t="s">
        <v>753</v>
      </c>
      <c r="D317" s="55" t="s">
        <v>754</v>
      </c>
      <c r="E317" s="2" t="s">
        <v>239</v>
      </c>
      <c r="F317" s="71">
        <v>300715</v>
      </c>
      <c r="G317" s="29" t="s">
        <v>57</v>
      </c>
      <c r="H317" s="20"/>
      <c r="I317" s="20" t="s">
        <v>84</v>
      </c>
      <c r="J317" s="20" t="s">
        <v>81</v>
      </c>
      <c r="K317" s="71"/>
      <c r="L317" s="20" t="s">
        <v>132</v>
      </c>
      <c r="M317" s="20"/>
      <c r="N317" s="20"/>
      <c r="O317" s="20"/>
      <c r="P317" s="20"/>
      <c r="Q317" s="20"/>
      <c r="R317" s="20"/>
      <c r="S317" s="20"/>
      <c r="T317" s="26"/>
      <c r="U317" s="17"/>
    </row>
    <row r="318" spans="1:21" x14ac:dyDescent="0.25">
      <c r="A318" s="2" t="str">
        <f>IFERROR(VLOOKUP(B318,Clientes!A:B,2,0),"")</f>
        <v/>
      </c>
      <c r="B318" s="20">
        <f t="shared" si="28"/>
        <v>284</v>
      </c>
      <c r="C318" s="52" t="s">
        <v>751</v>
      </c>
      <c r="D318" s="55" t="s">
        <v>752</v>
      </c>
      <c r="E318" s="2" t="s">
        <v>221</v>
      </c>
      <c r="F318" s="71">
        <v>300715</v>
      </c>
      <c r="G318" s="29" t="s">
        <v>57</v>
      </c>
      <c r="H318" s="20"/>
      <c r="I318" s="20" t="s">
        <v>84</v>
      </c>
      <c r="J318" s="20" t="s">
        <v>83</v>
      </c>
      <c r="K318" s="71"/>
      <c r="L318" s="20" t="s">
        <v>161</v>
      </c>
      <c r="M318" s="20"/>
      <c r="N318" s="20"/>
      <c r="O318" s="20"/>
      <c r="P318" s="20"/>
      <c r="Q318" s="20"/>
      <c r="R318" s="20"/>
      <c r="S318" s="20"/>
      <c r="T318" s="26"/>
      <c r="U318" s="17"/>
    </row>
    <row r="319" spans="1:21" x14ac:dyDescent="0.25">
      <c r="A319" s="2" t="str">
        <f>IFERROR(VLOOKUP(B319,Clientes!A:B,2,0),"")</f>
        <v/>
      </c>
      <c r="B319" s="20">
        <f t="shared" si="28"/>
        <v>285</v>
      </c>
      <c r="C319" s="52" t="s">
        <v>599</v>
      </c>
      <c r="D319" s="55" t="s">
        <v>600</v>
      </c>
      <c r="E319" s="2" t="s">
        <v>220</v>
      </c>
      <c r="F319" s="71">
        <v>300715</v>
      </c>
      <c r="G319" s="29" t="s">
        <v>58</v>
      </c>
      <c r="H319" s="20" t="s">
        <v>73</v>
      </c>
      <c r="I319" s="20" t="s">
        <v>84</v>
      </c>
      <c r="J319" s="20" t="s">
        <v>81</v>
      </c>
      <c r="K319" s="71"/>
      <c r="L319" s="20" t="s">
        <v>135</v>
      </c>
      <c r="M319" s="20"/>
      <c r="N319" s="20"/>
      <c r="O319" s="20"/>
      <c r="P319" s="20"/>
      <c r="Q319" s="20"/>
      <c r="R319" s="20"/>
      <c r="S319" s="20"/>
      <c r="T319" s="26"/>
      <c r="U319" s="17"/>
    </row>
    <row r="320" spans="1:21" x14ac:dyDescent="0.25">
      <c r="A320" s="2" t="str">
        <f>IFERROR(VLOOKUP(B320,Clientes!A:B,2,0),"")</f>
        <v/>
      </c>
      <c r="B320" s="20">
        <f t="shared" si="28"/>
        <v>286</v>
      </c>
      <c r="C320" s="52"/>
      <c r="D320" s="55"/>
      <c r="E320" s="2"/>
      <c r="F320" s="71"/>
      <c r="G320" s="29"/>
      <c r="H320" s="20"/>
      <c r="I320" s="20" t="s">
        <v>84</v>
      </c>
      <c r="J320" s="20"/>
      <c r="K320" s="71"/>
      <c r="L320" s="20"/>
      <c r="M320" s="20"/>
      <c r="N320" s="20"/>
      <c r="O320" s="20"/>
      <c r="P320" s="20"/>
      <c r="Q320" s="20"/>
      <c r="R320" s="20"/>
      <c r="S320" s="20"/>
      <c r="T320" s="26"/>
      <c r="U320" s="17"/>
    </row>
    <row r="321" spans="1:21" x14ac:dyDescent="0.25">
      <c r="A321" s="2" t="str">
        <f>IFERROR(VLOOKUP(B321,Clientes!A:B,2,0),"")</f>
        <v/>
      </c>
      <c r="B321" s="20">
        <f t="shared" si="28"/>
        <v>287</v>
      </c>
      <c r="C321" s="52" t="s">
        <v>260</v>
      </c>
      <c r="D321" s="55" t="s">
        <v>554</v>
      </c>
      <c r="E321" s="2" t="s">
        <v>237</v>
      </c>
      <c r="F321" s="71">
        <v>300715</v>
      </c>
      <c r="G321" s="29" t="s">
        <v>57</v>
      </c>
      <c r="H321" s="20"/>
      <c r="I321" s="20" t="s">
        <v>84</v>
      </c>
      <c r="J321" s="20" t="s">
        <v>81</v>
      </c>
      <c r="K321" s="71"/>
      <c r="L321" s="20" t="s">
        <v>208</v>
      </c>
      <c r="M321" s="20"/>
      <c r="N321" s="20"/>
      <c r="O321" s="20"/>
      <c r="P321" s="20"/>
      <c r="Q321" s="20"/>
      <c r="R321" s="20"/>
      <c r="S321" s="20"/>
      <c r="T321" s="26"/>
      <c r="U321" s="17"/>
    </row>
    <row r="322" spans="1:21" x14ac:dyDescent="0.25">
      <c r="A322" s="2" t="str">
        <f>IFERROR(VLOOKUP(B322,Clientes!A:B,2,0),"")</f>
        <v/>
      </c>
      <c r="B322" s="20">
        <f t="shared" si="28"/>
        <v>288</v>
      </c>
      <c r="C322" s="52" t="s">
        <v>765</v>
      </c>
      <c r="D322" s="55" t="s">
        <v>766</v>
      </c>
      <c r="E322" s="2" t="s">
        <v>220</v>
      </c>
      <c r="F322" s="71">
        <v>310715</v>
      </c>
      <c r="G322" s="29" t="s">
        <v>57</v>
      </c>
      <c r="H322" s="20"/>
      <c r="I322" s="20" t="s">
        <v>84</v>
      </c>
      <c r="J322" s="20" t="s">
        <v>83</v>
      </c>
      <c r="K322" s="71"/>
      <c r="L322" s="20" t="s">
        <v>158</v>
      </c>
      <c r="M322" s="20"/>
      <c r="N322" s="20"/>
      <c r="O322" s="20"/>
      <c r="P322" s="20"/>
      <c r="Q322" s="20"/>
      <c r="R322" s="20"/>
      <c r="S322" s="20"/>
      <c r="T322" s="26"/>
      <c r="U322" s="17"/>
    </row>
    <row r="323" spans="1:21" x14ac:dyDescent="0.25">
      <c r="A323" s="2" t="str">
        <f>IFERROR(VLOOKUP(B323,Clientes!A:B,2,0),"")</f>
        <v/>
      </c>
      <c r="B323" s="20">
        <f t="shared" si="28"/>
        <v>289</v>
      </c>
      <c r="C323" s="52" t="s">
        <v>620</v>
      </c>
      <c r="D323" s="55" t="s">
        <v>621</v>
      </c>
      <c r="E323" s="2" t="s">
        <v>228</v>
      </c>
      <c r="F323" s="71">
        <v>310715</v>
      </c>
      <c r="G323" s="29" t="s">
        <v>58</v>
      </c>
      <c r="H323" s="20" t="s">
        <v>72</v>
      </c>
      <c r="I323" s="20" t="s">
        <v>84</v>
      </c>
      <c r="J323" s="20" t="s">
        <v>81</v>
      </c>
      <c r="K323" s="71"/>
      <c r="L323" s="20" t="s">
        <v>24</v>
      </c>
      <c r="M323" s="20"/>
      <c r="N323" s="20" t="s">
        <v>758</v>
      </c>
      <c r="O323" s="20"/>
      <c r="P323" s="20" t="s">
        <v>206</v>
      </c>
      <c r="Q323" s="20"/>
      <c r="R323" s="20"/>
      <c r="S323" s="20"/>
      <c r="T323" s="26"/>
      <c r="U323" s="17"/>
    </row>
    <row r="324" spans="1:21" x14ac:dyDescent="0.25">
      <c r="A324" s="2" t="str">
        <f>IFERROR(VLOOKUP(B324,Clientes!A:B,2,0),"")</f>
        <v/>
      </c>
      <c r="B324" s="20">
        <f t="shared" si="28"/>
        <v>290</v>
      </c>
      <c r="C324" s="52" t="s">
        <v>728</v>
      </c>
      <c r="D324" s="55" t="s">
        <v>729</v>
      </c>
      <c r="E324" s="2" t="s">
        <v>228</v>
      </c>
      <c r="F324" s="71">
        <v>310715</v>
      </c>
      <c r="G324" s="29" t="s">
        <v>58</v>
      </c>
      <c r="H324" s="20" t="s">
        <v>72</v>
      </c>
      <c r="I324" s="20" t="s">
        <v>84</v>
      </c>
      <c r="J324" s="20" t="s">
        <v>81</v>
      </c>
      <c r="K324" s="71"/>
      <c r="L324" s="20" t="s">
        <v>20</v>
      </c>
      <c r="M324" s="20"/>
      <c r="N324" s="20"/>
      <c r="O324" s="20"/>
      <c r="P324" s="20"/>
      <c r="Q324" s="20"/>
      <c r="R324" s="20"/>
      <c r="S324" s="20"/>
      <c r="T324" s="26"/>
      <c r="U324" s="17"/>
    </row>
    <row r="325" spans="1:21" x14ac:dyDescent="0.25">
      <c r="A325" s="2" t="str">
        <f>IFERROR(VLOOKUP(B325,Clientes!A:B,2,0),"")</f>
        <v/>
      </c>
      <c r="B325" s="20">
        <f t="shared" si="28"/>
        <v>291</v>
      </c>
      <c r="C325" s="52" t="s">
        <v>494</v>
      </c>
      <c r="D325" s="55" t="s">
        <v>495</v>
      </c>
      <c r="E325" s="2" t="s">
        <v>239</v>
      </c>
      <c r="F325" s="71">
        <v>310715</v>
      </c>
      <c r="G325" s="29" t="s">
        <v>57</v>
      </c>
      <c r="H325" s="20"/>
      <c r="I325" s="20" t="s">
        <v>84</v>
      </c>
      <c r="J325" s="20" t="s">
        <v>81</v>
      </c>
      <c r="K325" s="71"/>
      <c r="L325" s="20" t="s">
        <v>145</v>
      </c>
      <c r="M325" s="20"/>
      <c r="N325" s="20"/>
      <c r="O325" s="20"/>
      <c r="P325" s="20"/>
      <c r="Q325" s="20"/>
      <c r="R325" s="20"/>
      <c r="S325" s="20"/>
      <c r="T325" s="26"/>
      <c r="U325" s="17"/>
    </row>
    <row r="326" spans="1:21" x14ac:dyDescent="0.25">
      <c r="A326" s="2" t="str">
        <f>IFERROR(VLOOKUP(B326,Clientes!A:B,2,0),"")</f>
        <v/>
      </c>
      <c r="B326" s="20">
        <f t="shared" si="28"/>
        <v>292</v>
      </c>
      <c r="C326" s="52" t="s">
        <v>763</v>
      </c>
      <c r="D326" s="55" t="s">
        <v>764</v>
      </c>
      <c r="E326" s="2" t="s">
        <v>239</v>
      </c>
      <c r="F326" s="71">
        <v>310715</v>
      </c>
      <c r="G326" s="29" t="s">
        <v>57</v>
      </c>
      <c r="H326" s="20"/>
      <c r="I326" s="20" t="s">
        <v>84</v>
      </c>
      <c r="J326" s="20" t="s">
        <v>81</v>
      </c>
      <c r="K326" s="71"/>
      <c r="L326" s="20" t="s">
        <v>145</v>
      </c>
      <c r="M326" s="20"/>
      <c r="N326" s="20"/>
      <c r="O326" s="20"/>
      <c r="P326" s="20"/>
      <c r="Q326" s="20"/>
      <c r="R326" s="20"/>
      <c r="S326" s="20"/>
      <c r="T326" s="26"/>
      <c r="U326" s="17"/>
    </row>
    <row r="327" spans="1:21" x14ac:dyDescent="0.25">
      <c r="A327" s="2" t="str">
        <f>IFERROR(VLOOKUP(B327,Clientes!A:B,2,0),"")</f>
        <v/>
      </c>
      <c r="B327" s="20">
        <f t="shared" si="28"/>
        <v>293</v>
      </c>
      <c r="C327" s="52" t="s">
        <v>761</v>
      </c>
      <c r="D327" s="55" t="s">
        <v>762</v>
      </c>
      <c r="E327" s="2" t="s">
        <v>215</v>
      </c>
      <c r="F327" s="71">
        <v>310715</v>
      </c>
      <c r="G327" s="29" t="s">
        <v>56</v>
      </c>
      <c r="H327" s="20" t="s">
        <v>73</v>
      </c>
      <c r="I327" s="20" t="s">
        <v>84</v>
      </c>
      <c r="J327" s="20" t="s">
        <v>83</v>
      </c>
      <c r="K327" s="71"/>
      <c r="L327" s="20"/>
      <c r="M327" s="20"/>
      <c r="N327" s="20"/>
      <c r="O327" s="20"/>
      <c r="P327" s="20"/>
      <c r="Q327" s="20"/>
      <c r="R327" s="20"/>
      <c r="S327" s="20"/>
      <c r="T327" s="26"/>
      <c r="U327" s="17"/>
    </row>
    <row r="328" spans="1:21" x14ac:dyDescent="0.25">
      <c r="A328" s="2" t="str">
        <f>IFERROR(VLOOKUP(B328,Clientes!A:B,2,0),"")</f>
        <v/>
      </c>
      <c r="B328" s="20">
        <f t="shared" si="28"/>
        <v>294</v>
      </c>
      <c r="C328" s="52" t="s">
        <v>786</v>
      </c>
      <c r="D328" s="55" t="s">
        <v>787</v>
      </c>
      <c r="E328" s="2" t="s">
        <v>236</v>
      </c>
      <c r="F328" s="71">
        <v>310715</v>
      </c>
      <c r="G328" s="29" t="s">
        <v>57</v>
      </c>
      <c r="H328" s="20"/>
      <c r="I328" s="20" t="s">
        <v>84</v>
      </c>
      <c r="J328" s="20" t="s">
        <v>82</v>
      </c>
      <c r="K328" s="71"/>
      <c r="L328" s="20" t="s">
        <v>208</v>
      </c>
      <c r="M328" s="20"/>
      <c r="N328" s="20"/>
      <c r="O328" s="20"/>
      <c r="P328" s="20"/>
      <c r="Q328" s="20"/>
      <c r="R328" s="20"/>
      <c r="S328" s="20"/>
      <c r="T328" s="26"/>
      <c r="U328" s="17"/>
    </row>
    <row r="329" spans="1:21" x14ac:dyDescent="0.25">
      <c r="A329" s="2" t="str">
        <f>IFERROR(VLOOKUP(B329,Clientes!A:B,2,0),"")</f>
        <v/>
      </c>
      <c r="B329" s="20">
        <f t="shared" si="28"/>
        <v>295</v>
      </c>
      <c r="C329" s="52"/>
      <c r="D329" s="55"/>
      <c r="E329" s="2"/>
      <c r="F329" s="71"/>
      <c r="G329" s="29"/>
      <c r="H329" s="20"/>
      <c r="I329" s="20"/>
      <c r="J329" s="20"/>
      <c r="K329" s="71"/>
      <c r="L329" s="20"/>
      <c r="M329" s="20"/>
      <c r="N329" s="20"/>
      <c r="O329" s="20"/>
      <c r="P329" s="20"/>
      <c r="Q329" s="20"/>
      <c r="R329" s="20"/>
      <c r="S329" s="20"/>
      <c r="T329" s="26"/>
      <c r="U329" s="17"/>
    </row>
    <row r="330" spans="1:21" x14ac:dyDescent="0.25">
      <c r="A330" s="2" t="str">
        <f>IFERROR(VLOOKUP(B330,Clientes!A:B,2,0),"")</f>
        <v/>
      </c>
      <c r="B330" s="20">
        <f t="shared" si="28"/>
        <v>296</v>
      </c>
      <c r="C330" s="52"/>
      <c r="D330" s="55"/>
      <c r="E330" s="2"/>
      <c r="F330" s="71"/>
      <c r="G330" s="29"/>
      <c r="H330" s="20"/>
      <c r="I330" s="20"/>
      <c r="J330" s="20"/>
      <c r="K330" s="71"/>
      <c r="L330" s="20"/>
      <c r="M330" s="20"/>
      <c r="N330" s="20"/>
      <c r="O330" s="20"/>
      <c r="P330" s="20"/>
      <c r="Q330" s="20"/>
      <c r="R330" s="20"/>
      <c r="S330" s="20"/>
      <c r="T330" s="26"/>
      <c r="U330" s="17"/>
    </row>
    <row r="331" spans="1:21" x14ac:dyDescent="0.25">
      <c r="A331" s="2" t="str">
        <f>IFERROR(VLOOKUP(B331,Clientes!A:B,2,0),"")</f>
        <v/>
      </c>
      <c r="B331" s="20">
        <f t="shared" si="28"/>
        <v>297</v>
      </c>
      <c r="C331" s="52"/>
      <c r="D331" s="55"/>
      <c r="E331" s="2"/>
      <c r="F331" s="71"/>
      <c r="G331" s="29"/>
      <c r="H331" s="20"/>
      <c r="I331" s="20"/>
      <c r="J331" s="20"/>
      <c r="K331" s="71"/>
      <c r="L331" s="20"/>
      <c r="M331" s="20"/>
      <c r="N331" s="20"/>
      <c r="O331" s="20"/>
      <c r="P331" s="20"/>
      <c r="Q331" s="20"/>
      <c r="R331" s="20"/>
      <c r="S331" s="20"/>
      <c r="T331" s="26"/>
      <c r="U331" s="17"/>
    </row>
    <row r="332" spans="1:21" x14ac:dyDescent="0.25">
      <c r="A332" s="2" t="str">
        <f>IFERROR(VLOOKUP(B332,Clientes!A:B,2,0),"")</f>
        <v/>
      </c>
      <c r="B332" s="20">
        <f t="shared" si="28"/>
        <v>298</v>
      </c>
      <c r="C332" s="52" t="s">
        <v>780</v>
      </c>
      <c r="D332" s="55" t="s">
        <v>781</v>
      </c>
      <c r="E332" s="2"/>
      <c r="F332" s="71">
        <v>42219</v>
      </c>
      <c r="G332" s="29"/>
      <c r="H332" s="20"/>
      <c r="I332" s="20" t="s">
        <v>636</v>
      </c>
      <c r="J332" s="20" t="s">
        <v>83</v>
      </c>
      <c r="K332" s="71"/>
      <c r="L332" s="20"/>
      <c r="M332" s="20"/>
      <c r="N332" s="20"/>
      <c r="O332" s="20"/>
      <c r="P332" s="20"/>
      <c r="Q332" s="20"/>
      <c r="R332" s="20"/>
      <c r="S332" s="20"/>
      <c r="T332" s="26"/>
      <c r="U332" s="17"/>
    </row>
    <row r="333" spans="1:21" x14ac:dyDescent="0.25">
      <c r="A333" s="2" t="str">
        <f>IFERROR(VLOOKUP(B333,Clientes!A:B,2,0),"")</f>
        <v/>
      </c>
      <c r="B333" s="20">
        <f t="shared" si="28"/>
        <v>299</v>
      </c>
      <c r="C333" s="52" t="s">
        <v>784</v>
      </c>
      <c r="D333" s="55" t="s">
        <v>785</v>
      </c>
      <c r="E333" s="2" t="s">
        <v>225</v>
      </c>
      <c r="F333" s="71">
        <v>40815</v>
      </c>
      <c r="G333" s="29" t="s">
        <v>57</v>
      </c>
      <c r="H333" s="20"/>
      <c r="I333" s="20" t="s">
        <v>84</v>
      </c>
      <c r="J333" s="20" t="s">
        <v>83</v>
      </c>
      <c r="K333" s="71"/>
      <c r="L333" s="20" t="s">
        <v>23</v>
      </c>
      <c r="M333" s="20"/>
      <c r="N333" s="20"/>
      <c r="O333" s="20"/>
      <c r="P333" s="20"/>
      <c r="Q333" s="20"/>
      <c r="R333" s="20"/>
      <c r="S333" s="20"/>
      <c r="T333" s="26"/>
      <c r="U333" s="17"/>
    </row>
    <row r="334" spans="1:21" x14ac:dyDescent="0.25">
      <c r="A334" s="2" t="str">
        <f>IFERROR(VLOOKUP(B334,Clientes!A:B,2,0),"")</f>
        <v/>
      </c>
      <c r="B334" s="20">
        <f t="shared" si="28"/>
        <v>300</v>
      </c>
      <c r="C334" s="52" t="s">
        <v>782</v>
      </c>
      <c r="D334" s="55" t="s">
        <v>783</v>
      </c>
      <c r="E334" s="2" t="s">
        <v>219</v>
      </c>
      <c r="F334" s="71">
        <v>70815</v>
      </c>
      <c r="G334" s="29" t="s">
        <v>57</v>
      </c>
      <c r="H334" s="20"/>
      <c r="I334" s="20" t="s">
        <v>84</v>
      </c>
      <c r="J334" s="20" t="s">
        <v>83</v>
      </c>
      <c r="K334" s="71"/>
      <c r="L334" s="20" t="s">
        <v>142</v>
      </c>
      <c r="M334" s="20"/>
      <c r="N334" s="20"/>
      <c r="O334" s="20"/>
      <c r="P334" s="20"/>
      <c r="Q334" s="20"/>
      <c r="R334" s="20"/>
      <c r="S334" s="20"/>
      <c r="T334" s="26"/>
      <c r="U334" s="17"/>
    </row>
    <row r="335" spans="1:21" x14ac:dyDescent="0.25">
      <c r="A335" s="2" t="str">
        <f>IFERROR(VLOOKUP(B335,Clientes!A:B,2,0),"")</f>
        <v/>
      </c>
      <c r="B335" s="20">
        <f>B334+1</f>
        <v>301</v>
      </c>
      <c r="C335" s="52" t="s">
        <v>579</v>
      </c>
      <c r="D335" s="55" t="s">
        <v>580</v>
      </c>
      <c r="E335" s="2" t="s">
        <v>228</v>
      </c>
      <c r="F335" s="71">
        <v>40815</v>
      </c>
      <c r="G335" s="29" t="s">
        <v>58</v>
      </c>
      <c r="H335" s="55" t="s">
        <v>537</v>
      </c>
      <c r="I335" s="20" t="s">
        <v>84</v>
      </c>
      <c r="J335" s="20" t="s">
        <v>83</v>
      </c>
      <c r="K335" s="71"/>
      <c r="L335" s="20" t="s">
        <v>40</v>
      </c>
      <c r="M335" s="20"/>
      <c r="N335" s="20"/>
      <c r="O335" s="20"/>
      <c r="P335" s="20"/>
      <c r="Q335" s="20"/>
      <c r="R335" s="20"/>
      <c r="S335" s="20"/>
      <c r="T335" s="26"/>
      <c r="U335" s="17"/>
    </row>
    <row r="336" spans="1:21" x14ac:dyDescent="0.25">
      <c r="A336" s="2"/>
      <c r="B336" s="20" t="s">
        <v>788</v>
      </c>
      <c r="C336" s="52" t="s">
        <v>464</v>
      </c>
      <c r="D336" s="55" t="s">
        <v>465</v>
      </c>
      <c r="E336" s="2" t="s">
        <v>218</v>
      </c>
      <c r="F336" s="71">
        <v>40815</v>
      </c>
      <c r="G336" s="29" t="s">
        <v>56</v>
      </c>
      <c r="H336" s="20" t="s">
        <v>72</v>
      </c>
      <c r="I336" s="20" t="s">
        <v>84</v>
      </c>
      <c r="J336" s="20" t="s">
        <v>83</v>
      </c>
      <c r="K336" s="71"/>
      <c r="L336" s="20"/>
      <c r="M336" s="20"/>
      <c r="N336" s="20"/>
      <c r="O336" s="20"/>
      <c r="P336" s="20"/>
      <c r="Q336" s="20"/>
      <c r="R336" s="20"/>
      <c r="S336" s="20"/>
      <c r="T336" s="26"/>
      <c r="U336" s="17"/>
    </row>
    <row r="337" spans="1:21" x14ac:dyDescent="0.25">
      <c r="A337" s="2" t="str">
        <f>IFERROR(VLOOKUP(B337,Clientes!A:B,2,0),"")</f>
        <v/>
      </c>
      <c r="B337" s="20">
        <f>B335+1</f>
        <v>302</v>
      </c>
      <c r="C337" s="52" t="s">
        <v>789</v>
      </c>
      <c r="D337" s="55" t="s">
        <v>790</v>
      </c>
      <c r="E337" s="2" t="s">
        <v>217</v>
      </c>
      <c r="F337" s="71">
        <v>40815</v>
      </c>
      <c r="G337" s="29" t="s">
        <v>57</v>
      </c>
      <c r="H337" s="20"/>
      <c r="I337" s="20" t="s">
        <v>84</v>
      </c>
      <c r="J337" s="20" t="s">
        <v>83</v>
      </c>
      <c r="K337" s="71"/>
      <c r="L337" s="20" t="s">
        <v>42</v>
      </c>
      <c r="M337" s="20"/>
      <c r="N337" s="20"/>
      <c r="O337" s="20"/>
      <c r="P337" s="20"/>
      <c r="Q337" s="20"/>
      <c r="R337" s="20"/>
      <c r="S337" s="20"/>
      <c r="T337" s="26"/>
      <c r="U337" s="17"/>
    </row>
    <row r="338" spans="1:21" x14ac:dyDescent="0.25">
      <c r="A338" s="2" t="str">
        <f>IFERROR(VLOOKUP(B338,Clientes!A:B,2,0),"")</f>
        <v/>
      </c>
      <c r="B338" s="20">
        <f>B337+1</f>
        <v>303</v>
      </c>
      <c r="C338" s="52"/>
      <c r="D338" s="55"/>
      <c r="E338" s="2"/>
      <c r="F338" s="71"/>
      <c r="G338" s="29"/>
      <c r="H338" s="20"/>
      <c r="I338" s="20" t="s">
        <v>84</v>
      </c>
      <c r="J338" s="20"/>
      <c r="K338" s="71"/>
      <c r="L338" s="20"/>
      <c r="M338" s="20"/>
      <c r="N338" s="20"/>
      <c r="O338" s="20"/>
      <c r="P338" s="20"/>
      <c r="Q338" s="20"/>
      <c r="R338" s="20"/>
      <c r="S338" s="20"/>
      <c r="T338" s="26"/>
      <c r="U338" s="17"/>
    </row>
    <row r="339" spans="1:21" x14ac:dyDescent="0.25">
      <c r="A339" s="2" t="str">
        <f>IFERROR(VLOOKUP(B339,Clientes!A:B,2,0),"")</f>
        <v/>
      </c>
      <c r="B339" s="20">
        <f>B338+1</f>
        <v>304</v>
      </c>
      <c r="C339" s="52" t="s">
        <v>797</v>
      </c>
      <c r="D339" s="55" t="s">
        <v>798</v>
      </c>
      <c r="E339" s="2" t="s">
        <v>225</v>
      </c>
      <c r="F339" s="71">
        <v>40815</v>
      </c>
      <c r="G339" s="29" t="s">
        <v>58</v>
      </c>
      <c r="H339" s="55" t="s">
        <v>641</v>
      </c>
      <c r="I339" s="20" t="s">
        <v>84</v>
      </c>
      <c r="J339" s="20" t="s">
        <v>81</v>
      </c>
      <c r="K339" s="71"/>
      <c r="L339" s="20" t="s">
        <v>162</v>
      </c>
      <c r="M339" s="20"/>
      <c r="N339" s="20"/>
      <c r="O339" s="20"/>
      <c r="P339" s="20"/>
      <c r="Q339" s="20"/>
      <c r="R339" s="20"/>
      <c r="S339" s="20"/>
      <c r="T339" s="26"/>
      <c r="U339" s="17"/>
    </row>
    <row r="340" spans="1:21" x14ac:dyDescent="0.25">
      <c r="A340" s="2" t="str">
        <f>IFERROR(VLOOKUP(B340,Clientes!A:B,2,0),"")</f>
        <v/>
      </c>
      <c r="B340" s="20">
        <f>B339+1</f>
        <v>305</v>
      </c>
      <c r="C340" s="52" t="s">
        <v>791</v>
      </c>
      <c r="D340" s="55" t="s">
        <v>792</v>
      </c>
      <c r="E340" s="2" t="s">
        <v>215</v>
      </c>
      <c r="F340" s="71">
        <v>40815</v>
      </c>
      <c r="G340" s="29" t="s">
        <v>56</v>
      </c>
      <c r="H340" s="20" t="s">
        <v>72</v>
      </c>
      <c r="I340" s="20" t="s">
        <v>84</v>
      </c>
      <c r="J340" s="20" t="s">
        <v>83</v>
      </c>
      <c r="K340" s="71"/>
      <c r="L340" s="20"/>
      <c r="M340" s="20"/>
      <c r="N340" s="20"/>
      <c r="O340" s="20"/>
      <c r="P340" s="20"/>
      <c r="Q340" s="20"/>
      <c r="R340" s="20"/>
      <c r="S340" s="20"/>
      <c r="T340" s="26"/>
      <c r="U340" s="17"/>
    </row>
    <row r="341" spans="1:21" x14ac:dyDescent="0.25">
      <c r="A341" s="2"/>
      <c r="B341" s="20" t="s">
        <v>793</v>
      </c>
      <c r="C341" s="52" t="s">
        <v>794</v>
      </c>
      <c r="D341" s="55" t="s">
        <v>795</v>
      </c>
      <c r="E341" s="2" t="s">
        <v>238</v>
      </c>
      <c r="F341" s="71">
        <v>40815</v>
      </c>
      <c r="G341" s="29" t="s">
        <v>57</v>
      </c>
      <c r="H341" s="55" t="s">
        <v>537</v>
      </c>
      <c r="I341" s="20" t="s">
        <v>84</v>
      </c>
      <c r="J341" s="20" t="s">
        <v>81</v>
      </c>
      <c r="K341" s="71"/>
      <c r="L341" s="55" t="s">
        <v>796</v>
      </c>
      <c r="M341" s="20"/>
      <c r="N341" s="20"/>
      <c r="O341" s="20"/>
      <c r="P341" s="20"/>
      <c r="Q341" s="20"/>
      <c r="R341" s="20"/>
      <c r="S341" s="20"/>
      <c r="T341" s="26"/>
      <c r="U341" s="17"/>
    </row>
    <row r="342" spans="1:21" x14ac:dyDescent="0.25">
      <c r="A342" s="2" t="str">
        <f>IFERROR(VLOOKUP(B342,Clientes!A:B,2,0),"")</f>
        <v/>
      </c>
      <c r="B342" s="20">
        <f>B340+1</f>
        <v>306</v>
      </c>
      <c r="C342" s="52" t="s">
        <v>592</v>
      </c>
      <c r="D342" s="55" t="s">
        <v>418</v>
      </c>
      <c r="E342" s="2" t="s">
        <v>234</v>
      </c>
      <c r="F342" s="71">
        <v>40815</v>
      </c>
      <c r="G342" s="29" t="s">
        <v>66</v>
      </c>
      <c r="H342" s="20" t="s">
        <v>77</v>
      </c>
      <c r="I342" s="20" t="s">
        <v>84</v>
      </c>
      <c r="J342" s="20" t="s">
        <v>81</v>
      </c>
      <c r="K342" s="71"/>
      <c r="L342" s="20"/>
      <c r="M342" s="20"/>
      <c r="N342" s="20"/>
      <c r="O342" s="20"/>
      <c r="P342" s="20"/>
      <c r="Q342" s="20"/>
      <c r="R342" s="20"/>
      <c r="S342" s="20"/>
      <c r="T342" s="26"/>
      <c r="U342" s="17"/>
    </row>
    <row r="343" spans="1:21" x14ac:dyDescent="0.25">
      <c r="A343" s="2" t="str">
        <f>IFERROR(VLOOKUP(B343,Clientes!A:B,2,0),"")</f>
        <v/>
      </c>
      <c r="B343" s="20">
        <f>B342+1</f>
        <v>307</v>
      </c>
      <c r="C343" s="52" t="s">
        <v>726</v>
      </c>
      <c r="D343" s="55" t="s">
        <v>727</v>
      </c>
      <c r="E343" s="2" t="s">
        <v>223</v>
      </c>
      <c r="F343" s="71">
        <v>40815</v>
      </c>
      <c r="G343" s="29" t="s">
        <v>57</v>
      </c>
      <c r="H343" s="20"/>
      <c r="I343" s="20" t="s">
        <v>84</v>
      </c>
      <c r="J343" s="20" t="s">
        <v>83</v>
      </c>
      <c r="K343" s="71"/>
      <c r="L343" s="20" t="s">
        <v>134</v>
      </c>
      <c r="M343" s="20"/>
      <c r="N343" s="20" t="s">
        <v>148</v>
      </c>
      <c r="O343" s="20"/>
      <c r="P343" s="20"/>
      <c r="Q343" s="20"/>
      <c r="R343" s="20"/>
      <c r="S343" s="20"/>
      <c r="T343" s="26"/>
      <c r="U343" s="17"/>
    </row>
    <row r="344" spans="1:21" x14ac:dyDescent="0.25">
      <c r="A344" s="2" t="str">
        <f>IFERROR(VLOOKUP(B344,Clientes!A:B,2,0),"")</f>
        <v/>
      </c>
      <c r="B344" s="20">
        <f>B343+1</f>
        <v>308</v>
      </c>
      <c r="C344" s="52" t="s">
        <v>784</v>
      </c>
      <c r="D344" s="55" t="s">
        <v>785</v>
      </c>
      <c r="E344" s="2" t="s">
        <v>225</v>
      </c>
      <c r="F344" s="71">
        <v>50815</v>
      </c>
      <c r="G344" s="29" t="s">
        <v>57</v>
      </c>
      <c r="H344" s="20"/>
      <c r="I344" s="20" t="s">
        <v>84</v>
      </c>
      <c r="J344" s="20" t="s">
        <v>83</v>
      </c>
      <c r="K344" s="71"/>
      <c r="L344" s="20" t="s">
        <v>42</v>
      </c>
      <c r="M344" s="20"/>
      <c r="N344" s="20"/>
      <c r="O344" s="20"/>
      <c r="P344" s="20"/>
      <c r="Q344" s="20"/>
      <c r="R344" s="20"/>
      <c r="S344" s="20"/>
      <c r="T344" s="26"/>
      <c r="U344" s="17"/>
    </row>
    <row r="345" spans="1:21" x14ac:dyDescent="0.25">
      <c r="A345" s="2" t="str">
        <f>IFERROR(VLOOKUP(B345,Clientes!A:B,2,0),"")</f>
        <v/>
      </c>
      <c r="B345" s="20">
        <f>B344+1</f>
        <v>309</v>
      </c>
      <c r="C345" s="52" t="s">
        <v>800</v>
      </c>
      <c r="D345" s="55" t="s">
        <v>799</v>
      </c>
      <c r="E345" s="2" t="s">
        <v>218</v>
      </c>
      <c r="F345" s="71">
        <v>50815</v>
      </c>
      <c r="G345" s="29" t="s">
        <v>58</v>
      </c>
      <c r="H345" s="20" t="s">
        <v>73</v>
      </c>
      <c r="I345" s="20" t="s">
        <v>84</v>
      </c>
      <c r="J345" s="20" t="s">
        <v>83</v>
      </c>
      <c r="K345" s="71"/>
      <c r="L345" s="20"/>
      <c r="M345" s="20"/>
      <c r="N345" s="20"/>
      <c r="O345" s="20"/>
      <c r="P345" s="20"/>
      <c r="Q345" s="20"/>
      <c r="R345" s="20"/>
      <c r="S345" s="20"/>
      <c r="T345" s="26"/>
      <c r="U345" s="17"/>
    </row>
    <row r="346" spans="1:21" x14ac:dyDescent="0.25">
      <c r="A346" s="2" t="str">
        <f>IFERROR(VLOOKUP(B346,Clientes!A:B,2,0),"")</f>
        <v/>
      </c>
      <c r="B346" s="20">
        <f>B345+1</f>
        <v>310</v>
      </c>
      <c r="C346" s="52" t="s">
        <v>741</v>
      </c>
      <c r="D346" s="55" t="s">
        <v>801</v>
      </c>
      <c r="E346" s="2" t="s">
        <v>228</v>
      </c>
      <c r="F346" s="71">
        <v>50815</v>
      </c>
      <c r="G346" s="29" t="s">
        <v>57</v>
      </c>
      <c r="H346" s="20"/>
      <c r="I346" s="20" t="s">
        <v>84</v>
      </c>
      <c r="J346" s="20" t="s">
        <v>83</v>
      </c>
      <c r="K346" s="71"/>
      <c r="L346" s="20"/>
      <c r="M346" s="20"/>
      <c r="N346" s="20"/>
      <c r="O346" s="20"/>
      <c r="P346" s="20"/>
      <c r="Q346" s="20"/>
      <c r="R346" s="20"/>
      <c r="S346" s="20"/>
      <c r="T346" s="26"/>
      <c r="U346" s="17"/>
    </row>
    <row r="347" spans="1:21" x14ac:dyDescent="0.25">
      <c r="A347" s="2" t="str">
        <f>IFERROR(VLOOKUP(B347,Clientes!A:B,2,0),"")</f>
        <v/>
      </c>
      <c r="B347" s="20">
        <f>B346+1</f>
        <v>311</v>
      </c>
      <c r="C347" s="52" t="s">
        <v>317</v>
      </c>
      <c r="D347" s="55" t="s">
        <v>318</v>
      </c>
      <c r="E347" s="2" t="s">
        <v>225</v>
      </c>
      <c r="F347" s="71">
        <v>70815</v>
      </c>
      <c r="G347" s="29" t="s">
        <v>58</v>
      </c>
      <c r="H347" s="20" t="s">
        <v>72</v>
      </c>
      <c r="I347" s="20" t="s">
        <v>84</v>
      </c>
      <c r="J347" s="20" t="s">
        <v>81</v>
      </c>
      <c r="K347" s="71"/>
      <c r="L347" s="20" t="s">
        <v>23</v>
      </c>
      <c r="M347" s="20"/>
      <c r="N347" s="20"/>
      <c r="O347" s="20"/>
      <c r="P347" s="20"/>
      <c r="Q347" s="20"/>
      <c r="R347" s="20"/>
      <c r="S347" s="20"/>
      <c r="T347" s="26"/>
      <c r="U347" s="17"/>
    </row>
    <row r="348" spans="1:21" x14ac:dyDescent="0.25">
      <c r="A348" s="2"/>
      <c r="B348" s="20" t="s">
        <v>804</v>
      </c>
      <c r="C348" s="52" t="s">
        <v>805</v>
      </c>
      <c r="D348" s="55" t="s">
        <v>806</v>
      </c>
      <c r="E348" s="2" t="s">
        <v>219</v>
      </c>
      <c r="F348" s="71">
        <v>70815</v>
      </c>
      <c r="G348" s="29" t="s">
        <v>57</v>
      </c>
      <c r="H348" s="20"/>
      <c r="I348" s="20" t="s">
        <v>84</v>
      </c>
      <c r="J348" s="20" t="s">
        <v>83</v>
      </c>
      <c r="K348" s="71"/>
      <c r="L348" s="20" t="s">
        <v>160</v>
      </c>
      <c r="M348" s="20"/>
      <c r="N348" s="20"/>
      <c r="O348" s="20"/>
      <c r="P348" s="20"/>
      <c r="Q348" s="20"/>
      <c r="R348" s="20"/>
      <c r="S348" s="20"/>
      <c r="T348" s="26"/>
      <c r="U348" s="17"/>
    </row>
    <row r="349" spans="1:21" x14ac:dyDescent="0.25">
      <c r="A349" s="2" t="str">
        <f>IFERROR(VLOOKUP(B349,Clientes!A:B,2,0),"")</f>
        <v/>
      </c>
      <c r="B349" s="20">
        <f>B347+1</f>
        <v>312</v>
      </c>
      <c r="C349" s="52" t="s">
        <v>807</v>
      </c>
      <c r="D349" s="55" t="s">
        <v>808</v>
      </c>
      <c r="E349" s="2" t="s">
        <v>219</v>
      </c>
      <c r="F349" s="71">
        <v>70815</v>
      </c>
      <c r="G349" s="29" t="s">
        <v>57</v>
      </c>
      <c r="H349" s="20"/>
      <c r="I349" s="20" t="s">
        <v>84</v>
      </c>
      <c r="J349" s="20" t="s">
        <v>83</v>
      </c>
      <c r="K349" s="71"/>
      <c r="L349" s="20" t="s">
        <v>160</v>
      </c>
      <c r="M349" s="20"/>
      <c r="N349" s="20"/>
      <c r="O349" s="20"/>
      <c r="P349" s="20"/>
      <c r="Q349" s="20"/>
      <c r="R349" s="20"/>
      <c r="S349" s="20"/>
      <c r="T349" s="26"/>
      <c r="U349" s="17"/>
    </row>
    <row r="350" spans="1:21" x14ac:dyDescent="0.25">
      <c r="A350" s="2" t="str">
        <f>IFERROR(VLOOKUP(B350,Clientes!A:B,2,0),"")</f>
        <v/>
      </c>
      <c r="B350" s="20">
        <f>B349+1</f>
        <v>313</v>
      </c>
      <c r="C350" s="52" t="s">
        <v>802</v>
      </c>
      <c r="D350" s="55" t="s">
        <v>803</v>
      </c>
      <c r="E350" s="2"/>
      <c r="F350" s="71">
        <v>70815</v>
      </c>
      <c r="G350" s="55" t="s">
        <v>537</v>
      </c>
      <c r="H350" s="20"/>
      <c r="I350" s="20" t="s">
        <v>84</v>
      </c>
      <c r="J350" s="20" t="s">
        <v>83</v>
      </c>
      <c r="K350" s="71"/>
      <c r="L350" s="20"/>
      <c r="M350" s="20"/>
      <c r="N350" s="20"/>
      <c r="O350" s="20"/>
      <c r="P350" s="20"/>
      <c r="Q350" s="20"/>
      <c r="R350" s="20"/>
      <c r="S350" s="20"/>
      <c r="T350" s="26"/>
      <c r="U350" s="17"/>
    </row>
    <row r="351" spans="1:21" x14ac:dyDescent="0.25">
      <c r="A351" s="2" t="str">
        <f>IFERROR(VLOOKUP(B351,Clientes!A:B,2,0),"")</f>
        <v/>
      </c>
      <c r="B351" s="20">
        <f>B350+1</f>
        <v>314</v>
      </c>
      <c r="C351" s="52" t="s">
        <v>248</v>
      </c>
      <c r="D351" s="55" t="s">
        <v>250</v>
      </c>
      <c r="E351" s="2" t="s">
        <v>218</v>
      </c>
      <c r="F351" s="71">
        <v>70815</v>
      </c>
      <c r="G351" s="29" t="s">
        <v>56</v>
      </c>
      <c r="H351" s="20" t="s">
        <v>72</v>
      </c>
      <c r="I351" s="20" t="s">
        <v>84</v>
      </c>
      <c r="J351" s="20" t="s">
        <v>81</v>
      </c>
      <c r="K351" s="71"/>
      <c r="L351" s="20" t="s">
        <v>157</v>
      </c>
      <c r="M351" s="20"/>
      <c r="N351" s="20"/>
      <c r="O351" s="20"/>
      <c r="P351" s="20"/>
      <c r="Q351" s="20"/>
      <c r="R351" s="20"/>
      <c r="S351" s="20"/>
      <c r="T351" s="26"/>
      <c r="U351" s="17"/>
    </row>
    <row r="352" spans="1:21" x14ac:dyDescent="0.25">
      <c r="A352" s="2" t="str">
        <f>IFERROR(VLOOKUP(B352,Clientes!A:B,2,0),"")</f>
        <v/>
      </c>
      <c r="B352" s="20">
        <f>B351+1</f>
        <v>315</v>
      </c>
      <c r="C352" s="52" t="s">
        <v>555</v>
      </c>
      <c r="D352" s="55" t="s">
        <v>556</v>
      </c>
      <c r="E352" s="2" t="s">
        <v>225</v>
      </c>
      <c r="F352" s="71">
        <v>70815</v>
      </c>
      <c r="G352" s="29" t="s">
        <v>57</v>
      </c>
      <c r="H352" s="20"/>
      <c r="I352" s="20" t="s">
        <v>84</v>
      </c>
      <c r="J352" s="20" t="s">
        <v>83</v>
      </c>
      <c r="K352" s="71"/>
      <c r="L352" s="20" t="s">
        <v>42</v>
      </c>
      <c r="M352" s="20"/>
      <c r="N352" s="20"/>
      <c r="O352" s="20"/>
      <c r="P352" s="20"/>
      <c r="Q352" s="20"/>
      <c r="R352" s="20"/>
      <c r="S352" s="20"/>
      <c r="T352" s="26"/>
      <c r="U352" s="17"/>
    </row>
    <row r="353" spans="1:21" x14ac:dyDescent="0.25">
      <c r="A353" s="2"/>
      <c r="B353" s="20" t="s">
        <v>809</v>
      </c>
      <c r="C353" s="52" t="s">
        <v>810</v>
      </c>
      <c r="D353" s="55" t="s">
        <v>811</v>
      </c>
      <c r="E353" s="2" t="s">
        <v>215</v>
      </c>
      <c r="F353" s="71">
        <v>70815</v>
      </c>
      <c r="G353" s="29" t="s">
        <v>58</v>
      </c>
      <c r="H353" s="20" t="s">
        <v>72</v>
      </c>
      <c r="I353" s="20" t="s">
        <v>84</v>
      </c>
      <c r="J353" s="20" t="s">
        <v>83</v>
      </c>
      <c r="K353" s="71"/>
      <c r="L353" s="20" t="s">
        <v>23</v>
      </c>
      <c r="M353" s="20"/>
      <c r="N353" s="20"/>
      <c r="O353" s="20"/>
      <c r="P353" s="20"/>
      <c r="Q353" s="20"/>
      <c r="R353" s="20"/>
      <c r="S353" s="20"/>
      <c r="T353" s="26"/>
      <c r="U353" s="17"/>
    </row>
    <row r="354" spans="1:21" x14ac:dyDescent="0.25">
      <c r="A354" s="2" t="str">
        <f>IFERROR(VLOOKUP(B354,Clientes!A:B,2,0),"")</f>
        <v/>
      </c>
      <c r="B354" s="20">
        <f>B352+1</f>
        <v>316</v>
      </c>
      <c r="C354" s="52" t="s">
        <v>599</v>
      </c>
      <c r="D354" s="55" t="s">
        <v>600</v>
      </c>
      <c r="E354" s="2" t="s">
        <v>220</v>
      </c>
      <c r="F354" s="71">
        <v>70815</v>
      </c>
      <c r="G354" s="29" t="s">
        <v>58</v>
      </c>
      <c r="H354" s="20" t="s">
        <v>72</v>
      </c>
      <c r="I354" s="20" t="s">
        <v>84</v>
      </c>
      <c r="J354" s="20" t="s">
        <v>83</v>
      </c>
      <c r="K354" s="71"/>
      <c r="L354" s="20" t="s">
        <v>160</v>
      </c>
      <c r="M354" s="20"/>
      <c r="N354" s="20"/>
      <c r="O354" s="20"/>
      <c r="P354" s="20"/>
      <c r="Q354" s="20"/>
      <c r="R354" s="20"/>
      <c r="S354" s="20"/>
      <c r="T354" s="26"/>
      <c r="U354" s="17"/>
    </row>
    <row r="355" spans="1:21" x14ac:dyDescent="0.25">
      <c r="A355" s="2"/>
      <c r="B355" s="20" t="s">
        <v>823</v>
      </c>
      <c r="C355" s="52" t="s">
        <v>422</v>
      </c>
      <c r="D355" s="55" t="s">
        <v>825</v>
      </c>
      <c r="E355" s="2" t="s">
        <v>219</v>
      </c>
      <c r="F355" s="71">
        <v>70815</v>
      </c>
      <c r="G355" s="29" t="s">
        <v>57</v>
      </c>
      <c r="H355" s="20"/>
      <c r="I355" s="20"/>
      <c r="J355" s="20" t="s">
        <v>83</v>
      </c>
      <c r="K355" s="71"/>
      <c r="L355" s="20"/>
      <c r="M355" s="20"/>
      <c r="N355" s="20"/>
      <c r="O355" s="20"/>
      <c r="P355" s="20"/>
      <c r="Q355" s="20"/>
      <c r="R355" s="20"/>
      <c r="S355" s="20"/>
      <c r="T355" s="26"/>
      <c r="U355" s="17"/>
    </row>
    <row r="356" spans="1:21" x14ac:dyDescent="0.25">
      <c r="A356" s="2" t="str">
        <f>IFERROR(VLOOKUP(B356,Clientes!A:B,2,0),"")</f>
        <v/>
      </c>
      <c r="B356" s="20">
        <f>B354+1</f>
        <v>317</v>
      </c>
      <c r="C356" s="52" t="s">
        <v>814</v>
      </c>
      <c r="D356" s="55" t="s">
        <v>815</v>
      </c>
      <c r="E356" s="2" t="s">
        <v>221</v>
      </c>
      <c r="F356" s="71">
        <v>70815</v>
      </c>
      <c r="G356" s="29" t="s">
        <v>56</v>
      </c>
      <c r="H356" s="20" t="s">
        <v>72</v>
      </c>
      <c r="I356" s="20" t="s">
        <v>84</v>
      </c>
      <c r="J356" s="20" t="s">
        <v>83</v>
      </c>
      <c r="K356" s="71"/>
      <c r="L356" s="20"/>
      <c r="M356" s="20"/>
      <c r="N356" s="20"/>
      <c r="O356" s="20"/>
      <c r="P356" s="20"/>
      <c r="Q356" s="20"/>
      <c r="R356" s="20"/>
      <c r="S356" s="20"/>
      <c r="T356" s="26"/>
      <c r="U356" s="17"/>
    </row>
    <row r="357" spans="1:21" x14ac:dyDescent="0.25">
      <c r="A357" s="2"/>
      <c r="B357" s="20" t="s">
        <v>820</v>
      </c>
      <c r="C357" s="52" t="s">
        <v>821</v>
      </c>
      <c r="D357" s="55" t="s">
        <v>822</v>
      </c>
      <c r="E357" s="2" t="s">
        <v>223</v>
      </c>
      <c r="F357" s="71">
        <v>70815</v>
      </c>
      <c r="G357" s="29" t="s">
        <v>66</v>
      </c>
      <c r="H357" s="20"/>
      <c r="I357" s="20" t="s">
        <v>84</v>
      </c>
      <c r="J357" s="20" t="s">
        <v>81</v>
      </c>
      <c r="K357" s="71"/>
      <c r="L357" s="20"/>
      <c r="M357" s="20"/>
      <c r="N357" s="20"/>
      <c r="O357" s="20"/>
      <c r="P357" s="20"/>
      <c r="Q357" s="20"/>
      <c r="R357" s="20"/>
      <c r="S357" s="20"/>
      <c r="T357" s="26"/>
      <c r="U357" s="17"/>
    </row>
    <row r="358" spans="1:21" x14ac:dyDescent="0.25">
      <c r="A358" s="2" t="str">
        <f>IFERROR(VLOOKUP(B358,Clientes!A:B,2,0),"")</f>
        <v/>
      </c>
      <c r="B358" s="20">
        <f>B356+1</f>
        <v>318</v>
      </c>
      <c r="C358" s="52" t="s">
        <v>812</v>
      </c>
      <c r="D358" s="55" t="s">
        <v>813</v>
      </c>
      <c r="E358" s="2" t="s">
        <v>232</v>
      </c>
      <c r="F358" s="71">
        <v>70815</v>
      </c>
      <c r="G358" s="29" t="s">
        <v>58</v>
      </c>
      <c r="H358" s="20"/>
      <c r="I358" s="20" t="s">
        <v>84</v>
      </c>
      <c r="J358" s="20" t="s">
        <v>83</v>
      </c>
      <c r="K358" s="71"/>
      <c r="L358" s="20" t="s">
        <v>17</v>
      </c>
      <c r="M358" s="20"/>
      <c r="N358" s="20" t="s">
        <v>141</v>
      </c>
      <c r="O358" s="20"/>
      <c r="P358" s="20"/>
      <c r="Q358" s="20"/>
      <c r="R358" s="20"/>
      <c r="S358" s="20"/>
      <c r="T358" s="26"/>
      <c r="U358" s="17"/>
    </row>
    <row r="359" spans="1:21" x14ac:dyDescent="0.25">
      <c r="A359" s="2" t="str">
        <f>IFERROR(VLOOKUP(B359,Clientes!A:B,2,0),"")</f>
        <v/>
      </c>
      <c r="B359" s="20">
        <f t="shared" ref="B359:B364" si="29">B358+1</f>
        <v>319</v>
      </c>
      <c r="C359" s="52" t="s">
        <v>816</v>
      </c>
      <c r="D359" s="55" t="s">
        <v>817</v>
      </c>
      <c r="E359" s="2" t="s">
        <v>228</v>
      </c>
      <c r="F359" s="71">
        <v>100815</v>
      </c>
      <c r="G359" s="29" t="s">
        <v>56</v>
      </c>
      <c r="H359" s="20" t="s">
        <v>72</v>
      </c>
      <c r="I359" s="20" t="s">
        <v>84</v>
      </c>
      <c r="J359" s="20" t="s">
        <v>83</v>
      </c>
      <c r="K359" s="71"/>
      <c r="L359" s="20"/>
      <c r="M359" s="20"/>
      <c r="N359" s="20"/>
      <c r="O359" s="20"/>
      <c r="P359" s="20"/>
      <c r="Q359" s="20"/>
      <c r="R359" s="20"/>
      <c r="S359" s="20"/>
      <c r="T359" s="26"/>
      <c r="U359" s="17"/>
    </row>
    <row r="360" spans="1:21" x14ac:dyDescent="0.25">
      <c r="A360" s="2" t="str">
        <f>IFERROR(VLOOKUP(B360,Clientes!A:B,2,0),"")</f>
        <v/>
      </c>
      <c r="B360" s="20">
        <f t="shared" si="29"/>
        <v>320</v>
      </c>
      <c r="C360" s="52" t="s">
        <v>818</v>
      </c>
      <c r="D360" s="55" t="s">
        <v>819</v>
      </c>
      <c r="E360" s="2" t="s">
        <v>215</v>
      </c>
      <c r="F360" s="71">
        <v>100815</v>
      </c>
      <c r="G360" s="29" t="s">
        <v>58</v>
      </c>
      <c r="H360" s="20" t="s">
        <v>72</v>
      </c>
      <c r="I360" s="20" t="s">
        <v>84</v>
      </c>
      <c r="J360" s="20" t="s">
        <v>83</v>
      </c>
      <c r="K360" s="71"/>
      <c r="L360" s="20" t="s">
        <v>23</v>
      </c>
      <c r="M360" s="20"/>
      <c r="N360" s="20"/>
      <c r="O360" s="20"/>
      <c r="P360" s="20"/>
      <c r="Q360" s="20"/>
      <c r="R360" s="20"/>
      <c r="S360" s="20"/>
      <c r="T360" s="26"/>
      <c r="U360" s="17"/>
    </row>
    <row r="361" spans="1:21" x14ac:dyDescent="0.25">
      <c r="A361" s="2" t="str">
        <f>IFERROR(VLOOKUP(B361,Clientes!A:B,2,0),"")</f>
        <v/>
      </c>
      <c r="B361" s="20">
        <f t="shared" si="29"/>
        <v>321</v>
      </c>
      <c r="C361" s="52" t="s">
        <v>824</v>
      </c>
      <c r="D361" s="55" t="s">
        <v>582</v>
      </c>
      <c r="E361" s="2" t="s">
        <v>234</v>
      </c>
      <c r="F361" s="71">
        <v>100815</v>
      </c>
      <c r="G361" s="29" t="s">
        <v>57</v>
      </c>
      <c r="H361" s="20"/>
      <c r="I361" s="20" t="s">
        <v>84</v>
      </c>
      <c r="J361" s="20" t="s">
        <v>83</v>
      </c>
      <c r="K361" s="71"/>
      <c r="L361" s="55" t="s">
        <v>826</v>
      </c>
      <c r="M361" s="20"/>
      <c r="N361" s="20"/>
      <c r="O361" s="20"/>
      <c r="P361" s="20"/>
      <c r="Q361" s="20"/>
      <c r="R361" s="20"/>
      <c r="S361" s="20"/>
      <c r="T361" s="26"/>
      <c r="U361" s="17"/>
    </row>
    <row r="362" spans="1:21" x14ac:dyDescent="0.25">
      <c r="A362" s="2" t="str">
        <f>IFERROR(VLOOKUP(B362,Clientes!A:B,2,0),"")</f>
        <v/>
      </c>
      <c r="B362" s="20">
        <f t="shared" si="29"/>
        <v>322</v>
      </c>
      <c r="C362" s="52" t="s">
        <v>705</v>
      </c>
      <c r="D362" s="55" t="s">
        <v>828</v>
      </c>
      <c r="E362" s="2" t="s">
        <v>230</v>
      </c>
      <c r="F362" s="71">
        <v>110815</v>
      </c>
      <c r="G362" s="29" t="s">
        <v>58</v>
      </c>
      <c r="H362" s="20" t="s">
        <v>73</v>
      </c>
      <c r="I362" s="20" t="s">
        <v>84</v>
      </c>
      <c r="J362" s="20" t="s">
        <v>83</v>
      </c>
      <c r="K362" s="71"/>
      <c r="L362" s="20" t="s">
        <v>17</v>
      </c>
      <c r="M362" s="20"/>
      <c r="N362" s="20"/>
      <c r="O362" s="20"/>
      <c r="P362" s="20"/>
      <c r="Q362" s="20"/>
      <c r="R362" s="20"/>
      <c r="S362" s="20"/>
      <c r="T362" s="26"/>
      <c r="U362" s="17"/>
    </row>
    <row r="363" spans="1:21" x14ac:dyDescent="0.25">
      <c r="A363" s="2" t="str">
        <f>IFERROR(VLOOKUP(B363,Clientes!A:B,2,0),"")</f>
        <v/>
      </c>
      <c r="B363" s="20">
        <f t="shared" si="29"/>
        <v>323</v>
      </c>
      <c r="C363" s="52" t="s">
        <v>271</v>
      </c>
      <c r="D363" s="55" t="s">
        <v>272</v>
      </c>
      <c r="E363" s="2" t="s">
        <v>228</v>
      </c>
      <c r="F363" s="71">
        <v>110815</v>
      </c>
      <c r="G363" s="29" t="s">
        <v>58</v>
      </c>
      <c r="H363" s="20" t="s">
        <v>72</v>
      </c>
      <c r="I363" s="20" t="s">
        <v>84</v>
      </c>
      <c r="J363" s="20" t="s">
        <v>83</v>
      </c>
      <c r="K363" s="71"/>
      <c r="L363" s="20" t="s">
        <v>159</v>
      </c>
      <c r="M363" s="20"/>
      <c r="N363" s="20"/>
      <c r="O363" s="20"/>
      <c r="P363" s="20"/>
      <c r="Q363" s="20"/>
      <c r="R363" s="20"/>
      <c r="S363" s="20"/>
      <c r="T363" s="26"/>
      <c r="U363" s="17"/>
    </row>
    <row r="364" spans="1:21" x14ac:dyDescent="0.25">
      <c r="A364" s="2" t="str">
        <f>IFERROR(VLOOKUP(B364,Clientes!A:B,2,0),"")</f>
        <v/>
      </c>
      <c r="B364" s="20">
        <f t="shared" si="29"/>
        <v>324</v>
      </c>
      <c r="C364" s="52" t="s">
        <v>737</v>
      </c>
      <c r="D364" s="55" t="s">
        <v>738</v>
      </c>
      <c r="E364" s="2" t="s">
        <v>228</v>
      </c>
      <c r="F364" s="71">
        <v>120815</v>
      </c>
      <c r="G364" s="29" t="s">
        <v>58</v>
      </c>
      <c r="H364" s="55" t="s">
        <v>827</v>
      </c>
      <c r="I364" s="20" t="s">
        <v>84</v>
      </c>
      <c r="J364" s="20" t="s">
        <v>82</v>
      </c>
      <c r="K364" s="71"/>
      <c r="L364" s="20" t="s">
        <v>159</v>
      </c>
      <c r="M364" s="20"/>
      <c r="N364" s="20"/>
      <c r="O364" s="20"/>
      <c r="P364" s="20"/>
      <c r="Q364" s="20"/>
      <c r="R364" s="20"/>
      <c r="S364" s="20"/>
      <c r="T364" s="26"/>
      <c r="U364" s="17"/>
    </row>
    <row r="365" spans="1:21" x14ac:dyDescent="0.25">
      <c r="A365" s="2"/>
      <c r="B365" s="20" t="s">
        <v>845</v>
      </c>
      <c r="C365" s="52" t="s">
        <v>846</v>
      </c>
      <c r="D365" s="55" t="s">
        <v>847</v>
      </c>
      <c r="E365" s="2" t="s">
        <v>215</v>
      </c>
      <c r="F365" s="71">
        <v>130815</v>
      </c>
      <c r="G365" s="29" t="s">
        <v>58</v>
      </c>
      <c r="H365" s="20" t="s">
        <v>72</v>
      </c>
      <c r="I365" s="20" t="s">
        <v>84</v>
      </c>
      <c r="J365" s="20" t="s">
        <v>83</v>
      </c>
      <c r="K365" s="71"/>
      <c r="L365" s="20" t="s">
        <v>23</v>
      </c>
      <c r="M365" s="20"/>
      <c r="N365" s="20"/>
      <c r="O365" s="20"/>
      <c r="P365" s="20"/>
      <c r="Q365" s="20"/>
      <c r="R365" s="20"/>
      <c r="S365" s="20"/>
      <c r="T365" s="26"/>
      <c r="U365" s="17"/>
    </row>
    <row r="366" spans="1:21" x14ac:dyDescent="0.25">
      <c r="A366" s="2" t="str">
        <f>IFERROR(VLOOKUP(B366,Clientes!A:B,2,0),"")</f>
        <v/>
      </c>
      <c r="B366" s="20">
        <f>B364+1</f>
        <v>325</v>
      </c>
      <c r="C366" s="52" t="s">
        <v>829</v>
      </c>
      <c r="D366" s="55" t="s">
        <v>830</v>
      </c>
      <c r="E366" s="2" t="s">
        <v>225</v>
      </c>
      <c r="F366" s="71">
        <v>120815</v>
      </c>
      <c r="G366" s="29" t="s">
        <v>58</v>
      </c>
      <c r="H366" s="20" t="s">
        <v>72</v>
      </c>
      <c r="I366" s="20" t="s">
        <v>84</v>
      </c>
      <c r="J366" s="20" t="s">
        <v>83</v>
      </c>
      <c r="K366" s="71"/>
      <c r="L366" s="20" t="s">
        <v>23</v>
      </c>
      <c r="M366" s="20"/>
      <c r="N366" s="20"/>
      <c r="O366" s="20"/>
      <c r="P366" s="20"/>
      <c r="Q366" s="20"/>
      <c r="R366" s="20"/>
      <c r="S366" s="20"/>
      <c r="T366" s="26"/>
      <c r="U366" s="17"/>
    </row>
    <row r="367" spans="1:21" x14ac:dyDescent="0.25">
      <c r="A367" s="2" t="str">
        <f>IFERROR(VLOOKUP(B367,Clientes!A:B,2,0),"")</f>
        <v/>
      </c>
      <c r="B367" s="20">
        <f>B366+1</f>
        <v>326</v>
      </c>
      <c r="C367" s="52" t="s">
        <v>555</v>
      </c>
      <c r="D367" s="55" t="s">
        <v>556</v>
      </c>
      <c r="E367" s="2" t="s">
        <v>225</v>
      </c>
      <c r="F367" s="71">
        <v>120815</v>
      </c>
      <c r="G367" s="29" t="s">
        <v>58</v>
      </c>
      <c r="H367" s="20" t="s">
        <v>72</v>
      </c>
      <c r="I367" s="20" t="s">
        <v>84</v>
      </c>
      <c r="J367" s="20" t="s">
        <v>83</v>
      </c>
      <c r="K367" s="71"/>
      <c r="L367" s="20" t="s">
        <v>23</v>
      </c>
      <c r="M367" s="20"/>
      <c r="N367" s="20"/>
      <c r="O367" s="20"/>
      <c r="P367" s="20"/>
      <c r="Q367" s="20"/>
      <c r="R367" s="20"/>
      <c r="S367" s="20"/>
      <c r="T367" s="26"/>
      <c r="U367" s="17"/>
    </row>
    <row r="368" spans="1:21" x14ac:dyDescent="0.25">
      <c r="A368" s="2" t="str">
        <f>IFERROR(VLOOKUP(B368,Clientes!A:B,2,0),"")</f>
        <v/>
      </c>
      <c r="B368" s="20">
        <f>B367+1</f>
        <v>327</v>
      </c>
      <c r="C368" s="52" t="s">
        <v>833</v>
      </c>
      <c r="D368" s="55" t="s">
        <v>834</v>
      </c>
      <c r="E368" s="2" t="s">
        <v>230</v>
      </c>
      <c r="F368" s="71">
        <v>120815</v>
      </c>
      <c r="G368" s="29" t="s">
        <v>57</v>
      </c>
      <c r="H368" s="20"/>
      <c r="I368" s="20" t="s">
        <v>84</v>
      </c>
      <c r="J368" s="20" t="s">
        <v>81</v>
      </c>
      <c r="K368" s="71"/>
      <c r="L368" s="20" t="s">
        <v>17</v>
      </c>
      <c r="M368" s="20"/>
      <c r="N368" s="20"/>
      <c r="O368" s="20"/>
      <c r="P368" s="20"/>
      <c r="Q368" s="20"/>
      <c r="R368" s="20"/>
      <c r="S368" s="20"/>
      <c r="T368" s="26"/>
      <c r="U368" s="17"/>
    </row>
    <row r="369" spans="1:21" x14ac:dyDescent="0.25">
      <c r="A369" s="2" t="str">
        <f>IFERROR(VLOOKUP(B369,Clientes!A:B,2,0),"")</f>
        <v/>
      </c>
      <c r="B369" s="20">
        <f>B368+1</f>
        <v>328</v>
      </c>
      <c r="C369" s="52" t="s">
        <v>831</v>
      </c>
      <c r="D369" s="55" t="s">
        <v>832</v>
      </c>
      <c r="E369" s="2" t="s">
        <v>230</v>
      </c>
      <c r="F369" s="71">
        <v>120815</v>
      </c>
      <c r="G369" s="29" t="s">
        <v>57</v>
      </c>
      <c r="H369" s="20"/>
      <c r="I369" s="20" t="s">
        <v>84</v>
      </c>
      <c r="J369" s="20" t="s">
        <v>81</v>
      </c>
      <c r="K369" s="71"/>
      <c r="L369" s="20" t="s">
        <v>17</v>
      </c>
      <c r="M369" s="20"/>
      <c r="N369" s="20"/>
      <c r="O369" s="20"/>
      <c r="P369" s="20"/>
      <c r="Q369" s="20"/>
      <c r="R369" s="20"/>
      <c r="S369" s="20"/>
      <c r="T369" s="26"/>
      <c r="U369" s="17"/>
    </row>
    <row r="370" spans="1:21" x14ac:dyDescent="0.25">
      <c r="A370" s="2" t="str">
        <f>IFERROR(VLOOKUP(B370,Clientes!A:B,2,0),"")</f>
        <v/>
      </c>
      <c r="B370" s="20">
        <f>B369+1</f>
        <v>329</v>
      </c>
      <c r="C370" s="52" t="s">
        <v>283</v>
      </c>
      <c r="D370" s="55" t="s">
        <v>284</v>
      </c>
      <c r="E370" s="2" t="s">
        <v>228</v>
      </c>
      <c r="F370" s="71">
        <v>120815</v>
      </c>
      <c r="G370" s="29" t="s">
        <v>57</v>
      </c>
      <c r="H370" s="20"/>
      <c r="I370" s="20" t="s">
        <v>84</v>
      </c>
      <c r="J370" s="20" t="s">
        <v>81</v>
      </c>
      <c r="K370" s="71"/>
      <c r="L370" s="20" t="s">
        <v>159</v>
      </c>
      <c r="M370" s="20"/>
      <c r="N370" s="20"/>
      <c r="O370" s="20"/>
      <c r="P370" s="20"/>
      <c r="Q370" s="20"/>
      <c r="R370" s="20"/>
      <c r="S370" s="20"/>
      <c r="T370" s="26"/>
      <c r="U370" s="17"/>
    </row>
    <row r="371" spans="1:21" x14ac:dyDescent="0.25">
      <c r="A371" s="2"/>
      <c r="B371" s="20" t="s">
        <v>837</v>
      </c>
      <c r="C371" s="52" t="s">
        <v>838</v>
      </c>
      <c r="D371" s="55" t="s">
        <v>839</v>
      </c>
      <c r="E371" s="2" t="s">
        <v>225</v>
      </c>
      <c r="F371" s="71">
        <v>120815</v>
      </c>
      <c r="G371" s="29" t="s">
        <v>57</v>
      </c>
      <c r="H371" s="20"/>
      <c r="I371" s="20" t="s">
        <v>84</v>
      </c>
      <c r="J371" s="20" t="s">
        <v>1232</v>
      </c>
      <c r="K371" s="71"/>
      <c r="L371" s="20" t="s">
        <v>23</v>
      </c>
      <c r="M371" s="20"/>
      <c r="N371" s="20"/>
      <c r="O371" s="20"/>
      <c r="P371" s="20"/>
      <c r="Q371" s="20"/>
      <c r="R371" s="20"/>
      <c r="S371" s="20"/>
      <c r="T371" s="26"/>
      <c r="U371" s="17"/>
    </row>
    <row r="372" spans="1:21" x14ac:dyDescent="0.25">
      <c r="A372" s="2" t="str">
        <f>IFERROR(VLOOKUP(B372,Clientes!A:B,2,0),"")</f>
        <v/>
      </c>
      <c r="B372" s="20">
        <f>B370+1</f>
        <v>330</v>
      </c>
      <c r="C372" s="52" t="s">
        <v>840</v>
      </c>
      <c r="D372" s="55" t="s">
        <v>841</v>
      </c>
      <c r="E372" s="2" t="s">
        <v>215</v>
      </c>
      <c r="F372" s="71">
        <v>120815</v>
      </c>
      <c r="G372" s="29" t="s">
        <v>58</v>
      </c>
      <c r="H372" s="20" t="s">
        <v>73</v>
      </c>
      <c r="I372" s="20" t="s">
        <v>84</v>
      </c>
      <c r="J372" s="20" t="s">
        <v>83</v>
      </c>
      <c r="K372" s="71"/>
      <c r="L372" s="20" t="s">
        <v>23</v>
      </c>
      <c r="M372" s="20"/>
      <c r="N372" s="20"/>
      <c r="O372" s="20"/>
      <c r="P372" s="20"/>
      <c r="Q372" s="20"/>
      <c r="R372" s="20"/>
      <c r="S372" s="20"/>
      <c r="T372" s="26"/>
      <c r="U372" s="17"/>
    </row>
    <row r="373" spans="1:21" x14ac:dyDescent="0.25">
      <c r="A373" s="2"/>
      <c r="B373" s="20" t="s">
        <v>842</v>
      </c>
      <c r="C373" s="52" t="s">
        <v>791</v>
      </c>
      <c r="D373" s="55" t="s">
        <v>792</v>
      </c>
      <c r="E373" s="2" t="s">
        <v>215</v>
      </c>
      <c r="F373" s="71">
        <v>120815</v>
      </c>
      <c r="G373" s="29" t="s">
        <v>57</v>
      </c>
      <c r="H373" s="20"/>
      <c r="I373" s="20" t="s">
        <v>84</v>
      </c>
      <c r="J373" s="20" t="s">
        <v>82</v>
      </c>
      <c r="K373" s="71"/>
      <c r="L373" s="20" t="s">
        <v>23</v>
      </c>
      <c r="M373" s="20"/>
      <c r="N373" s="20"/>
      <c r="O373" s="20"/>
      <c r="P373" s="20"/>
      <c r="Q373" s="20"/>
      <c r="R373" s="20"/>
      <c r="S373" s="20"/>
      <c r="T373" s="26"/>
      <c r="U373" s="17"/>
    </row>
    <row r="374" spans="1:21" x14ac:dyDescent="0.25">
      <c r="A374" s="2" t="str">
        <f>IFERROR(VLOOKUP(B374,Clientes!A:B,2,0),"")</f>
        <v/>
      </c>
      <c r="B374" s="20">
        <f>B372+1</f>
        <v>331</v>
      </c>
      <c r="C374" s="52" t="s">
        <v>835</v>
      </c>
      <c r="D374" s="55" t="s">
        <v>836</v>
      </c>
      <c r="E374" s="2" t="s">
        <v>216</v>
      </c>
      <c r="F374" s="71">
        <v>130815</v>
      </c>
      <c r="G374" s="29" t="s">
        <v>56</v>
      </c>
      <c r="H374" s="20" t="s">
        <v>72</v>
      </c>
      <c r="I374" s="20" t="s">
        <v>84</v>
      </c>
      <c r="J374" s="20" t="s">
        <v>83</v>
      </c>
      <c r="K374" s="71"/>
      <c r="L374" s="20"/>
      <c r="M374" s="20"/>
      <c r="N374" s="20"/>
      <c r="O374" s="20"/>
      <c r="P374" s="20"/>
      <c r="Q374" s="20"/>
      <c r="R374" s="20"/>
      <c r="S374" s="20"/>
      <c r="T374" s="26"/>
      <c r="U374" s="17"/>
    </row>
    <row r="375" spans="1:21" x14ac:dyDescent="0.25">
      <c r="A375" s="2" t="str">
        <f>IFERROR(VLOOKUP(B375,Clientes!A:B,2,0),"")</f>
        <v/>
      </c>
      <c r="B375" s="20">
        <f t="shared" ref="B375:B380" si="30">B374+1</f>
        <v>332</v>
      </c>
      <c r="C375" s="52" t="s">
        <v>583</v>
      </c>
      <c r="D375" s="55" t="s">
        <v>584</v>
      </c>
      <c r="E375" s="2" t="s">
        <v>228</v>
      </c>
      <c r="F375" s="71">
        <v>130815</v>
      </c>
      <c r="G375" s="29" t="s">
        <v>56</v>
      </c>
      <c r="H375" s="20" t="s">
        <v>72</v>
      </c>
      <c r="I375" s="20" t="s">
        <v>84</v>
      </c>
      <c r="J375" s="20" t="s">
        <v>83</v>
      </c>
      <c r="K375" s="71"/>
      <c r="L375" s="20"/>
      <c r="M375" s="20"/>
      <c r="N375" s="20"/>
      <c r="O375" s="20"/>
      <c r="P375" s="20"/>
      <c r="Q375" s="20"/>
      <c r="R375" s="20"/>
      <c r="S375" s="20"/>
      <c r="T375" s="26"/>
      <c r="U375" s="17"/>
    </row>
    <row r="376" spans="1:21" x14ac:dyDescent="0.25">
      <c r="A376" s="2" t="str">
        <f>IFERROR(VLOOKUP(B376,Clientes!A:B,2,0),"")</f>
        <v/>
      </c>
      <c r="B376" s="20">
        <f t="shared" si="30"/>
        <v>333</v>
      </c>
      <c r="C376" s="52" t="s">
        <v>848</v>
      </c>
      <c r="D376" s="55" t="s">
        <v>849</v>
      </c>
      <c r="E376" s="2" t="s">
        <v>225</v>
      </c>
      <c r="F376" s="71">
        <v>130815</v>
      </c>
      <c r="G376" s="29" t="s">
        <v>57</v>
      </c>
      <c r="H376" s="20"/>
      <c r="I376" s="20" t="s">
        <v>84</v>
      </c>
      <c r="J376" s="20" t="s">
        <v>1232</v>
      </c>
      <c r="K376" s="71"/>
      <c r="L376" s="20" t="s">
        <v>23</v>
      </c>
      <c r="M376" s="20"/>
      <c r="N376" s="20"/>
      <c r="O376" s="20"/>
      <c r="P376" s="20"/>
      <c r="Q376" s="20"/>
      <c r="R376" s="20"/>
      <c r="S376" s="20"/>
      <c r="T376" s="26"/>
      <c r="U376" s="17"/>
    </row>
    <row r="377" spans="1:21" x14ac:dyDescent="0.25">
      <c r="A377" s="2" t="str">
        <f>IFERROR(VLOOKUP(B377,Clientes!A:B,2,0),"")</f>
        <v/>
      </c>
      <c r="B377" s="20">
        <f t="shared" si="30"/>
        <v>334</v>
      </c>
      <c r="C377" s="52" t="s">
        <v>850</v>
      </c>
      <c r="D377" s="55" t="s">
        <v>851</v>
      </c>
      <c r="E377" s="2" t="s">
        <v>225</v>
      </c>
      <c r="F377" s="71">
        <v>130815</v>
      </c>
      <c r="G377" s="29" t="s">
        <v>56</v>
      </c>
      <c r="H377" s="20" t="s">
        <v>72</v>
      </c>
      <c r="I377" s="20" t="s">
        <v>84</v>
      </c>
      <c r="J377" s="20" t="s">
        <v>83</v>
      </c>
      <c r="K377" s="71"/>
      <c r="L377" s="20"/>
      <c r="M377" s="20"/>
      <c r="N377" s="20"/>
      <c r="O377" s="20"/>
      <c r="P377" s="20"/>
      <c r="Q377" s="20"/>
      <c r="R377" s="20"/>
      <c r="S377" s="20"/>
      <c r="T377" s="26"/>
      <c r="U377" s="17"/>
    </row>
    <row r="378" spans="1:21" x14ac:dyDescent="0.25">
      <c r="A378" s="2" t="str">
        <f>IFERROR(VLOOKUP(B378,Clientes!A:B,2,0),"")</f>
        <v/>
      </c>
      <c r="B378" s="20">
        <f t="shared" si="30"/>
        <v>335</v>
      </c>
      <c r="C378" s="52" t="s">
        <v>475</v>
      </c>
      <c r="D378" s="55" t="s">
        <v>476</v>
      </c>
      <c r="E378" s="2" t="s">
        <v>225</v>
      </c>
      <c r="F378" s="71">
        <v>130815</v>
      </c>
      <c r="G378" s="55" t="s">
        <v>537</v>
      </c>
      <c r="H378" s="20"/>
      <c r="I378" s="20" t="s">
        <v>84</v>
      </c>
      <c r="J378" s="20" t="s">
        <v>82</v>
      </c>
      <c r="K378" s="71"/>
      <c r="L378" s="20"/>
      <c r="M378" s="20"/>
      <c r="N378" s="20"/>
      <c r="O378" s="20"/>
      <c r="P378" s="20"/>
      <c r="Q378" s="20"/>
      <c r="R378" s="20"/>
      <c r="S378" s="20"/>
      <c r="T378" s="26"/>
      <c r="U378" s="17"/>
    </row>
    <row r="379" spans="1:21" x14ac:dyDescent="0.25">
      <c r="A379" s="2" t="str">
        <f>IFERROR(VLOOKUP(B379,Clientes!A:B,2,0),"")</f>
        <v/>
      </c>
      <c r="B379" s="20">
        <f t="shared" si="30"/>
        <v>336</v>
      </c>
      <c r="C379" s="52" t="s">
        <v>843</v>
      </c>
      <c r="D379" s="55" t="s">
        <v>844</v>
      </c>
      <c r="E379" s="2" t="s">
        <v>222</v>
      </c>
      <c r="F379" s="71">
        <v>130815</v>
      </c>
      <c r="G379" s="29" t="s">
        <v>62</v>
      </c>
      <c r="H379" s="20"/>
      <c r="I379" s="20" t="s">
        <v>84</v>
      </c>
      <c r="J379" s="20" t="s">
        <v>81</v>
      </c>
      <c r="K379" s="71"/>
      <c r="L379" s="20"/>
      <c r="M379" s="20"/>
      <c r="N379" s="20"/>
      <c r="O379" s="20"/>
      <c r="P379" s="20"/>
      <c r="Q379" s="20"/>
      <c r="R379" s="20"/>
      <c r="S379" s="20"/>
      <c r="T379" s="26"/>
      <c r="U379" s="17"/>
    </row>
    <row r="380" spans="1:21" x14ac:dyDescent="0.25">
      <c r="A380" s="2" t="str">
        <f>IFERROR(VLOOKUP(B380,Clientes!A:B,2,0),"")</f>
        <v/>
      </c>
      <c r="B380" s="20">
        <f t="shared" si="30"/>
        <v>337</v>
      </c>
      <c r="C380" s="52" t="s">
        <v>243</v>
      </c>
      <c r="D380" s="55" t="s">
        <v>244</v>
      </c>
      <c r="E380" s="2" t="s">
        <v>218</v>
      </c>
      <c r="F380" s="71">
        <v>130815</v>
      </c>
      <c r="G380" s="29" t="s">
        <v>56</v>
      </c>
      <c r="H380" s="20" t="s">
        <v>72</v>
      </c>
      <c r="I380" s="20" t="s">
        <v>84</v>
      </c>
      <c r="J380" s="20" t="s">
        <v>83</v>
      </c>
      <c r="K380" s="71"/>
      <c r="L380" s="20"/>
      <c r="M380" s="20"/>
      <c r="N380" s="20"/>
      <c r="O380" s="20"/>
      <c r="P380" s="20"/>
      <c r="Q380" s="20"/>
      <c r="R380" s="20"/>
      <c r="S380" s="20"/>
      <c r="T380" s="26"/>
      <c r="U380" s="17"/>
    </row>
    <row r="381" spans="1:21" x14ac:dyDescent="0.25">
      <c r="A381" s="2" t="str">
        <f>IFERROR(VLOOKUP(B381,Clientes!A:B,2,0),"")</f>
        <v/>
      </c>
      <c r="B381" s="20">
        <f t="shared" ref="B381:B386" si="31">B380+1</f>
        <v>338</v>
      </c>
      <c r="C381" s="52" t="s">
        <v>852</v>
      </c>
      <c r="D381" s="55" t="s">
        <v>853</v>
      </c>
      <c r="E381" s="2" t="s">
        <v>222</v>
      </c>
      <c r="F381" s="71">
        <v>140815</v>
      </c>
      <c r="G381" s="29" t="s">
        <v>58</v>
      </c>
      <c r="H381" s="20" t="s">
        <v>73</v>
      </c>
      <c r="I381" s="20" t="s">
        <v>84</v>
      </c>
      <c r="J381" s="20" t="s">
        <v>83</v>
      </c>
      <c r="K381" s="71"/>
      <c r="L381" s="20" t="s">
        <v>21</v>
      </c>
      <c r="M381" s="20"/>
      <c r="N381" s="20"/>
      <c r="O381" s="20"/>
      <c r="P381" s="20"/>
      <c r="Q381" s="20"/>
      <c r="R381" s="20"/>
      <c r="S381" s="20"/>
      <c r="T381" s="26"/>
      <c r="U381" s="17"/>
    </row>
    <row r="382" spans="1:21" x14ac:dyDescent="0.25">
      <c r="A382" s="2" t="str">
        <f>IFERROR(VLOOKUP(B382,Clientes!A:B,2,0),"")</f>
        <v/>
      </c>
      <c r="B382" s="20">
        <f t="shared" si="31"/>
        <v>339</v>
      </c>
      <c r="C382" s="52" t="s">
        <v>854</v>
      </c>
      <c r="D382" s="55" t="s">
        <v>855</v>
      </c>
      <c r="E382" s="2" t="s">
        <v>218</v>
      </c>
      <c r="F382" s="71">
        <v>140815</v>
      </c>
      <c r="G382" s="29" t="s">
        <v>56</v>
      </c>
      <c r="H382" s="20" t="s">
        <v>73</v>
      </c>
      <c r="I382" s="20" t="s">
        <v>84</v>
      </c>
      <c r="J382" s="20" t="s">
        <v>83</v>
      </c>
      <c r="K382" s="71"/>
      <c r="L382" s="20"/>
      <c r="M382" s="20"/>
      <c r="N382" s="20"/>
      <c r="O382" s="20"/>
      <c r="P382" s="20"/>
      <c r="Q382" s="20"/>
      <c r="R382" s="20"/>
      <c r="S382" s="20"/>
      <c r="T382" s="26"/>
      <c r="U382" s="17"/>
    </row>
    <row r="383" spans="1:21" x14ac:dyDescent="0.25">
      <c r="A383" s="2" t="str">
        <f>IFERROR(VLOOKUP(B383,Clientes!A:B,2,0),"")</f>
        <v/>
      </c>
      <c r="B383" s="20">
        <f t="shared" si="31"/>
        <v>340</v>
      </c>
      <c r="C383" s="52" t="s">
        <v>612</v>
      </c>
      <c r="D383" s="55" t="s">
        <v>613</v>
      </c>
      <c r="E383" s="2" t="s">
        <v>218</v>
      </c>
      <c r="F383" s="71">
        <v>140815</v>
      </c>
      <c r="G383" s="29" t="s">
        <v>58</v>
      </c>
      <c r="H383" s="20" t="s">
        <v>72</v>
      </c>
      <c r="I383" s="20" t="s">
        <v>84</v>
      </c>
      <c r="J383" s="20" t="s">
        <v>83</v>
      </c>
      <c r="K383" s="71"/>
      <c r="L383" s="20" t="s">
        <v>157</v>
      </c>
      <c r="M383" s="20"/>
      <c r="N383" s="20"/>
      <c r="O383" s="20"/>
      <c r="P383" s="20"/>
      <c r="Q383" s="20"/>
      <c r="R383" s="20"/>
      <c r="S383" s="20"/>
      <c r="T383" s="26"/>
      <c r="U383" s="17"/>
    </row>
    <row r="384" spans="1:21" x14ac:dyDescent="0.25">
      <c r="A384" s="2" t="str">
        <f>IFERROR(VLOOKUP(B384,Clientes!A:B,2,0),"")</f>
        <v/>
      </c>
      <c r="B384" s="20">
        <f t="shared" si="31"/>
        <v>341</v>
      </c>
      <c r="C384" s="52" t="s">
        <v>703</v>
      </c>
      <c r="D384" s="55" t="s">
        <v>704</v>
      </c>
      <c r="E384" s="2" t="s">
        <v>223</v>
      </c>
      <c r="F384" s="71">
        <v>140815</v>
      </c>
      <c r="G384" s="29" t="s">
        <v>64</v>
      </c>
      <c r="H384" s="20" t="s">
        <v>72</v>
      </c>
      <c r="I384" s="20" t="s">
        <v>84</v>
      </c>
      <c r="J384" s="20" t="s">
        <v>83</v>
      </c>
      <c r="K384" s="71"/>
      <c r="L384" s="20"/>
      <c r="M384" s="20"/>
      <c r="N384" s="20"/>
      <c r="O384" s="20"/>
      <c r="P384" s="20"/>
      <c r="Q384" s="20"/>
      <c r="R384" s="20"/>
      <c r="S384" s="20"/>
      <c r="T384" s="26"/>
      <c r="U384" s="17"/>
    </row>
    <row r="385" spans="1:21" x14ac:dyDescent="0.25">
      <c r="A385" s="2" t="str">
        <f>IFERROR(VLOOKUP(B385,Clientes!A:B,2,0),"")</f>
        <v/>
      </c>
      <c r="B385" s="20">
        <f t="shared" si="31"/>
        <v>342</v>
      </c>
      <c r="C385" s="52" t="s">
        <v>357</v>
      </c>
      <c r="D385" s="55" t="s">
        <v>856</v>
      </c>
      <c r="E385" s="2" t="s">
        <v>218</v>
      </c>
      <c r="F385" s="71">
        <v>140815</v>
      </c>
      <c r="G385" s="29" t="s">
        <v>57</v>
      </c>
      <c r="H385" s="20"/>
      <c r="I385" s="20" t="s">
        <v>84</v>
      </c>
      <c r="J385" s="20" t="s">
        <v>81</v>
      </c>
      <c r="K385" s="71"/>
      <c r="L385" s="20" t="s">
        <v>17</v>
      </c>
      <c r="M385" s="20"/>
      <c r="N385" s="20"/>
      <c r="O385" s="20"/>
      <c r="P385" s="20"/>
      <c r="Q385" s="20"/>
      <c r="R385" s="20"/>
      <c r="S385" s="20"/>
      <c r="T385" s="26"/>
      <c r="U385" s="17"/>
    </row>
    <row r="386" spans="1:21" x14ac:dyDescent="0.25">
      <c r="A386" s="2" t="str">
        <f>IFERROR(VLOOKUP(B386,Clientes!A:B,2,0),"")</f>
        <v/>
      </c>
      <c r="B386" s="20">
        <f t="shared" si="31"/>
        <v>343</v>
      </c>
      <c r="C386" s="52" t="s">
        <v>448</v>
      </c>
      <c r="D386" s="55" t="s">
        <v>449</v>
      </c>
      <c r="E386" s="2" t="s">
        <v>223</v>
      </c>
      <c r="F386" s="71"/>
      <c r="G386" s="29" t="s">
        <v>58</v>
      </c>
      <c r="H386" s="20" t="s">
        <v>74</v>
      </c>
      <c r="I386" s="20" t="s">
        <v>84</v>
      </c>
      <c r="J386" s="20" t="s">
        <v>81</v>
      </c>
      <c r="K386" s="71"/>
      <c r="L386" s="20" t="s">
        <v>169</v>
      </c>
      <c r="M386" s="20"/>
      <c r="N386" s="20"/>
      <c r="O386" s="20"/>
      <c r="P386" s="20"/>
      <c r="Q386" s="20"/>
      <c r="R386" s="20"/>
      <c r="S386" s="20"/>
      <c r="T386" s="26"/>
      <c r="U386" s="17"/>
    </row>
    <row r="387" spans="1:21" x14ac:dyDescent="0.25">
      <c r="A387" s="2" t="str">
        <f>IFERROR(VLOOKUP(B387,Clientes!A:B,2,0),"")</f>
        <v/>
      </c>
      <c r="B387" s="20">
        <f t="shared" ref="B387:B408" si="32">B386+1</f>
        <v>344</v>
      </c>
      <c r="C387" s="52" t="s">
        <v>276</v>
      </c>
      <c r="D387" s="55" t="s">
        <v>277</v>
      </c>
      <c r="E387" s="2" t="s">
        <v>223</v>
      </c>
      <c r="F387" s="71"/>
      <c r="G387" s="29" t="s">
        <v>58</v>
      </c>
      <c r="H387" s="20" t="s">
        <v>72</v>
      </c>
      <c r="I387" s="20" t="s">
        <v>84</v>
      </c>
      <c r="J387" s="20" t="s">
        <v>83</v>
      </c>
      <c r="K387" s="71"/>
      <c r="L387" s="20" t="s">
        <v>169</v>
      </c>
      <c r="M387" s="20"/>
      <c r="N387" s="20"/>
      <c r="O387" s="20"/>
      <c r="P387" s="20"/>
      <c r="Q387" s="20"/>
      <c r="R387" s="20"/>
      <c r="S387" s="20"/>
      <c r="T387" s="26"/>
      <c r="U387" s="17"/>
    </row>
    <row r="388" spans="1:21" x14ac:dyDescent="0.25">
      <c r="A388" s="2" t="str">
        <f>IFERROR(VLOOKUP(B388,Clientes!A:B,2,0),"")</f>
        <v/>
      </c>
      <c r="B388" s="20">
        <f t="shared" si="32"/>
        <v>345</v>
      </c>
      <c r="C388" s="52" t="s">
        <v>854</v>
      </c>
      <c r="D388" s="55" t="s">
        <v>855</v>
      </c>
      <c r="E388" s="2" t="s">
        <v>218</v>
      </c>
      <c r="F388" s="71">
        <v>170815</v>
      </c>
      <c r="G388" s="29" t="s">
        <v>56</v>
      </c>
      <c r="H388" s="20" t="s">
        <v>73</v>
      </c>
      <c r="I388" s="20" t="s">
        <v>84</v>
      </c>
      <c r="J388" s="20" t="s">
        <v>83</v>
      </c>
      <c r="K388" s="71"/>
      <c r="L388" s="20"/>
      <c r="M388" s="20"/>
      <c r="N388" s="20"/>
      <c r="O388" s="20"/>
      <c r="P388" s="20"/>
      <c r="Q388" s="20"/>
      <c r="R388" s="20"/>
      <c r="S388" s="20"/>
      <c r="T388" s="26"/>
      <c r="U388" s="17"/>
    </row>
    <row r="389" spans="1:21" x14ac:dyDescent="0.25">
      <c r="A389" s="2" t="str">
        <f>IFERROR(VLOOKUP(B389,Clientes!A:B,2,0),"")</f>
        <v/>
      </c>
      <c r="B389" s="20">
        <f t="shared" si="32"/>
        <v>346</v>
      </c>
      <c r="C389" s="52" t="s">
        <v>859</v>
      </c>
      <c r="D389" s="55" t="s">
        <v>860</v>
      </c>
      <c r="E389" s="2" t="s">
        <v>218</v>
      </c>
      <c r="F389" s="71">
        <v>170815</v>
      </c>
      <c r="G389" s="29" t="s">
        <v>58</v>
      </c>
      <c r="H389" s="20" t="s">
        <v>72</v>
      </c>
      <c r="I389" s="20" t="s">
        <v>84</v>
      </c>
      <c r="J389" s="20" t="s">
        <v>81</v>
      </c>
      <c r="K389" s="71"/>
      <c r="L389" s="20" t="s">
        <v>162</v>
      </c>
      <c r="M389" s="20"/>
      <c r="N389" s="20"/>
      <c r="O389" s="20"/>
      <c r="P389" s="20"/>
      <c r="Q389" s="20"/>
      <c r="R389" s="20"/>
      <c r="S389" s="20"/>
      <c r="T389" s="26"/>
      <c r="U389" s="17"/>
    </row>
    <row r="390" spans="1:21" x14ac:dyDescent="0.25">
      <c r="A390" s="2" t="str">
        <f>IFERROR(VLOOKUP(B390,Clientes!A:B,2,0),"")</f>
        <v/>
      </c>
      <c r="B390" s="20">
        <f t="shared" si="32"/>
        <v>347</v>
      </c>
      <c r="C390" s="52" t="s">
        <v>871</v>
      </c>
      <c r="D390" s="55" t="s">
        <v>872</v>
      </c>
      <c r="E390" s="2" t="s">
        <v>235</v>
      </c>
      <c r="F390" s="71">
        <v>170815</v>
      </c>
      <c r="G390" s="29" t="s">
        <v>57</v>
      </c>
      <c r="H390" s="20"/>
      <c r="I390" s="20" t="s">
        <v>84</v>
      </c>
      <c r="J390" s="20" t="s">
        <v>83</v>
      </c>
      <c r="K390" s="71"/>
      <c r="L390" s="20" t="s">
        <v>21</v>
      </c>
      <c r="M390" s="20"/>
      <c r="N390" s="20"/>
      <c r="O390" s="20"/>
      <c r="P390" s="20"/>
      <c r="Q390" s="20"/>
      <c r="R390" s="20"/>
      <c r="S390" s="20"/>
      <c r="T390" s="26"/>
      <c r="U390" s="17"/>
    </row>
    <row r="391" spans="1:21" x14ac:dyDescent="0.25">
      <c r="A391" s="2"/>
      <c r="B391" s="20" t="s">
        <v>875</v>
      </c>
      <c r="C391" s="52" t="s">
        <v>705</v>
      </c>
      <c r="D391" s="55" t="s">
        <v>828</v>
      </c>
      <c r="E391" s="2" t="s">
        <v>230</v>
      </c>
      <c r="F391" s="71">
        <v>170815</v>
      </c>
      <c r="G391" s="29" t="s">
        <v>56</v>
      </c>
      <c r="H391" s="20" t="s">
        <v>72</v>
      </c>
      <c r="I391" s="20" t="s">
        <v>84</v>
      </c>
      <c r="J391" s="20" t="s">
        <v>83</v>
      </c>
      <c r="K391" s="71"/>
      <c r="L391" s="20"/>
      <c r="M391" s="20"/>
      <c r="N391" s="20"/>
      <c r="O391" s="20"/>
      <c r="P391" s="20"/>
      <c r="Q391" s="20"/>
      <c r="R391" s="20"/>
      <c r="S391" s="20"/>
      <c r="T391" s="26"/>
      <c r="U391" s="17"/>
    </row>
    <row r="392" spans="1:21" x14ac:dyDescent="0.25">
      <c r="A392" s="2" t="str">
        <f>IFERROR(VLOOKUP(B392,Clientes!A:B,2,0),"")</f>
        <v/>
      </c>
      <c r="B392" s="20">
        <f>B390+1</f>
        <v>348</v>
      </c>
      <c r="C392" s="52" t="s">
        <v>876</v>
      </c>
      <c r="D392" s="55" t="s">
        <v>877</v>
      </c>
      <c r="E392" s="2" t="s">
        <v>237</v>
      </c>
      <c r="F392" s="71">
        <v>170815</v>
      </c>
      <c r="G392" s="29" t="s">
        <v>56</v>
      </c>
      <c r="H392" s="20" t="s">
        <v>74</v>
      </c>
      <c r="I392" s="20" t="s">
        <v>84</v>
      </c>
      <c r="J392" s="20" t="s">
        <v>83</v>
      </c>
      <c r="K392" s="71"/>
      <c r="L392" s="20"/>
      <c r="M392" s="20"/>
      <c r="N392" s="20"/>
      <c r="O392" s="20"/>
      <c r="P392" s="20"/>
      <c r="Q392" s="20"/>
      <c r="R392" s="20"/>
      <c r="S392" s="20"/>
      <c r="T392" s="26"/>
      <c r="U392" s="17"/>
    </row>
    <row r="393" spans="1:21" x14ac:dyDescent="0.25">
      <c r="A393" s="2" t="str">
        <f>IFERROR(VLOOKUP(B393,Clientes!A:B,2,0),"")</f>
        <v/>
      </c>
      <c r="B393" s="20">
        <f t="shared" si="32"/>
        <v>349</v>
      </c>
      <c r="C393" s="52" t="s">
        <v>959</v>
      </c>
      <c r="D393" s="55" t="s">
        <v>960</v>
      </c>
      <c r="E393" s="2" t="s">
        <v>214</v>
      </c>
      <c r="F393" s="71">
        <v>180815</v>
      </c>
      <c r="G393" s="29" t="s">
        <v>58</v>
      </c>
      <c r="H393" s="20" t="s">
        <v>72</v>
      </c>
      <c r="I393" s="20" t="s">
        <v>84</v>
      </c>
      <c r="J393" s="20" t="s">
        <v>81</v>
      </c>
      <c r="K393" s="71"/>
      <c r="L393" s="20" t="s">
        <v>758</v>
      </c>
      <c r="M393" s="20"/>
      <c r="N393" s="20" t="s">
        <v>28</v>
      </c>
      <c r="O393" s="20"/>
      <c r="P393" s="20" t="s">
        <v>23</v>
      </c>
      <c r="Q393" s="20"/>
      <c r="R393" s="20"/>
      <c r="S393" s="20"/>
      <c r="T393" s="26"/>
      <c r="U393" s="17"/>
    </row>
    <row r="394" spans="1:21" x14ac:dyDescent="0.25">
      <c r="A394" s="2" t="str">
        <f>IFERROR(VLOOKUP(B394,Clientes!A:B,2,0),"")</f>
        <v/>
      </c>
      <c r="B394" s="20">
        <f t="shared" si="32"/>
        <v>350</v>
      </c>
      <c r="C394" s="52" t="s">
        <v>464</v>
      </c>
      <c r="D394" s="55" t="s">
        <v>465</v>
      </c>
      <c r="E394" s="2" t="s">
        <v>218</v>
      </c>
      <c r="F394" s="71">
        <v>180815</v>
      </c>
      <c r="G394" s="29" t="s">
        <v>58</v>
      </c>
      <c r="H394" s="20" t="s">
        <v>72</v>
      </c>
      <c r="I394" s="20" t="s">
        <v>84</v>
      </c>
      <c r="J394" s="20" t="s">
        <v>81</v>
      </c>
      <c r="K394" s="71"/>
      <c r="L394" s="20" t="s">
        <v>157</v>
      </c>
      <c r="M394" s="20"/>
      <c r="N394" s="20"/>
      <c r="O394" s="20"/>
      <c r="P394" s="20"/>
      <c r="Q394" s="20"/>
      <c r="R394" s="20"/>
      <c r="S394" s="20"/>
      <c r="T394" s="26"/>
      <c r="U394" s="17"/>
    </row>
    <row r="395" spans="1:21" x14ac:dyDescent="0.25">
      <c r="A395" s="2" t="str">
        <f>IFERROR(VLOOKUP(B395,Clientes!A:B,2,0),"")</f>
        <v/>
      </c>
      <c r="B395" s="20">
        <f t="shared" si="32"/>
        <v>351</v>
      </c>
      <c r="C395" s="52" t="s">
        <v>625</v>
      </c>
      <c r="D395" s="55" t="s">
        <v>626</v>
      </c>
      <c r="E395" s="2" t="s">
        <v>227</v>
      </c>
      <c r="F395" s="71">
        <v>180815</v>
      </c>
      <c r="G395" s="29" t="s">
        <v>56</v>
      </c>
      <c r="H395" s="20" t="s">
        <v>72</v>
      </c>
      <c r="I395" s="20" t="s">
        <v>84</v>
      </c>
      <c r="J395" s="20" t="s">
        <v>83</v>
      </c>
      <c r="K395" s="71"/>
      <c r="L395" s="20"/>
      <c r="M395" s="20"/>
      <c r="N395" s="20"/>
      <c r="O395" s="20"/>
      <c r="P395" s="20"/>
      <c r="Q395" s="20"/>
      <c r="R395" s="20"/>
      <c r="S395" s="20"/>
      <c r="T395" s="26"/>
      <c r="U395" s="17"/>
    </row>
    <row r="396" spans="1:21" x14ac:dyDescent="0.25">
      <c r="A396" s="2" t="str">
        <f>IFERROR(VLOOKUP(B396,Clientes!A:B,2,0),"")</f>
        <v/>
      </c>
      <c r="B396" s="20">
        <f t="shared" si="32"/>
        <v>352</v>
      </c>
      <c r="C396" s="52" t="s">
        <v>327</v>
      </c>
      <c r="D396" s="55" t="s">
        <v>328</v>
      </c>
      <c r="E396" s="2" t="s">
        <v>231</v>
      </c>
      <c r="F396" s="71">
        <v>180815</v>
      </c>
      <c r="G396" s="29" t="s">
        <v>56</v>
      </c>
      <c r="H396" s="20" t="s">
        <v>72</v>
      </c>
      <c r="I396" s="20" t="s">
        <v>84</v>
      </c>
      <c r="J396" s="20" t="s">
        <v>1232</v>
      </c>
      <c r="K396" s="71"/>
      <c r="L396" s="20"/>
      <c r="M396" s="20"/>
      <c r="N396" s="20"/>
      <c r="O396" s="20"/>
      <c r="P396" s="20"/>
      <c r="Q396" s="20"/>
      <c r="R396" s="20"/>
      <c r="S396" s="20"/>
      <c r="T396" s="26"/>
      <c r="U396" s="17"/>
    </row>
    <row r="397" spans="1:21" x14ac:dyDescent="0.25">
      <c r="A397" s="2" t="str">
        <f>IFERROR(VLOOKUP(B397,Clientes!A:B,2,0),"")</f>
        <v/>
      </c>
      <c r="B397" s="20">
        <f t="shared" si="32"/>
        <v>353</v>
      </c>
      <c r="C397" s="52" t="s">
        <v>878</v>
      </c>
      <c r="D397" s="55" t="s">
        <v>879</v>
      </c>
      <c r="E397" s="2" t="s">
        <v>231</v>
      </c>
      <c r="F397" s="71">
        <v>180815</v>
      </c>
      <c r="G397" s="29" t="s">
        <v>56</v>
      </c>
      <c r="H397" s="20" t="s">
        <v>73</v>
      </c>
      <c r="I397" s="20" t="s">
        <v>84</v>
      </c>
      <c r="J397" s="20" t="s">
        <v>1232</v>
      </c>
      <c r="K397" s="71"/>
      <c r="L397" s="20"/>
      <c r="M397" s="20"/>
      <c r="N397" s="20"/>
      <c r="O397" s="20"/>
      <c r="P397" s="20"/>
      <c r="Q397" s="20"/>
      <c r="R397" s="20"/>
      <c r="S397" s="20"/>
      <c r="T397" s="26"/>
      <c r="U397" s="17"/>
    </row>
    <row r="398" spans="1:21" x14ac:dyDescent="0.25">
      <c r="A398" s="2" t="str">
        <f>IFERROR(VLOOKUP(B398,Clientes!A:B,2,0),"")</f>
        <v/>
      </c>
      <c r="B398" s="20">
        <f t="shared" si="32"/>
        <v>354</v>
      </c>
      <c r="C398" s="52" t="s">
        <v>753</v>
      </c>
      <c r="D398" s="55" t="s">
        <v>754</v>
      </c>
      <c r="E398" s="2" t="s">
        <v>239</v>
      </c>
      <c r="F398" s="71">
        <v>180815</v>
      </c>
      <c r="G398" s="29" t="s">
        <v>56</v>
      </c>
      <c r="H398" s="20" t="s">
        <v>73</v>
      </c>
      <c r="I398" s="20" t="s">
        <v>84</v>
      </c>
      <c r="J398" s="20" t="s">
        <v>83</v>
      </c>
      <c r="K398" s="71"/>
      <c r="L398" s="20"/>
      <c r="M398" s="20"/>
      <c r="N398" s="20"/>
      <c r="O398" s="20"/>
      <c r="P398" s="20"/>
      <c r="Q398" s="20"/>
      <c r="R398" s="20"/>
      <c r="S398" s="20"/>
      <c r="T398" s="26"/>
      <c r="U398" s="17"/>
    </row>
    <row r="399" spans="1:21" x14ac:dyDescent="0.25">
      <c r="A399" s="2" t="str">
        <f>IFERROR(VLOOKUP(B399,Clientes!A:B,2,0),"")</f>
        <v/>
      </c>
      <c r="B399" s="20">
        <f t="shared" si="32"/>
        <v>355</v>
      </c>
      <c r="C399" s="52" t="s">
        <v>865</v>
      </c>
      <c r="D399" s="55" t="s">
        <v>866</v>
      </c>
      <c r="E399" s="2" t="s">
        <v>222</v>
      </c>
      <c r="F399" s="71">
        <v>180815</v>
      </c>
      <c r="G399" s="29" t="s">
        <v>57</v>
      </c>
      <c r="H399" s="55" t="s">
        <v>537</v>
      </c>
      <c r="I399" s="20" t="s">
        <v>84</v>
      </c>
      <c r="J399" s="20" t="s">
        <v>82</v>
      </c>
      <c r="K399" s="71"/>
      <c r="L399" s="20" t="s">
        <v>142</v>
      </c>
      <c r="M399" s="20"/>
      <c r="N399" s="20"/>
      <c r="O399" s="20"/>
      <c r="P399" s="20"/>
      <c r="Q399" s="20"/>
      <c r="R399" s="20"/>
      <c r="S399" s="20"/>
      <c r="T399" s="26"/>
      <c r="U399" s="17"/>
    </row>
    <row r="400" spans="1:21" x14ac:dyDescent="0.25">
      <c r="A400" s="2" t="str">
        <f>IFERROR(VLOOKUP(B400,Clientes!A:B,2,0),"")</f>
        <v/>
      </c>
      <c r="B400" s="20">
        <f t="shared" si="32"/>
        <v>356</v>
      </c>
      <c r="C400" s="52" t="s">
        <v>863</v>
      </c>
      <c r="D400" s="55" t="s">
        <v>864</v>
      </c>
      <c r="E400" s="2" t="s">
        <v>229</v>
      </c>
      <c r="F400" s="71">
        <v>180815</v>
      </c>
      <c r="G400" s="29" t="s">
        <v>58</v>
      </c>
      <c r="H400" s="55" t="s">
        <v>537</v>
      </c>
      <c r="I400" s="20" t="s">
        <v>84</v>
      </c>
      <c r="J400" s="20" t="s">
        <v>82</v>
      </c>
      <c r="K400" s="71"/>
      <c r="L400" s="20" t="s">
        <v>159</v>
      </c>
      <c r="M400" s="20"/>
      <c r="N400" s="20" t="s">
        <v>758</v>
      </c>
      <c r="O400" s="20"/>
      <c r="P400" s="20"/>
      <c r="Q400" s="20"/>
      <c r="R400" s="20"/>
      <c r="S400" s="20"/>
      <c r="T400" s="26"/>
      <c r="U400" s="17"/>
    </row>
    <row r="401" spans="1:21" x14ac:dyDescent="0.25">
      <c r="A401" s="2" t="str">
        <f>IFERROR(VLOOKUP(B401,Clientes!A:B,2,0),"")</f>
        <v/>
      </c>
      <c r="B401" s="20">
        <f t="shared" si="32"/>
        <v>357</v>
      </c>
      <c r="C401" s="52" t="s">
        <v>867</v>
      </c>
      <c r="D401" s="55" t="s">
        <v>868</v>
      </c>
      <c r="E401" s="2" t="s">
        <v>218</v>
      </c>
      <c r="F401" s="71">
        <v>180815</v>
      </c>
      <c r="G401" s="29" t="s">
        <v>57</v>
      </c>
      <c r="H401" s="20"/>
      <c r="I401" s="20" t="s">
        <v>84</v>
      </c>
      <c r="J401" s="20" t="s">
        <v>83</v>
      </c>
      <c r="K401" s="71"/>
      <c r="L401" s="20" t="s">
        <v>157</v>
      </c>
      <c r="M401" s="20"/>
      <c r="N401" s="20"/>
      <c r="O401" s="20"/>
      <c r="P401" s="20"/>
      <c r="Q401" s="20"/>
      <c r="R401" s="20"/>
      <c r="S401" s="20"/>
      <c r="T401" s="26"/>
      <c r="U401" s="17"/>
    </row>
    <row r="402" spans="1:21" x14ac:dyDescent="0.25">
      <c r="A402" s="2" t="str">
        <f>IFERROR(VLOOKUP(B402,Clientes!A:B,2,0),"")</f>
        <v/>
      </c>
      <c r="B402" s="20">
        <f t="shared" si="32"/>
        <v>358</v>
      </c>
      <c r="C402" s="52" t="s">
        <v>681</v>
      </c>
      <c r="D402" s="55" t="s">
        <v>682</v>
      </c>
      <c r="E402" s="2" t="s">
        <v>216</v>
      </c>
      <c r="F402" s="71">
        <v>180815</v>
      </c>
      <c r="G402" s="29" t="s">
        <v>57</v>
      </c>
      <c r="H402" s="20"/>
      <c r="I402" s="20" t="s">
        <v>84</v>
      </c>
      <c r="J402" s="20" t="s">
        <v>83</v>
      </c>
      <c r="K402" s="71"/>
      <c r="L402" s="20" t="s">
        <v>28</v>
      </c>
      <c r="M402" s="20"/>
      <c r="N402" s="20"/>
      <c r="O402" s="20"/>
      <c r="P402" s="20"/>
      <c r="Q402" s="20"/>
      <c r="R402" s="20"/>
      <c r="S402" s="20"/>
      <c r="T402" s="26"/>
      <c r="U402" s="17"/>
    </row>
    <row r="403" spans="1:21" x14ac:dyDescent="0.25">
      <c r="A403" s="2" t="str">
        <f>IFERROR(VLOOKUP(B403,Clientes!A:B,2,0),"")</f>
        <v/>
      </c>
      <c r="B403" s="20">
        <f t="shared" si="32"/>
        <v>359</v>
      </c>
      <c r="C403" s="52" t="s">
        <v>880</v>
      </c>
      <c r="D403" s="55" t="s">
        <v>881</v>
      </c>
      <c r="E403" s="2" t="s">
        <v>238</v>
      </c>
      <c r="F403" s="71">
        <v>180815</v>
      </c>
      <c r="G403" s="29" t="s">
        <v>56</v>
      </c>
      <c r="H403" s="20" t="s">
        <v>72</v>
      </c>
      <c r="I403" s="20" t="s">
        <v>84</v>
      </c>
      <c r="J403" s="20" t="s">
        <v>83</v>
      </c>
      <c r="K403" s="71"/>
      <c r="L403" s="20"/>
      <c r="M403" s="20"/>
      <c r="N403" s="20"/>
      <c r="O403" s="20"/>
      <c r="P403" s="20"/>
      <c r="Q403" s="20"/>
      <c r="R403" s="20"/>
      <c r="S403" s="20"/>
      <c r="T403" s="26"/>
      <c r="U403" s="17"/>
    </row>
    <row r="404" spans="1:21" x14ac:dyDescent="0.25">
      <c r="A404" s="2"/>
      <c r="B404" s="20" t="s">
        <v>922</v>
      </c>
      <c r="C404" s="52" t="s">
        <v>923</v>
      </c>
      <c r="D404" s="55" t="s">
        <v>924</v>
      </c>
      <c r="E404" s="2" t="s">
        <v>236</v>
      </c>
      <c r="F404" s="71">
        <v>270815</v>
      </c>
      <c r="G404" s="29" t="s">
        <v>56</v>
      </c>
      <c r="H404" s="55" t="s">
        <v>537</v>
      </c>
      <c r="I404" s="20" t="s">
        <v>84</v>
      </c>
      <c r="J404" s="20" t="s">
        <v>81</v>
      </c>
      <c r="K404" s="71"/>
      <c r="L404" s="20"/>
      <c r="M404" s="20"/>
      <c r="N404" s="20"/>
      <c r="O404" s="20"/>
      <c r="P404" s="20"/>
      <c r="Q404" s="20"/>
      <c r="R404" s="20"/>
      <c r="S404" s="20"/>
      <c r="T404" s="26"/>
      <c r="U404" s="17"/>
    </row>
    <row r="405" spans="1:21" x14ac:dyDescent="0.25">
      <c r="A405" s="2" t="str">
        <f>IFERROR(VLOOKUP(B405,Clientes!A:B,2,0),"")</f>
        <v/>
      </c>
      <c r="B405" s="20">
        <f>B403+1</f>
        <v>360</v>
      </c>
      <c r="C405" s="52" t="s">
        <v>869</v>
      </c>
      <c r="D405" s="55" t="s">
        <v>870</v>
      </c>
      <c r="E405" s="2" t="s">
        <v>221</v>
      </c>
      <c r="F405" s="71">
        <v>180815</v>
      </c>
      <c r="G405" s="29" t="s">
        <v>58</v>
      </c>
      <c r="H405" s="55" t="s">
        <v>537</v>
      </c>
      <c r="I405" s="20" t="s">
        <v>84</v>
      </c>
      <c r="J405" s="20" t="s">
        <v>81</v>
      </c>
      <c r="K405" s="71"/>
      <c r="L405" s="20" t="s">
        <v>157</v>
      </c>
      <c r="M405" s="20"/>
      <c r="N405" s="20"/>
      <c r="O405" s="20"/>
      <c r="P405" s="20"/>
      <c r="Q405" s="20"/>
      <c r="R405" s="20"/>
      <c r="S405" s="20"/>
      <c r="T405" s="26"/>
      <c r="U405" s="17"/>
    </row>
    <row r="406" spans="1:21" x14ac:dyDescent="0.25">
      <c r="A406" s="2" t="str">
        <f>IFERROR(VLOOKUP(B406,Clientes!A:B,2,0),"")</f>
        <v/>
      </c>
      <c r="B406" s="20">
        <f t="shared" si="32"/>
        <v>361</v>
      </c>
      <c r="C406" s="52" t="s">
        <v>505</v>
      </c>
      <c r="D406" s="55" t="s">
        <v>506</v>
      </c>
      <c r="E406" s="2" t="s">
        <v>238</v>
      </c>
      <c r="F406" s="71">
        <v>180815</v>
      </c>
      <c r="G406" s="29" t="s">
        <v>65</v>
      </c>
      <c r="H406" s="55" t="s">
        <v>537</v>
      </c>
      <c r="I406" s="20" t="s">
        <v>84</v>
      </c>
      <c r="J406" s="20" t="s">
        <v>81</v>
      </c>
      <c r="K406" s="71"/>
      <c r="L406" s="20"/>
      <c r="M406" s="20"/>
      <c r="N406" s="20"/>
      <c r="O406" s="20"/>
      <c r="P406" s="20"/>
      <c r="Q406" s="20"/>
      <c r="R406" s="20"/>
      <c r="S406" s="20"/>
      <c r="T406" s="26"/>
      <c r="U406" s="17"/>
    </row>
    <row r="407" spans="1:21" x14ac:dyDescent="0.25">
      <c r="A407" s="2" t="str">
        <f>IFERROR(VLOOKUP(B407,Clientes!A:B,2,0),"")</f>
        <v/>
      </c>
      <c r="B407" s="20">
        <f t="shared" si="32"/>
        <v>362</v>
      </c>
      <c r="C407" s="52" t="s">
        <v>861</v>
      </c>
      <c r="D407" s="55" t="s">
        <v>862</v>
      </c>
      <c r="E407" s="2" t="s">
        <v>222</v>
      </c>
      <c r="F407" s="71">
        <v>190815</v>
      </c>
      <c r="G407" s="29" t="s">
        <v>57</v>
      </c>
      <c r="H407" s="20"/>
      <c r="I407" s="20" t="s">
        <v>84</v>
      </c>
      <c r="J407" s="20" t="s">
        <v>83</v>
      </c>
      <c r="K407" s="71"/>
      <c r="L407" s="20" t="s">
        <v>157</v>
      </c>
      <c r="M407" s="20"/>
      <c r="N407" s="20"/>
      <c r="O407" s="20"/>
      <c r="P407" s="20"/>
      <c r="Q407" s="20"/>
      <c r="R407" s="20"/>
      <c r="S407" s="20"/>
      <c r="T407" s="26"/>
      <c r="U407" s="17"/>
    </row>
    <row r="408" spans="1:21" x14ac:dyDescent="0.25">
      <c r="A408" s="2" t="str">
        <f>IFERROR(VLOOKUP(B408,Clientes!A:B,2,0),"")</f>
        <v/>
      </c>
      <c r="B408" s="20">
        <f t="shared" si="32"/>
        <v>363</v>
      </c>
      <c r="C408" s="52" t="s">
        <v>857</v>
      </c>
      <c r="D408" s="55" t="s">
        <v>858</v>
      </c>
      <c r="E408" s="2" t="s">
        <v>222</v>
      </c>
      <c r="F408" s="71">
        <v>190815</v>
      </c>
      <c r="G408" s="29" t="s">
        <v>57</v>
      </c>
      <c r="H408" s="20"/>
      <c r="I408" s="20" t="s">
        <v>84</v>
      </c>
      <c r="J408" s="20" t="s">
        <v>83</v>
      </c>
      <c r="K408" s="71"/>
      <c r="L408" s="20" t="s">
        <v>157</v>
      </c>
      <c r="M408" s="20"/>
      <c r="N408" s="20"/>
      <c r="O408" s="20"/>
      <c r="P408" s="20"/>
      <c r="Q408" s="20"/>
      <c r="R408" s="20"/>
      <c r="S408" s="20"/>
      <c r="T408" s="26"/>
      <c r="U408" s="17"/>
    </row>
    <row r="409" spans="1:21" x14ac:dyDescent="0.25">
      <c r="A409" s="2" t="str">
        <f>IFERROR(VLOOKUP(B409,Clientes!A:B,2,0),"")</f>
        <v/>
      </c>
      <c r="B409" s="20">
        <f t="shared" ref="B409:B416" si="33">B408+1</f>
        <v>364</v>
      </c>
      <c r="C409" s="52" t="s">
        <v>262</v>
      </c>
      <c r="D409" s="55" t="s">
        <v>263</v>
      </c>
      <c r="E409" s="2" t="s">
        <v>218</v>
      </c>
      <c r="F409" s="71">
        <v>190815</v>
      </c>
      <c r="G409" s="29" t="s">
        <v>57</v>
      </c>
      <c r="H409" s="55" t="s">
        <v>537</v>
      </c>
      <c r="I409" s="20" t="s">
        <v>84</v>
      </c>
      <c r="J409" s="20" t="s">
        <v>81</v>
      </c>
      <c r="K409" s="71"/>
      <c r="L409" s="20" t="s">
        <v>157</v>
      </c>
      <c r="M409" s="20"/>
      <c r="N409" s="20"/>
      <c r="O409" s="20"/>
      <c r="P409" s="20"/>
      <c r="Q409" s="20"/>
      <c r="R409" s="20"/>
      <c r="S409" s="20"/>
      <c r="T409" s="26"/>
      <c r="U409" s="17"/>
    </row>
    <row r="410" spans="1:21" x14ac:dyDescent="0.25">
      <c r="A410" s="2" t="str">
        <f>IFERROR(VLOOKUP(B410,Clientes!A:B,2,0),"")</f>
        <v/>
      </c>
      <c r="B410" s="20">
        <f t="shared" si="33"/>
        <v>365</v>
      </c>
      <c r="C410" s="52" t="s">
        <v>873</v>
      </c>
      <c r="D410" s="55" t="s">
        <v>874</v>
      </c>
      <c r="E410" s="2" t="s">
        <v>218</v>
      </c>
      <c r="F410" s="71">
        <v>190815</v>
      </c>
      <c r="G410" s="29" t="s">
        <v>58</v>
      </c>
      <c r="H410" s="20" t="s">
        <v>72</v>
      </c>
      <c r="I410" s="20" t="s">
        <v>84</v>
      </c>
      <c r="J410" s="20" t="s">
        <v>83</v>
      </c>
      <c r="K410" s="71"/>
      <c r="L410" s="20" t="s">
        <v>157</v>
      </c>
      <c r="M410" s="20"/>
      <c r="N410" s="20" t="s">
        <v>15</v>
      </c>
      <c r="O410" s="20"/>
      <c r="P410" s="20"/>
      <c r="Q410" s="20"/>
      <c r="R410" s="20"/>
      <c r="S410" s="20"/>
      <c r="T410" s="26"/>
      <c r="U410" s="17"/>
    </row>
    <row r="411" spans="1:21" x14ac:dyDescent="0.25">
      <c r="A411" s="2" t="str">
        <f>IFERROR(VLOOKUP(B411,Clientes!A:B,2,0),"")</f>
        <v/>
      </c>
      <c r="B411" s="20">
        <f t="shared" si="33"/>
        <v>366</v>
      </c>
      <c r="C411" s="52" t="s">
        <v>577</v>
      </c>
      <c r="D411" s="55" t="s">
        <v>578</v>
      </c>
      <c r="E411" s="2" t="s">
        <v>225</v>
      </c>
      <c r="F411" s="71">
        <v>200815</v>
      </c>
      <c r="G411" s="29" t="s">
        <v>67</v>
      </c>
      <c r="H411" s="20" t="s">
        <v>72</v>
      </c>
      <c r="I411" s="20" t="s">
        <v>84</v>
      </c>
      <c r="J411" s="20" t="s">
        <v>82</v>
      </c>
      <c r="K411" s="71"/>
      <c r="L411" s="20"/>
      <c r="M411" s="20"/>
      <c r="N411" s="20"/>
      <c r="O411" s="20"/>
      <c r="P411" s="20"/>
      <c r="Q411" s="20"/>
      <c r="R411" s="20"/>
      <c r="S411" s="20"/>
      <c r="T411" s="26"/>
      <c r="U411" s="17"/>
    </row>
    <row r="412" spans="1:21" x14ac:dyDescent="0.25">
      <c r="A412" s="2"/>
      <c r="B412" s="20" t="s">
        <v>932</v>
      </c>
      <c r="C412" s="52" t="s">
        <v>521</v>
      </c>
      <c r="D412" s="55" t="s">
        <v>522</v>
      </c>
      <c r="E412" s="2" t="s">
        <v>217</v>
      </c>
      <c r="F412" s="71">
        <v>200815</v>
      </c>
      <c r="G412" s="29" t="s">
        <v>56</v>
      </c>
      <c r="H412" s="20" t="s">
        <v>72</v>
      </c>
      <c r="I412" s="20" t="s">
        <v>84</v>
      </c>
      <c r="J412" s="20" t="s">
        <v>81</v>
      </c>
      <c r="K412" s="71"/>
      <c r="L412" s="20"/>
      <c r="M412" s="20"/>
      <c r="N412" s="20"/>
      <c r="O412" s="20"/>
      <c r="P412" s="20"/>
      <c r="Q412" s="20"/>
      <c r="R412" s="20"/>
      <c r="S412" s="20"/>
      <c r="T412" s="26"/>
      <c r="U412" s="17"/>
    </row>
    <row r="413" spans="1:21" x14ac:dyDescent="0.25">
      <c r="A413" s="2" t="str">
        <f>IFERROR(VLOOKUP(B413,Clientes!A:B,2,0),"")</f>
        <v/>
      </c>
      <c r="B413" s="20">
        <f>B411+1</f>
        <v>367</v>
      </c>
      <c r="C413" s="52" t="s">
        <v>884</v>
      </c>
      <c r="D413" s="55" t="s">
        <v>885</v>
      </c>
      <c r="E413" s="2" t="s">
        <v>218</v>
      </c>
      <c r="F413" s="71">
        <v>200815</v>
      </c>
      <c r="G413" s="29" t="s">
        <v>56</v>
      </c>
      <c r="H413" s="20" t="s">
        <v>72</v>
      </c>
      <c r="I413" s="20" t="s">
        <v>84</v>
      </c>
      <c r="J413" s="20" t="s">
        <v>81</v>
      </c>
      <c r="K413" s="71"/>
      <c r="L413" s="20"/>
      <c r="M413" s="20"/>
      <c r="N413" s="20"/>
      <c r="O413" s="20"/>
      <c r="P413" s="20"/>
      <c r="Q413" s="20"/>
      <c r="R413" s="20"/>
      <c r="S413" s="20"/>
      <c r="T413" s="26"/>
      <c r="U413" s="17"/>
    </row>
    <row r="414" spans="1:21" x14ac:dyDescent="0.25">
      <c r="A414" s="2" t="str">
        <f>IFERROR(VLOOKUP(B414,Clientes!A:B,2,0),"")</f>
        <v/>
      </c>
      <c r="B414" s="20">
        <f t="shared" si="33"/>
        <v>368</v>
      </c>
      <c r="C414" s="52" t="s">
        <v>499</v>
      </c>
      <c r="D414" s="55" t="s">
        <v>500</v>
      </c>
      <c r="E414" s="2" t="s">
        <v>227</v>
      </c>
      <c r="F414" s="71">
        <v>200815</v>
      </c>
      <c r="G414" s="29" t="s">
        <v>58</v>
      </c>
      <c r="H414" s="20" t="s">
        <v>72</v>
      </c>
      <c r="I414" s="20" t="s">
        <v>84</v>
      </c>
      <c r="J414" s="20" t="s">
        <v>83</v>
      </c>
      <c r="K414" s="71"/>
      <c r="L414" s="20" t="s">
        <v>13</v>
      </c>
      <c r="M414" s="20"/>
      <c r="N414" s="20"/>
      <c r="O414" s="20"/>
      <c r="P414" s="20"/>
      <c r="Q414" s="20"/>
      <c r="R414" s="20"/>
      <c r="S414" s="20"/>
      <c r="T414" s="26"/>
      <c r="U414" s="17"/>
    </row>
    <row r="415" spans="1:21" x14ac:dyDescent="0.25">
      <c r="A415" s="2" t="str">
        <f>IFERROR(VLOOKUP(B415,Clientes!A:B,2,0),"")</f>
        <v/>
      </c>
      <c r="B415" s="20">
        <f t="shared" si="33"/>
        <v>369</v>
      </c>
      <c r="C415" s="52" t="s">
        <v>854</v>
      </c>
      <c r="D415" s="55" t="s">
        <v>855</v>
      </c>
      <c r="E415" s="2" t="s">
        <v>218</v>
      </c>
      <c r="F415" s="71">
        <v>200815</v>
      </c>
      <c r="G415" s="29" t="s">
        <v>56</v>
      </c>
      <c r="H415" s="20" t="s">
        <v>72</v>
      </c>
      <c r="I415" s="20" t="s">
        <v>84</v>
      </c>
      <c r="J415" s="20" t="s">
        <v>83</v>
      </c>
      <c r="K415" s="71"/>
      <c r="L415" s="20"/>
      <c r="M415" s="20"/>
      <c r="N415" s="20"/>
      <c r="O415" s="20"/>
      <c r="P415" s="20"/>
      <c r="Q415" s="20"/>
      <c r="R415" s="20"/>
      <c r="S415" s="20"/>
      <c r="T415" s="26"/>
      <c r="U415" s="17"/>
    </row>
    <row r="416" spans="1:21" x14ac:dyDescent="0.25">
      <c r="A416" s="2" t="str">
        <f>IFERROR(VLOOKUP(B416,Clientes!A:B,2,0),"")</f>
        <v/>
      </c>
      <c r="B416" s="20">
        <f t="shared" si="33"/>
        <v>370</v>
      </c>
      <c r="C416" s="52" t="s">
        <v>882</v>
      </c>
      <c r="D416" s="55" t="s">
        <v>883</v>
      </c>
      <c r="E416" s="2" t="s">
        <v>232</v>
      </c>
      <c r="F416" s="71">
        <v>200815</v>
      </c>
      <c r="G416" s="29" t="s">
        <v>58</v>
      </c>
      <c r="H416" s="20" t="s">
        <v>72</v>
      </c>
      <c r="I416" s="20" t="s">
        <v>84</v>
      </c>
      <c r="J416" s="20" t="s">
        <v>81</v>
      </c>
      <c r="K416" s="71"/>
      <c r="L416" s="20" t="s">
        <v>139</v>
      </c>
      <c r="M416" s="20"/>
      <c r="N416" s="20" t="s">
        <v>165</v>
      </c>
      <c r="O416" s="20"/>
      <c r="P416" s="20" t="s">
        <v>141</v>
      </c>
      <c r="Q416" s="20"/>
      <c r="R416" s="20"/>
      <c r="S416" s="20"/>
      <c r="T416" s="26"/>
      <c r="U416" s="17"/>
    </row>
    <row r="417" spans="1:21" x14ac:dyDescent="0.25">
      <c r="A417" s="2" t="str">
        <f>IFERROR(VLOOKUP(B417,Clientes!A:B,2,0),"")</f>
        <v/>
      </c>
      <c r="B417" s="20">
        <f t="shared" ref="B417:B426" si="34">B416+1</f>
        <v>371</v>
      </c>
      <c r="C417" s="52" t="s">
        <v>888</v>
      </c>
      <c r="D417" s="55" t="s">
        <v>889</v>
      </c>
      <c r="E417" s="2" t="s">
        <v>225</v>
      </c>
      <c r="F417" s="71">
        <v>210815</v>
      </c>
      <c r="G417" s="29" t="s">
        <v>59</v>
      </c>
      <c r="H417" s="20"/>
      <c r="I417" s="20" t="s">
        <v>84</v>
      </c>
      <c r="J417" s="20" t="s">
        <v>83</v>
      </c>
      <c r="K417" s="71"/>
      <c r="L417" s="20"/>
      <c r="M417" s="20"/>
      <c r="N417" s="20"/>
      <c r="O417" s="20"/>
      <c r="P417" s="20"/>
      <c r="Q417" s="20"/>
      <c r="R417" s="20"/>
      <c r="S417" s="20"/>
      <c r="T417" s="26"/>
      <c r="U417" s="17"/>
    </row>
    <row r="418" spans="1:21" x14ac:dyDescent="0.25">
      <c r="A418" s="2" t="str">
        <f>IFERROR(VLOOKUP(B418,Clientes!A:B,2,0),"")</f>
        <v/>
      </c>
      <c r="B418" s="20">
        <f t="shared" si="34"/>
        <v>372</v>
      </c>
      <c r="C418" s="52" t="s">
        <v>886</v>
      </c>
      <c r="D418" s="55" t="s">
        <v>887</v>
      </c>
      <c r="E418" s="2" t="s">
        <v>214</v>
      </c>
      <c r="F418" s="71">
        <v>210815</v>
      </c>
      <c r="G418" s="29" t="s">
        <v>57</v>
      </c>
      <c r="H418" s="55" t="s">
        <v>537</v>
      </c>
      <c r="I418" s="20" t="s">
        <v>84</v>
      </c>
      <c r="J418" s="20" t="s">
        <v>81</v>
      </c>
      <c r="K418" s="71"/>
      <c r="L418" s="20" t="s">
        <v>28</v>
      </c>
      <c r="M418" s="20"/>
      <c r="N418" s="20"/>
      <c r="O418" s="20"/>
      <c r="P418" s="20"/>
      <c r="Q418" s="20"/>
      <c r="R418" s="20"/>
      <c r="S418" s="20"/>
      <c r="T418" s="26"/>
      <c r="U418" s="17"/>
    </row>
    <row r="419" spans="1:21" x14ac:dyDescent="0.25">
      <c r="A419" s="2" t="str">
        <f>IFERROR(VLOOKUP(B419,Clientes!A:B,2,0),"")</f>
        <v/>
      </c>
      <c r="B419" s="20">
        <f t="shared" si="34"/>
        <v>373</v>
      </c>
      <c r="C419" s="52" t="s">
        <v>894</v>
      </c>
      <c r="D419" s="55" t="s">
        <v>895</v>
      </c>
      <c r="E419" s="2" t="s">
        <v>217</v>
      </c>
      <c r="F419" s="71">
        <v>210815</v>
      </c>
      <c r="G419" s="29" t="s">
        <v>57</v>
      </c>
      <c r="H419" s="55" t="s">
        <v>537</v>
      </c>
      <c r="I419" s="20" t="s">
        <v>84</v>
      </c>
      <c r="J419" s="20" t="s">
        <v>81</v>
      </c>
      <c r="K419" s="71"/>
      <c r="L419" s="20" t="s">
        <v>28</v>
      </c>
      <c r="M419" s="20"/>
      <c r="N419" s="20"/>
      <c r="O419" s="20"/>
      <c r="P419" s="20"/>
      <c r="Q419" s="20"/>
      <c r="R419" s="20"/>
      <c r="S419" s="20"/>
      <c r="T419" s="26"/>
      <c r="U419" s="17"/>
    </row>
    <row r="420" spans="1:21" x14ac:dyDescent="0.25">
      <c r="A420" s="2" t="str">
        <f>IFERROR(VLOOKUP(B420,Clientes!A:B,2,0),"")</f>
        <v/>
      </c>
      <c r="B420" s="20">
        <f t="shared" si="34"/>
        <v>374</v>
      </c>
      <c r="C420" s="52" t="s">
        <v>896</v>
      </c>
      <c r="D420" s="55" t="s">
        <v>897</v>
      </c>
      <c r="E420" s="2" t="s">
        <v>217</v>
      </c>
      <c r="F420" s="71">
        <v>210815</v>
      </c>
      <c r="G420" s="29" t="s">
        <v>57</v>
      </c>
      <c r="H420" s="55" t="s">
        <v>537</v>
      </c>
      <c r="I420" s="20" t="s">
        <v>84</v>
      </c>
      <c r="J420" s="20" t="s">
        <v>81</v>
      </c>
      <c r="K420" s="71"/>
      <c r="L420" s="20" t="s">
        <v>28</v>
      </c>
      <c r="M420" s="20"/>
      <c r="N420" s="20"/>
      <c r="O420" s="20"/>
      <c r="P420" s="20"/>
      <c r="Q420" s="20"/>
      <c r="R420" s="20"/>
      <c r="S420" s="20"/>
      <c r="T420" s="26"/>
      <c r="U420" s="17"/>
    </row>
    <row r="421" spans="1:21" x14ac:dyDescent="0.25">
      <c r="A421" s="2" t="str">
        <f>IFERROR(VLOOKUP(B421,Clientes!A:B,2,0),"")</f>
        <v/>
      </c>
      <c r="B421" s="20">
        <f t="shared" si="34"/>
        <v>375</v>
      </c>
      <c r="C421" s="52" t="s">
        <v>892</v>
      </c>
      <c r="D421" s="55" t="s">
        <v>893</v>
      </c>
      <c r="E421" s="2" t="s">
        <v>217</v>
      </c>
      <c r="F421" s="71">
        <v>210815</v>
      </c>
      <c r="G421" s="29" t="s">
        <v>57</v>
      </c>
      <c r="H421" s="55" t="s">
        <v>537</v>
      </c>
      <c r="I421" s="20" t="s">
        <v>84</v>
      </c>
      <c r="J421" s="20" t="s">
        <v>81</v>
      </c>
      <c r="K421" s="71"/>
      <c r="L421" s="20" t="s">
        <v>28</v>
      </c>
      <c r="M421" s="20"/>
      <c r="N421" s="20"/>
      <c r="O421" s="20"/>
      <c r="P421" s="20"/>
      <c r="Q421" s="20"/>
      <c r="R421" s="20"/>
      <c r="S421" s="20"/>
      <c r="T421" s="26"/>
      <c r="U421" s="17"/>
    </row>
    <row r="422" spans="1:21" x14ac:dyDescent="0.25">
      <c r="A422" s="2" t="str">
        <f>IFERROR(VLOOKUP(B422,Clientes!A:B,2,0),"")</f>
        <v/>
      </c>
      <c r="B422" s="20">
        <f t="shared" si="34"/>
        <v>376</v>
      </c>
      <c r="C422" s="52" t="s">
        <v>898</v>
      </c>
      <c r="D422" s="55" t="s">
        <v>899</v>
      </c>
      <c r="E422" s="2" t="s">
        <v>217</v>
      </c>
      <c r="F422" s="71">
        <v>210815</v>
      </c>
      <c r="G422" s="29" t="s">
        <v>56</v>
      </c>
      <c r="H422" s="20" t="s">
        <v>72</v>
      </c>
      <c r="I422" s="20" t="s">
        <v>84</v>
      </c>
      <c r="J422" s="20" t="s">
        <v>81</v>
      </c>
      <c r="K422" s="71"/>
      <c r="L422" s="20"/>
      <c r="M422" s="20"/>
      <c r="N422" s="20"/>
      <c r="O422" s="20"/>
      <c r="P422" s="20"/>
      <c r="Q422" s="20"/>
      <c r="R422" s="20"/>
      <c r="S422" s="20"/>
      <c r="T422" s="26"/>
      <c r="U422" s="17"/>
    </row>
    <row r="423" spans="1:21" x14ac:dyDescent="0.25">
      <c r="A423" s="2" t="str">
        <f>IFERROR(VLOOKUP(B423,Clientes!A:B,2,0),"")</f>
        <v/>
      </c>
      <c r="B423" s="20">
        <f t="shared" si="34"/>
        <v>377</v>
      </c>
      <c r="C423" s="52" t="s">
        <v>900</v>
      </c>
      <c r="D423" s="55" t="s">
        <v>901</v>
      </c>
      <c r="E423" s="2" t="s">
        <v>217</v>
      </c>
      <c r="F423" s="71">
        <v>210815</v>
      </c>
      <c r="G423" s="29" t="s">
        <v>57</v>
      </c>
      <c r="H423" s="55" t="s">
        <v>537</v>
      </c>
      <c r="I423" s="20" t="s">
        <v>84</v>
      </c>
      <c r="J423" s="20" t="s">
        <v>81</v>
      </c>
      <c r="K423" s="71"/>
      <c r="L423" s="20" t="s">
        <v>28</v>
      </c>
      <c r="M423" s="20"/>
      <c r="N423" s="20"/>
      <c r="O423" s="20"/>
      <c r="P423" s="20"/>
      <c r="Q423" s="20"/>
      <c r="R423" s="20"/>
      <c r="S423" s="20"/>
      <c r="T423" s="26"/>
      <c r="U423" s="17"/>
    </row>
    <row r="424" spans="1:21" x14ac:dyDescent="0.25">
      <c r="A424" s="2" t="str">
        <f>IFERROR(VLOOKUP(B424,Clientes!A:B,2,0),"")</f>
        <v/>
      </c>
      <c r="B424" s="20">
        <f t="shared" si="34"/>
        <v>378</v>
      </c>
      <c r="C424" s="52" t="s">
        <v>890</v>
      </c>
      <c r="D424" s="55" t="s">
        <v>891</v>
      </c>
      <c r="E424" s="2" t="s">
        <v>225</v>
      </c>
      <c r="F424" s="71">
        <v>210815</v>
      </c>
      <c r="G424" s="29" t="s">
        <v>58</v>
      </c>
      <c r="H424" s="20" t="s">
        <v>72</v>
      </c>
      <c r="I424" s="20" t="s">
        <v>84</v>
      </c>
      <c r="J424" s="20" t="s">
        <v>83</v>
      </c>
      <c r="K424" s="71"/>
      <c r="L424" s="20" t="s">
        <v>23</v>
      </c>
      <c r="M424" s="20"/>
      <c r="N424" s="20"/>
      <c r="O424" s="20"/>
      <c r="P424" s="20"/>
      <c r="Q424" s="20"/>
      <c r="R424" s="20"/>
      <c r="S424" s="20"/>
      <c r="T424" s="26"/>
      <c r="U424" s="17"/>
    </row>
    <row r="425" spans="1:21" x14ac:dyDescent="0.25">
      <c r="A425" s="2" t="str">
        <f>IFERROR(VLOOKUP(B425,Clientes!A:B,2,0),"")</f>
        <v/>
      </c>
      <c r="B425" s="20">
        <f t="shared" si="34"/>
        <v>379</v>
      </c>
      <c r="C425" s="52" t="s">
        <v>835</v>
      </c>
      <c r="D425" s="55" t="s">
        <v>836</v>
      </c>
      <c r="E425" s="2" t="s">
        <v>216</v>
      </c>
      <c r="F425" s="71">
        <v>210815</v>
      </c>
      <c r="G425" s="29" t="s">
        <v>58</v>
      </c>
      <c r="H425" s="20" t="s">
        <v>72</v>
      </c>
      <c r="I425" s="20" t="s">
        <v>84</v>
      </c>
      <c r="J425" s="20" t="s">
        <v>83</v>
      </c>
      <c r="K425" s="71"/>
      <c r="L425" s="20" t="s">
        <v>163</v>
      </c>
      <c r="M425" s="20"/>
      <c r="N425" s="20"/>
      <c r="O425" s="20"/>
      <c r="P425" s="20"/>
      <c r="Q425" s="20"/>
      <c r="R425" s="20"/>
      <c r="S425" s="20"/>
      <c r="T425" s="26"/>
      <c r="U425" s="17"/>
    </row>
    <row r="426" spans="1:21" x14ac:dyDescent="0.25">
      <c r="A426" s="2" t="str">
        <f>IFERROR(VLOOKUP(B426,Clientes!A:B,2,0),"")</f>
        <v/>
      </c>
      <c r="B426" s="20">
        <f t="shared" si="34"/>
        <v>380</v>
      </c>
      <c r="C426" s="52"/>
      <c r="D426" s="55"/>
      <c r="E426" s="2"/>
      <c r="F426" s="71"/>
      <c r="G426" s="29"/>
      <c r="H426" s="20"/>
      <c r="I426" s="20" t="s">
        <v>84</v>
      </c>
      <c r="J426" s="20"/>
      <c r="K426" s="71"/>
      <c r="L426" s="20"/>
      <c r="M426" s="20"/>
      <c r="N426" s="20"/>
      <c r="O426" s="20"/>
      <c r="P426" s="20"/>
      <c r="Q426" s="20"/>
      <c r="R426" s="20"/>
      <c r="S426" s="20"/>
      <c r="T426" s="26"/>
      <c r="U426" s="17"/>
    </row>
    <row r="427" spans="1:21" x14ac:dyDescent="0.25">
      <c r="A427" s="2" t="str">
        <f>IFERROR(VLOOKUP(B427,Clientes!A:B,2,0),"")</f>
        <v/>
      </c>
      <c r="B427" s="20">
        <f>B426+1</f>
        <v>381</v>
      </c>
      <c r="C427" s="52" t="s">
        <v>902</v>
      </c>
      <c r="D427" s="55" t="s">
        <v>903</v>
      </c>
      <c r="E427" s="2" t="s">
        <v>220</v>
      </c>
      <c r="F427" s="71">
        <v>240815</v>
      </c>
      <c r="G427" s="29" t="s">
        <v>57</v>
      </c>
      <c r="H427" s="20"/>
      <c r="I427" s="20" t="s">
        <v>84</v>
      </c>
      <c r="J427" s="20" t="s">
        <v>83</v>
      </c>
      <c r="K427" s="71"/>
      <c r="L427" s="20" t="s">
        <v>39</v>
      </c>
      <c r="M427" s="20"/>
      <c r="N427" s="20"/>
      <c r="O427" s="20"/>
      <c r="P427" s="20"/>
      <c r="Q427" s="20"/>
      <c r="R427" s="20"/>
      <c r="S427" s="20"/>
      <c r="T427" s="26"/>
      <c r="U427" s="17"/>
    </row>
    <row r="428" spans="1:21" x14ac:dyDescent="0.25">
      <c r="A428" s="2"/>
      <c r="B428" s="20" t="s">
        <v>910</v>
      </c>
      <c r="C428" s="52" t="s">
        <v>614</v>
      </c>
      <c r="D428" s="55" t="s">
        <v>615</v>
      </c>
      <c r="E428" s="2" t="s">
        <v>223</v>
      </c>
      <c r="F428" s="71">
        <v>210815</v>
      </c>
      <c r="G428" s="29" t="s">
        <v>58</v>
      </c>
      <c r="H428" s="20" t="s">
        <v>74</v>
      </c>
      <c r="I428" s="20" t="s">
        <v>84</v>
      </c>
      <c r="J428" s="20" t="s">
        <v>81</v>
      </c>
      <c r="K428" s="71"/>
      <c r="L428" s="20" t="s">
        <v>146</v>
      </c>
      <c r="M428" s="20"/>
      <c r="N428" s="20" t="s">
        <v>169</v>
      </c>
      <c r="O428" s="20"/>
      <c r="P428" s="20"/>
      <c r="Q428" s="20"/>
      <c r="R428" s="20"/>
      <c r="S428" s="20"/>
      <c r="T428" s="26"/>
      <c r="U428" s="17"/>
    </row>
    <row r="429" spans="1:21" x14ac:dyDescent="0.25">
      <c r="A429" s="2" t="str">
        <f>IFERROR(VLOOKUP(B429,Clientes!A:B,2,0),"")</f>
        <v/>
      </c>
      <c r="B429" s="20">
        <f>B427+1</f>
        <v>382</v>
      </c>
      <c r="C429" s="52" t="s">
        <v>904</v>
      </c>
      <c r="D429" s="55" t="s">
        <v>905</v>
      </c>
      <c r="E429" s="2"/>
      <c r="F429" s="71">
        <v>240815</v>
      </c>
      <c r="G429" s="29" t="s">
        <v>65</v>
      </c>
      <c r="H429" s="20" t="s">
        <v>72</v>
      </c>
      <c r="I429" s="20" t="s">
        <v>84</v>
      </c>
      <c r="J429" s="20" t="s">
        <v>81</v>
      </c>
      <c r="K429" s="71"/>
      <c r="L429" s="20"/>
      <c r="M429" s="20"/>
      <c r="N429" s="20"/>
      <c r="O429" s="20"/>
      <c r="P429" s="20"/>
      <c r="Q429" s="20"/>
      <c r="R429" s="20"/>
      <c r="S429" s="20"/>
      <c r="T429" s="26"/>
      <c r="U429" s="17"/>
    </row>
    <row r="430" spans="1:21" x14ac:dyDescent="0.25">
      <c r="A430" s="2" t="str">
        <f>IFERROR(VLOOKUP(B430,Clientes!A:B,2,0),"")</f>
        <v/>
      </c>
      <c r="B430" s="20">
        <f t="shared" ref="B430:B435" si="35">B429+1</f>
        <v>383</v>
      </c>
      <c r="C430" s="52" t="s">
        <v>906</v>
      </c>
      <c r="D430" s="55" t="s">
        <v>907</v>
      </c>
      <c r="E430" s="2" t="s">
        <v>222</v>
      </c>
      <c r="F430" s="71">
        <v>240815</v>
      </c>
      <c r="G430" s="29" t="s">
        <v>58</v>
      </c>
      <c r="H430" s="20" t="s">
        <v>72</v>
      </c>
      <c r="I430" s="20" t="s">
        <v>84</v>
      </c>
      <c r="J430" s="20" t="s">
        <v>81</v>
      </c>
      <c r="K430" s="71"/>
      <c r="L430" s="20" t="s">
        <v>21</v>
      </c>
      <c r="M430" s="20"/>
      <c r="N430" s="20"/>
      <c r="O430" s="20"/>
      <c r="P430" s="20"/>
      <c r="Q430" s="20"/>
      <c r="R430" s="20"/>
      <c r="S430" s="20"/>
      <c r="T430" s="26"/>
      <c r="U430" s="17"/>
    </row>
    <row r="431" spans="1:21" x14ac:dyDescent="0.25">
      <c r="A431" s="2" t="str">
        <f>IFERROR(VLOOKUP(B431,Clientes!A:B,2,0),"")</f>
        <v/>
      </c>
      <c r="B431" s="20">
        <f t="shared" si="35"/>
        <v>384</v>
      </c>
      <c r="C431" s="52" t="s">
        <v>908</v>
      </c>
      <c r="D431" s="55" t="s">
        <v>909</v>
      </c>
      <c r="E431" s="2" t="s">
        <v>217</v>
      </c>
      <c r="F431" s="71">
        <v>240815</v>
      </c>
      <c r="G431" s="29" t="s">
        <v>58</v>
      </c>
      <c r="H431" s="20" t="s">
        <v>72</v>
      </c>
      <c r="I431" s="20" t="s">
        <v>84</v>
      </c>
      <c r="J431" s="20" t="s">
        <v>81</v>
      </c>
      <c r="K431" s="71"/>
      <c r="L431" s="20" t="s">
        <v>28</v>
      </c>
      <c r="M431" s="20"/>
      <c r="N431" s="20"/>
      <c r="O431" s="20"/>
      <c r="P431" s="20"/>
      <c r="Q431" s="20"/>
      <c r="R431" s="20"/>
      <c r="S431" s="20"/>
      <c r="T431" s="26"/>
      <c r="U431" s="17"/>
    </row>
    <row r="432" spans="1:21" x14ac:dyDescent="0.25">
      <c r="A432" s="2" t="str">
        <f>IFERROR(VLOOKUP(B432,Clientes!A:B,2,0),"")</f>
        <v/>
      </c>
      <c r="B432" s="20">
        <f t="shared" si="35"/>
        <v>385</v>
      </c>
      <c r="C432" s="52" t="s">
        <v>448</v>
      </c>
      <c r="D432" s="55" t="s">
        <v>449</v>
      </c>
      <c r="E432" s="2"/>
      <c r="F432" s="71">
        <v>240815</v>
      </c>
      <c r="G432" s="29" t="s">
        <v>58</v>
      </c>
      <c r="H432" s="20" t="s">
        <v>74</v>
      </c>
      <c r="I432" s="20" t="s">
        <v>84</v>
      </c>
      <c r="J432" s="20" t="s">
        <v>81</v>
      </c>
      <c r="K432" s="71"/>
      <c r="L432" s="20" t="s">
        <v>146</v>
      </c>
      <c r="M432" s="20"/>
      <c r="N432" s="20"/>
      <c r="O432" s="20"/>
      <c r="P432" s="20"/>
      <c r="Q432" s="20"/>
      <c r="R432" s="20"/>
      <c r="S432" s="20"/>
      <c r="T432" s="26"/>
      <c r="U432" s="17"/>
    </row>
    <row r="433" spans="1:21" x14ac:dyDescent="0.25">
      <c r="A433" s="2" t="str">
        <f>IFERROR(VLOOKUP(B433,Clientes!A:B,2,0),"")</f>
        <v/>
      </c>
      <c r="B433" s="20">
        <f t="shared" si="35"/>
        <v>386</v>
      </c>
      <c r="C433" s="52" t="s">
        <v>373</v>
      </c>
      <c r="D433" s="55" t="s">
        <v>374</v>
      </c>
      <c r="E433" s="2"/>
      <c r="F433" s="71">
        <v>240815</v>
      </c>
      <c r="G433" s="29" t="s">
        <v>58</v>
      </c>
      <c r="H433" s="20" t="s">
        <v>74</v>
      </c>
      <c r="I433" s="20" t="s">
        <v>84</v>
      </c>
      <c r="J433" s="20" t="s">
        <v>81</v>
      </c>
      <c r="K433" s="71"/>
      <c r="L433" s="20" t="s">
        <v>146</v>
      </c>
      <c r="M433" s="20"/>
      <c r="N433" s="20"/>
      <c r="O433" s="20"/>
      <c r="P433" s="20"/>
      <c r="Q433" s="20"/>
      <c r="R433" s="20"/>
      <c r="S433" s="20"/>
      <c r="T433" s="26"/>
      <c r="U433" s="17"/>
    </row>
    <row r="434" spans="1:21" x14ac:dyDescent="0.25">
      <c r="A434" s="2" t="str">
        <f>IFERROR(VLOOKUP(B434,Clientes!A:B,2,0),"")</f>
        <v/>
      </c>
      <c r="B434" s="20">
        <f t="shared" si="35"/>
        <v>387</v>
      </c>
      <c r="C434" s="52" t="s">
        <v>527</v>
      </c>
      <c r="D434" s="55" t="s">
        <v>528</v>
      </c>
      <c r="E434" s="2" t="s">
        <v>227</v>
      </c>
      <c r="F434" s="71">
        <v>250815</v>
      </c>
      <c r="G434" s="29" t="s">
        <v>57</v>
      </c>
      <c r="H434" s="55" t="s">
        <v>537</v>
      </c>
      <c r="I434" s="20" t="s">
        <v>84</v>
      </c>
      <c r="J434" s="20" t="s">
        <v>81</v>
      </c>
      <c r="K434" s="71"/>
      <c r="L434" s="20" t="s">
        <v>758</v>
      </c>
      <c r="M434" s="20"/>
      <c r="N434" s="20" t="s">
        <v>13</v>
      </c>
      <c r="O434" s="20"/>
      <c r="P434" s="20"/>
      <c r="Q434" s="20"/>
      <c r="R434" s="20"/>
      <c r="S434" s="20"/>
      <c r="T434" s="26"/>
      <c r="U434" s="17"/>
    </row>
    <row r="435" spans="1:21" x14ac:dyDescent="0.25">
      <c r="A435" s="2" t="str">
        <f>IFERROR(VLOOKUP(B435,Clientes!A:B,2,0),"")</f>
        <v/>
      </c>
      <c r="B435" s="20">
        <f t="shared" si="35"/>
        <v>388</v>
      </c>
      <c r="C435" s="52" t="s">
        <v>911</v>
      </c>
      <c r="D435" s="55" t="s">
        <v>912</v>
      </c>
      <c r="E435" s="2" t="s">
        <v>214</v>
      </c>
      <c r="F435" s="71">
        <v>250815</v>
      </c>
      <c r="G435" s="29" t="s">
        <v>56</v>
      </c>
      <c r="H435" s="20" t="s">
        <v>72</v>
      </c>
      <c r="I435" s="20" t="s">
        <v>84</v>
      </c>
      <c r="J435" s="20" t="s">
        <v>81</v>
      </c>
      <c r="K435" s="71"/>
      <c r="L435" s="20"/>
      <c r="M435" s="20"/>
      <c r="N435" s="20"/>
      <c r="O435" s="20"/>
      <c r="P435" s="20"/>
      <c r="Q435" s="20"/>
      <c r="R435" s="20"/>
      <c r="S435" s="20"/>
      <c r="T435" s="26"/>
      <c r="U435" s="17"/>
    </row>
    <row r="436" spans="1:21" x14ac:dyDescent="0.25">
      <c r="A436" s="2" t="str">
        <f>IFERROR(VLOOKUP(B436,Clientes!A:B,2,0),"")</f>
        <v/>
      </c>
      <c r="B436" s="20">
        <f t="shared" ref="B436:B444" si="36">B435+1</f>
        <v>389</v>
      </c>
      <c r="C436" s="52" t="s">
        <v>914</v>
      </c>
      <c r="D436" s="55" t="s">
        <v>915</v>
      </c>
      <c r="E436" s="2" t="s">
        <v>224</v>
      </c>
      <c r="F436" s="71">
        <v>250815</v>
      </c>
      <c r="G436" s="29" t="s">
        <v>56</v>
      </c>
      <c r="H436" s="55" t="s">
        <v>537</v>
      </c>
      <c r="I436" s="20" t="s">
        <v>84</v>
      </c>
      <c r="J436" s="20" t="s">
        <v>81</v>
      </c>
      <c r="K436" s="71"/>
      <c r="L436" s="20"/>
      <c r="M436" s="20"/>
      <c r="N436" s="20"/>
      <c r="O436" s="20"/>
      <c r="P436" s="20"/>
      <c r="Q436" s="20"/>
      <c r="R436" s="20"/>
      <c r="S436" s="20"/>
      <c r="T436" s="26"/>
      <c r="U436" s="17"/>
    </row>
    <row r="437" spans="1:21" x14ac:dyDescent="0.25">
      <c r="A437" s="2" t="str">
        <f>IFERROR(VLOOKUP(B437,Clientes!A:B,2,0),"")</f>
        <v/>
      </c>
      <c r="B437" s="20">
        <f t="shared" si="36"/>
        <v>390</v>
      </c>
      <c r="C437" s="52" t="s">
        <v>599</v>
      </c>
      <c r="D437" s="55" t="s">
        <v>600</v>
      </c>
      <c r="E437" s="2" t="s">
        <v>220</v>
      </c>
      <c r="F437" s="71">
        <v>250815</v>
      </c>
      <c r="G437" s="29" t="s">
        <v>58</v>
      </c>
      <c r="H437" s="20" t="s">
        <v>73</v>
      </c>
      <c r="I437" s="20" t="s">
        <v>84</v>
      </c>
      <c r="J437" s="20" t="s">
        <v>82</v>
      </c>
      <c r="K437" s="71"/>
      <c r="L437" s="55" t="s">
        <v>796</v>
      </c>
      <c r="M437" s="20"/>
      <c r="N437" s="20"/>
      <c r="O437" s="20"/>
      <c r="P437" s="20"/>
      <c r="Q437" s="20"/>
      <c r="R437" s="20"/>
      <c r="S437" s="20"/>
      <c r="T437" s="26"/>
      <c r="U437" s="17"/>
    </row>
    <row r="438" spans="1:21" x14ac:dyDescent="0.25">
      <c r="A438" s="2" t="str">
        <f>IFERROR(VLOOKUP(B438,Clientes!A:B,2,0),"")</f>
        <v/>
      </c>
      <c r="B438" s="20">
        <f t="shared" si="36"/>
        <v>391</v>
      </c>
      <c r="C438" s="52" t="s">
        <v>744</v>
      </c>
      <c r="D438" s="55" t="s">
        <v>745</v>
      </c>
      <c r="E438" s="2" t="s">
        <v>231</v>
      </c>
      <c r="F438" s="71">
        <v>250815</v>
      </c>
      <c r="G438" s="29" t="s">
        <v>56</v>
      </c>
      <c r="H438" s="20"/>
      <c r="I438" s="20" t="s">
        <v>84</v>
      </c>
      <c r="J438" s="20" t="s">
        <v>1232</v>
      </c>
      <c r="K438" s="71"/>
      <c r="L438" s="20"/>
      <c r="M438" s="20"/>
      <c r="N438" s="20"/>
      <c r="O438" s="20"/>
      <c r="P438" s="20"/>
      <c r="Q438" s="20"/>
      <c r="R438" s="20"/>
      <c r="S438" s="20"/>
      <c r="T438" s="26"/>
      <c r="U438" s="17"/>
    </row>
    <row r="439" spans="1:21" x14ac:dyDescent="0.25">
      <c r="A439" s="2" t="str">
        <f>IFERROR(VLOOKUP(B439,Clientes!A:B,2,0),"")</f>
        <v/>
      </c>
      <c r="B439" s="20">
        <f t="shared" si="36"/>
        <v>392</v>
      </c>
      <c r="C439" s="52" t="s">
        <v>913</v>
      </c>
      <c r="D439" s="55" t="s">
        <v>440</v>
      </c>
      <c r="E439" s="2" t="s">
        <v>234</v>
      </c>
      <c r="F439" s="71">
        <v>250815</v>
      </c>
      <c r="G439" s="29" t="s">
        <v>57</v>
      </c>
      <c r="H439" s="20"/>
      <c r="I439" s="20" t="s">
        <v>84</v>
      </c>
      <c r="J439" s="20" t="s">
        <v>83</v>
      </c>
      <c r="K439" s="71"/>
      <c r="L439" s="20"/>
      <c r="M439" s="20"/>
      <c r="N439" s="20"/>
      <c r="O439" s="20"/>
      <c r="P439" s="20"/>
      <c r="Q439" s="20"/>
      <c r="R439" s="20"/>
      <c r="S439" s="20"/>
      <c r="T439" s="26"/>
      <c r="U439" s="17"/>
    </row>
    <row r="440" spans="1:21" x14ac:dyDescent="0.25">
      <c r="A440" s="2" t="str">
        <f>IFERROR(VLOOKUP(B440,Clientes!A:B,2,0),"")</f>
        <v/>
      </c>
      <c r="B440" s="20">
        <f t="shared" si="36"/>
        <v>393</v>
      </c>
      <c r="C440" s="52" t="s">
        <v>916</v>
      </c>
      <c r="D440" s="55" t="s">
        <v>917</v>
      </c>
      <c r="E440" s="2" t="s">
        <v>217</v>
      </c>
      <c r="F440" s="71">
        <v>260815</v>
      </c>
      <c r="G440" s="29" t="s">
        <v>56</v>
      </c>
      <c r="H440" s="20" t="s">
        <v>72</v>
      </c>
      <c r="I440" s="20" t="s">
        <v>84</v>
      </c>
      <c r="J440" s="20" t="s">
        <v>81</v>
      </c>
      <c r="K440" s="71"/>
      <c r="L440" s="20"/>
      <c r="M440" s="20"/>
      <c r="N440" s="20"/>
      <c r="O440" s="20"/>
      <c r="P440" s="20"/>
      <c r="Q440" s="20"/>
      <c r="R440" s="20"/>
      <c r="S440" s="20"/>
      <c r="T440" s="26"/>
      <c r="U440" s="17"/>
    </row>
    <row r="441" spans="1:21" x14ac:dyDescent="0.25">
      <c r="A441" s="2" t="str">
        <f>IFERROR(VLOOKUP(B441,Clientes!A:B,2,0),"")</f>
        <v/>
      </c>
      <c r="B441" s="20">
        <f t="shared" si="36"/>
        <v>394</v>
      </c>
      <c r="C441" s="52" t="s">
        <v>271</v>
      </c>
      <c r="D441" s="55" t="s">
        <v>272</v>
      </c>
      <c r="E441" s="2" t="s">
        <v>228</v>
      </c>
      <c r="F441" s="71">
        <v>260815</v>
      </c>
      <c r="G441" s="29" t="s">
        <v>56</v>
      </c>
      <c r="H441" s="20" t="s">
        <v>72</v>
      </c>
      <c r="I441" s="20" t="s">
        <v>84</v>
      </c>
      <c r="J441" s="20" t="s">
        <v>81</v>
      </c>
      <c r="K441" s="71"/>
      <c r="L441" s="20"/>
      <c r="M441" s="20"/>
      <c r="N441" s="20"/>
      <c r="O441" s="20"/>
      <c r="P441" s="20"/>
      <c r="Q441" s="20"/>
      <c r="R441" s="20"/>
      <c r="S441" s="20"/>
      <c r="T441" s="26"/>
      <c r="U441" s="17"/>
    </row>
    <row r="442" spans="1:21" x14ac:dyDescent="0.25">
      <c r="A442" s="2" t="str">
        <f>IFERROR(VLOOKUP(B442,Clientes!A:B,2,0),"")</f>
        <v/>
      </c>
      <c r="B442" s="20">
        <f t="shared" si="36"/>
        <v>395</v>
      </c>
      <c r="C442" s="52" t="s">
        <v>920</v>
      </c>
      <c r="D442" s="55" t="s">
        <v>921</v>
      </c>
      <c r="E442" s="2" t="s">
        <v>226</v>
      </c>
      <c r="F442" s="71">
        <v>260815</v>
      </c>
      <c r="G442" s="29" t="s">
        <v>57</v>
      </c>
      <c r="H442" s="20"/>
      <c r="I442" s="20" t="s">
        <v>84</v>
      </c>
      <c r="J442" s="20" t="s">
        <v>82</v>
      </c>
      <c r="K442" s="71"/>
      <c r="L442" s="20" t="s">
        <v>145</v>
      </c>
      <c r="M442" s="20"/>
      <c r="N442" s="20"/>
      <c r="O442" s="20"/>
      <c r="P442" s="20"/>
      <c r="Q442" s="20"/>
      <c r="R442" s="20"/>
      <c r="S442" s="20"/>
      <c r="T442" s="26"/>
      <c r="U442" s="17"/>
    </row>
    <row r="443" spans="1:21" x14ac:dyDescent="0.25">
      <c r="A443" s="2" t="str">
        <f>IFERROR(VLOOKUP(B443,Clientes!A:B,2,0),"")</f>
        <v/>
      </c>
      <c r="B443" s="20">
        <f t="shared" si="36"/>
        <v>396</v>
      </c>
      <c r="C443" s="52" t="s">
        <v>918</v>
      </c>
      <c r="D443" s="55" t="s">
        <v>919</v>
      </c>
      <c r="E443" s="2" t="s">
        <v>232</v>
      </c>
      <c r="F443" s="71">
        <v>260815</v>
      </c>
      <c r="G443" s="29" t="s">
        <v>56</v>
      </c>
      <c r="H443" s="20" t="s">
        <v>72</v>
      </c>
      <c r="I443" s="20" t="s">
        <v>84</v>
      </c>
      <c r="J443" s="20" t="s">
        <v>81</v>
      </c>
      <c r="K443" s="71"/>
      <c r="L443" s="20"/>
      <c r="M443" s="20"/>
      <c r="N443" s="20"/>
      <c r="O443" s="20"/>
      <c r="P443" s="20"/>
      <c r="Q443" s="20"/>
      <c r="R443" s="20"/>
      <c r="S443" s="20"/>
      <c r="T443" s="26"/>
      <c r="U443" s="17"/>
    </row>
    <row r="444" spans="1:21" x14ac:dyDescent="0.25">
      <c r="A444" s="2" t="str">
        <f>IFERROR(VLOOKUP(B444,Clientes!A:B,2,0),"")</f>
        <v/>
      </c>
      <c r="B444" s="20">
        <f t="shared" si="36"/>
        <v>397</v>
      </c>
      <c r="C444" s="52" t="s">
        <v>243</v>
      </c>
      <c r="D444" s="55" t="s">
        <v>244</v>
      </c>
      <c r="E444" s="2" t="s">
        <v>218</v>
      </c>
      <c r="F444" s="71">
        <v>260815</v>
      </c>
      <c r="G444" s="29" t="s">
        <v>58</v>
      </c>
      <c r="H444" s="20" t="s">
        <v>72</v>
      </c>
      <c r="I444" s="20" t="s">
        <v>84</v>
      </c>
      <c r="J444" s="20" t="s">
        <v>81</v>
      </c>
      <c r="K444" s="71"/>
      <c r="L444" s="20" t="s">
        <v>28</v>
      </c>
      <c r="M444" s="20"/>
      <c r="N444" s="20"/>
      <c r="O444" s="20"/>
      <c r="P444" s="20"/>
      <c r="Q444" s="20"/>
      <c r="R444" s="20"/>
      <c r="S444" s="20"/>
      <c r="T444" s="26"/>
      <c r="U444" s="17"/>
    </row>
    <row r="445" spans="1:21" x14ac:dyDescent="0.25">
      <c r="A445" s="2" t="str">
        <f>IFERROR(VLOOKUP(B445,Clientes!A:B,2,0),"")</f>
        <v/>
      </c>
      <c r="B445" s="20">
        <f t="shared" ref="B445:B450" si="37">B444+1</f>
        <v>398</v>
      </c>
      <c r="C445" s="52"/>
      <c r="D445" s="55"/>
      <c r="E445" s="2"/>
      <c r="F445" s="71"/>
      <c r="G445" s="29"/>
      <c r="H445" s="20"/>
      <c r="I445" s="20" t="s">
        <v>84</v>
      </c>
      <c r="J445" s="20"/>
      <c r="K445" s="71"/>
      <c r="L445" s="20"/>
      <c r="M445" s="20"/>
      <c r="N445" s="20"/>
      <c r="O445" s="20"/>
      <c r="P445" s="20"/>
      <c r="Q445" s="20"/>
      <c r="R445" s="20"/>
      <c r="S445" s="20"/>
      <c r="T445" s="26"/>
      <c r="U445" s="17"/>
    </row>
    <row r="446" spans="1:21" x14ac:dyDescent="0.25">
      <c r="A446" s="2" t="str">
        <f>IFERROR(VLOOKUP(B446,Clientes!A:B,2,0),"")</f>
        <v/>
      </c>
      <c r="B446" s="20">
        <f t="shared" si="37"/>
        <v>399</v>
      </c>
      <c r="C446" s="52" t="s">
        <v>616</v>
      </c>
      <c r="D446" s="55" t="s">
        <v>617</v>
      </c>
      <c r="E446" s="2" t="s">
        <v>225</v>
      </c>
      <c r="F446" s="71">
        <v>280815</v>
      </c>
      <c r="G446" s="29" t="s">
        <v>58</v>
      </c>
      <c r="H446" s="20" t="s">
        <v>73</v>
      </c>
      <c r="I446" s="20" t="s">
        <v>84</v>
      </c>
      <c r="J446" s="20" t="s">
        <v>81</v>
      </c>
      <c r="K446" s="71"/>
      <c r="L446" s="20" t="s">
        <v>145</v>
      </c>
      <c r="M446" s="20"/>
      <c r="N446" s="20" t="s">
        <v>758</v>
      </c>
      <c r="O446" s="20"/>
      <c r="P446" s="20"/>
      <c r="Q446" s="20"/>
      <c r="R446" s="20"/>
      <c r="S446" s="20"/>
      <c r="T446" s="26"/>
      <c r="U446" s="17"/>
    </row>
    <row r="447" spans="1:21" x14ac:dyDescent="0.25">
      <c r="A447" s="2" t="str">
        <f>IFERROR(VLOOKUP(B447,Clientes!A:B,2,0),"")</f>
        <v/>
      </c>
      <c r="B447" s="20">
        <f t="shared" si="37"/>
        <v>400</v>
      </c>
      <c r="C447" s="52" t="s">
        <v>753</v>
      </c>
      <c r="D447" s="55" t="s">
        <v>925</v>
      </c>
      <c r="E447" s="2" t="s">
        <v>239</v>
      </c>
      <c r="F447" s="71">
        <v>280815</v>
      </c>
      <c r="G447" s="29" t="s">
        <v>57</v>
      </c>
      <c r="H447" s="20"/>
      <c r="I447" s="20" t="s">
        <v>84</v>
      </c>
      <c r="J447" s="20" t="s">
        <v>81</v>
      </c>
      <c r="K447" s="71"/>
      <c r="L447" s="20"/>
      <c r="M447" s="20"/>
      <c r="N447" s="20"/>
      <c r="O447" s="20"/>
      <c r="P447" s="20"/>
      <c r="Q447" s="20"/>
      <c r="R447" s="20"/>
      <c r="S447" s="20"/>
      <c r="T447" s="26"/>
      <c r="U447" s="17"/>
    </row>
    <row r="448" spans="1:21" x14ac:dyDescent="0.25">
      <c r="A448" s="2" t="str">
        <f>IFERROR(VLOOKUP(B448,Clientes!A:B,2,0),"")</f>
        <v/>
      </c>
      <c r="B448" s="20">
        <f t="shared" si="37"/>
        <v>401</v>
      </c>
      <c r="C448" s="52" t="s">
        <v>603</v>
      </c>
      <c r="D448" s="55" t="s">
        <v>926</v>
      </c>
      <c r="E448" s="2" t="s">
        <v>234</v>
      </c>
      <c r="F448" s="71">
        <v>280815</v>
      </c>
      <c r="G448" s="29" t="s">
        <v>57</v>
      </c>
      <c r="H448" s="20"/>
      <c r="I448" s="20" t="s">
        <v>84</v>
      </c>
      <c r="J448" s="20" t="s">
        <v>81</v>
      </c>
      <c r="K448" s="71"/>
      <c r="L448" s="20"/>
      <c r="M448" s="20"/>
      <c r="N448" s="20"/>
      <c r="O448" s="20"/>
      <c r="P448" s="20"/>
      <c r="Q448" s="20"/>
      <c r="R448" s="20"/>
      <c r="S448" s="20"/>
      <c r="T448" s="26"/>
      <c r="U448" s="17"/>
    </row>
    <row r="449" spans="1:21" x14ac:dyDescent="0.25">
      <c r="A449" s="2" t="str">
        <f>IFERROR(VLOOKUP(B449,Clientes!A:B,2,0),"")</f>
        <v/>
      </c>
      <c r="B449" s="20">
        <f t="shared" si="37"/>
        <v>402</v>
      </c>
      <c r="C449" s="52" t="s">
        <v>278</v>
      </c>
      <c r="D449" s="55" t="s">
        <v>927</v>
      </c>
      <c r="E449" s="2" t="s">
        <v>231</v>
      </c>
      <c r="F449" s="71">
        <v>310815</v>
      </c>
      <c r="G449" s="29" t="s">
        <v>58</v>
      </c>
      <c r="H449" s="55" t="s">
        <v>537</v>
      </c>
      <c r="I449" s="20" t="s">
        <v>84</v>
      </c>
      <c r="J449" s="20" t="s">
        <v>81</v>
      </c>
      <c r="K449" s="71"/>
      <c r="L449" s="20" t="s">
        <v>145</v>
      </c>
      <c r="M449" s="20"/>
      <c r="N449" s="20"/>
      <c r="O449" s="20"/>
      <c r="P449" s="20"/>
      <c r="Q449" s="20"/>
      <c r="R449" s="20"/>
      <c r="S449" s="20"/>
      <c r="T449" s="26"/>
      <c r="U449" s="17"/>
    </row>
    <row r="450" spans="1:21" x14ac:dyDescent="0.25">
      <c r="A450" s="2" t="str">
        <f>IFERROR(VLOOKUP(B450,Clientes!A:B,2,0),"")</f>
        <v/>
      </c>
      <c r="B450" s="20">
        <f t="shared" si="37"/>
        <v>403</v>
      </c>
      <c r="C450" s="52" t="s">
        <v>928</v>
      </c>
      <c r="D450" s="55" t="s">
        <v>929</v>
      </c>
      <c r="E450" s="2" t="s">
        <v>214</v>
      </c>
      <c r="F450" s="71">
        <v>310815</v>
      </c>
      <c r="G450" s="29" t="s">
        <v>58</v>
      </c>
      <c r="H450" s="20" t="s">
        <v>72</v>
      </c>
      <c r="I450" s="20" t="s">
        <v>84</v>
      </c>
      <c r="J450" s="20" t="s">
        <v>82</v>
      </c>
      <c r="K450" s="71"/>
      <c r="L450" s="20" t="s">
        <v>23</v>
      </c>
      <c r="M450" s="20"/>
      <c r="N450" s="20"/>
      <c r="O450" s="20"/>
      <c r="P450" s="20"/>
      <c r="Q450" s="20"/>
      <c r="R450" s="20"/>
      <c r="S450" s="20"/>
      <c r="T450" s="26"/>
      <c r="U450" s="17"/>
    </row>
    <row r="451" spans="1:21" x14ac:dyDescent="0.25">
      <c r="A451" s="2" t="str">
        <f>IFERROR(VLOOKUP(B451,Clientes!A:B,2,0),"")</f>
        <v/>
      </c>
      <c r="B451" s="20">
        <f>B450+1</f>
        <v>404</v>
      </c>
      <c r="C451" s="52" t="s">
        <v>878</v>
      </c>
      <c r="D451" s="55" t="s">
        <v>879</v>
      </c>
      <c r="E451" s="2" t="s">
        <v>231</v>
      </c>
      <c r="F451" s="71">
        <v>310815</v>
      </c>
      <c r="G451" s="29" t="s">
        <v>58</v>
      </c>
      <c r="H451" s="20" t="s">
        <v>73</v>
      </c>
      <c r="I451" s="20" t="s">
        <v>84</v>
      </c>
      <c r="J451" s="20" t="s">
        <v>81</v>
      </c>
      <c r="K451" s="71"/>
      <c r="L451" s="20" t="s">
        <v>164</v>
      </c>
      <c r="M451" s="20"/>
      <c r="N451" s="20"/>
      <c r="O451" s="20"/>
      <c r="P451" s="20"/>
      <c r="Q451" s="20"/>
      <c r="R451" s="20"/>
      <c r="S451" s="20"/>
      <c r="T451" s="26"/>
      <c r="U451" s="17"/>
    </row>
    <row r="452" spans="1:21" x14ac:dyDescent="0.25">
      <c r="A452" s="2"/>
      <c r="B452" s="20" t="s">
        <v>935</v>
      </c>
      <c r="C452" s="52" t="s">
        <v>797</v>
      </c>
      <c r="D452" s="55" t="s">
        <v>798</v>
      </c>
      <c r="E452" s="2" t="s">
        <v>225</v>
      </c>
      <c r="F452" s="71">
        <v>310815</v>
      </c>
      <c r="G452" s="29" t="s">
        <v>57</v>
      </c>
      <c r="H452" s="55" t="s">
        <v>537</v>
      </c>
      <c r="I452" s="20" t="s">
        <v>84</v>
      </c>
      <c r="J452" s="20" t="s">
        <v>81</v>
      </c>
      <c r="K452" s="71"/>
      <c r="L452" s="20" t="s">
        <v>758</v>
      </c>
      <c r="M452" s="20"/>
      <c r="N452" s="20"/>
      <c r="O452" s="20"/>
      <c r="P452" s="20"/>
      <c r="Q452" s="20"/>
      <c r="R452" s="20"/>
      <c r="S452" s="20"/>
      <c r="T452" s="26"/>
      <c r="U452" s="17"/>
    </row>
    <row r="453" spans="1:21" x14ac:dyDescent="0.25">
      <c r="A453" s="2" t="str">
        <f>IFERROR(VLOOKUP(B453,Clientes!A:B,2,0),"")</f>
        <v/>
      </c>
      <c r="B453" s="20">
        <f>B451+1</f>
        <v>405</v>
      </c>
      <c r="C453" s="52" t="s">
        <v>938</v>
      </c>
      <c r="D453" s="55" t="s">
        <v>939</v>
      </c>
      <c r="E453" s="2" t="s">
        <v>239</v>
      </c>
      <c r="F453" s="71">
        <v>310815</v>
      </c>
      <c r="G453" s="29" t="s">
        <v>57</v>
      </c>
      <c r="H453" s="20"/>
      <c r="I453" s="20" t="s">
        <v>84</v>
      </c>
      <c r="J453" s="20" t="s">
        <v>81</v>
      </c>
      <c r="K453" s="71"/>
      <c r="L453" s="20" t="s">
        <v>208</v>
      </c>
      <c r="M453" s="20"/>
      <c r="N453" s="20"/>
      <c r="O453" s="20"/>
      <c r="P453" s="20"/>
      <c r="Q453" s="20"/>
      <c r="R453" s="20"/>
      <c r="S453" s="20"/>
      <c r="T453" s="26"/>
      <c r="U453" s="17"/>
    </row>
    <row r="454" spans="1:21" x14ac:dyDescent="0.25">
      <c r="A454" s="2" t="str">
        <f>IFERROR(VLOOKUP(B454,Clientes!A:B,2,0),"")</f>
        <v/>
      </c>
      <c r="B454" s="20">
        <f t="shared" ref="B454:B469" si="38">B453+1</f>
        <v>406</v>
      </c>
      <c r="C454" s="52" t="s">
        <v>936</v>
      </c>
      <c r="D454" s="55" t="s">
        <v>937</v>
      </c>
      <c r="E454" s="2" t="s">
        <v>232</v>
      </c>
      <c r="F454" s="71">
        <v>310815</v>
      </c>
      <c r="G454" s="29" t="s">
        <v>56</v>
      </c>
      <c r="H454" s="20" t="s">
        <v>72</v>
      </c>
      <c r="I454" s="20" t="s">
        <v>84</v>
      </c>
      <c r="J454" s="20" t="s">
        <v>81</v>
      </c>
      <c r="K454" s="71"/>
      <c r="L454" s="20"/>
      <c r="M454" s="20"/>
      <c r="N454" s="20"/>
      <c r="O454" s="20"/>
      <c r="P454" s="20"/>
      <c r="Q454" s="20"/>
      <c r="R454" s="20"/>
      <c r="S454" s="20"/>
      <c r="T454" s="26"/>
      <c r="U454" s="17"/>
    </row>
    <row r="455" spans="1:21" x14ac:dyDescent="0.25">
      <c r="A455" s="2" t="str">
        <f>IFERROR(VLOOKUP(B455,Clientes!A:B,2,0),"")</f>
        <v/>
      </c>
      <c r="B455" s="20">
        <f t="shared" si="38"/>
        <v>407</v>
      </c>
      <c r="C455" s="52" t="s">
        <v>884</v>
      </c>
      <c r="D455" s="55" t="s">
        <v>885</v>
      </c>
      <c r="E455" s="2" t="s">
        <v>218</v>
      </c>
      <c r="F455" s="71">
        <v>310815</v>
      </c>
      <c r="G455" s="29" t="s">
        <v>56</v>
      </c>
      <c r="H455" s="55" t="s">
        <v>537</v>
      </c>
      <c r="I455" s="20" t="s">
        <v>84</v>
      </c>
      <c r="J455" s="20" t="s">
        <v>81</v>
      </c>
      <c r="K455" s="71"/>
      <c r="L455" s="20"/>
      <c r="M455" s="20"/>
      <c r="N455" s="20"/>
      <c r="O455" s="20"/>
      <c r="P455" s="20"/>
      <c r="Q455" s="20"/>
      <c r="R455" s="20"/>
      <c r="S455" s="20"/>
      <c r="T455" s="26"/>
      <c r="U455" s="17"/>
    </row>
    <row r="456" spans="1:21" x14ac:dyDescent="0.25">
      <c r="A456" s="2" t="str">
        <f>IFERROR(VLOOKUP(B456,Clientes!A:B,2,0),"")</f>
        <v/>
      </c>
      <c r="B456" s="20">
        <f t="shared" si="38"/>
        <v>408</v>
      </c>
      <c r="C456" s="52" t="s">
        <v>933</v>
      </c>
      <c r="D456" s="55" t="s">
        <v>934</v>
      </c>
      <c r="E456" s="2" t="s">
        <v>221</v>
      </c>
      <c r="F456" s="71">
        <v>310815</v>
      </c>
      <c r="G456" s="29" t="s">
        <v>58</v>
      </c>
      <c r="H456" s="20" t="s">
        <v>72</v>
      </c>
      <c r="I456" s="20" t="s">
        <v>84</v>
      </c>
      <c r="J456" s="20" t="s">
        <v>81</v>
      </c>
      <c r="K456" s="71"/>
      <c r="L456" s="20" t="s">
        <v>142</v>
      </c>
      <c r="M456" s="20"/>
      <c r="N456" s="20"/>
      <c r="O456" s="20"/>
      <c r="P456" s="20"/>
      <c r="Q456" s="20"/>
      <c r="R456" s="20"/>
      <c r="S456" s="20"/>
      <c r="T456" s="26"/>
      <c r="U456" s="17"/>
    </row>
    <row r="457" spans="1:21" x14ac:dyDescent="0.25">
      <c r="A457" s="2" t="str">
        <f>IFERROR(VLOOKUP(B457,Clientes!A:B,2,0),"")</f>
        <v/>
      </c>
      <c r="B457" s="20">
        <f t="shared" si="38"/>
        <v>409</v>
      </c>
      <c r="C457" s="52" t="s">
        <v>614</v>
      </c>
      <c r="D457" s="55" t="s">
        <v>615</v>
      </c>
      <c r="E457" s="2" t="s">
        <v>223</v>
      </c>
      <c r="F457" s="71">
        <v>310815</v>
      </c>
      <c r="G457" s="29" t="s">
        <v>56</v>
      </c>
      <c r="H457" s="55" t="s">
        <v>537</v>
      </c>
      <c r="I457" s="20" t="s">
        <v>84</v>
      </c>
      <c r="J457" s="20" t="s">
        <v>83</v>
      </c>
      <c r="K457" s="71"/>
      <c r="L457" s="20"/>
      <c r="M457" s="20"/>
      <c r="N457" s="20"/>
      <c r="O457" s="20"/>
      <c r="P457" s="20"/>
      <c r="Q457" s="20"/>
      <c r="R457" s="20"/>
      <c r="S457" s="20"/>
      <c r="T457" s="26"/>
      <c r="U457" s="17"/>
    </row>
    <row r="458" spans="1:21" x14ac:dyDescent="0.25">
      <c r="A458" s="2" t="str">
        <f>IFERROR(VLOOKUP(B458,Clientes!A:B,2,0),"")</f>
        <v/>
      </c>
      <c r="B458" s="20">
        <f t="shared" si="38"/>
        <v>410</v>
      </c>
      <c r="C458" s="52" t="s">
        <v>448</v>
      </c>
      <c r="D458" s="55" t="s">
        <v>449</v>
      </c>
      <c r="E458" s="2" t="s">
        <v>223</v>
      </c>
      <c r="F458" s="71">
        <v>310815</v>
      </c>
      <c r="G458" s="29" t="s">
        <v>58</v>
      </c>
      <c r="H458" s="20" t="s">
        <v>74</v>
      </c>
      <c r="I458" s="20" t="s">
        <v>84</v>
      </c>
      <c r="J458" s="20" t="s">
        <v>81</v>
      </c>
      <c r="K458" s="71"/>
      <c r="L458" s="20" t="s">
        <v>148</v>
      </c>
      <c r="M458" s="20"/>
      <c r="N458" s="20"/>
      <c r="O458" s="20"/>
      <c r="P458" s="20"/>
      <c r="Q458" s="20"/>
      <c r="R458" s="20"/>
      <c r="S458" s="20"/>
      <c r="T458" s="26"/>
      <c r="U458" s="17"/>
    </row>
    <row r="459" spans="1:21" x14ac:dyDescent="0.25">
      <c r="A459" s="2" t="str">
        <f>IFERROR(VLOOKUP(B459,Clientes!A:B,2,0),"")</f>
        <v/>
      </c>
      <c r="B459" s="20">
        <f t="shared" si="38"/>
        <v>411</v>
      </c>
      <c r="C459" s="52" t="s">
        <v>599</v>
      </c>
      <c r="D459" s="55" t="s">
        <v>600</v>
      </c>
      <c r="E459" s="2" t="s">
        <v>220</v>
      </c>
      <c r="F459" s="71">
        <v>10915</v>
      </c>
      <c r="G459" s="29" t="s">
        <v>58</v>
      </c>
      <c r="H459" s="20" t="s">
        <v>73</v>
      </c>
      <c r="I459" s="20" t="s">
        <v>84</v>
      </c>
      <c r="J459" s="20" t="s">
        <v>81</v>
      </c>
      <c r="K459" s="71"/>
      <c r="L459" s="20" t="s">
        <v>164</v>
      </c>
      <c r="M459" s="20"/>
      <c r="N459" s="20"/>
      <c r="O459" s="20"/>
      <c r="P459" s="20"/>
      <c r="Q459" s="20"/>
      <c r="R459" s="20"/>
      <c r="S459" s="20"/>
      <c r="T459" s="26"/>
      <c r="U459" s="17"/>
    </row>
    <row r="460" spans="1:21" x14ac:dyDescent="0.25">
      <c r="A460" s="2" t="str">
        <f>IFERROR(VLOOKUP(B460,Clientes!A:B,2,0),"")</f>
        <v/>
      </c>
      <c r="B460" s="20">
        <f t="shared" si="38"/>
        <v>412</v>
      </c>
      <c r="C460" s="52" t="s">
        <v>963</v>
      </c>
      <c r="D460" s="55" t="s">
        <v>964</v>
      </c>
      <c r="E460" s="2" t="s">
        <v>217</v>
      </c>
      <c r="F460" s="71">
        <v>10915</v>
      </c>
      <c r="G460" s="29" t="s">
        <v>56</v>
      </c>
      <c r="H460" s="55" t="s">
        <v>537</v>
      </c>
      <c r="I460" s="20" t="s">
        <v>84</v>
      </c>
      <c r="J460" s="20" t="s">
        <v>82</v>
      </c>
      <c r="K460" s="71"/>
      <c r="L460" s="20"/>
      <c r="M460" s="20"/>
      <c r="N460" s="20"/>
      <c r="O460" s="20"/>
      <c r="P460" s="20"/>
      <c r="Q460" s="20"/>
      <c r="R460" s="20"/>
      <c r="S460" s="20"/>
      <c r="T460" s="26"/>
      <c r="U460" s="17"/>
    </row>
    <row r="461" spans="1:21" x14ac:dyDescent="0.25">
      <c r="A461" s="2" t="str">
        <f>IFERROR(VLOOKUP(B461,Clientes!A:B,2,0),"")</f>
        <v/>
      </c>
      <c r="B461" s="20">
        <f t="shared" si="38"/>
        <v>413</v>
      </c>
      <c r="C461" s="52" t="s">
        <v>965</v>
      </c>
      <c r="D461" s="55" t="s">
        <v>966</v>
      </c>
      <c r="E461" s="2" t="s">
        <v>231</v>
      </c>
      <c r="F461" s="71">
        <v>10915</v>
      </c>
      <c r="G461" s="29" t="s">
        <v>57</v>
      </c>
      <c r="H461" s="20"/>
      <c r="I461" s="20" t="s">
        <v>84</v>
      </c>
      <c r="J461" s="20" t="s">
        <v>82</v>
      </c>
      <c r="K461" s="71"/>
      <c r="L461" s="20" t="s">
        <v>145</v>
      </c>
      <c r="M461" s="20"/>
      <c r="N461" s="20" t="s">
        <v>139</v>
      </c>
      <c r="O461" s="20"/>
      <c r="P461" s="20"/>
      <c r="Q461" s="20"/>
      <c r="R461" s="20"/>
      <c r="S461" s="20"/>
      <c r="T461" s="26"/>
      <c r="U461" s="17"/>
    </row>
    <row r="462" spans="1:21" x14ac:dyDescent="0.25">
      <c r="A462" s="2" t="str">
        <f>IFERROR(VLOOKUP(B462,Clientes!A:B,2,0),"")</f>
        <v/>
      </c>
      <c r="B462" s="20">
        <f t="shared" si="38"/>
        <v>414</v>
      </c>
      <c r="C462" s="52" t="s">
        <v>800</v>
      </c>
      <c r="D462" s="55" t="s">
        <v>799</v>
      </c>
      <c r="E462" s="2" t="s">
        <v>218</v>
      </c>
      <c r="F462" s="71">
        <v>10915</v>
      </c>
      <c r="G462" s="29" t="s">
        <v>58</v>
      </c>
      <c r="H462" s="55" t="s">
        <v>537</v>
      </c>
      <c r="I462" s="20" t="s">
        <v>84</v>
      </c>
      <c r="J462" s="20" t="s">
        <v>81</v>
      </c>
      <c r="K462" s="71"/>
      <c r="L462" s="20" t="s">
        <v>148</v>
      </c>
      <c r="M462" s="20"/>
      <c r="N462" s="20"/>
      <c r="O462" s="20"/>
      <c r="P462" s="20"/>
      <c r="Q462" s="20"/>
      <c r="R462" s="20"/>
      <c r="S462" s="20"/>
      <c r="T462" s="26"/>
      <c r="U462" s="17"/>
    </row>
    <row r="463" spans="1:21" x14ac:dyDescent="0.25">
      <c r="A463" s="2" t="str">
        <f>IFERROR(VLOOKUP(B463,Clientes!A:B,2,0),"")</f>
        <v/>
      </c>
      <c r="B463" s="20">
        <f t="shared" si="38"/>
        <v>415</v>
      </c>
      <c r="C463" s="52" t="s">
        <v>961</v>
      </c>
      <c r="D463" s="55" t="s">
        <v>962</v>
      </c>
      <c r="E463" s="2" t="s">
        <v>239</v>
      </c>
      <c r="F463" s="71">
        <v>10915</v>
      </c>
      <c r="G463" s="29" t="s">
        <v>58</v>
      </c>
      <c r="H463" s="20" t="s">
        <v>72</v>
      </c>
      <c r="I463" s="20" t="s">
        <v>84</v>
      </c>
      <c r="J463" s="20" t="s">
        <v>81</v>
      </c>
      <c r="K463" s="71"/>
      <c r="L463" s="20" t="s">
        <v>145</v>
      </c>
      <c r="M463" s="20"/>
      <c r="N463" s="20"/>
      <c r="O463" s="20"/>
      <c r="P463" s="20"/>
      <c r="Q463" s="20"/>
      <c r="R463" s="20"/>
      <c r="S463" s="20"/>
      <c r="T463" s="26"/>
      <c r="U463" s="17"/>
    </row>
    <row r="464" spans="1:21" x14ac:dyDescent="0.25">
      <c r="A464" s="2" t="str">
        <f>IFERROR(VLOOKUP(B464,Clientes!A:B,2,0),"")</f>
        <v/>
      </c>
      <c r="B464" s="20">
        <f t="shared" si="38"/>
        <v>416</v>
      </c>
      <c r="C464" s="52" t="s">
        <v>533</v>
      </c>
      <c r="D464" s="55" t="s">
        <v>534</v>
      </c>
      <c r="E464" s="2" t="s">
        <v>222</v>
      </c>
      <c r="F464" s="71">
        <v>10915</v>
      </c>
      <c r="G464" s="29" t="s">
        <v>57</v>
      </c>
      <c r="H464" s="20"/>
      <c r="I464" s="20" t="s">
        <v>84</v>
      </c>
      <c r="J464" s="20" t="s">
        <v>82</v>
      </c>
      <c r="K464" s="71"/>
      <c r="L464" s="20" t="s">
        <v>21</v>
      </c>
      <c r="M464" s="20"/>
      <c r="N464" s="20"/>
      <c r="O464" s="20"/>
      <c r="P464" s="20"/>
      <c r="Q464" s="20"/>
      <c r="R464" s="20"/>
      <c r="S464" s="20"/>
      <c r="T464" s="26"/>
      <c r="U464" s="17"/>
    </row>
    <row r="465" spans="1:21" x14ac:dyDescent="0.25">
      <c r="A465" s="2" t="str">
        <f>IFERROR(VLOOKUP(B465,Clientes!A:B,2,0),"")</f>
        <v/>
      </c>
      <c r="B465" s="20">
        <f t="shared" si="38"/>
        <v>417</v>
      </c>
      <c r="C465" s="52" t="s">
        <v>955</v>
      </c>
      <c r="D465" s="55" t="s">
        <v>956</v>
      </c>
      <c r="E465" s="2" t="s">
        <v>222</v>
      </c>
      <c r="F465" s="71">
        <v>10915</v>
      </c>
      <c r="G465" s="29" t="s">
        <v>57</v>
      </c>
      <c r="H465" s="20"/>
      <c r="I465" s="20" t="s">
        <v>84</v>
      </c>
      <c r="J465" s="20" t="s">
        <v>82</v>
      </c>
      <c r="K465" s="71"/>
      <c r="L465" s="20" t="s">
        <v>21</v>
      </c>
      <c r="M465" s="20"/>
      <c r="N465" s="20"/>
      <c r="O465" s="20"/>
      <c r="P465" s="20"/>
      <c r="Q465" s="20"/>
      <c r="R465" s="20"/>
      <c r="S465" s="20"/>
      <c r="T465" s="26"/>
      <c r="U465" s="17"/>
    </row>
    <row r="466" spans="1:21" x14ac:dyDescent="0.25">
      <c r="A466" s="2" t="str">
        <f>IFERROR(VLOOKUP(B466,Clientes!A:B,2,0),"")</f>
        <v/>
      </c>
      <c r="B466" s="20">
        <f t="shared" si="38"/>
        <v>418</v>
      </c>
      <c r="C466" s="52" t="s">
        <v>957</v>
      </c>
      <c r="D466" s="55" t="s">
        <v>958</v>
      </c>
      <c r="E466" s="2" t="s">
        <v>239</v>
      </c>
      <c r="F466" s="71">
        <v>10915</v>
      </c>
      <c r="G466" s="29" t="s">
        <v>57</v>
      </c>
      <c r="H466" s="20"/>
      <c r="I466" s="20" t="s">
        <v>84</v>
      </c>
      <c r="J466" s="20" t="s">
        <v>81</v>
      </c>
      <c r="K466" s="71"/>
      <c r="L466" s="20"/>
      <c r="M466" s="20"/>
      <c r="N466" s="20"/>
      <c r="O466" s="20"/>
      <c r="P466" s="20"/>
      <c r="Q466" s="20"/>
      <c r="R466" s="20"/>
      <c r="S466" s="20"/>
      <c r="T466" s="26"/>
      <c r="U466" s="17"/>
    </row>
    <row r="467" spans="1:21" x14ac:dyDescent="0.25">
      <c r="A467" s="2" t="str">
        <f>IFERROR(VLOOKUP(B467,Clientes!A:B,2,0),"")</f>
        <v/>
      </c>
      <c r="B467" s="20">
        <f t="shared" si="38"/>
        <v>419</v>
      </c>
      <c r="C467" s="52" t="s">
        <v>297</v>
      </c>
      <c r="D467" s="55" t="s">
        <v>298</v>
      </c>
      <c r="E467" s="2" t="s">
        <v>234</v>
      </c>
      <c r="F467" s="71">
        <v>10915</v>
      </c>
      <c r="G467" s="29" t="s">
        <v>58</v>
      </c>
      <c r="H467" s="20" t="s">
        <v>74</v>
      </c>
      <c r="I467" s="20" t="s">
        <v>84</v>
      </c>
      <c r="J467" s="20" t="s">
        <v>81</v>
      </c>
      <c r="K467" s="71"/>
      <c r="L467" s="55" t="s">
        <v>826</v>
      </c>
      <c r="M467" s="20"/>
      <c r="N467" s="20"/>
      <c r="O467" s="20"/>
      <c r="P467" s="20"/>
      <c r="Q467" s="20"/>
      <c r="R467" s="20"/>
      <c r="S467" s="20"/>
      <c r="T467" s="26"/>
      <c r="U467" s="17"/>
    </row>
    <row r="468" spans="1:21" x14ac:dyDescent="0.25">
      <c r="A468" s="2" t="str">
        <f>IFERROR(VLOOKUP(B468,Clientes!A:B,2,0),"")</f>
        <v/>
      </c>
      <c r="B468" s="20">
        <f t="shared" si="38"/>
        <v>420</v>
      </c>
      <c r="C468" s="52" t="s">
        <v>953</v>
      </c>
      <c r="D468" s="55" t="s">
        <v>954</v>
      </c>
      <c r="E468" s="2" t="s">
        <v>214</v>
      </c>
      <c r="F468" s="71">
        <v>20915</v>
      </c>
      <c r="G468" s="29" t="s">
        <v>58</v>
      </c>
      <c r="H468" s="20" t="s">
        <v>72</v>
      </c>
      <c r="I468" s="20" t="s">
        <v>84</v>
      </c>
      <c r="J468" s="20" t="s">
        <v>81</v>
      </c>
      <c r="K468" s="71"/>
      <c r="L468" s="20" t="s">
        <v>28</v>
      </c>
      <c r="M468" s="20"/>
      <c r="N468" s="20" t="s">
        <v>23</v>
      </c>
      <c r="O468" s="20"/>
      <c r="P468" s="20"/>
      <c r="Q468" s="20"/>
      <c r="R468" s="20"/>
      <c r="S468" s="20"/>
      <c r="T468" s="26"/>
      <c r="U468" s="17"/>
    </row>
    <row r="469" spans="1:21" x14ac:dyDescent="0.25">
      <c r="A469" s="2" t="str">
        <f>IFERROR(VLOOKUP(B469,Clientes!A:B,2,0),"")</f>
        <v/>
      </c>
      <c r="B469" s="20">
        <f t="shared" si="38"/>
        <v>421</v>
      </c>
      <c r="C469" s="52" t="s">
        <v>967</v>
      </c>
      <c r="D469" s="55" t="s">
        <v>968</v>
      </c>
      <c r="E469" s="2" t="s">
        <v>230</v>
      </c>
      <c r="F469" s="71">
        <v>20915</v>
      </c>
      <c r="G469" s="29" t="s">
        <v>57</v>
      </c>
      <c r="H469" s="20"/>
      <c r="I469" s="20" t="s">
        <v>84</v>
      </c>
      <c r="J469" s="20" t="s">
        <v>82</v>
      </c>
      <c r="K469" s="71"/>
      <c r="L469" s="20" t="s">
        <v>44</v>
      </c>
      <c r="M469" s="20"/>
      <c r="N469" s="20"/>
      <c r="O469" s="20"/>
      <c r="P469" s="20"/>
      <c r="Q469" s="20"/>
      <c r="R469" s="20"/>
      <c r="S469" s="20"/>
      <c r="T469" s="26"/>
      <c r="U469" s="17"/>
    </row>
    <row r="470" spans="1:21" x14ac:dyDescent="0.25">
      <c r="A470" s="2" t="str">
        <f>IFERROR(VLOOKUP(B470,Clientes!A:B,2,0),"")</f>
        <v/>
      </c>
      <c r="B470" s="20">
        <f t="shared" ref="B470:B478" si="39">B469+1</f>
        <v>422</v>
      </c>
      <c r="C470" s="52"/>
      <c r="D470" s="55"/>
      <c r="E470" s="2"/>
      <c r="F470" s="71"/>
      <c r="G470" s="29"/>
      <c r="H470" s="20"/>
      <c r="I470" s="20" t="s">
        <v>84</v>
      </c>
      <c r="J470" s="20"/>
      <c r="K470" s="71"/>
      <c r="L470" s="20"/>
      <c r="M470" s="20"/>
      <c r="N470" s="20"/>
      <c r="O470" s="20"/>
      <c r="P470" s="20"/>
      <c r="Q470" s="20"/>
      <c r="R470" s="20"/>
      <c r="S470" s="20"/>
      <c r="T470" s="26"/>
      <c r="U470" s="17"/>
    </row>
    <row r="471" spans="1:21" x14ac:dyDescent="0.25">
      <c r="A471" s="2" t="str">
        <f>IFERROR(VLOOKUP(B471,Clientes!A:B,2,0),"")</f>
        <v/>
      </c>
      <c r="B471" s="20">
        <f t="shared" si="39"/>
        <v>423</v>
      </c>
      <c r="C471" s="52" t="s">
        <v>680</v>
      </c>
      <c r="D471" s="55" t="s">
        <v>683</v>
      </c>
      <c r="E471" s="2" t="s">
        <v>229</v>
      </c>
      <c r="F471" s="71">
        <v>20915</v>
      </c>
      <c r="G471" s="29" t="s">
        <v>58</v>
      </c>
      <c r="H471" s="20" t="s">
        <v>72</v>
      </c>
      <c r="I471" s="20" t="s">
        <v>84</v>
      </c>
      <c r="J471" s="20" t="s">
        <v>81</v>
      </c>
      <c r="K471" s="71"/>
      <c r="L471" s="20" t="s">
        <v>145</v>
      </c>
      <c r="M471" s="20"/>
      <c r="N471" s="20"/>
      <c r="O471" s="20"/>
      <c r="P471" s="20"/>
      <c r="Q471" s="20"/>
      <c r="R471" s="20"/>
      <c r="S471" s="20"/>
      <c r="T471" s="26"/>
      <c r="U471" s="17"/>
    </row>
    <row r="472" spans="1:21" x14ac:dyDescent="0.25">
      <c r="A472" s="2" t="str">
        <f>IFERROR(VLOOKUP(B472,Clientes!A:B,2,0),"")</f>
        <v/>
      </c>
      <c r="B472" s="20">
        <f t="shared" si="39"/>
        <v>424</v>
      </c>
      <c r="C472" s="52" t="s">
        <v>630</v>
      </c>
      <c r="D472" s="55" t="s">
        <v>631</v>
      </c>
      <c r="E472" s="2" t="s">
        <v>224</v>
      </c>
      <c r="F472" s="71">
        <v>20915</v>
      </c>
      <c r="G472" s="29" t="s">
        <v>56</v>
      </c>
      <c r="H472" s="20" t="s">
        <v>72</v>
      </c>
      <c r="I472" s="20" t="s">
        <v>84</v>
      </c>
      <c r="J472" s="20" t="s">
        <v>81</v>
      </c>
      <c r="K472" s="71"/>
      <c r="L472" s="20"/>
      <c r="M472" s="20"/>
      <c r="N472" s="20"/>
      <c r="O472" s="20"/>
      <c r="P472" s="20"/>
      <c r="Q472" s="20"/>
      <c r="R472" s="20"/>
      <c r="S472" s="20"/>
      <c r="T472" s="26"/>
      <c r="U472" s="17"/>
    </row>
    <row r="473" spans="1:21" x14ac:dyDescent="0.25">
      <c r="A473" s="2" t="str">
        <f>IFERROR(VLOOKUP(B473,Clientes!A:B,2,0),"")</f>
        <v/>
      </c>
      <c r="B473" s="20">
        <f t="shared" si="39"/>
        <v>425</v>
      </c>
      <c r="C473" s="52" t="s">
        <v>972</v>
      </c>
      <c r="D473" s="55" t="s">
        <v>973</v>
      </c>
      <c r="E473" s="2" t="s">
        <v>224</v>
      </c>
      <c r="F473" s="71">
        <v>20915</v>
      </c>
      <c r="G473" s="29" t="s">
        <v>57</v>
      </c>
      <c r="H473" s="20"/>
      <c r="I473" s="20" t="s">
        <v>84</v>
      </c>
      <c r="J473" s="20" t="s">
        <v>82</v>
      </c>
      <c r="K473" s="71"/>
      <c r="L473" s="20" t="s">
        <v>135</v>
      </c>
      <c r="M473" s="20"/>
      <c r="N473" s="20"/>
      <c r="O473" s="20"/>
      <c r="P473" s="20"/>
      <c r="Q473" s="20"/>
      <c r="R473" s="20"/>
      <c r="S473" s="20"/>
      <c r="T473" s="26"/>
      <c r="U473" s="17"/>
    </row>
    <row r="474" spans="1:21" x14ac:dyDescent="0.25">
      <c r="A474" s="2" t="str">
        <f>IFERROR(VLOOKUP(B474,Clientes!A:B,2,0),"")</f>
        <v/>
      </c>
      <c r="B474" s="20">
        <f t="shared" si="39"/>
        <v>426</v>
      </c>
      <c r="C474" s="52" t="s">
        <v>974</v>
      </c>
      <c r="D474" s="55" t="s">
        <v>975</v>
      </c>
      <c r="E474" s="2" t="s">
        <v>224</v>
      </c>
      <c r="F474" s="71">
        <v>20915</v>
      </c>
      <c r="G474" s="29" t="s">
        <v>57</v>
      </c>
      <c r="H474" s="20"/>
      <c r="I474" s="20" t="s">
        <v>84</v>
      </c>
      <c r="J474" s="20" t="s">
        <v>82</v>
      </c>
      <c r="K474" s="71"/>
      <c r="L474" s="20" t="s">
        <v>135</v>
      </c>
      <c r="M474" s="20"/>
      <c r="N474" s="20"/>
      <c r="O474" s="20"/>
      <c r="P474" s="20"/>
      <c r="Q474" s="20"/>
      <c r="R474" s="20"/>
      <c r="S474" s="20"/>
      <c r="T474" s="26"/>
      <c r="U474" s="17"/>
    </row>
    <row r="475" spans="1:21" x14ac:dyDescent="0.25">
      <c r="A475" s="2" t="str">
        <f>IFERROR(VLOOKUP(B475,Clientes!A:B,2,0),"")</f>
        <v/>
      </c>
      <c r="B475" s="20">
        <f t="shared" si="39"/>
        <v>427</v>
      </c>
      <c r="C475" s="52" t="s">
        <v>373</v>
      </c>
      <c r="D475" s="55" t="s">
        <v>374</v>
      </c>
      <c r="E475" s="2" t="s">
        <v>223</v>
      </c>
      <c r="F475" s="71">
        <v>20915</v>
      </c>
      <c r="G475" s="29" t="s">
        <v>56</v>
      </c>
      <c r="H475" s="20" t="s">
        <v>74</v>
      </c>
      <c r="I475" s="20" t="s">
        <v>84</v>
      </c>
      <c r="J475" s="20" t="s">
        <v>81</v>
      </c>
      <c r="K475" s="71"/>
      <c r="L475" s="20"/>
      <c r="M475" s="20"/>
      <c r="N475" s="20"/>
      <c r="O475" s="20"/>
      <c r="P475" s="20"/>
      <c r="Q475" s="20"/>
      <c r="R475" s="20"/>
      <c r="S475" s="20"/>
      <c r="T475" s="26"/>
      <c r="U475" s="17"/>
    </row>
    <row r="476" spans="1:21" x14ac:dyDescent="0.25">
      <c r="A476" s="2" t="str">
        <f>IFERROR(VLOOKUP(B476,Clientes!A:B,2,0),"")</f>
        <v/>
      </c>
      <c r="B476" s="20">
        <f t="shared" si="39"/>
        <v>428</v>
      </c>
      <c r="C476" s="52" t="s">
        <v>980</v>
      </c>
      <c r="D476" s="55" t="s">
        <v>981</v>
      </c>
      <c r="E476" s="2" t="s">
        <v>218</v>
      </c>
      <c r="F476" s="71">
        <v>30915</v>
      </c>
      <c r="G476" s="29" t="s">
        <v>58</v>
      </c>
      <c r="H476" s="20" t="s">
        <v>72</v>
      </c>
      <c r="I476" s="20" t="s">
        <v>84</v>
      </c>
      <c r="J476" s="20" t="s">
        <v>81</v>
      </c>
      <c r="K476" s="71"/>
      <c r="L476" s="20" t="s">
        <v>148</v>
      </c>
      <c r="M476" s="20"/>
      <c r="N476" s="20"/>
      <c r="O476" s="20"/>
      <c r="P476" s="20"/>
      <c r="Q476" s="20"/>
      <c r="R476" s="20"/>
      <c r="S476" s="20"/>
      <c r="T476" s="26"/>
      <c r="U476" s="17"/>
    </row>
    <row r="477" spans="1:21" x14ac:dyDescent="0.25">
      <c r="A477" s="2" t="str">
        <f>IFERROR(VLOOKUP(B477,Clientes!A:B,2,0),"")</f>
        <v/>
      </c>
      <c r="B477" s="20">
        <f t="shared" si="39"/>
        <v>429</v>
      </c>
      <c r="C477" s="52" t="s">
        <v>978</v>
      </c>
      <c r="D477" s="55" t="s">
        <v>979</v>
      </c>
      <c r="E477" s="2" t="s">
        <v>218</v>
      </c>
      <c r="F477" s="71">
        <v>30915</v>
      </c>
      <c r="G477" s="29" t="s">
        <v>58</v>
      </c>
      <c r="H477" s="20" t="s">
        <v>72</v>
      </c>
      <c r="I477" s="20" t="s">
        <v>84</v>
      </c>
      <c r="J477" s="20" t="s">
        <v>81</v>
      </c>
      <c r="K477" s="71"/>
      <c r="L477" s="20" t="s">
        <v>145</v>
      </c>
      <c r="M477" s="20"/>
      <c r="N477" s="20" t="s">
        <v>148</v>
      </c>
      <c r="O477" s="20"/>
      <c r="P477" s="20" t="s">
        <v>13</v>
      </c>
      <c r="Q477" s="20"/>
      <c r="R477" s="20"/>
      <c r="S477" s="20"/>
      <c r="T477" s="26"/>
      <c r="U477" s="17"/>
    </row>
    <row r="478" spans="1:21" x14ac:dyDescent="0.25">
      <c r="A478" s="2" t="str">
        <f>IFERROR(VLOOKUP(B478,Clientes!A:B,2,0),"")</f>
        <v/>
      </c>
      <c r="B478" s="20">
        <f t="shared" si="39"/>
        <v>430</v>
      </c>
      <c r="C478" s="52" t="s">
        <v>976</v>
      </c>
      <c r="D478" s="55" t="s">
        <v>977</v>
      </c>
      <c r="E478" s="2" t="s">
        <v>224</v>
      </c>
      <c r="F478" s="71">
        <v>30915</v>
      </c>
      <c r="G478" s="29" t="s">
        <v>57</v>
      </c>
      <c r="H478" s="20"/>
      <c r="I478" s="20" t="s">
        <v>84</v>
      </c>
      <c r="J478" s="20" t="s">
        <v>82</v>
      </c>
      <c r="K478" s="71"/>
      <c r="L478" s="20" t="s">
        <v>135</v>
      </c>
      <c r="M478" s="20"/>
      <c r="N478" s="20"/>
      <c r="O478" s="20"/>
      <c r="P478" s="20"/>
      <c r="Q478" s="20"/>
      <c r="R478" s="20"/>
      <c r="S478" s="20"/>
      <c r="T478" s="26"/>
      <c r="U478" s="17"/>
    </row>
    <row r="479" spans="1:21" x14ac:dyDescent="0.25">
      <c r="A479" s="2" t="str">
        <f>IFERROR(VLOOKUP(B479,Clientes!A:B,2,0),"")</f>
        <v/>
      </c>
      <c r="B479" s="20">
        <f>B478+1</f>
        <v>431</v>
      </c>
      <c r="C479" s="52" t="s">
        <v>983</v>
      </c>
      <c r="D479" s="55" t="s">
        <v>984</v>
      </c>
      <c r="E479" s="2" t="s">
        <v>228</v>
      </c>
      <c r="F479" s="71">
        <v>40915</v>
      </c>
      <c r="G479" s="29" t="s">
        <v>57</v>
      </c>
      <c r="H479" s="20"/>
      <c r="I479" s="20" t="s">
        <v>84</v>
      </c>
      <c r="J479" s="20" t="s">
        <v>82</v>
      </c>
      <c r="K479" s="71"/>
      <c r="L479" s="20" t="s">
        <v>40</v>
      </c>
      <c r="M479" s="20"/>
      <c r="N479" s="20"/>
      <c r="O479" s="20"/>
      <c r="P479" s="20"/>
      <c r="Q479" s="20"/>
      <c r="R479" s="20"/>
      <c r="S479" s="20"/>
      <c r="T479" s="26"/>
      <c r="U479" s="17"/>
    </row>
    <row r="480" spans="1:21" x14ac:dyDescent="0.25">
      <c r="A480" s="2" t="str">
        <f>IFERROR(VLOOKUP(B480,Clientes!A:B,2,0),"")</f>
        <v/>
      </c>
      <c r="B480" s="20">
        <f>B479+1</f>
        <v>432</v>
      </c>
      <c r="C480" s="52" t="s">
        <v>985</v>
      </c>
      <c r="D480" s="55" t="s">
        <v>986</v>
      </c>
      <c r="E480" s="2" t="s">
        <v>233</v>
      </c>
      <c r="F480" s="71">
        <v>40915</v>
      </c>
      <c r="G480" s="29" t="s">
        <v>58</v>
      </c>
      <c r="H480" s="55" t="s">
        <v>537</v>
      </c>
      <c r="I480" s="20" t="s">
        <v>84</v>
      </c>
      <c r="J480" s="20" t="s">
        <v>81</v>
      </c>
      <c r="K480" s="71"/>
      <c r="L480" s="20" t="s">
        <v>760</v>
      </c>
      <c r="M480" s="20"/>
      <c r="N480" s="20"/>
      <c r="O480" s="20"/>
      <c r="P480" s="20"/>
      <c r="Q480" s="20"/>
      <c r="R480" s="20"/>
      <c r="S480" s="20"/>
      <c r="T480" s="26"/>
      <c r="U480" s="17"/>
    </row>
    <row r="481" spans="1:21" x14ac:dyDescent="0.25">
      <c r="A481" s="2" t="str">
        <f>IFERROR(VLOOKUP(B481,Clientes!A:B,2,0),"")</f>
        <v/>
      </c>
      <c r="B481" s="20">
        <f>B480+1</f>
        <v>433</v>
      </c>
      <c r="C481" s="52" t="s">
        <v>525</v>
      </c>
      <c r="D481" s="55" t="s">
        <v>526</v>
      </c>
      <c r="E481" s="2" t="s">
        <v>230</v>
      </c>
      <c r="F481" s="71">
        <v>40915</v>
      </c>
      <c r="G481" s="29" t="s">
        <v>57</v>
      </c>
      <c r="H481" s="20"/>
      <c r="I481" s="20" t="s">
        <v>84</v>
      </c>
      <c r="J481" s="20" t="s">
        <v>82</v>
      </c>
      <c r="K481" s="71"/>
      <c r="L481" s="20" t="s">
        <v>18</v>
      </c>
      <c r="M481" s="20" t="s">
        <v>83</v>
      </c>
      <c r="N481" s="20"/>
      <c r="O481" s="20"/>
      <c r="P481" s="20"/>
      <c r="Q481" s="20"/>
      <c r="R481" s="20"/>
      <c r="S481" s="20"/>
      <c r="T481" s="26"/>
      <c r="U481" s="17"/>
    </row>
    <row r="482" spans="1:21" x14ac:dyDescent="0.25">
      <c r="A482" s="2" t="str">
        <f>IFERROR(VLOOKUP(B482,Clientes!A:B,2,0),"")</f>
        <v/>
      </c>
      <c r="B482" s="20">
        <f>B481+1</f>
        <v>434</v>
      </c>
      <c r="C482" s="52" t="s">
        <v>737</v>
      </c>
      <c r="D482" s="55" t="s">
        <v>738</v>
      </c>
      <c r="E482" s="2" t="s">
        <v>228</v>
      </c>
      <c r="F482" s="71">
        <v>40915</v>
      </c>
      <c r="G482" s="29" t="s">
        <v>57</v>
      </c>
      <c r="H482" s="20"/>
      <c r="I482" s="20" t="s">
        <v>84</v>
      </c>
      <c r="J482" s="20" t="s">
        <v>82</v>
      </c>
      <c r="K482" s="71"/>
      <c r="L482" s="20" t="s">
        <v>758</v>
      </c>
      <c r="M482" s="20"/>
      <c r="N482" s="20" t="s">
        <v>40</v>
      </c>
      <c r="O482" s="20"/>
      <c r="P482" s="20"/>
      <c r="Q482" s="20"/>
      <c r="R482" s="20"/>
      <c r="S482" s="20"/>
      <c r="T482" s="26"/>
      <c r="U482" s="17"/>
    </row>
    <row r="483" spans="1:21" x14ac:dyDescent="0.25">
      <c r="A483" s="2" t="str">
        <f>IFERROR(VLOOKUP(B483,Clientes!A:B,2,0),"")</f>
        <v/>
      </c>
      <c r="B483" s="20">
        <f>B482+1</f>
        <v>435</v>
      </c>
      <c r="C483" s="52" t="s">
        <v>481</v>
      </c>
      <c r="D483" s="55" t="s">
        <v>482</v>
      </c>
      <c r="E483" s="2" t="s">
        <v>230</v>
      </c>
      <c r="F483" s="71">
        <v>40915</v>
      </c>
      <c r="G483" s="29" t="s">
        <v>57</v>
      </c>
      <c r="H483" s="20"/>
      <c r="I483" s="20" t="s">
        <v>84</v>
      </c>
      <c r="J483" s="20" t="s">
        <v>82</v>
      </c>
      <c r="K483" s="71"/>
      <c r="L483" s="20" t="s">
        <v>22</v>
      </c>
      <c r="M483" s="20"/>
      <c r="N483" s="20" t="s">
        <v>44</v>
      </c>
      <c r="O483" s="20"/>
      <c r="P483" s="20"/>
      <c r="Q483" s="20"/>
      <c r="R483" s="20"/>
      <c r="S483" s="20"/>
      <c r="T483" s="26"/>
      <c r="U483" s="17"/>
    </row>
    <row r="484" spans="1:21" x14ac:dyDescent="0.25">
      <c r="A484" s="2"/>
      <c r="B484" s="20" t="s">
        <v>995</v>
      </c>
      <c r="C484" s="52" t="s">
        <v>996</v>
      </c>
      <c r="D484" s="55" t="s">
        <v>997</v>
      </c>
      <c r="E484" s="2" t="s">
        <v>218</v>
      </c>
      <c r="F484" s="71">
        <v>40915</v>
      </c>
      <c r="G484" s="29" t="s">
        <v>58</v>
      </c>
      <c r="H484" s="20" t="s">
        <v>72</v>
      </c>
      <c r="I484" s="20" t="s">
        <v>84</v>
      </c>
      <c r="J484" s="20" t="s">
        <v>81</v>
      </c>
      <c r="K484" s="71"/>
      <c r="L484" s="20" t="s">
        <v>157</v>
      </c>
      <c r="M484" s="20"/>
      <c r="N484" s="20" t="s">
        <v>13</v>
      </c>
      <c r="O484" s="20"/>
      <c r="P484" s="20" t="s">
        <v>22</v>
      </c>
      <c r="Q484" s="20"/>
      <c r="R484" s="20" t="s">
        <v>148</v>
      </c>
      <c r="S484" s="20"/>
      <c r="T484" s="26"/>
      <c r="U484" s="17"/>
    </row>
    <row r="485" spans="1:21" x14ac:dyDescent="0.25">
      <c r="A485" s="2" t="str">
        <f>IFERROR(VLOOKUP(B485,Clientes!A:B,2,0),"")</f>
        <v/>
      </c>
      <c r="B485" s="20">
        <f>B483+1</f>
        <v>436</v>
      </c>
      <c r="C485" s="52" t="s">
        <v>243</v>
      </c>
      <c r="D485" s="55" t="s">
        <v>244</v>
      </c>
      <c r="E485" s="2" t="s">
        <v>218</v>
      </c>
      <c r="F485" s="71">
        <v>40915</v>
      </c>
      <c r="G485" s="29" t="s">
        <v>58</v>
      </c>
      <c r="H485" s="20" t="s">
        <v>72</v>
      </c>
      <c r="I485" s="20" t="s">
        <v>84</v>
      </c>
      <c r="J485" s="20" t="s">
        <v>81</v>
      </c>
      <c r="K485" s="71"/>
      <c r="L485" s="20" t="s">
        <v>22</v>
      </c>
      <c r="M485" s="20"/>
      <c r="N485" s="20" t="s">
        <v>157</v>
      </c>
      <c r="O485" s="20"/>
      <c r="P485" s="20"/>
      <c r="Q485" s="20"/>
      <c r="R485" s="20"/>
      <c r="S485" s="20"/>
      <c r="T485" s="26"/>
      <c r="U485" s="17"/>
    </row>
    <row r="486" spans="1:21" x14ac:dyDescent="0.25">
      <c r="A486" s="2" t="str">
        <f>IFERROR(VLOOKUP(B486,Clientes!A:B,2,0),"")</f>
        <v/>
      </c>
      <c r="B486" s="20">
        <f>B485+1</f>
        <v>437</v>
      </c>
      <c r="C486" s="52" t="s">
        <v>987</v>
      </c>
      <c r="D486" s="55" t="s">
        <v>988</v>
      </c>
      <c r="E486" s="2" t="s">
        <v>215</v>
      </c>
      <c r="F486" s="71">
        <v>40915</v>
      </c>
      <c r="G486" s="29" t="s">
        <v>58</v>
      </c>
      <c r="H486" s="20" t="s">
        <v>72</v>
      </c>
      <c r="I486" s="20" t="s">
        <v>84</v>
      </c>
      <c r="J486" s="20" t="s">
        <v>81</v>
      </c>
      <c r="K486" s="71"/>
      <c r="L486" s="20" t="s">
        <v>139</v>
      </c>
      <c r="M486" s="20"/>
      <c r="N486" s="20"/>
      <c r="O486" s="20"/>
      <c r="P486" s="20"/>
      <c r="Q486" s="20"/>
      <c r="R486" s="20"/>
      <c r="S486" s="20"/>
      <c r="T486" s="26"/>
      <c r="U486" s="17"/>
    </row>
    <row r="487" spans="1:21" x14ac:dyDescent="0.25">
      <c r="A487" s="2"/>
      <c r="B487" s="20" t="s">
        <v>992</v>
      </c>
      <c r="C487" s="52" t="s">
        <v>993</v>
      </c>
      <c r="D487" s="55" t="s">
        <v>994</v>
      </c>
      <c r="E487" s="2" t="s">
        <v>232</v>
      </c>
      <c r="F487" s="71">
        <v>40915</v>
      </c>
      <c r="G487" s="29" t="s">
        <v>58</v>
      </c>
      <c r="H487" s="20" t="s">
        <v>72</v>
      </c>
      <c r="I487" s="20" t="s">
        <v>84</v>
      </c>
      <c r="J487" s="20" t="s">
        <v>81</v>
      </c>
      <c r="K487" s="71"/>
      <c r="L487" s="20" t="s">
        <v>18</v>
      </c>
      <c r="M487" s="20"/>
      <c r="N487" s="20"/>
      <c r="O487" s="20"/>
      <c r="P487" s="20"/>
      <c r="Q487" s="20"/>
      <c r="R487" s="20"/>
      <c r="S487" s="20"/>
      <c r="T487" s="26"/>
      <c r="U487" s="17"/>
    </row>
    <row r="488" spans="1:21" x14ac:dyDescent="0.25">
      <c r="A488" s="2" t="str">
        <f>IFERROR(VLOOKUP(B488,Clientes!A:B,2,0),"")</f>
        <v/>
      </c>
      <c r="B488" s="20">
        <f>B486+1</f>
        <v>438</v>
      </c>
      <c r="C488" s="52" t="s">
        <v>989</v>
      </c>
      <c r="D488" s="55" t="s">
        <v>990</v>
      </c>
      <c r="E488" s="2" t="s">
        <v>221</v>
      </c>
      <c r="F488" s="71">
        <v>40915</v>
      </c>
      <c r="G488" s="29" t="s">
        <v>57</v>
      </c>
      <c r="H488" s="20"/>
      <c r="I488" s="20" t="s">
        <v>84</v>
      </c>
      <c r="J488" s="20" t="s">
        <v>82</v>
      </c>
      <c r="K488" s="71"/>
      <c r="L488" s="20" t="s">
        <v>157</v>
      </c>
      <c r="M488" s="20"/>
      <c r="N488" s="20"/>
      <c r="O488" s="20"/>
      <c r="P488" s="20"/>
      <c r="Q488" s="20"/>
      <c r="R488" s="20"/>
      <c r="S488" s="20"/>
      <c r="T488" s="26"/>
      <c r="U488" s="17"/>
    </row>
    <row r="489" spans="1:21" x14ac:dyDescent="0.25">
      <c r="A489" s="2"/>
      <c r="B489" s="20" t="s">
        <v>991</v>
      </c>
      <c r="C489" s="52" t="s">
        <v>786</v>
      </c>
      <c r="D489" s="55" t="s">
        <v>787</v>
      </c>
      <c r="E489" s="2" t="s">
        <v>236</v>
      </c>
      <c r="F489" s="71">
        <v>40915</v>
      </c>
      <c r="G489" s="29" t="s">
        <v>56</v>
      </c>
      <c r="H489" s="20" t="s">
        <v>72</v>
      </c>
      <c r="I489" s="20" t="s">
        <v>84</v>
      </c>
      <c r="J489" s="20" t="s">
        <v>83</v>
      </c>
      <c r="K489" s="71"/>
      <c r="L489" s="20"/>
      <c r="M489" s="20"/>
      <c r="N489" s="20"/>
      <c r="O489" s="20"/>
      <c r="P489" s="20"/>
      <c r="Q489" s="20"/>
      <c r="R489" s="20"/>
      <c r="S489" s="20"/>
      <c r="T489" s="26"/>
      <c r="U489" s="17"/>
    </row>
    <row r="490" spans="1:21" x14ac:dyDescent="0.25">
      <c r="A490" s="2"/>
      <c r="B490" s="20" t="s">
        <v>1040</v>
      </c>
      <c r="C490" s="52" t="s">
        <v>1041</v>
      </c>
      <c r="D490" s="55" t="s">
        <v>1042</v>
      </c>
      <c r="E490" s="2" t="s">
        <v>223</v>
      </c>
      <c r="F490" s="71">
        <v>80915</v>
      </c>
      <c r="G490" s="29" t="s">
        <v>66</v>
      </c>
      <c r="H490" s="20" t="s">
        <v>77</v>
      </c>
      <c r="I490" s="20" t="s">
        <v>84</v>
      </c>
      <c r="J490" s="20" t="s">
        <v>81</v>
      </c>
      <c r="K490" s="71"/>
      <c r="L490" s="20"/>
      <c r="M490" s="20"/>
      <c r="N490" s="20"/>
      <c r="O490" s="20"/>
      <c r="P490" s="20"/>
      <c r="Q490" s="20"/>
      <c r="R490" s="20"/>
      <c r="S490" s="20"/>
      <c r="T490" s="26"/>
      <c r="U490" s="17"/>
    </row>
    <row r="491" spans="1:21" x14ac:dyDescent="0.25">
      <c r="A491" s="2" t="str">
        <f>IFERROR(VLOOKUP(B491,Clientes!A:B,2,0),"")</f>
        <v/>
      </c>
      <c r="B491" s="20">
        <f>B488+1</f>
        <v>439</v>
      </c>
      <c r="C491" s="52" t="s">
        <v>1018</v>
      </c>
      <c r="D491" s="55" t="s">
        <v>1019</v>
      </c>
      <c r="E491" s="2" t="s">
        <v>218</v>
      </c>
      <c r="F491" s="71">
        <v>80915</v>
      </c>
      <c r="G491" s="29" t="s">
        <v>56</v>
      </c>
      <c r="H491" s="20" t="s">
        <v>72</v>
      </c>
      <c r="I491" s="20" t="s">
        <v>84</v>
      </c>
      <c r="J491" s="20" t="s">
        <v>83</v>
      </c>
      <c r="K491" s="71"/>
      <c r="L491" s="20"/>
      <c r="M491" s="20"/>
      <c r="N491" s="20"/>
      <c r="O491" s="20"/>
      <c r="P491" s="20"/>
      <c r="Q491" s="20"/>
      <c r="R491" s="20"/>
      <c r="S491" s="20"/>
      <c r="T491" s="26"/>
      <c r="U491" s="17"/>
    </row>
    <row r="492" spans="1:21" x14ac:dyDescent="0.25">
      <c r="A492" s="2" t="str">
        <f>IFERROR(VLOOKUP(B492,Clientes!A:B,2,0),"")</f>
        <v/>
      </c>
      <c r="B492" s="20">
        <f t="shared" ref="B492:B499" si="40">B491+1</f>
        <v>440</v>
      </c>
      <c r="C492" s="52" t="s">
        <v>1013</v>
      </c>
      <c r="D492" s="55" t="s">
        <v>1014</v>
      </c>
      <c r="E492" s="2" t="s">
        <v>218</v>
      </c>
      <c r="F492" s="71">
        <v>80915</v>
      </c>
      <c r="G492" s="29" t="s">
        <v>66</v>
      </c>
      <c r="H492" s="20" t="s">
        <v>77</v>
      </c>
      <c r="I492" s="20" t="s">
        <v>84</v>
      </c>
      <c r="J492" s="20" t="s">
        <v>81</v>
      </c>
      <c r="K492" s="71"/>
      <c r="L492" s="20"/>
      <c r="M492" s="20"/>
      <c r="N492" s="20"/>
      <c r="O492" s="20"/>
      <c r="P492" s="20"/>
      <c r="Q492" s="20"/>
      <c r="R492" s="20"/>
      <c r="S492" s="20"/>
      <c r="T492" s="26"/>
      <c r="U492" s="17"/>
    </row>
    <row r="493" spans="1:21" x14ac:dyDescent="0.25">
      <c r="A493" s="2" t="str">
        <f>IFERROR(VLOOKUP(B493,Clientes!A:B,2,0),"")</f>
        <v/>
      </c>
      <c r="B493" s="20">
        <f t="shared" si="40"/>
        <v>441</v>
      </c>
      <c r="C493" s="52" t="s">
        <v>1009</v>
      </c>
      <c r="D493" s="55" t="s">
        <v>1010</v>
      </c>
      <c r="E493" s="2" t="s">
        <v>231</v>
      </c>
      <c r="F493" s="71">
        <v>80915</v>
      </c>
      <c r="G493" s="29" t="s">
        <v>58</v>
      </c>
      <c r="H493" s="20" t="s">
        <v>72</v>
      </c>
      <c r="I493" s="20" t="s">
        <v>84</v>
      </c>
      <c r="J493" s="20" t="s">
        <v>81</v>
      </c>
      <c r="K493" s="71"/>
      <c r="L493" s="20" t="s">
        <v>145</v>
      </c>
      <c r="M493" s="20"/>
      <c r="N493" s="20" t="s">
        <v>139</v>
      </c>
      <c r="O493" s="20"/>
      <c r="P493" s="20" t="s">
        <v>44</v>
      </c>
      <c r="Q493" s="20"/>
      <c r="R493" s="20"/>
      <c r="S493" s="20"/>
      <c r="T493" s="26"/>
      <c r="U493" s="17"/>
    </row>
    <row r="494" spans="1:21" x14ac:dyDescent="0.25">
      <c r="A494" s="2" t="str">
        <f>IFERROR(VLOOKUP(B494,Clientes!A:B,2,0),"")</f>
        <v/>
      </c>
      <c r="B494" s="20">
        <f t="shared" si="40"/>
        <v>442</v>
      </c>
      <c r="C494" s="52" t="s">
        <v>1011</v>
      </c>
      <c r="D494" s="55" t="s">
        <v>1012</v>
      </c>
      <c r="E494" s="2" t="s">
        <v>232</v>
      </c>
      <c r="F494" s="71">
        <v>80915</v>
      </c>
      <c r="G494" s="29" t="s">
        <v>58</v>
      </c>
      <c r="H494" s="20" t="s">
        <v>72</v>
      </c>
      <c r="I494" s="20" t="s">
        <v>84</v>
      </c>
      <c r="J494" s="20" t="s">
        <v>81</v>
      </c>
      <c r="K494" s="71"/>
      <c r="L494" s="20" t="s">
        <v>164</v>
      </c>
      <c r="M494" s="20"/>
      <c r="N494" s="20" t="s">
        <v>18</v>
      </c>
      <c r="O494" s="20"/>
      <c r="P494" s="20" t="s">
        <v>139</v>
      </c>
      <c r="Q494" s="20"/>
      <c r="R494" s="20"/>
      <c r="S494" s="20"/>
      <c r="T494" s="26"/>
      <c r="U494" s="17"/>
    </row>
    <row r="495" spans="1:21" x14ac:dyDescent="0.25">
      <c r="A495" s="2" t="str">
        <f>IFERROR(VLOOKUP(B495,Clientes!A:B,2,0),"")</f>
        <v/>
      </c>
      <c r="B495" s="20">
        <f t="shared" si="40"/>
        <v>443</v>
      </c>
      <c r="C495" s="52" t="s">
        <v>672</v>
      </c>
      <c r="D495" s="55" t="s">
        <v>673</v>
      </c>
      <c r="E495" s="2" t="s">
        <v>223</v>
      </c>
      <c r="F495" s="71">
        <v>80915</v>
      </c>
      <c r="G495" s="29" t="s">
        <v>56</v>
      </c>
      <c r="H495" s="55" t="s">
        <v>537</v>
      </c>
      <c r="I495" s="20" t="s">
        <v>84</v>
      </c>
      <c r="J495" s="20" t="s">
        <v>83</v>
      </c>
      <c r="K495" s="71"/>
      <c r="L495" s="20"/>
      <c r="M495" s="20"/>
      <c r="N495" s="20"/>
      <c r="O495" s="20"/>
      <c r="P495" s="20"/>
      <c r="Q495" s="20"/>
      <c r="R495" s="20"/>
      <c r="S495" s="20"/>
      <c r="T495" s="26"/>
      <c r="U495" s="17"/>
    </row>
    <row r="496" spans="1:21" x14ac:dyDescent="0.25">
      <c r="A496" s="2" t="str">
        <f>IFERROR(VLOOKUP(B496,Clientes!A:B,2,0),"")</f>
        <v/>
      </c>
      <c r="B496" s="20">
        <f t="shared" si="40"/>
        <v>444</v>
      </c>
      <c r="C496" s="52" t="s">
        <v>1007</v>
      </c>
      <c r="D496" s="55" t="s">
        <v>1008</v>
      </c>
      <c r="E496" s="2" t="s">
        <v>216</v>
      </c>
      <c r="F496" s="71">
        <v>90915</v>
      </c>
      <c r="G496" s="29" t="s">
        <v>57</v>
      </c>
      <c r="H496" s="20"/>
      <c r="I496" s="20" t="s">
        <v>84</v>
      </c>
      <c r="J496" s="20" t="s">
        <v>82</v>
      </c>
      <c r="K496" s="71"/>
      <c r="L496" s="20" t="s">
        <v>13</v>
      </c>
      <c r="M496" s="20"/>
      <c r="N496" s="20"/>
      <c r="O496" s="20"/>
      <c r="P496" s="20"/>
      <c r="Q496" s="20"/>
      <c r="R496" s="20"/>
      <c r="S496" s="20"/>
      <c r="T496" s="26"/>
      <c r="U496" s="17"/>
    </row>
    <row r="497" spans="1:21" x14ac:dyDescent="0.25">
      <c r="A497" s="2" t="str">
        <f>IFERROR(VLOOKUP(B497,Clientes!A:B,2,0),"")</f>
        <v/>
      </c>
      <c r="B497" s="20">
        <f t="shared" si="40"/>
        <v>445</v>
      </c>
      <c r="C497" s="52" t="s">
        <v>1005</v>
      </c>
      <c r="D497" s="55" t="s">
        <v>1006</v>
      </c>
      <c r="E497" s="2" t="s">
        <v>220</v>
      </c>
      <c r="F497" s="71">
        <v>80915</v>
      </c>
      <c r="G497" s="29" t="s">
        <v>58</v>
      </c>
      <c r="H497" s="55" t="s">
        <v>537</v>
      </c>
      <c r="I497" s="20" t="s">
        <v>84</v>
      </c>
      <c r="J497" s="20" t="s">
        <v>81</v>
      </c>
      <c r="K497" s="71"/>
      <c r="L497" s="20" t="s">
        <v>760</v>
      </c>
      <c r="M497" s="20"/>
      <c r="N497" s="20" t="s">
        <v>164</v>
      </c>
      <c r="O497" s="20"/>
      <c r="P497" s="20"/>
      <c r="Q497" s="20"/>
      <c r="R497" s="20"/>
      <c r="S497" s="20"/>
      <c r="T497" s="26"/>
      <c r="U497" s="17"/>
    </row>
    <row r="498" spans="1:21" x14ac:dyDescent="0.25">
      <c r="A498" s="2" t="str">
        <f>IFERROR(VLOOKUP(B498,Clientes!A:B,2,0),"")</f>
        <v/>
      </c>
      <c r="B498" s="20">
        <f t="shared" si="40"/>
        <v>446</v>
      </c>
      <c r="C498" s="52" t="s">
        <v>1004</v>
      </c>
      <c r="D498" s="55" t="s">
        <v>1003</v>
      </c>
      <c r="E498" s="2" t="s">
        <v>218</v>
      </c>
      <c r="F498" s="71">
        <v>90915</v>
      </c>
      <c r="G498" s="29" t="s">
        <v>57</v>
      </c>
      <c r="H498" s="20"/>
      <c r="I498" s="20" t="s">
        <v>84</v>
      </c>
      <c r="J498" s="20" t="s">
        <v>81</v>
      </c>
      <c r="K498" s="71"/>
      <c r="L498" s="20" t="s">
        <v>758</v>
      </c>
      <c r="M498" s="20"/>
      <c r="N498" s="20"/>
      <c r="O498" s="20"/>
      <c r="P498" s="20"/>
      <c r="Q498" s="20"/>
      <c r="R498" s="20"/>
      <c r="S498" s="20"/>
      <c r="T498" s="26"/>
      <c r="U498" s="17"/>
    </row>
    <row r="499" spans="1:21" x14ac:dyDescent="0.25">
      <c r="A499" s="2" t="str">
        <f>IFERROR(VLOOKUP(B499,Clientes!A:B,2,0),"")</f>
        <v/>
      </c>
      <c r="B499" s="20">
        <f t="shared" si="40"/>
        <v>447</v>
      </c>
      <c r="C499" s="52" t="s">
        <v>271</v>
      </c>
      <c r="D499" s="55" t="s">
        <v>272</v>
      </c>
      <c r="E499" s="2" t="s">
        <v>228</v>
      </c>
      <c r="F499" s="71">
        <v>90915</v>
      </c>
      <c r="G499" s="29" t="s">
        <v>58</v>
      </c>
      <c r="H499" s="20" t="s">
        <v>72</v>
      </c>
      <c r="I499" s="20" t="s">
        <v>84</v>
      </c>
      <c r="J499" s="20" t="s">
        <v>81</v>
      </c>
      <c r="K499" s="71"/>
      <c r="L499" s="20" t="s">
        <v>206</v>
      </c>
      <c r="M499" s="20"/>
      <c r="N499" s="20" t="s">
        <v>758</v>
      </c>
      <c r="O499" s="20"/>
      <c r="P499" s="20" t="s">
        <v>154</v>
      </c>
      <c r="Q499" s="20"/>
      <c r="R499" s="20" t="s">
        <v>17</v>
      </c>
      <c r="S499" s="20"/>
      <c r="T499" s="26" t="s">
        <v>998</v>
      </c>
      <c r="U499" s="17"/>
    </row>
    <row r="500" spans="1:21" x14ac:dyDescent="0.25">
      <c r="A500" s="2"/>
      <c r="B500" s="20" t="s">
        <v>1002</v>
      </c>
      <c r="C500" s="52" t="s">
        <v>428</v>
      </c>
      <c r="D500" s="55" t="s">
        <v>429</v>
      </c>
      <c r="E500" s="2" t="s">
        <v>214</v>
      </c>
      <c r="F500" s="71">
        <v>90915</v>
      </c>
      <c r="G500" s="29" t="s">
        <v>58</v>
      </c>
      <c r="H500" s="20" t="s">
        <v>72</v>
      </c>
      <c r="I500" s="20" t="s">
        <v>84</v>
      </c>
      <c r="J500" s="20" t="s">
        <v>81</v>
      </c>
      <c r="K500" s="71"/>
      <c r="L500" s="20" t="s">
        <v>157</v>
      </c>
      <c r="M500" s="20"/>
      <c r="N500" s="20" t="s">
        <v>23</v>
      </c>
      <c r="O500" s="20"/>
      <c r="P500" s="20"/>
      <c r="Q500" s="20"/>
      <c r="R500" s="20"/>
      <c r="S500" s="20"/>
      <c r="T500" s="26"/>
      <c r="U500" s="17"/>
    </row>
    <row r="501" spans="1:21" x14ac:dyDescent="0.25">
      <c r="A501" s="2" t="str">
        <f>IFERROR(VLOOKUP(B501,Clientes!A:B,2,0),"")</f>
        <v/>
      </c>
      <c r="B501" s="20">
        <f>B499+1</f>
        <v>448</v>
      </c>
      <c r="C501" s="52" t="s">
        <v>896</v>
      </c>
      <c r="D501" s="55" t="s">
        <v>897</v>
      </c>
      <c r="E501" s="2" t="s">
        <v>217</v>
      </c>
      <c r="F501" s="71">
        <v>90915</v>
      </c>
      <c r="G501" s="29" t="s">
        <v>57</v>
      </c>
      <c r="H501" s="55" t="s">
        <v>537</v>
      </c>
      <c r="I501" s="20" t="s">
        <v>84</v>
      </c>
      <c r="J501" s="20" t="s">
        <v>81</v>
      </c>
      <c r="K501" s="71"/>
      <c r="L501" s="20" t="s">
        <v>162</v>
      </c>
      <c r="M501" s="20"/>
      <c r="N501" s="20" t="s">
        <v>206</v>
      </c>
      <c r="O501" s="20"/>
      <c r="P501" s="20"/>
      <c r="Q501" s="20"/>
      <c r="R501" s="20"/>
      <c r="S501" s="20"/>
      <c r="T501" s="26"/>
      <c r="U501" s="17"/>
    </row>
    <row r="502" spans="1:21" x14ac:dyDescent="0.25">
      <c r="A502" s="2"/>
      <c r="B502" s="20" t="s">
        <v>999</v>
      </c>
      <c r="C502" s="52" t="s">
        <v>1000</v>
      </c>
      <c r="D502" s="55" t="s">
        <v>1001</v>
      </c>
      <c r="E502" s="2" t="s">
        <v>221</v>
      </c>
      <c r="F502" s="71">
        <v>90915</v>
      </c>
      <c r="G502" s="29" t="s">
        <v>58</v>
      </c>
      <c r="H502" s="20" t="s">
        <v>72</v>
      </c>
      <c r="I502" s="20" t="s">
        <v>84</v>
      </c>
      <c r="J502" s="20" t="s">
        <v>81</v>
      </c>
      <c r="K502" s="71"/>
      <c r="L502" s="20" t="s">
        <v>161</v>
      </c>
      <c r="M502" s="20"/>
      <c r="N502" s="20" t="s">
        <v>157</v>
      </c>
      <c r="O502" s="20"/>
      <c r="P502" s="20"/>
      <c r="Q502" s="20"/>
      <c r="R502" s="20"/>
      <c r="S502" s="20"/>
      <c r="T502" s="26"/>
      <c r="U502" s="17"/>
    </row>
    <row r="503" spans="1:21" x14ac:dyDescent="0.25">
      <c r="A503" s="2" t="str">
        <f>IFERROR(VLOOKUP(B503,Clientes!A:B,2,0),"")</f>
        <v/>
      </c>
      <c r="B503" s="20">
        <f>B501+1</f>
        <v>449</v>
      </c>
      <c r="C503" s="52" t="s">
        <v>737</v>
      </c>
      <c r="D503" s="55" t="s">
        <v>738</v>
      </c>
      <c r="E503" s="2" t="s">
        <v>228</v>
      </c>
      <c r="F503" s="71">
        <v>90915</v>
      </c>
      <c r="G503" s="29" t="s">
        <v>58</v>
      </c>
      <c r="H503" s="20"/>
      <c r="I503" s="20" t="s">
        <v>84</v>
      </c>
      <c r="J503" s="20" t="s">
        <v>82</v>
      </c>
      <c r="K503" s="71"/>
      <c r="L503" s="20" t="s">
        <v>160</v>
      </c>
      <c r="M503" s="20"/>
      <c r="N503" s="20"/>
      <c r="O503" s="20"/>
      <c r="P503" s="20"/>
      <c r="Q503" s="20"/>
      <c r="R503" s="20"/>
      <c r="S503" s="20"/>
      <c r="T503" s="26"/>
      <c r="U503" s="17"/>
    </row>
    <row r="504" spans="1:21" x14ac:dyDescent="0.25">
      <c r="A504" s="2"/>
      <c r="B504" s="20" t="s">
        <v>1015</v>
      </c>
      <c r="C504" s="52" t="s">
        <v>983</v>
      </c>
      <c r="D504" s="55" t="s">
        <v>984</v>
      </c>
      <c r="E504" s="2" t="s">
        <v>228</v>
      </c>
      <c r="F504" s="71">
        <v>100915</v>
      </c>
      <c r="G504" s="29" t="s">
        <v>57</v>
      </c>
      <c r="H504" s="20"/>
      <c r="I504" s="20" t="s">
        <v>84</v>
      </c>
      <c r="J504" s="20" t="s">
        <v>81</v>
      </c>
      <c r="K504" s="71"/>
      <c r="L504" s="20" t="s">
        <v>17</v>
      </c>
      <c r="M504" s="20"/>
      <c r="N504" s="20"/>
      <c r="O504" s="20"/>
      <c r="P504" s="20"/>
      <c r="Q504" s="20"/>
      <c r="R504" s="20"/>
      <c r="S504" s="20"/>
      <c r="T504" s="26"/>
      <c r="U504" s="17"/>
    </row>
    <row r="505" spans="1:21" x14ac:dyDescent="0.25">
      <c r="A505" s="2"/>
      <c r="B505" s="20" t="s">
        <v>1039</v>
      </c>
      <c r="C505" s="52" t="s">
        <v>692</v>
      </c>
      <c r="D505" s="55" t="s">
        <v>693</v>
      </c>
      <c r="E505" s="2" t="s">
        <v>214</v>
      </c>
      <c r="F505" s="71">
        <v>100915</v>
      </c>
      <c r="G505" s="29" t="s">
        <v>56</v>
      </c>
      <c r="H505" s="20" t="s">
        <v>72</v>
      </c>
      <c r="I505" s="20" t="s">
        <v>84</v>
      </c>
      <c r="J505" s="20" t="s">
        <v>81</v>
      </c>
      <c r="K505" s="71"/>
      <c r="L505" s="20" t="s">
        <v>15</v>
      </c>
      <c r="M505" s="20"/>
      <c r="N505" s="20" t="s">
        <v>33</v>
      </c>
      <c r="O505" s="20"/>
      <c r="P505" s="20"/>
      <c r="Q505" s="20"/>
      <c r="R505" s="20"/>
      <c r="S505" s="20"/>
      <c r="T505" s="26"/>
      <c r="U505" s="17"/>
    </row>
    <row r="506" spans="1:21" x14ac:dyDescent="0.25">
      <c r="A506" s="2" t="str">
        <f>IFERROR(VLOOKUP(B506,Clientes!A:B,2,0),"")</f>
        <v/>
      </c>
      <c r="B506" s="20">
        <f>B503+1</f>
        <v>450</v>
      </c>
      <c r="C506" s="52" t="s">
        <v>878</v>
      </c>
      <c r="D506" s="55" t="s">
        <v>879</v>
      </c>
      <c r="E506" s="2" t="s">
        <v>231</v>
      </c>
      <c r="F506" s="71">
        <v>100915</v>
      </c>
      <c r="G506" s="29" t="s">
        <v>58</v>
      </c>
      <c r="H506" s="20" t="s">
        <v>72</v>
      </c>
      <c r="I506" s="20" t="s">
        <v>84</v>
      </c>
      <c r="J506" s="20" t="s">
        <v>81</v>
      </c>
      <c r="K506" s="71"/>
      <c r="L506" s="20" t="s">
        <v>37</v>
      </c>
      <c r="M506" s="20"/>
      <c r="N506" s="20" t="s">
        <v>760</v>
      </c>
      <c r="O506" s="20"/>
      <c r="P506" s="20"/>
      <c r="Q506" s="20"/>
      <c r="R506" s="20"/>
      <c r="S506" s="20"/>
      <c r="T506" s="26"/>
      <c r="U506" s="17"/>
    </row>
    <row r="507" spans="1:21" x14ac:dyDescent="0.25">
      <c r="A507" s="2"/>
      <c r="B507" s="20" t="s">
        <v>1020</v>
      </c>
      <c r="C507" s="52" t="s">
        <v>329</v>
      </c>
      <c r="D507" s="55" t="s">
        <v>1021</v>
      </c>
      <c r="E507" s="2" t="s">
        <v>220</v>
      </c>
      <c r="F507" s="71">
        <v>100915</v>
      </c>
      <c r="G507" s="29" t="s">
        <v>58</v>
      </c>
      <c r="H507" s="20" t="s">
        <v>72</v>
      </c>
      <c r="I507" s="20" t="s">
        <v>84</v>
      </c>
      <c r="J507" s="20" t="s">
        <v>82</v>
      </c>
      <c r="K507" s="71"/>
      <c r="L507" s="20" t="s">
        <v>39</v>
      </c>
      <c r="M507" s="20"/>
      <c r="N507" s="20"/>
      <c r="O507" s="20"/>
      <c r="P507" s="20"/>
      <c r="Q507" s="20"/>
      <c r="R507" s="20"/>
      <c r="S507" s="20"/>
      <c r="T507" s="26"/>
      <c r="U507" s="17"/>
    </row>
    <row r="508" spans="1:21" x14ac:dyDescent="0.25">
      <c r="A508" s="2"/>
      <c r="B508" s="20" t="s">
        <v>1038</v>
      </c>
      <c r="C508" s="52" t="s">
        <v>543</v>
      </c>
      <c r="D508" s="55" t="s">
        <v>544</v>
      </c>
      <c r="E508" s="2" t="s">
        <v>226</v>
      </c>
      <c r="F508" s="71">
        <v>100915</v>
      </c>
      <c r="G508" s="29" t="s">
        <v>57</v>
      </c>
      <c r="H508" s="20" t="s">
        <v>72</v>
      </c>
      <c r="I508" s="20" t="s">
        <v>84</v>
      </c>
      <c r="J508" s="20" t="s">
        <v>81</v>
      </c>
      <c r="K508" s="71"/>
      <c r="L508" s="20" t="s">
        <v>160</v>
      </c>
      <c r="M508" s="20"/>
      <c r="N508" s="20"/>
      <c r="O508" s="20"/>
      <c r="P508" s="20"/>
      <c r="Q508" s="20"/>
      <c r="R508" s="20"/>
      <c r="S508" s="20"/>
      <c r="T508" s="26"/>
      <c r="U508" s="17"/>
    </row>
    <row r="509" spans="1:21" x14ac:dyDescent="0.25">
      <c r="A509" s="2" t="str">
        <f>IFERROR(VLOOKUP(B509,Clientes!A:B,2,0),"")</f>
        <v/>
      </c>
      <c r="B509" s="20">
        <f>B506+1</f>
        <v>451</v>
      </c>
      <c r="C509" s="52"/>
      <c r="D509" s="55"/>
      <c r="E509" s="2"/>
      <c r="F509" s="71"/>
      <c r="G509" s="29"/>
      <c r="H509" s="20"/>
      <c r="I509" s="20" t="s">
        <v>84</v>
      </c>
      <c r="J509" s="20"/>
      <c r="K509" s="71"/>
      <c r="L509" s="20"/>
      <c r="M509" s="20"/>
      <c r="N509" s="20"/>
      <c r="O509" s="20"/>
      <c r="P509" s="20"/>
      <c r="Q509" s="20"/>
      <c r="R509" s="20"/>
      <c r="S509" s="20"/>
      <c r="T509" s="26"/>
      <c r="U509" s="17"/>
    </row>
    <row r="510" spans="1:21" x14ac:dyDescent="0.25">
      <c r="A510" s="2" t="str">
        <f>IFERROR(VLOOKUP(B510,Clientes!A:B,2,0),"")</f>
        <v/>
      </c>
      <c r="B510" s="20">
        <f t="shared" ref="B510:B514" si="41">B509+1</f>
        <v>452</v>
      </c>
      <c r="C510" s="52" t="s">
        <v>292</v>
      </c>
      <c r="D510" s="55" t="s">
        <v>293</v>
      </c>
      <c r="E510" s="2"/>
      <c r="F510" s="71">
        <v>101015</v>
      </c>
      <c r="G510" s="29" t="s">
        <v>63</v>
      </c>
      <c r="H510" s="20"/>
      <c r="I510" s="20" t="s">
        <v>84</v>
      </c>
      <c r="J510" s="20" t="s">
        <v>83</v>
      </c>
      <c r="K510" s="71"/>
      <c r="L510" s="20"/>
      <c r="M510" s="20"/>
      <c r="N510" s="20"/>
      <c r="O510" s="20"/>
      <c r="P510" s="20"/>
      <c r="Q510" s="20"/>
      <c r="R510" s="20"/>
      <c r="S510" s="20"/>
      <c r="T510" s="26"/>
      <c r="U510" s="17"/>
    </row>
    <row r="511" spans="1:21" x14ac:dyDescent="0.25">
      <c r="A511" s="2" t="str">
        <f>IFERROR(VLOOKUP(B511,Clientes!A:B,2,0),"")</f>
        <v/>
      </c>
      <c r="B511" s="20">
        <f t="shared" si="41"/>
        <v>453</v>
      </c>
      <c r="C511" s="52" t="s">
        <v>705</v>
      </c>
      <c r="D511" s="55" t="s">
        <v>828</v>
      </c>
      <c r="E511" s="2" t="s">
        <v>230</v>
      </c>
      <c r="F511" s="71">
        <v>100915</v>
      </c>
      <c r="G511" s="29" t="s">
        <v>58</v>
      </c>
      <c r="H511" s="20" t="s">
        <v>72</v>
      </c>
      <c r="I511" s="20" t="s">
        <v>84</v>
      </c>
      <c r="J511" s="20" t="s">
        <v>83</v>
      </c>
      <c r="K511" s="71"/>
      <c r="L511" s="20"/>
      <c r="M511" s="20"/>
      <c r="N511" s="20"/>
      <c r="O511" s="20"/>
      <c r="P511" s="20"/>
      <c r="Q511" s="20"/>
      <c r="R511" s="20"/>
      <c r="S511" s="20"/>
      <c r="T511" s="26"/>
      <c r="U511" s="17"/>
    </row>
    <row r="512" spans="1:21" x14ac:dyDescent="0.25">
      <c r="A512" s="2" t="str">
        <f>IFERROR(VLOOKUP(B512,Clientes!A:B,2,0),"")</f>
        <v/>
      </c>
      <c r="B512" s="20">
        <f t="shared" si="41"/>
        <v>454</v>
      </c>
      <c r="C512" s="52" t="s">
        <v>490</v>
      </c>
      <c r="D512" s="55" t="s">
        <v>491</v>
      </c>
      <c r="E512" s="2" t="s">
        <v>222</v>
      </c>
      <c r="F512" s="71">
        <v>100915</v>
      </c>
      <c r="G512" s="29" t="s">
        <v>56</v>
      </c>
      <c r="H512" s="55" t="s">
        <v>537</v>
      </c>
      <c r="I512" s="20" t="s">
        <v>84</v>
      </c>
      <c r="J512" s="20" t="s">
        <v>83</v>
      </c>
      <c r="K512" s="71"/>
      <c r="L512" s="20"/>
      <c r="M512" s="20"/>
      <c r="N512" s="20"/>
      <c r="O512" s="20"/>
      <c r="P512" s="20"/>
      <c r="Q512" s="20"/>
      <c r="R512" s="20"/>
      <c r="S512" s="20"/>
      <c r="T512" s="26"/>
      <c r="U512" s="17"/>
    </row>
    <row r="513" spans="1:21" x14ac:dyDescent="0.25">
      <c r="A513" s="2" t="str">
        <f>IFERROR(VLOOKUP(B513,Clientes!A:B,2,0),"")</f>
        <v/>
      </c>
      <c r="B513" s="20">
        <f t="shared" si="41"/>
        <v>455</v>
      </c>
      <c r="C513" s="52" t="s">
        <v>317</v>
      </c>
      <c r="D513" s="55" t="s">
        <v>318</v>
      </c>
      <c r="E513" s="2" t="s">
        <v>225</v>
      </c>
      <c r="F513" s="71">
        <v>110915</v>
      </c>
      <c r="G513" s="29" t="s">
        <v>58</v>
      </c>
      <c r="H513" s="20" t="s">
        <v>72</v>
      </c>
      <c r="I513" s="20" t="s">
        <v>84</v>
      </c>
      <c r="J513" s="20" t="s">
        <v>81</v>
      </c>
      <c r="K513" s="71"/>
      <c r="L513" s="20" t="s">
        <v>160</v>
      </c>
      <c r="M513" s="20"/>
      <c r="N513" s="20"/>
      <c r="O513" s="20"/>
      <c r="P513" s="20"/>
      <c r="Q513" s="20"/>
      <c r="R513" s="20"/>
      <c r="S513" s="20"/>
      <c r="T513" s="26"/>
      <c r="U513" s="17"/>
    </row>
    <row r="514" spans="1:21" x14ac:dyDescent="0.25">
      <c r="A514" s="2" t="str">
        <f>IFERROR(VLOOKUP(B514,Clientes!A:B,2,0),"")</f>
        <v/>
      </c>
      <c r="B514" s="20">
        <f t="shared" si="41"/>
        <v>456</v>
      </c>
      <c r="C514" s="52" t="s">
        <v>996</v>
      </c>
      <c r="D514" s="55" t="s">
        <v>997</v>
      </c>
      <c r="E514" s="2" t="s">
        <v>218</v>
      </c>
      <c r="F514" s="71">
        <v>110915</v>
      </c>
      <c r="G514" s="29" t="s">
        <v>56</v>
      </c>
      <c r="H514" s="20" t="s">
        <v>72</v>
      </c>
      <c r="I514" s="20" t="s">
        <v>84</v>
      </c>
      <c r="J514" s="20" t="s">
        <v>83</v>
      </c>
      <c r="K514" s="71"/>
      <c r="L514" s="20"/>
      <c r="M514" s="20"/>
      <c r="N514" s="20"/>
      <c r="O514" s="20"/>
      <c r="P514" s="20"/>
      <c r="Q514" s="20"/>
      <c r="R514" s="20"/>
      <c r="S514" s="20"/>
      <c r="T514" s="26"/>
      <c r="U514" s="17"/>
    </row>
    <row r="515" spans="1:21" x14ac:dyDescent="0.25">
      <c r="A515" s="2" t="str">
        <f>IFERROR(VLOOKUP(B515,Clientes!A:B,2,0),"")</f>
        <v/>
      </c>
      <c r="B515" s="20">
        <f>B514+1</f>
        <v>457</v>
      </c>
      <c r="C515" s="52" t="s">
        <v>1016</v>
      </c>
      <c r="D515" s="55" t="s">
        <v>1017</v>
      </c>
      <c r="E515" s="2" t="s">
        <v>232</v>
      </c>
      <c r="F515" s="71">
        <v>110915</v>
      </c>
      <c r="G515" s="29" t="s">
        <v>58</v>
      </c>
      <c r="H515" s="20" t="s">
        <v>72</v>
      </c>
      <c r="I515" s="20" t="s">
        <v>84</v>
      </c>
      <c r="J515" s="20" t="s">
        <v>81</v>
      </c>
      <c r="K515" s="71"/>
      <c r="L515" s="20"/>
      <c r="M515" s="20"/>
      <c r="N515" s="20"/>
      <c r="O515" s="20"/>
      <c r="P515" s="20"/>
      <c r="Q515" s="20"/>
      <c r="R515" s="20"/>
      <c r="S515" s="20"/>
      <c r="T515" s="26"/>
      <c r="U515" s="17"/>
    </row>
    <row r="516" spans="1:21" x14ac:dyDescent="0.25">
      <c r="A516" s="2" t="str">
        <f>IFERROR(VLOOKUP(B516,Clientes!A:B,2,0),"")</f>
        <v/>
      </c>
      <c r="B516" s="20">
        <f>B515+1</f>
        <v>458</v>
      </c>
      <c r="C516" s="52" t="s">
        <v>521</v>
      </c>
      <c r="D516" s="55" t="s">
        <v>522</v>
      </c>
      <c r="E516" s="2" t="s">
        <v>217</v>
      </c>
      <c r="F516" s="71">
        <v>110915</v>
      </c>
      <c r="G516" s="29" t="s">
        <v>57</v>
      </c>
      <c r="H516" s="20" t="s">
        <v>72</v>
      </c>
      <c r="I516" s="20" t="s">
        <v>84</v>
      </c>
      <c r="J516" s="20" t="s">
        <v>83</v>
      </c>
      <c r="K516" s="71"/>
      <c r="L516" s="20"/>
      <c r="M516" s="20"/>
      <c r="N516" s="20"/>
      <c r="O516" s="20"/>
      <c r="P516" s="20"/>
      <c r="Q516" s="20"/>
      <c r="R516" s="20"/>
      <c r="S516" s="20"/>
      <c r="T516" s="26"/>
      <c r="U516" s="17"/>
    </row>
    <row r="517" spans="1:21" x14ac:dyDescent="0.25">
      <c r="A517" s="2"/>
      <c r="B517" s="20" t="s">
        <v>1022</v>
      </c>
      <c r="C517" s="52" t="s">
        <v>1023</v>
      </c>
      <c r="D517" s="55" t="s">
        <v>1024</v>
      </c>
      <c r="E517" s="2" t="s">
        <v>235</v>
      </c>
      <c r="F517" s="71">
        <v>110915</v>
      </c>
      <c r="G517" s="29" t="s">
        <v>63</v>
      </c>
      <c r="H517" s="20"/>
      <c r="I517" s="20" t="s">
        <v>84</v>
      </c>
      <c r="J517" s="20" t="s">
        <v>81</v>
      </c>
      <c r="K517" s="71"/>
      <c r="L517" s="20"/>
      <c r="M517" s="20"/>
      <c r="N517" s="20"/>
      <c r="O517" s="20"/>
      <c r="P517" s="20"/>
      <c r="Q517" s="20"/>
      <c r="R517" s="20"/>
      <c r="S517" s="20"/>
      <c r="T517" s="26"/>
      <c r="U517" s="17"/>
    </row>
    <row r="518" spans="1:21" x14ac:dyDescent="0.25">
      <c r="A518" s="2" t="str">
        <f>IFERROR(VLOOKUP(B518,Clientes!A:B,2,0),"")</f>
        <v/>
      </c>
      <c r="B518" s="20">
        <f>B516+1</f>
        <v>459</v>
      </c>
      <c r="C518" s="52" t="s">
        <v>444</v>
      </c>
      <c r="D518" s="55" t="s">
        <v>1025</v>
      </c>
      <c r="E518" s="2" t="s">
        <v>235</v>
      </c>
      <c r="F518" s="71">
        <v>110915</v>
      </c>
      <c r="G518" s="29" t="s">
        <v>64</v>
      </c>
      <c r="H518" s="20"/>
      <c r="I518" s="20" t="s">
        <v>84</v>
      </c>
      <c r="J518" s="20" t="s">
        <v>81</v>
      </c>
      <c r="K518" s="71"/>
      <c r="L518" s="20"/>
      <c r="M518" s="20"/>
      <c r="N518" s="20"/>
      <c r="O518" s="20"/>
      <c r="P518" s="20"/>
      <c r="Q518" s="20"/>
      <c r="R518" s="20"/>
      <c r="S518" s="20"/>
      <c r="T518" s="26"/>
      <c r="U518" s="17"/>
    </row>
    <row r="519" spans="1:21" x14ac:dyDescent="0.25">
      <c r="A519" s="2"/>
      <c r="B519" s="20" t="s">
        <v>1026</v>
      </c>
      <c r="C519" s="52" t="s">
        <v>1027</v>
      </c>
      <c r="D519" s="55" t="s">
        <v>1028</v>
      </c>
      <c r="E519" s="2" t="s">
        <v>220</v>
      </c>
      <c r="F519" s="71">
        <v>110915</v>
      </c>
      <c r="G519" s="29" t="s">
        <v>56</v>
      </c>
      <c r="H519" s="20" t="s">
        <v>72</v>
      </c>
      <c r="I519" s="20" t="s">
        <v>84</v>
      </c>
      <c r="J519" s="20" t="s">
        <v>83</v>
      </c>
      <c r="K519" s="71"/>
      <c r="L519" s="20"/>
      <c r="M519" s="20"/>
      <c r="N519" s="20"/>
      <c r="O519" s="20"/>
      <c r="P519" s="20"/>
      <c r="Q519" s="20"/>
      <c r="R519" s="20"/>
      <c r="S519" s="20"/>
      <c r="T519" s="26"/>
      <c r="U519" s="17"/>
    </row>
    <row r="520" spans="1:21" x14ac:dyDescent="0.25">
      <c r="A520" s="2" t="str">
        <f>IFERROR(VLOOKUP(B520,Clientes!A:B,2,0),"")</f>
        <v/>
      </c>
      <c r="B520" s="20">
        <f>B518+1</f>
        <v>460</v>
      </c>
      <c r="C520" s="52" t="s">
        <v>448</v>
      </c>
      <c r="D520" s="55" t="s">
        <v>449</v>
      </c>
      <c r="E520" s="2" t="s">
        <v>223</v>
      </c>
      <c r="F520" s="71">
        <v>110915</v>
      </c>
      <c r="G520" s="29" t="s">
        <v>58</v>
      </c>
      <c r="H520" s="20" t="s">
        <v>73</v>
      </c>
      <c r="I520" s="20" t="s">
        <v>84</v>
      </c>
      <c r="J520" s="20" t="s">
        <v>81</v>
      </c>
      <c r="K520" s="71"/>
      <c r="L520" s="20" t="s">
        <v>37</v>
      </c>
      <c r="M520" s="20"/>
      <c r="N520" s="20"/>
      <c r="O520" s="20"/>
      <c r="P520" s="20"/>
      <c r="Q520" s="20"/>
      <c r="R520" s="20"/>
      <c r="S520" s="20"/>
      <c r="T520" s="26"/>
      <c r="U520" s="17"/>
    </row>
    <row r="521" spans="1:21" x14ac:dyDescent="0.25">
      <c r="A521" s="2"/>
      <c r="B521" s="20">
        <v>461</v>
      </c>
      <c r="C521" s="52" t="s">
        <v>674</v>
      </c>
      <c r="D521" s="55" t="s">
        <v>675</v>
      </c>
      <c r="E521" s="2" t="s">
        <v>223</v>
      </c>
      <c r="F521" s="71">
        <v>110915</v>
      </c>
      <c r="G521" s="29" t="s">
        <v>66</v>
      </c>
      <c r="H521" s="20" t="s">
        <v>77</v>
      </c>
      <c r="I521" s="20" t="s">
        <v>84</v>
      </c>
      <c r="J521" s="20" t="s">
        <v>81</v>
      </c>
      <c r="K521" s="71"/>
      <c r="L521" s="20"/>
      <c r="M521" s="20"/>
      <c r="N521" s="20"/>
      <c r="O521" s="20"/>
      <c r="P521" s="20"/>
      <c r="Q521" s="20"/>
      <c r="R521" s="20"/>
      <c r="S521" s="20"/>
      <c r="T521" s="26"/>
      <c r="U521" s="17"/>
    </row>
    <row r="522" spans="1:21" x14ac:dyDescent="0.25">
      <c r="A522" s="2" t="str">
        <f>IFERROR(VLOOKUP(B522,Clientes!A:B,2,0),"")</f>
        <v/>
      </c>
      <c r="B522" s="20">
        <f>B520+1</f>
        <v>461</v>
      </c>
      <c r="C522" s="52" t="s">
        <v>898</v>
      </c>
      <c r="D522" s="55" t="s">
        <v>899</v>
      </c>
      <c r="E522" s="2" t="s">
        <v>217</v>
      </c>
      <c r="F522" s="71">
        <v>140915</v>
      </c>
      <c r="G522" s="29" t="s">
        <v>56</v>
      </c>
      <c r="H522" s="20" t="s">
        <v>72</v>
      </c>
      <c r="I522" s="20" t="s">
        <v>84</v>
      </c>
      <c r="J522" s="20" t="s">
        <v>81</v>
      </c>
      <c r="K522" s="71"/>
      <c r="L522" s="20"/>
      <c r="M522" s="20"/>
      <c r="N522" s="20"/>
      <c r="O522" s="20"/>
      <c r="P522" s="20"/>
      <c r="Q522" s="20"/>
      <c r="R522" s="20"/>
      <c r="S522" s="20"/>
      <c r="T522" s="26"/>
      <c r="U522" s="17"/>
    </row>
    <row r="523" spans="1:21" x14ac:dyDescent="0.25">
      <c r="A523" s="2" t="str">
        <f>IFERROR(VLOOKUP(B523,Clientes!A:B,2,0),"")</f>
        <v/>
      </c>
      <c r="B523" s="20">
        <f t="shared" ref="B523:B531" si="42">B522+1</f>
        <v>462</v>
      </c>
      <c r="C523" s="52" t="s">
        <v>283</v>
      </c>
      <c r="D523" s="55" t="s">
        <v>284</v>
      </c>
      <c r="E523" s="2" t="s">
        <v>228</v>
      </c>
      <c r="F523" s="71">
        <v>150915</v>
      </c>
      <c r="G523" s="29" t="s">
        <v>57</v>
      </c>
      <c r="H523" s="20"/>
      <c r="I523" s="20" t="s">
        <v>84</v>
      </c>
      <c r="J523" s="20" t="s">
        <v>81</v>
      </c>
      <c r="K523" s="71"/>
      <c r="L523" s="20" t="s">
        <v>17</v>
      </c>
      <c r="M523" s="20"/>
      <c r="N523" s="20"/>
      <c r="O523" s="20"/>
      <c r="P523" s="20"/>
      <c r="Q523" s="20"/>
      <c r="R523" s="20"/>
      <c r="S523" s="20"/>
      <c r="T523" s="26"/>
      <c r="U523" s="17"/>
    </row>
    <row r="524" spans="1:21" x14ac:dyDescent="0.25">
      <c r="A524" s="2"/>
      <c r="B524" s="20">
        <v>462</v>
      </c>
      <c r="C524" s="52" t="s">
        <v>460</v>
      </c>
      <c r="D524" s="55" t="s">
        <v>461</v>
      </c>
      <c r="E524" s="2" t="s">
        <v>224</v>
      </c>
      <c r="F524" s="71">
        <v>140915</v>
      </c>
      <c r="G524" s="29" t="s">
        <v>56</v>
      </c>
      <c r="H524" s="76" t="s">
        <v>74</v>
      </c>
      <c r="I524" s="20" t="s">
        <v>84</v>
      </c>
      <c r="J524" s="20" t="s">
        <v>81</v>
      </c>
      <c r="K524" s="71"/>
      <c r="L524" s="20"/>
      <c r="M524" s="20"/>
      <c r="N524" s="20"/>
      <c r="O524" s="20"/>
      <c r="P524" s="20"/>
      <c r="Q524" s="20"/>
      <c r="R524" s="20"/>
      <c r="S524" s="20"/>
      <c r="T524" s="26"/>
      <c r="U524" s="17"/>
    </row>
    <row r="525" spans="1:21" x14ac:dyDescent="0.25">
      <c r="A525" s="2" t="str">
        <f>IFERROR(VLOOKUP(B525,Clientes!A:B,2,0),"")</f>
        <v/>
      </c>
      <c r="B525" s="20">
        <f>B523+1</f>
        <v>463</v>
      </c>
      <c r="C525" s="52" t="s">
        <v>1122</v>
      </c>
      <c r="D525" s="55" t="s">
        <v>1123</v>
      </c>
      <c r="E525" s="2" t="s">
        <v>235</v>
      </c>
      <c r="F525" s="71">
        <v>150915</v>
      </c>
      <c r="G525" s="29" t="s">
        <v>67</v>
      </c>
      <c r="H525" s="55" t="s">
        <v>537</v>
      </c>
      <c r="I525" s="20" t="s">
        <v>84</v>
      </c>
      <c r="J525" s="20" t="s">
        <v>81</v>
      </c>
      <c r="K525" s="71"/>
      <c r="L525" s="20"/>
      <c r="M525" s="20"/>
      <c r="N525" s="20"/>
      <c r="O525" s="20"/>
      <c r="P525" s="20"/>
      <c r="Q525" s="20"/>
      <c r="R525" s="20"/>
      <c r="S525" s="20"/>
      <c r="T525" s="26"/>
      <c r="U525" s="17"/>
    </row>
    <row r="526" spans="1:21" x14ac:dyDescent="0.25">
      <c r="A526" s="2"/>
      <c r="B526" s="20">
        <v>463</v>
      </c>
      <c r="C526" s="52" t="s">
        <v>564</v>
      </c>
      <c r="D526" s="55" t="s">
        <v>1132</v>
      </c>
      <c r="E526" s="2" t="s">
        <v>223</v>
      </c>
      <c r="F526" s="71">
        <v>140915</v>
      </c>
      <c r="G526" s="29" t="s">
        <v>63</v>
      </c>
      <c r="H526" s="55"/>
      <c r="I526" s="20" t="s">
        <v>84</v>
      </c>
      <c r="J526" s="20" t="s">
        <v>83</v>
      </c>
      <c r="K526" s="71"/>
      <c r="L526" s="20"/>
      <c r="M526" s="20"/>
      <c r="N526" s="20"/>
      <c r="O526" s="20"/>
      <c r="P526" s="20"/>
      <c r="Q526" s="20"/>
      <c r="R526" s="20"/>
      <c r="S526" s="20"/>
      <c r="T526" s="26"/>
      <c r="U526" s="17"/>
    </row>
    <row r="527" spans="1:21" x14ac:dyDescent="0.25">
      <c r="A527" s="2" t="str">
        <f>IFERROR(VLOOKUP(B527,Clientes!A:B,2,0),"")</f>
        <v/>
      </c>
      <c r="B527" s="20">
        <f>B525+1</f>
        <v>464</v>
      </c>
      <c r="C527" s="52" t="s">
        <v>448</v>
      </c>
      <c r="D527" s="55" t="s">
        <v>449</v>
      </c>
      <c r="E527" s="2" t="s">
        <v>223</v>
      </c>
      <c r="F527" s="71">
        <v>140915</v>
      </c>
      <c r="G527" s="29" t="s">
        <v>56</v>
      </c>
      <c r="H527" s="20" t="s">
        <v>74</v>
      </c>
      <c r="I527" s="20" t="s">
        <v>84</v>
      </c>
      <c r="J527" s="20" t="s">
        <v>81</v>
      </c>
      <c r="K527" s="71"/>
      <c r="L527" s="20"/>
      <c r="M527" s="20"/>
      <c r="N527" s="20"/>
      <c r="O527" s="20"/>
      <c r="P527" s="20"/>
      <c r="Q527" s="20"/>
      <c r="R527" s="20"/>
      <c r="S527" s="20"/>
      <c r="T527" s="26"/>
      <c r="U527" s="17"/>
    </row>
    <row r="528" spans="1:21" x14ac:dyDescent="0.25">
      <c r="A528" s="2"/>
      <c r="B528" s="20">
        <v>464</v>
      </c>
      <c r="C528" s="52" t="s">
        <v>490</v>
      </c>
      <c r="D528" s="55" t="s">
        <v>491</v>
      </c>
      <c r="E528" s="2" t="s">
        <v>222</v>
      </c>
      <c r="F528" s="71">
        <v>150915</v>
      </c>
      <c r="G528" s="29" t="s">
        <v>57</v>
      </c>
      <c r="H528" s="20"/>
      <c r="I528" s="20" t="s">
        <v>84</v>
      </c>
      <c r="J528" s="20" t="s">
        <v>82</v>
      </c>
      <c r="K528" s="71"/>
      <c r="L528" s="20"/>
      <c r="M528" s="20"/>
      <c r="N528" s="20"/>
      <c r="O528" s="20"/>
      <c r="P528" s="20"/>
      <c r="Q528" s="20"/>
      <c r="R528" s="20"/>
      <c r="S528" s="20"/>
      <c r="T528" s="26"/>
      <c r="U528" s="17"/>
    </row>
    <row r="529" spans="1:21" x14ac:dyDescent="0.25">
      <c r="A529" s="2" t="str">
        <f>IFERROR(VLOOKUP(B529,Clientes!A:B,2,0),"")</f>
        <v/>
      </c>
      <c r="B529" s="20">
        <f>B527+1</f>
        <v>465</v>
      </c>
      <c r="C529" s="52" t="s">
        <v>1133</v>
      </c>
      <c r="D529" s="55" t="s">
        <v>1134</v>
      </c>
      <c r="E529" s="2" t="s">
        <v>222</v>
      </c>
      <c r="F529" s="71">
        <v>150915</v>
      </c>
      <c r="G529" s="29" t="s">
        <v>57</v>
      </c>
      <c r="H529" s="20"/>
      <c r="I529" s="20" t="s">
        <v>84</v>
      </c>
      <c r="J529" s="20" t="s">
        <v>82</v>
      </c>
      <c r="K529" s="71"/>
      <c r="L529" s="20"/>
      <c r="M529" s="20"/>
      <c r="N529" s="20"/>
      <c r="O529" s="20"/>
      <c r="P529" s="20"/>
      <c r="Q529" s="20"/>
      <c r="R529" s="20"/>
      <c r="S529" s="20"/>
      <c r="T529" s="26"/>
      <c r="U529" s="17"/>
    </row>
    <row r="530" spans="1:21" x14ac:dyDescent="0.25">
      <c r="A530" s="2" t="str">
        <f>IFERROR(VLOOKUP(B530,Clientes!A:B,2,0),"")</f>
        <v/>
      </c>
      <c r="B530" s="20">
        <f t="shared" si="42"/>
        <v>466</v>
      </c>
      <c r="C530" s="52" t="s">
        <v>1029</v>
      </c>
      <c r="D530" s="55" t="s">
        <v>1030</v>
      </c>
      <c r="E530" s="2" t="s">
        <v>214</v>
      </c>
      <c r="F530" s="71">
        <v>160915</v>
      </c>
      <c r="G530" s="29" t="s">
        <v>58</v>
      </c>
      <c r="H530" s="20" t="s">
        <v>72</v>
      </c>
      <c r="I530" s="20" t="s">
        <v>84</v>
      </c>
      <c r="J530" s="20" t="s">
        <v>81</v>
      </c>
      <c r="K530" s="71"/>
      <c r="L530" s="20" t="s">
        <v>42</v>
      </c>
      <c r="M530" s="20"/>
      <c r="N530" s="20" t="s">
        <v>758</v>
      </c>
      <c r="O530" s="20"/>
      <c r="P530" s="20"/>
      <c r="Q530" s="20"/>
      <c r="R530" s="20"/>
      <c r="S530" s="20"/>
      <c r="T530" s="26"/>
      <c r="U530" s="17"/>
    </row>
    <row r="531" spans="1:21" x14ac:dyDescent="0.25">
      <c r="A531" s="2" t="str">
        <f>IFERROR(VLOOKUP(B531,Clientes!A:B,2,0),"")</f>
        <v/>
      </c>
      <c r="B531" s="20">
        <f t="shared" si="42"/>
        <v>467</v>
      </c>
      <c r="C531" s="52" t="s">
        <v>816</v>
      </c>
      <c r="D531" s="55" t="s">
        <v>817</v>
      </c>
      <c r="E531" s="2" t="s">
        <v>228</v>
      </c>
      <c r="F531" s="71">
        <v>160915</v>
      </c>
      <c r="G531" s="29" t="s">
        <v>57</v>
      </c>
      <c r="H531" s="20"/>
      <c r="I531" s="20" t="s">
        <v>84</v>
      </c>
      <c r="J531" s="20" t="s">
        <v>82</v>
      </c>
      <c r="K531" s="71"/>
      <c r="L531" s="20" t="s">
        <v>42</v>
      </c>
      <c r="M531" s="20"/>
      <c r="N531" s="20"/>
      <c r="O531" s="20"/>
      <c r="P531" s="20"/>
      <c r="Q531" s="20"/>
      <c r="R531" s="20"/>
      <c r="S531" s="20"/>
      <c r="T531" s="26"/>
      <c r="U531" s="17"/>
    </row>
    <row r="532" spans="1:21" x14ac:dyDescent="0.25">
      <c r="A532" s="2" t="str">
        <f>IFERROR(VLOOKUP(B532,Clientes!A:B,2,0),"")</f>
        <v/>
      </c>
      <c r="B532" s="20">
        <f t="shared" ref="B532:B549" si="43">B531+1</f>
        <v>468</v>
      </c>
      <c r="C532" s="52" t="s">
        <v>515</v>
      </c>
      <c r="D532" s="55" t="s">
        <v>516</v>
      </c>
      <c r="E532" s="2" t="s">
        <v>227</v>
      </c>
      <c r="F532" s="71">
        <v>160915</v>
      </c>
      <c r="G532" s="29" t="s">
        <v>57</v>
      </c>
      <c r="H532" s="20"/>
      <c r="I532" s="20" t="s">
        <v>84</v>
      </c>
      <c r="J532" s="20" t="s">
        <v>82</v>
      </c>
      <c r="K532" s="71"/>
      <c r="L532" s="20" t="s">
        <v>145</v>
      </c>
      <c r="M532" s="20"/>
      <c r="N532" s="20"/>
      <c r="O532" s="20"/>
      <c r="P532" s="20"/>
      <c r="Q532" s="20"/>
      <c r="R532" s="20"/>
      <c r="S532" s="20"/>
      <c r="T532" s="26"/>
      <c r="U532" s="17"/>
    </row>
    <row r="533" spans="1:21" x14ac:dyDescent="0.25">
      <c r="A533" s="2" t="str">
        <f>IFERROR(VLOOKUP(B533,Clientes!A:B,2,0),"")</f>
        <v/>
      </c>
      <c r="B533" s="20">
        <f t="shared" si="43"/>
        <v>469</v>
      </c>
      <c r="C533" s="52" t="s">
        <v>1052</v>
      </c>
      <c r="D533" s="55" t="s">
        <v>1053</v>
      </c>
      <c r="E533" s="2" t="s">
        <v>225</v>
      </c>
      <c r="F533" s="71">
        <v>160915</v>
      </c>
      <c r="G533" s="29" t="s">
        <v>58</v>
      </c>
      <c r="H533" s="20" t="s">
        <v>72</v>
      </c>
      <c r="I533" s="20" t="s">
        <v>84</v>
      </c>
      <c r="J533" s="20" t="s">
        <v>81</v>
      </c>
      <c r="K533" s="71"/>
      <c r="L533" s="20" t="s">
        <v>93</v>
      </c>
      <c r="M533" s="20"/>
      <c r="N533" s="20" t="s">
        <v>42</v>
      </c>
      <c r="O533" s="20"/>
      <c r="P533" s="20"/>
      <c r="Q533" s="20"/>
      <c r="R533" s="20"/>
      <c r="S533" s="20"/>
      <c r="T533" s="26"/>
      <c r="U533" s="17"/>
    </row>
    <row r="534" spans="1:21" x14ac:dyDescent="0.25">
      <c r="A534" s="2" t="str">
        <f>IFERROR(VLOOKUP(B534,Clientes!A:B,2,0),"")</f>
        <v/>
      </c>
      <c r="B534" s="20">
        <f t="shared" si="43"/>
        <v>470</v>
      </c>
      <c r="C534" s="52" t="s">
        <v>1054</v>
      </c>
      <c r="D534" s="55" t="s">
        <v>1055</v>
      </c>
      <c r="E534" s="2" t="s">
        <v>228</v>
      </c>
      <c r="F534" s="71">
        <v>160915</v>
      </c>
      <c r="G534" s="29" t="s">
        <v>58</v>
      </c>
      <c r="H534" s="20" t="s">
        <v>72</v>
      </c>
      <c r="I534" s="20" t="s">
        <v>84</v>
      </c>
      <c r="J534" s="20" t="s">
        <v>81</v>
      </c>
      <c r="K534" s="71"/>
      <c r="L534" s="20" t="s">
        <v>42</v>
      </c>
      <c r="M534" s="20"/>
      <c r="N534" s="20"/>
      <c r="O534" s="20"/>
      <c r="P534" s="20"/>
      <c r="Q534" s="20"/>
      <c r="R534" s="20"/>
      <c r="S534" s="20"/>
      <c r="T534" s="26"/>
      <c r="U534" s="17"/>
    </row>
    <row r="535" spans="1:21" x14ac:dyDescent="0.25">
      <c r="A535" s="2" t="str">
        <f>IFERROR(VLOOKUP(B535,Clientes!A:B,2,0),"")</f>
        <v/>
      </c>
      <c r="B535" s="20">
        <f t="shared" si="43"/>
        <v>471</v>
      </c>
      <c r="C535" s="52" t="s">
        <v>1045</v>
      </c>
      <c r="D535" s="55" t="s">
        <v>1046</v>
      </c>
      <c r="E535" s="2" t="s">
        <v>222</v>
      </c>
      <c r="F535" s="71">
        <v>160915</v>
      </c>
      <c r="G535" s="29" t="s">
        <v>58</v>
      </c>
      <c r="H535" s="20" t="s">
        <v>73</v>
      </c>
      <c r="I535" s="20" t="s">
        <v>84</v>
      </c>
      <c r="J535" s="20" t="s">
        <v>81</v>
      </c>
      <c r="K535" s="71"/>
      <c r="L535" s="20"/>
      <c r="M535" s="20"/>
      <c r="N535" s="20"/>
      <c r="O535" s="20"/>
      <c r="P535" s="20"/>
      <c r="Q535" s="20"/>
      <c r="R535" s="20"/>
      <c r="S535" s="20"/>
      <c r="T535" s="26"/>
      <c r="U535" s="17"/>
    </row>
    <row r="536" spans="1:21" x14ac:dyDescent="0.25">
      <c r="A536" s="2" t="str">
        <f>IFERROR(VLOOKUP(B536,Clientes!A:B,2,0),"")</f>
        <v/>
      </c>
      <c r="B536" s="20">
        <f t="shared" si="43"/>
        <v>472</v>
      </c>
      <c r="C536" s="52" t="s">
        <v>1047</v>
      </c>
      <c r="D536" s="55" t="s">
        <v>1048</v>
      </c>
      <c r="E536" s="2" t="s">
        <v>226</v>
      </c>
      <c r="F536" s="71">
        <v>160915</v>
      </c>
      <c r="G536" s="29" t="s">
        <v>57</v>
      </c>
      <c r="H536" s="20"/>
      <c r="I536" s="20" t="s">
        <v>84</v>
      </c>
      <c r="J536" s="20" t="s">
        <v>82</v>
      </c>
      <c r="K536" s="71"/>
      <c r="L536" s="20"/>
      <c r="M536" s="20"/>
      <c r="N536" s="20"/>
      <c r="O536" s="20"/>
      <c r="P536" s="20"/>
      <c r="Q536" s="20"/>
      <c r="R536" s="20"/>
      <c r="S536" s="20"/>
      <c r="T536" s="26"/>
      <c r="U536" s="17"/>
    </row>
    <row r="537" spans="1:21" x14ac:dyDescent="0.25">
      <c r="A537" s="2" t="str">
        <f>IFERROR(VLOOKUP(B537,Clientes!A:B,2,0),"")</f>
        <v/>
      </c>
      <c r="B537" s="20">
        <f t="shared" si="43"/>
        <v>473</v>
      </c>
      <c r="C537" s="52" t="s">
        <v>848</v>
      </c>
      <c r="D537" s="55" t="s">
        <v>849</v>
      </c>
      <c r="E537" s="2" t="s">
        <v>225</v>
      </c>
      <c r="F537" s="71">
        <v>160915</v>
      </c>
      <c r="G537" s="29" t="s">
        <v>57</v>
      </c>
      <c r="H537" s="20"/>
      <c r="I537" s="20" t="s">
        <v>84</v>
      </c>
      <c r="J537" s="20" t="s">
        <v>82</v>
      </c>
      <c r="K537" s="71"/>
      <c r="L537" s="20" t="s">
        <v>42</v>
      </c>
      <c r="M537" s="20"/>
      <c r="N537" s="20" t="s">
        <v>93</v>
      </c>
      <c r="O537" s="20"/>
      <c r="P537" s="20"/>
      <c r="Q537" s="20"/>
      <c r="R537" s="20"/>
      <c r="S537" s="20"/>
      <c r="T537" s="26"/>
      <c r="U537" s="17"/>
    </row>
    <row r="538" spans="1:21" x14ac:dyDescent="0.25">
      <c r="A538" s="2" t="str">
        <f>IFERROR(VLOOKUP(B538,Clientes!A:B,2,0),"")</f>
        <v/>
      </c>
      <c r="B538" s="20">
        <f t="shared" si="43"/>
        <v>474</v>
      </c>
      <c r="C538" s="52" t="s">
        <v>898</v>
      </c>
      <c r="D538" s="55" t="s">
        <v>899</v>
      </c>
      <c r="E538" s="2" t="s">
        <v>217</v>
      </c>
      <c r="F538" s="71">
        <v>160915</v>
      </c>
      <c r="G538" s="29" t="s">
        <v>57</v>
      </c>
      <c r="H538" s="20"/>
      <c r="I538" s="20" t="s">
        <v>84</v>
      </c>
      <c r="J538" s="20" t="s">
        <v>82</v>
      </c>
      <c r="K538" s="71"/>
      <c r="L538" s="20" t="s">
        <v>42</v>
      </c>
      <c r="M538" s="20"/>
      <c r="N538" s="20"/>
      <c r="O538" s="20"/>
      <c r="P538" s="20"/>
      <c r="Q538" s="20"/>
      <c r="R538" s="20"/>
      <c r="S538" s="20"/>
      <c r="T538" s="26"/>
      <c r="U538" s="17"/>
    </row>
    <row r="539" spans="1:21" x14ac:dyDescent="0.25">
      <c r="A539" s="2" t="str">
        <f>IFERROR(VLOOKUP(B539,Clientes!A:B,2,0),"")</f>
        <v/>
      </c>
      <c r="B539" s="20">
        <f t="shared" si="43"/>
        <v>475</v>
      </c>
      <c r="C539" s="52" t="s">
        <v>1049</v>
      </c>
      <c r="D539" s="55" t="s">
        <v>1050</v>
      </c>
      <c r="E539" s="2" t="s">
        <v>233</v>
      </c>
      <c r="F539" s="71">
        <v>160915</v>
      </c>
      <c r="G539" s="29" t="s">
        <v>58</v>
      </c>
      <c r="H539" s="20" t="s">
        <v>72</v>
      </c>
      <c r="I539" s="20" t="s">
        <v>84</v>
      </c>
      <c r="J539" s="20" t="s">
        <v>81</v>
      </c>
      <c r="K539" s="71"/>
      <c r="L539" s="20" t="s">
        <v>27</v>
      </c>
      <c r="M539" s="20"/>
      <c r="N539" s="20" t="s">
        <v>165</v>
      </c>
      <c r="O539" s="20"/>
      <c r="P539" s="20" t="s">
        <v>141</v>
      </c>
      <c r="Q539" s="20"/>
      <c r="R539" s="20"/>
      <c r="S539" s="20"/>
      <c r="T539" s="26"/>
      <c r="U539" s="17"/>
    </row>
    <row r="540" spans="1:21" x14ac:dyDescent="0.25">
      <c r="A540" s="2" t="str">
        <f>IFERROR(VLOOKUP(B540,Clientes!A:B,2,0),"")</f>
        <v/>
      </c>
      <c r="B540" s="20">
        <f t="shared" si="43"/>
        <v>476</v>
      </c>
      <c r="C540" s="52" t="s">
        <v>705</v>
      </c>
      <c r="D540" s="55" t="s">
        <v>828</v>
      </c>
      <c r="E540" s="2" t="s">
        <v>230</v>
      </c>
      <c r="F540" s="71">
        <v>160915</v>
      </c>
      <c r="G540" s="29" t="s">
        <v>57</v>
      </c>
      <c r="H540" s="20"/>
      <c r="I540" s="20" t="s">
        <v>84</v>
      </c>
      <c r="J540" s="20" t="s">
        <v>81</v>
      </c>
      <c r="K540" s="71"/>
      <c r="L540" s="20" t="s">
        <v>17</v>
      </c>
      <c r="M540" s="20"/>
      <c r="N540" s="20"/>
      <c r="O540" s="20"/>
      <c r="P540" s="20"/>
      <c r="Q540" s="20"/>
      <c r="R540" s="20"/>
      <c r="S540" s="20"/>
      <c r="T540" s="26"/>
      <c r="U540" s="17"/>
    </row>
    <row r="541" spans="1:21" x14ac:dyDescent="0.25">
      <c r="A541" s="2" t="str">
        <f>IFERROR(VLOOKUP(B541,Clientes!A:B,2,0),"")</f>
        <v/>
      </c>
      <c r="B541" s="20">
        <f t="shared" si="43"/>
        <v>477</v>
      </c>
      <c r="C541" s="52" t="s">
        <v>639</v>
      </c>
      <c r="D541" s="55" t="s">
        <v>1051</v>
      </c>
      <c r="E541" s="2" t="s">
        <v>230</v>
      </c>
      <c r="F541" s="71">
        <v>160915</v>
      </c>
      <c r="G541" s="29" t="s">
        <v>58</v>
      </c>
      <c r="H541" s="55" t="s">
        <v>537</v>
      </c>
      <c r="I541" s="20" t="s">
        <v>84</v>
      </c>
      <c r="J541" s="20" t="s">
        <v>81</v>
      </c>
      <c r="K541" s="71"/>
      <c r="L541" s="20" t="s">
        <v>17</v>
      </c>
      <c r="M541" s="20"/>
      <c r="N541" s="20"/>
      <c r="O541" s="20"/>
      <c r="P541" s="20"/>
      <c r="Q541" s="20"/>
      <c r="R541" s="20"/>
      <c r="S541" s="20"/>
      <c r="T541" s="26"/>
      <c r="U541" s="17"/>
    </row>
    <row r="542" spans="1:21" x14ac:dyDescent="0.25">
      <c r="A542" s="2" t="str">
        <f>IFERROR(VLOOKUP(B542,Clientes!A:B,2,0),"")</f>
        <v/>
      </c>
      <c r="B542" s="20">
        <f t="shared" si="43"/>
        <v>478</v>
      </c>
      <c r="C542" s="52" t="s">
        <v>543</v>
      </c>
      <c r="D542" s="55" t="s">
        <v>544</v>
      </c>
      <c r="E542" s="2" t="s">
        <v>226</v>
      </c>
      <c r="F542" s="71">
        <v>160915</v>
      </c>
      <c r="G542" s="29" t="s">
        <v>58</v>
      </c>
      <c r="H542" s="20" t="s">
        <v>72</v>
      </c>
      <c r="I542" s="20" t="s">
        <v>84</v>
      </c>
      <c r="J542" s="20" t="s">
        <v>81</v>
      </c>
      <c r="K542" s="71"/>
      <c r="L542" s="20"/>
      <c r="M542" s="20"/>
      <c r="N542" s="20"/>
      <c r="O542" s="20"/>
      <c r="P542" s="20"/>
      <c r="Q542" s="20"/>
      <c r="R542" s="20"/>
      <c r="S542" s="20"/>
      <c r="T542" s="26"/>
      <c r="U542" s="17"/>
    </row>
    <row r="543" spans="1:21" x14ac:dyDescent="0.25">
      <c r="A543" s="2"/>
      <c r="B543" s="20" t="s">
        <v>1056</v>
      </c>
      <c r="C543" s="52" t="s">
        <v>1057</v>
      </c>
      <c r="D543" s="55" t="s">
        <v>1058</v>
      </c>
      <c r="E543" s="2" t="s">
        <v>229</v>
      </c>
      <c r="F543" s="71">
        <v>170915</v>
      </c>
      <c r="G543" s="29" t="s">
        <v>58</v>
      </c>
      <c r="H543" s="20" t="s">
        <v>72</v>
      </c>
      <c r="I543" s="20" t="s">
        <v>84</v>
      </c>
      <c r="J543" s="20" t="s">
        <v>81</v>
      </c>
      <c r="K543" s="71"/>
      <c r="L543" s="20" t="s">
        <v>22</v>
      </c>
      <c r="M543" s="20"/>
      <c r="N543" s="20" t="s">
        <v>758</v>
      </c>
      <c r="O543" s="20"/>
      <c r="P543" s="20" t="s">
        <v>40</v>
      </c>
      <c r="Q543" s="20"/>
      <c r="R543" s="20" t="s">
        <v>15</v>
      </c>
      <c r="S543" s="20"/>
      <c r="T543" s="26" t="s">
        <v>1059</v>
      </c>
      <c r="U543" s="17"/>
    </row>
    <row r="544" spans="1:21" x14ac:dyDescent="0.25">
      <c r="A544" s="2" t="str">
        <f>IFERROR(VLOOKUP(B544,Clientes!A:B,2,0),"")</f>
        <v/>
      </c>
      <c r="B544" s="20">
        <f>B542+1</f>
        <v>479</v>
      </c>
      <c r="C544" s="52" t="s">
        <v>1043</v>
      </c>
      <c r="D544" s="55" t="s">
        <v>1044</v>
      </c>
      <c r="E544" s="2" t="s">
        <v>215</v>
      </c>
      <c r="F544" s="71">
        <v>170915</v>
      </c>
      <c r="G544" s="29" t="s">
        <v>56</v>
      </c>
      <c r="H544" s="20" t="s">
        <v>72</v>
      </c>
      <c r="I544" s="20" t="s">
        <v>84</v>
      </c>
      <c r="J544" s="20" t="s">
        <v>81</v>
      </c>
      <c r="K544" s="71"/>
      <c r="L544" s="20"/>
      <c r="M544" s="20"/>
      <c r="N544" s="20"/>
      <c r="O544" s="20"/>
      <c r="P544" s="20"/>
      <c r="Q544" s="20"/>
      <c r="R544" s="20"/>
      <c r="S544" s="20"/>
      <c r="T544" s="26"/>
      <c r="U544" s="17"/>
    </row>
    <row r="545" spans="1:21" x14ac:dyDescent="0.25">
      <c r="A545" s="2" t="str">
        <f>IFERROR(VLOOKUP(B545,Clientes!A:B,2,0),"")</f>
        <v/>
      </c>
      <c r="B545" s="20">
        <f t="shared" si="43"/>
        <v>480</v>
      </c>
      <c r="C545" s="52" t="s">
        <v>1036</v>
      </c>
      <c r="D545" s="55" t="s">
        <v>1037</v>
      </c>
      <c r="E545" s="2" t="s">
        <v>233</v>
      </c>
      <c r="F545" s="71">
        <v>170915</v>
      </c>
      <c r="G545" s="29" t="s">
        <v>57</v>
      </c>
      <c r="H545" s="20"/>
      <c r="I545" s="20" t="s">
        <v>84</v>
      </c>
      <c r="J545" s="20" t="s">
        <v>82</v>
      </c>
      <c r="K545" s="71"/>
      <c r="L545" s="20"/>
      <c r="M545" s="20"/>
      <c r="N545" s="20"/>
      <c r="O545" s="20"/>
      <c r="P545" s="20"/>
      <c r="Q545" s="20"/>
      <c r="R545" s="20"/>
      <c r="S545" s="20"/>
      <c r="T545" s="26"/>
      <c r="U545" s="17"/>
    </row>
    <row r="546" spans="1:21" x14ac:dyDescent="0.25">
      <c r="A546" s="2" t="str">
        <f>IFERROR(VLOOKUP(B546,Clientes!A:B,2,0),"")</f>
        <v/>
      </c>
      <c r="B546" s="20">
        <f t="shared" si="43"/>
        <v>481</v>
      </c>
      <c r="C546" s="52" t="s">
        <v>1034</v>
      </c>
      <c r="D546" s="55" t="s">
        <v>1035</v>
      </c>
      <c r="E546" s="2" t="s">
        <v>233</v>
      </c>
      <c r="F546" s="71">
        <v>170915</v>
      </c>
      <c r="G546" s="29" t="s">
        <v>57</v>
      </c>
      <c r="H546" s="20"/>
      <c r="I546" s="20" t="s">
        <v>84</v>
      </c>
      <c r="J546" s="20" t="s">
        <v>82</v>
      </c>
      <c r="K546" s="71"/>
      <c r="L546" s="20" t="s">
        <v>35</v>
      </c>
      <c r="M546" s="20" t="s">
        <v>81</v>
      </c>
      <c r="N546" s="20"/>
      <c r="O546" s="20"/>
      <c r="P546" s="20"/>
      <c r="Q546" s="20"/>
      <c r="R546" s="20"/>
      <c r="S546" s="20"/>
      <c r="T546" s="26"/>
      <c r="U546" s="17"/>
    </row>
    <row r="547" spans="1:21" x14ac:dyDescent="0.25">
      <c r="A547" s="2" t="str">
        <f>IFERROR(VLOOKUP(B547,Clientes!A:B,2,0),"")</f>
        <v/>
      </c>
      <c r="B547" s="20">
        <f t="shared" si="43"/>
        <v>482</v>
      </c>
      <c r="C547" s="52" t="s">
        <v>354</v>
      </c>
      <c r="D547" s="55" t="s">
        <v>355</v>
      </c>
      <c r="E547" s="2" t="s">
        <v>233</v>
      </c>
      <c r="F547" s="71">
        <v>170915</v>
      </c>
      <c r="G547" s="29" t="s">
        <v>57</v>
      </c>
      <c r="H547" s="20"/>
      <c r="I547" s="20" t="s">
        <v>84</v>
      </c>
      <c r="J547" s="20" t="s">
        <v>82</v>
      </c>
      <c r="K547" s="71"/>
      <c r="L547" s="20" t="s">
        <v>35</v>
      </c>
      <c r="M547" s="20" t="s">
        <v>81</v>
      </c>
      <c r="N547" s="20"/>
      <c r="O547" s="20"/>
      <c r="P547" s="20"/>
      <c r="Q547" s="20"/>
      <c r="R547" s="20"/>
      <c r="S547" s="20"/>
      <c r="T547" s="26"/>
      <c r="U547" s="17"/>
    </row>
    <row r="548" spans="1:21" x14ac:dyDescent="0.25">
      <c r="A548" s="2" t="str">
        <f>IFERROR(VLOOKUP(B548,Clientes!A:B,2,0),"")</f>
        <v/>
      </c>
      <c r="B548" s="20">
        <f t="shared" si="43"/>
        <v>483</v>
      </c>
      <c r="C548" s="52" t="s">
        <v>1032</v>
      </c>
      <c r="D548" s="55" t="s">
        <v>1033</v>
      </c>
      <c r="E548" s="2" t="s">
        <v>233</v>
      </c>
      <c r="F548" s="71">
        <v>170915</v>
      </c>
      <c r="G548" s="29" t="s">
        <v>57</v>
      </c>
      <c r="H548" s="20"/>
      <c r="I548" s="20" t="s">
        <v>84</v>
      </c>
      <c r="J548" s="20" t="s">
        <v>82</v>
      </c>
      <c r="K548" s="71"/>
      <c r="L548" s="20" t="s">
        <v>35</v>
      </c>
      <c r="M548" s="20" t="s">
        <v>81</v>
      </c>
      <c r="N548" s="20"/>
      <c r="O548" s="20"/>
      <c r="P548" s="20"/>
      <c r="Q548" s="20"/>
      <c r="R548" s="20"/>
      <c r="S548" s="20"/>
      <c r="T548" s="26"/>
      <c r="U548" s="17"/>
    </row>
    <row r="549" spans="1:21" x14ac:dyDescent="0.25">
      <c r="A549" s="2" t="str">
        <f>IFERROR(VLOOKUP(B549,Clientes!A:B,2,0),"")</f>
        <v/>
      </c>
      <c r="B549" s="20">
        <f t="shared" si="43"/>
        <v>484</v>
      </c>
      <c r="C549" s="52" t="s">
        <v>351</v>
      </c>
      <c r="D549" s="55" t="s">
        <v>1031</v>
      </c>
      <c r="E549" s="2" t="s">
        <v>233</v>
      </c>
      <c r="F549" s="71">
        <v>170915</v>
      </c>
      <c r="G549" s="29" t="s">
        <v>57</v>
      </c>
      <c r="H549" s="20"/>
      <c r="I549" s="20" t="s">
        <v>84</v>
      </c>
      <c r="J549" s="20" t="s">
        <v>82</v>
      </c>
      <c r="K549" s="71"/>
      <c r="L549" s="20" t="s">
        <v>35</v>
      </c>
      <c r="M549" s="20" t="s">
        <v>81</v>
      </c>
      <c r="N549" s="20"/>
      <c r="O549" s="20"/>
      <c r="P549" s="20"/>
      <c r="Q549" s="20"/>
      <c r="R549" s="20"/>
      <c r="S549" s="20"/>
      <c r="T549" s="26"/>
      <c r="U549" s="17"/>
    </row>
    <row r="550" spans="1:21" x14ac:dyDescent="0.25">
      <c r="A550" s="2" t="str">
        <f>IFERROR(VLOOKUP(B550,Clientes!A:B,2,0),"")</f>
        <v/>
      </c>
      <c r="B550" s="20">
        <f t="shared" ref="B550:B568" si="44">B549+1</f>
        <v>485</v>
      </c>
      <c r="C550" s="52" t="s">
        <v>243</v>
      </c>
      <c r="D550" s="55" t="s">
        <v>244</v>
      </c>
      <c r="E550" s="2" t="s">
        <v>218</v>
      </c>
      <c r="F550" s="71">
        <v>180915</v>
      </c>
      <c r="G550" s="29" t="s">
        <v>57</v>
      </c>
      <c r="H550" s="20"/>
      <c r="I550" s="20" t="s">
        <v>84</v>
      </c>
      <c r="J550" s="20" t="s">
        <v>82</v>
      </c>
      <c r="K550" s="71"/>
      <c r="L550" s="20" t="s">
        <v>167</v>
      </c>
      <c r="M550" s="20"/>
      <c r="N550" s="20"/>
      <c r="O550" s="20"/>
      <c r="P550" s="20"/>
      <c r="Q550" s="20"/>
      <c r="R550" s="20"/>
      <c r="S550" s="20"/>
      <c r="T550" s="26"/>
      <c r="U550" s="17"/>
    </row>
    <row r="551" spans="1:21" x14ac:dyDescent="0.25">
      <c r="A551" s="2" t="str">
        <f>IFERROR(VLOOKUP(B551,Clientes!A:B,2,0),"")</f>
        <v/>
      </c>
      <c r="B551" s="20">
        <f t="shared" si="44"/>
        <v>486</v>
      </c>
      <c r="C551" s="52" t="s">
        <v>1043</v>
      </c>
      <c r="D551" s="55" t="s">
        <v>1044</v>
      </c>
      <c r="E551" s="2" t="s">
        <v>215</v>
      </c>
      <c r="F551" s="71">
        <v>180915</v>
      </c>
      <c r="G551" s="29" t="s">
        <v>58</v>
      </c>
      <c r="H551" s="20" t="s">
        <v>72</v>
      </c>
      <c r="I551" s="20" t="s">
        <v>84</v>
      </c>
      <c r="J551" s="20" t="s">
        <v>81</v>
      </c>
      <c r="K551" s="71"/>
      <c r="L551" s="20" t="s">
        <v>145</v>
      </c>
      <c r="M551" s="20"/>
      <c r="N551" s="20" t="s">
        <v>157</v>
      </c>
      <c r="O551" s="20"/>
      <c r="P551" s="20"/>
      <c r="Q551" s="20"/>
      <c r="R551" s="20"/>
      <c r="S551" s="20"/>
      <c r="T551" s="26"/>
      <c r="U551" s="17"/>
    </row>
    <row r="552" spans="1:21" x14ac:dyDescent="0.25">
      <c r="A552" s="2" t="str">
        <f>IFERROR(VLOOKUP(B552,Clientes!A:B,2,0),"")</f>
        <v/>
      </c>
      <c r="B552" s="20">
        <f t="shared" si="44"/>
        <v>487</v>
      </c>
      <c r="C552" s="52" t="s">
        <v>772</v>
      </c>
      <c r="D552" s="55" t="s">
        <v>773</v>
      </c>
      <c r="E552" s="2" t="s">
        <v>223</v>
      </c>
      <c r="F552" s="71">
        <v>180915</v>
      </c>
      <c r="G552" s="29" t="s">
        <v>63</v>
      </c>
      <c r="H552" s="20"/>
      <c r="I552" s="20" t="s">
        <v>84</v>
      </c>
      <c r="J552" s="20" t="s">
        <v>83</v>
      </c>
      <c r="K552" s="71"/>
      <c r="L552" s="20"/>
      <c r="M552" s="20"/>
      <c r="N552" s="20"/>
      <c r="O552" s="20"/>
      <c r="P552" s="20"/>
      <c r="Q552" s="20"/>
      <c r="R552" s="20"/>
      <c r="S552" s="20"/>
      <c r="T552" s="26"/>
      <c r="U552" s="17"/>
    </row>
    <row r="553" spans="1:21" x14ac:dyDescent="0.25">
      <c r="A553" s="2" t="str">
        <f>IFERROR(VLOOKUP(B553,Clientes!A:B,2,0),"")</f>
        <v/>
      </c>
      <c r="B553" s="20">
        <f t="shared" si="44"/>
        <v>488</v>
      </c>
      <c r="C553" s="52" t="s">
        <v>327</v>
      </c>
      <c r="D553" s="55" t="s">
        <v>328</v>
      </c>
      <c r="E553" s="2" t="s">
        <v>231</v>
      </c>
      <c r="F553" s="71">
        <v>210915</v>
      </c>
      <c r="G553" s="29" t="s">
        <v>58</v>
      </c>
      <c r="H553" s="20" t="s">
        <v>72</v>
      </c>
      <c r="I553" s="20" t="s">
        <v>84</v>
      </c>
      <c r="J553" s="20" t="s">
        <v>81</v>
      </c>
      <c r="K553" s="71"/>
      <c r="L553" s="20"/>
      <c r="M553" s="20"/>
      <c r="N553" s="20"/>
      <c r="O553" s="20"/>
      <c r="P553" s="20"/>
      <c r="Q553" s="20"/>
      <c r="R553" s="20"/>
      <c r="S553" s="20"/>
      <c r="T553" s="26"/>
      <c r="U553" s="17"/>
    </row>
    <row r="554" spans="1:21" x14ac:dyDescent="0.25">
      <c r="A554" s="2" t="str">
        <f>IFERROR(VLOOKUP(B554,Clientes!A:B,2,0),"")</f>
        <v/>
      </c>
      <c r="B554" s="20">
        <f t="shared" si="44"/>
        <v>489</v>
      </c>
      <c r="C554" s="52" t="s">
        <v>784</v>
      </c>
      <c r="D554" s="55" t="s">
        <v>785</v>
      </c>
      <c r="E554" s="2" t="s">
        <v>225</v>
      </c>
      <c r="F554" s="71">
        <v>210915</v>
      </c>
      <c r="G554" s="29" t="s">
        <v>57</v>
      </c>
      <c r="H554" s="20"/>
      <c r="I554" s="20" t="s">
        <v>84</v>
      </c>
      <c r="J554" s="20" t="s">
        <v>82</v>
      </c>
      <c r="K554" s="71"/>
      <c r="L554" s="20"/>
      <c r="M554" s="20"/>
      <c r="N554" s="20"/>
      <c r="O554" s="20"/>
      <c r="P554" s="20"/>
      <c r="Q554" s="20"/>
      <c r="R554" s="20"/>
      <c r="S554" s="20"/>
      <c r="T554" s="26"/>
      <c r="U554" s="17"/>
    </row>
    <row r="555" spans="1:21" x14ac:dyDescent="0.25">
      <c r="A555" s="2" t="str">
        <f>IFERROR(VLOOKUP(B555,Clientes!A:B,2,0),"")</f>
        <v/>
      </c>
      <c r="B555" s="20">
        <f t="shared" si="44"/>
        <v>490</v>
      </c>
      <c r="C555" s="52" t="s">
        <v>1135</v>
      </c>
      <c r="D555" s="55" t="s">
        <v>1136</v>
      </c>
      <c r="E555" s="2" t="s">
        <v>225</v>
      </c>
      <c r="F555" s="71">
        <v>210915</v>
      </c>
      <c r="G555" s="29" t="s">
        <v>58</v>
      </c>
      <c r="H555" s="20" t="s">
        <v>72</v>
      </c>
      <c r="I555" s="20" t="s">
        <v>84</v>
      </c>
      <c r="J555" s="20" t="s">
        <v>81</v>
      </c>
      <c r="K555" s="71"/>
      <c r="L555" s="20"/>
      <c r="M555" s="20"/>
      <c r="N555" s="20"/>
      <c r="O555" s="20"/>
      <c r="P555" s="20"/>
      <c r="Q555" s="20"/>
      <c r="R555" s="20"/>
      <c r="S555" s="20"/>
      <c r="T555" s="26"/>
      <c r="U555" s="17"/>
    </row>
    <row r="556" spans="1:21" x14ac:dyDescent="0.25">
      <c r="A556" s="2" t="str">
        <f>IFERROR(VLOOKUP(B556,Clientes!A:B,2,0),"")</f>
        <v/>
      </c>
      <c r="B556" s="20">
        <f t="shared" si="44"/>
        <v>491</v>
      </c>
      <c r="C556" s="52" t="s">
        <v>1070</v>
      </c>
      <c r="D556" s="55" t="s">
        <v>1071</v>
      </c>
      <c r="E556" s="2" t="s">
        <v>214</v>
      </c>
      <c r="F556" s="71">
        <v>210915</v>
      </c>
      <c r="G556" s="29" t="s">
        <v>58</v>
      </c>
      <c r="H556" s="20" t="s">
        <v>72</v>
      </c>
      <c r="I556" s="20" t="s">
        <v>84</v>
      </c>
      <c r="J556" s="20" t="s">
        <v>81</v>
      </c>
      <c r="K556" s="71"/>
      <c r="L556" s="20" t="s">
        <v>42</v>
      </c>
      <c r="M556" s="20"/>
      <c r="N556" s="20" t="s">
        <v>758</v>
      </c>
      <c r="O556" s="20"/>
      <c r="P556" s="20" t="s">
        <v>23</v>
      </c>
      <c r="Q556" s="20"/>
      <c r="R556" s="20" t="s">
        <v>28</v>
      </c>
      <c r="S556" s="20"/>
      <c r="T556" s="26" t="s">
        <v>1072</v>
      </c>
      <c r="U556" s="17"/>
    </row>
    <row r="557" spans="1:21" x14ac:dyDescent="0.25">
      <c r="A557" s="2" t="str">
        <f>IFERROR(VLOOKUP(B557,Clientes!A:B,2,0),"")</f>
        <v/>
      </c>
      <c r="B557" s="20">
        <f>B556+1</f>
        <v>492</v>
      </c>
      <c r="C557" s="52" t="s">
        <v>347</v>
      </c>
      <c r="D557" s="55" t="s">
        <v>348</v>
      </c>
      <c r="E557" s="2" t="s">
        <v>238</v>
      </c>
      <c r="F557" s="71">
        <v>210915</v>
      </c>
      <c r="G557" s="29" t="s">
        <v>58</v>
      </c>
      <c r="H557" s="20" t="s">
        <v>72</v>
      </c>
      <c r="I557" s="20" t="s">
        <v>84</v>
      </c>
      <c r="J557" s="20" t="s">
        <v>81</v>
      </c>
      <c r="K557" s="71"/>
      <c r="L557" s="20" t="s">
        <v>153</v>
      </c>
      <c r="M557" s="20"/>
      <c r="N557" s="20"/>
      <c r="O557" s="20"/>
      <c r="P557" s="20"/>
      <c r="Q557" s="20"/>
      <c r="R557" s="20"/>
      <c r="S557" s="20"/>
      <c r="T557" s="26"/>
      <c r="U557" s="17"/>
    </row>
    <row r="558" spans="1:21" x14ac:dyDescent="0.25">
      <c r="A558" s="2" t="str">
        <f>IFERROR(VLOOKUP(B558,Clientes!A:B,2,0),"")</f>
        <v/>
      </c>
      <c r="B558" s="20">
        <f t="shared" si="44"/>
        <v>493</v>
      </c>
      <c r="C558" s="52" t="s">
        <v>347</v>
      </c>
      <c r="D558" s="55" t="s">
        <v>348</v>
      </c>
      <c r="E558" s="2" t="s">
        <v>238</v>
      </c>
      <c r="F558" s="71">
        <v>210915</v>
      </c>
      <c r="G558" s="29" t="s">
        <v>63</v>
      </c>
      <c r="H558" s="20"/>
      <c r="I558" s="20" t="s">
        <v>84</v>
      </c>
      <c r="J558" s="20" t="s">
        <v>81</v>
      </c>
      <c r="K558" s="71"/>
      <c r="L558" s="20"/>
      <c r="M558" s="20"/>
      <c r="N558" s="20"/>
      <c r="O558" s="20"/>
      <c r="P558" s="20"/>
      <c r="Q558" s="20"/>
      <c r="R558" s="20"/>
      <c r="S558" s="20"/>
      <c r="T558" s="26"/>
      <c r="U558" s="17"/>
    </row>
    <row r="559" spans="1:21" x14ac:dyDescent="0.25">
      <c r="A559" s="2" t="str">
        <f>IFERROR(VLOOKUP(B559,Clientes!A:B,2,0),"")</f>
        <v/>
      </c>
      <c r="B559" s="20">
        <f t="shared" si="44"/>
        <v>494</v>
      </c>
      <c r="C559" s="52" t="s">
        <v>448</v>
      </c>
      <c r="D559" s="55" t="s">
        <v>449</v>
      </c>
      <c r="E559" s="2" t="s">
        <v>223</v>
      </c>
      <c r="F559" s="71">
        <v>210915</v>
      </c>
      <c r="G559" s="29" t="s">
        <v>58</v>
      </c>
      <c r="H559" s="20" t="s">
        <v>74</v>
      </c>
      <c r="I559" s="20" t="s">
        <v>84</v>
      </c>
      <c r="J559" s="20" t="s">
        <v>82</v>
      </c>
      <c r="K559" s="71"/>
      <c r="L559" s="20" t="s">
        <v>169</v>
      </c>
      <c r="M559" s="20"/>
      <c r="N559" s="20"/>
      <c r="O559" s="20"/>
      <c r="P559" s="20"/>
      <c r="Q559" s="20"/>
      <c r="R559" s="20"/>
      <c r="S559" s="20"/>
      <c r="T559" s="26"/>
      <c r="U559" s="17"/>
    </row>
    <row r="560" spans="1:21" x14ac:dyDescent="0.25">
      <c r="A560" s="2" t="str">
        <f>IFERROR(VLOOKUP(B560,Clientes!A:B,2,0),"")</f>
        <v/>
      </c>
      <c r="B560" s="20">
        <f t="shared" si="44"/>
        <v>495</v>
      </c>
      <c r="C560" s="52" t="s">
        <v>914</v>
      </c>
      <c r="D560" s="55" t="s">
        <v>915</v>
      </c>
      <c r="E560" s="2" t="s">
        <v>224</v>
      </c>
      <c r="F560" s="71">
        <v>210915</v>
      </c>
      <c r="G560" s="29" t="s">
        <v>63</v>
      </c>
      <c r="H560" s="20"/>
      <c r="I560" s="20" t="s">
        <v>84</v>
      </c>
      <c r="J560" s="20" t="s">
        <v>81</v>
      </c>
      <c r="K560" s="71"/>
      <c r="L560" s="20"/>
      <c r="M560" s="20"/>
      <c r="N560" s="20"/>
      <c r="O560" s="20"/>
      <c r="P560" s="20"/>
      <c r="Q560" s="20"/>
      <c r="R560" s="20"/>
      <c r="S560" s="20"/>
      <c r="T560" s="26"/>
      <c r="U560" s="17"/>
    </row>
    <row r="561" spans="1:21" x14ac:dyDescent="0.25">
      <c r="A561" s="2" t="str">
        <f>IFERROR(VLOOKUP(B561,Clientes!A:B,2,0),"")</f>
        <v/>
      </c>
      <c r="B561" s="20">
        <f t="shared" si="44"/>
        <v>496</v>
      </c>
      <c r="C561" s="52" t="s">
        <v>341</v>
      </c>
      <c r="D561" s="55" t="s">
        <v>342</v>
      </c>
      <c r="E561" s="2"/>
      <c r="F561" s="71">
        <v>210915</v>
      </c>
      <c r="G561" s="29" t="s">
        <v>63</v>
      </c>
      <c r="H561" s="20"/>
      <c r="I561" s="20" t="s">
        <v>84</v>
      </c>
      <c r="J561" s="20" t="s">
        <v>81</v>
      </c>
      <c r="K561" s="71"/>
      <c r="L561" s="20"/>
      <c r="M561" s="20"/>
      <c r="N561" s="20"/>
      <c r="O561" s="20"/>
      <c r="P561" s="20"/>
      <c r="Q561" s="20"/>
      <c r="R561" s="20"/>
      <c r="S561" s="20"/>
      <c r="T561" s="26"/>
      <c r="U561" s="17"/>
    </row>
    <row r="562" spans="1:21" x14ac:dyDescent="0.25">
      <c r="A562" s="2" t="str">
        <f>IFERROR(VLOOKUP(B562,Clientes!A:B,2,0),"")</f>
        <v/>
      </c>
      <c r="B562" s="20">
        <f t="shared" si="44"/>
        <v>497</v>
      </c>
      <c r="C562" s="52" t="s">
        <v>1104</v>
      </c>
      <c r="D562" s="55" t="s">
        <v>1105</v>
      </c>
      <c r="E562" s="2" t="s">
        <v>222</v>
      </c>
      <c r="F562" s="71">
        <v>220915</v>
      </c>
      <c r="G562" s="29" t="s">
        <v>58</v>
      </c>
      <c r="H562" s="20" t="s">
        <v>72</v>
      </c>
      <c r="I562" s="20" t="s">
        <v>84</v>
      </c>
      <c r="J562" s="20" t="s">
        <v>81</v>
      </c>
      <c r="K562" s="71"/>
      <c r="L562" s="20" t="s">
        <v>134</v>
      </c>
      <c r="M562" s="20"/>
      <c r="N562" s="20" t="s">
        <v>157</v>
      </c>
      <c r="O562" s="20"/>
      <c r="P562" s="20" t="s">
        <v>161</v>
      </c>
      <c r="Q562" s="20"/>
      <c r="R562" s="20" t="s">
        <v>165</v>
      </c>
      <c r="S562" s="20"/>
      <c r="T562" s="26"/>
      <c r="U562" s="17"/>
    </row>
    <row r="563" spans="1:21" x14ac:dyDescent="0.25">
      <c r="A563" s="2" t="str">
        <f>IFERROR(VLOOKUP(B563,Clientes!A:B,2,0),"")</f>
        <v/>
      </c>
      <c r="B563" s="20">
        <f t="shared" si="44"/>
        <v>498</v>
      </c>
      <c r="C563" s="52" t="s">
        <v>1060</v>
      </c>
      <c r="D563" s="55" t="s">
        <v>1061</v>
      </c>
      <c r="E563" s="2" t="s">
        <v>214</v>
      </c>
      <c r="F563" s="71">
        <v>220915</v>
      </c>
      <c r="G563" s="29" t="s">
        <v>56</v>
      </c>
      <c r="H563" s="55" t="s">
        <v>537</v>
      </c>
      <c r="I563" s="20" t="s">
        <v>84</v>
      </c>
      <c r="J563" s="20" t="s">
        <v>82</v>
      </c>
      <c r="K563" s="71"/>
      <c r="L563" s="20"/>
      <c r="M563" s="20"/>
      <c r="N563" s="20"/>
      <c r="O563" s="20"/>
      <c r="P563" s="20"/>
      <c r="Q563" s="20"/>
      <c r="R563" s="20"/>
      <c r="S563" s="20"/>
      <c r="T563" s="26"/>
      <c r="U563" s="17"/>
    </row>
    <row r="564" spans="1:21" x14ac:dyDescent="0.25">
      <c r="A564" s="2" t="str">
        <f>IFERROR(VLOOKUP(B564,Clientes!A:B,2,0),"")</f>
        <v/>
      </c>
      <c r="B564" s="20">
        <f t="shared" si="44"/>
        <v>499</v>
      </c>
      <c r="C564" s="52" t="s">
        <v>1064</v>
      </c>
      <c r="D564" s="55" t="s">
        <v>1065</v>
      </c>
      <c r="E564" s="2" t="s">
        <v>226</v>
      </c>
      <c r="F564" s="71">
        <v>220915</v>
      </c>
      <c r="G564" s="29" t="s">
        <v>58</v>
      </c>
      <c r="H564" s="20" t="s">
        <v>72</v>
      </c>
      <c r="I564" s="20" t="s">
        <v>84</v>
      </c>
      <c r="J564" s="20" t="s">
        <v>81</v>
      </c>
      <c r="K564" s="71"/>
      <c r="L564" s="20" t="s">
        <v>145</v>
      </c>
      <c r="M564" s="20"/>
      <c r="N564" s="20" t="s">
        <v>93</v>
      </c>
      <c r="O564" s="20"/>
      <c r="P564" s="20" t="s">
        <v>160</v>
      </c>
      <c r="Q564" s="20"/>
      <c r="R564" s="20" t="s">
        <v>23</v>
      </c>
      <c r="S564" s="20"/>
      <c r="T564" s="26" t="s">
        <v>1066</v>
      </c>
      <c r="U564" s="17"/>
    </row>
    <row r="565" spans="1:21" x14ac:dyDescent="0.25">
      <c r="A565" s="2" t="str">
        <f>IFERROR(VLOOKUP(B565,Clientes!A:B,2,0),"")</f>
        <v/>
      </c>
      <c r="B565" s="20">
        <f t="shared" si="44"/>
        <v>500</v>
      </c>
      <c r="C565" s="52" t="s">
        <v>1062</v>
      </c>
      <c r="D565" s="55" t="s">
        <v>1063</v>
      </c>
      <c r="E565" s="2" t="s">
        <v>231</v>
      </c>
      <c r="F565" s="71">
        <v>240915</v>
      </c>
      <c r="G565" s="29" t="s">
        <v>57</v>
      </c>
      <c r="H565" s="20"/>
      <c r="I565" s="20" t="s">
        <v>84</v>
      </c>
      <c r="J565" s="20" t="s">
        <v>82</v>
      </c>
      <c r="K565" s="71"/>
      <c r="L565" s="20" t="s">
        <v>145</v>
      </c>
      <c r="M565" s="20"/>
      <c r="N565" s="20"/>
      <c r="O565" s="20"/>
      <c r="P565" s="20"/>
      <c r="Q565" s="20"/>
      <c r="R565" s="20"/>
      <c r="S565" s="20"/>
      <c r="T565" s="26"/>
      <c r="U565" s="17"/>
    </row>
    <row r="566" spans="1:21" x14ac:dyDescent="0.25">
      <c r="A566" s="2"/>
      <c r="B566" s="20" t="s">
        <v>1073</v>
      </c>
      <c r="C566" s="52" t="s">
        <v>705</v>
      </c>
      <c r="D566" s="55" t="s">
        <v>828</v>
      </c>
      <c r="E566" s="2" t="s">
        <v>230</v>
      </c>
      <c r="F566" s="71">
        <v>220915</v>
      </c>
      <c r="G566" s="29" t="s">
        <v>58</v>
      </c>
      <c r="H566" s="20" t="s">
        <v>73</v>
      </c>
      <c r="I566" s="20" t="s">
        <v>84</v>
      </c>
      <c r="J566" s="20" t="s">
        <v>81</v>
      </c>
      <c r="K566" s="71"/>
      <c r="L566" s="20" t="s">
        <v>158</v>
      </c>
      <c r="M566" s="20"/>
      <c r="N566" s="20"/>
      <c r="O566" s="20"/>
      <c r="P566" s="20"/>
      <c r="Q566" s="20"/>
      <c r="R566" s="20"/>
      <c r="S566" s="20"/>
      <c r="T566" s="26" t="s">
        <v>746</v>
      </c>
      <c r="U566" s="17"/>
    </row>
    <row r="567" spans="1:21" x14ac:dyDescent="0.25">
      <c r="A567" s="2" t="str">
        <f>IFERROR(VLOOKUP(B567,Clientes!A:B,2,0),"")</f>
        <v/>
      </c>
      <c r="B567" s="20">
        <f>B565+1</f>
        <v>501</v>
      </c>
      <c r="C567" s="52" t="s">
        <v>317</v>
      </c>
      <c r="D567" s="55" t="s">
        <v>1067</v>
      </c>
      <c r="E567" s="2" t="s">
        <v>225</v>
      </c>
      <c r="F567" s="71">
        <v>240915</v>
      </c>
      <c r="G567" s="29" t="s">
        <v>56</v>
      </c>
      <c r="H567" s="20" t="s">
        <v>72</v>
      </c>
      <c r="I567" s="20" t="s">
        <v>84</v>
      </c>
      <c r="J567" s="20" t="s">
        <v>83</v>
      </c>
      <c r="K567" s="71"/>
      <c r="L567" s="20"/>
      <c r="M567" s="20"/>
      <c r="N567" s="20"/>
      <c r="O567" s="20"/>
      <c r="P567" s="20"/>
      <c r="Q567" s="20"/>
      <c r="R567" s="20"/>
      <c r="S567" s="20"/>
      <c r="T567" s="26"/>
      <c r="U567" s="17"/>
    </row>
    <row r="568" spans="1:21" x14ac:dyDescent="0.25">
      <c r="A568" s="2" t="str">
        <f>IFERROR(VLOOKUP(B568,Clientes!A:B,2,0),"")</f>
        <v/>
      </c>
      <c r="B568" s="20">
        <f t="shared" si="44"/>
        <v>502</v>
      </c>
      <c r="C568" s="52" t="s">
        <v>1068</v>
      </c>
      <c r="D568" s="55" t="s">
        <v>1069</v>
      </c>
      <c r="E568" s="2" t="s">
        <v>226</v>
      </c>
      <c r="F568" s="71">
        <v>220915</v>
      </c>
      <c r="G568" s="29" t="s">
        <v>58</v>
      </c>
      <c r="H568" s="20" t="s">
        <v>72</v>
      </c>
      <c r="I568" s="20" t="s">
        <v>84</v>
      </c>
      <c r="J568" s="20" t="s">
        <v>81</v>
      </c>
      <c r="K568" s="71"/>
      <c r="L568" s="20" t="s">
        <v>93</v>
      </c>
      <c r="M568" s="20"/>
      <c r="N568" s="20" t="s">
        <v>145</v>
      </c>
      <c r="O568" s="20"/>
      <c r="P568" s="20" t="s">
        <v>160</v>
      </c>
      <c r="Q568" s="20"/>
      <c r="R568" s="20"/>
      <c r="S568" s="20"/>
      <c r="T568" s="26" t="s">
        <v>1066</v>
      </c>
      <c r="U568" s="17"/>
    </row>
    <row r="569" spans="1:21" x14ac:dyDescent="0.25">
      <c r="A569" s="2" t="str">
        <f>IFERROR(VLOOKUP(B569,Clientes!A:B,2,0),"")</f>
        <v/>
      </c>
      <c r="B569" s="20">
        <f t="shared" ref="B569:B578" si="45">B568+1</f>
        <v>503</v>
      </c>
      <c r="C569" s="52" t="s">
        <v>575</v>
      </c>
      <c r="D569" s="55" t="s">
        <v>576</v>
      </c>
      <c r="E569" s="2" t="s">
        <v>229</v>
      </c>
      <c r="F569" s="71">
        <v>240915</v>
      </c>
      <c r="G569" s="29" t="s">
        <v>57</v>
      </c>
      <c r="H569" s="20"/>
      <c r="I569" s="20" t="s">
        <v>84</v>
      </c>
      <c r="J569" s="20" t="s">
        <v>82</v>
      </c>
      <c r="K569" s="71"/>
      <c r="L569" s="20"/>
      <c r="M569" s="20"/>
      <c r="N569" s="20"/>
      <c r="O569" s="20"/>
      <c r="P569" s="20"/>
      <c r="Q569" s="20"/>
      <c r="R569" s="20"/>
      <c r="S569" s="20"/>
      <c r="T569" s="26"/>
      <c r="U569" s="17"/>
    </row>
    <row r="570" spans="1:21" x14ac:dyDescent="0.25">
      <c r="A570" s="2" t="str">
        <f>IFERROR(VLOOKUP(B570,Clientes!A:B,2,0),"")</f>
        <v/>
      </c>
      <c r="B570" s="20">
        <f t="shared" si="45"/>
        <v>504</v>
      </c>
      <c r="C570" s="52" t="s">
        <v>681</v>
      </c>
      <c r="D570" s="55" t="s">
        <v>682</v>
      </c>
      <c r="E570" s="2" t="s">
        <v>216</v>
      </c>
      <c r="F570" s="71">
        <v>240915</v>
      </c>
      <c r="G570" s="29" t="s">
        <v>58</v>
      </c>
      <c r="H570" s="20" t="s">
        <v>72</v>
      </c>
      <c r="I570" s="20" t="s">
        <v>84</v>
      </c>
      <c r="J570" s="20" t="s">
        <v>81</v>
      </c>
      <c r="K570" s="71"/>
      <c r="L570" s="20" t="s">
        <v>205</v>
      </c>
      <c r="M570" s="20"/>
      <c r="N570" s="20"/>
      <c r="O570" s="20"/>
      <c r="P570" s="20"/>
      <c r="Q570" s="20"/>
      <c r="R570" s="20"/>
      <c r="S570" s="20"/>
      <c r="T570" s="26"/>
      <c r="U570" s="17"/>
    </row>
    <row r="571" spans="1:21" x14ac:dyDescent="0.25">
      <c r="A571" s="2" t="str">
        <f>IFERROR(VLOOKUP(B571,Clientes!A:B,2,0),"")</f>
        <v/>
      </c>
      <c r="B571" s="20">
        <f t="shared" si="45"/>
        <v>505</v>
      </c>
      <c r="C571" s="52" t="s">
        <v>1110</v>
      </c>
      <c r="D571" s="55" t="s">
        <v>1111</v>
      </c>
      <c r="E571" s="2" t="s">
        <v>222</v>
      </c>
      <c r="F571" s="71">
        <v>240915</v>
      </c>
      <c r="G571" s="29" t="s">
        <v>58</v>
      </c>
      <c r="H571" s="20" t="s">
        <v>72</v>
      </c>
      <c r="I571" s="20" t="s">
        <v>84</v>
      </c>
      <c r="J571" s="20" t="s">
        <v>81</v>
      </c>
      <c r="K571" s="71"/>
      <c r="L571" s="20" t="s">
        <v>146</v>
      </c>
      <c r="M571" s="20"/>
      <c r="N571" s="20"/>
      <c r="O571" s="20"/>
      <c r="P571" s="20"/>
      <c r="Q571" s="20"/>
      <c r="R571" s="20"/>
      <c r="S571" s="20"/>
      <c r="T571" s="26"/>
      <c r="U571" s="17"/>
    </row>
    <row r="572" spans="1:21" x14ac:dyDescent="0.25">
      <c r="A572" s="2" t="str">
        <f>IFERROR(VLOOKUP(B572,Clientes!A:B,2,0),"")</f>
        <v/>
      </c>
      <c r="B572" s="20">
        <f t="shared" si="45"/>
        <v>506</v>
      </c>
      <c r="C572" s="52" t="s">
        <v>1106</v>
      </c>
      <c r="D572" s="55" t="s">
        <v>1107</v>
      </c>
      <c r="E572" s="2" t="s">
        <v>220</v>
      </c>
      <c r="F572" s="71">
        <v>240915</v>
      </c>
      <c r="G572" s="29" t="s">
        <v>58</v>
      </c>
      <c r="H572" s="20" t="s">
        <v>72</v>
      </c>
      <c r="I572" s="20" t="s">
        <v>84</v>
      </c>
      <c r="J572" s="20" t="s">
        <v>81</v>
      </c>
      <c r="K572" s="71"/>
      <c r="L572" s="20" t="s">
        <v>164</v>
      </c>
      <c r="M572" s="20"/>
      <c r="N572" s="20"/>
      <c r="O572" s="20"/>
      <c r="P572" s="20"/>
      <c r="Q572" s="20"/>
      <c r="R572" s="20"/>
      <c r="S572" s="20"/>
      <c r="T572" s="26"/>
      <c r="U572" s="17"/>
    </row>
    <row r="573" spans="1:21" x14ac:dyDescent="0.25">
      <c r="A573" s="2" t="str">
        <f>IFERROR(VLOOKUP(B573,Clientes!A:B,2,0),"")</f>
        <v/>
      </c>
      <c r="B573" s="20">
        <f t="shared" si="45"/>
        <v>507</v>
      </c>
      <c r="C573" s="52" t="s">
        <v>880</v>
      </c>
      <c r="D573" s="55" t="s">
        <v>881</v>
      </c>
      <c r="E573" s="2" t="s">
        <v>238</v>
      </c>
      <c r="F573" s="71">
        <v>240915</v>
      </c>
      <c r="G573" s="29" t="s">
        <v>58</v>
      </c>
      <c r="H573" s="20" t="s">
        <v>72</v>
      </c>
      <c r="I573" s="20" t="s">
        <v>84</v>
      </c>
      <c r="J573" s="20" t="s">
        <v>81</v>
      </c>
      <c r="K573" s="71"/>
      <c r="L573" s="20"/>
      <c r="M573" s="20"/>
      <c r="N573" s="20"/>
      <c r="O573" s="20"/>
      <c r="P573" s="20"/>
      <c r="Q573" s="20"/>
      <c r="R573" s="20"/>
      <c r="S573" s="20"/>
      <c r="T573" s="26"/>
      <c r="U573" s="17"/>
    </row>
    <row r="574" spans="1:21" x14ac:dyDescent="0.25">
      <c r="A574" s="2" t="str">
        <f>IFERROR(VLOOKUP(B574,Clientes!A:B,2,0),"")</f>
        <v/>
      </c>
      <c r="B574" s="20">
        <f t="shared" si="45"/>
        <v>508</v>
      </c>
      <c r="C574" s="52" t="s">
        <v>1108</v>
      </c>
      <c r="D574" s="55" t="s">
        <v>1109</v>
      </c>
      <c r="E574" s="2" t="s">
        <v>215</v>
      </c>
      <c r="F574" s="71">
        <v>240915</v>
      </c>
      <c r="G574" s="29" t="s">
        <v>58</v>
      </c>
      <c r="H574" s="20" t="s">
        <v>72</v>
      </c>
      <c r="I574" s="20" t="s">
        <v>84</v>
      </c>
      <c r="J574" s="20" t="s">
        <v>81</v>
      </c>
      <c r="K574" s="71"/>
      <c r="L574" s="20" t="s">
        <v>139</v>
      </c>
      <c r="M574" s="20"/>
      <c r="N574" s="20"/>
      <c r="O574" s="20"/>
      <c r="P574" s="20"/>
      <c r="Q574" s="20"/>
      <c r="R574" s="20"/>
      <c r="S574" s="20"/>
      <c r="T574" s="26"/>
      <c r="U574" s="17"/>
    </row>
    <row r="575" spans="1:21" x14ac:dyDescent="0.25">
      <c r="A575" s="2" t="str">
        <f>IFERROR(VLOOKUP(B575,Clientes!A:B,2,0),"")</f>
        <v/>
      </c>
      <c r="B575" s="20">
        <f t="shared" si="45"/>
        <v>509</v>
      </c>
      <c r="C575" s="52" t="s">
        <v>1045</v>
      </c>
      <c r="D575" s="55" t="s">
        <v>1046</v>
      </c>
      <c r="E575" s="2" t="s">
        <v>222</v>
      </c>
      <c r="F575" s="71">
        <v>240915</v>
      </c>
      <c r="G575" s="29" t="s">
        <v>58</v>
      </c>
      <c r="H575" s="20" t="s">
        <v>72</v>
      </c>
      <c r="I575" s="20" t="s">
        <v>84</v>
      </c>
      <c r="J575" s="20" t="s">
        <v>81</v>
      </c>
      <c r="K575" s="71"/>
      <c r="L575" s="20" t="s">
        <v>146</v>
      </c>
      <c r="M575" s="20"/>
      <c r="N575" s="20"/>
      <c r="O575" s="20"/>
      <c r="P575" s="20"/>
      <c r="Q575" s="20"/>
      <c r="R575" s="20"/>
      <c r="S575" s="20"/>
      <c r="T575" s="26"/>
      <c r="U575" s="17"/>
    </row>
    <row r="576" spans="1:21" x14ac:dyDescent="0.25">
      <c r="A576" s="2" t="str">
        <f>IFERROR(VLOOKUP(B576,Clientes!A:B,2,0),"")</f>
        <v/>
      </c>
      <c r="B576" s="20">
        <f t="shared" si="45"/>
        <v>510</v>
      </c>
      <c r="C576" s="52" t="s">
        <v>1004</v>
      </c>
      <c r="D576" s="55" t="s">
        <v>1003</v>
      </c>
      <c r="E576" s="2" t="s">
        <v>218</v>
      </c>
      <c r="F576" s="71">
        <v>240915</v>
      </c>
      <c r="G576" s="29" t="s">
        <v>57</v>
      </c>
      <c r="H576" s="20"/>
      <c r="I576" s="20" t="s">
        <v>84</v>
      </c>
      <c r="J576" s="20" t="s">
        <v>1232</v>
      </c>
      <c r="K576" s="71"/>
      <c r="L576" s="20" t="s">
        <v>163</v>
      </c>
      <c r="M576" s="20"/>
      <c r="N576" s="20"/>
      <c r="O576" s="20"/>
      <c r="P576" s="20"/>
      <c r="Q576" s="20"/>
      <c r="R576" s="20"/>
      <c r="S576" s="20"/>
      <c r="T576" s="26"/>
      <c r="U576" s="17"/>
    </row>
    <row r="577" spans="1:21" x14ac:dyDescent="0.25">
      <c r="A577" s="2" t="str">
        <f>IFERROR(VLOOKUP(B577,Clientes!A:B,2,0),"")</f>
        <v/>
      </c>
      <c r="B577" s="20">
        <f t="shared" si="45"/>
        <v>511</v>
      </c>
      <c r="C577" s="52" t="s">
        <v>345</v>
      </c>
      <c r="D577" s="55" t="s">
        <v>346</v>
      </c>
      <c r="E577" s="2" t="s">
        <v>236</v>
      </c>
      <c r="F577" s="71">
        <v>240915</v>
      </c>
      <c r="G577" s="29" t="s">
        <v>57</v>
      </c>
      <c r="H577" s="20"/>
      <c r="I577" s="20" t="s">
        <v>84</v>
      </c>
      <c r="J577" s="20" t="s">
        <v>81</v>
      </c>
      <c r="K577" s="71"/>
      <c r="L577" s="20" t="s">
        <v>757</v>
      </c>
      <c r="M577" s="20"/>
      <c r="N577" s="20" t="s">
        <v>153</v>
      </c>
      <c r="O577" s="20"/>
      <c r="P577" s="20"/>
      <c r="Q577" s="20"/>
      <c r="R577" s="20"/>
      <c r="S577" s="20"/>
      <c r="T577" s="26"/>
      <c r="U577" s="17"/>
    </row>
    <row r="578" spans="1:21" x14ac:dyDescent="0.25">
      <c r="A578" s="2" t="str">
        <f>IFERROR(VLOOKUP(B578,Clientes!A:B,2,0),"")</f>
        <v/>
      </c>
      <c r="B578" s="20">
        <f t="shared" si="45"/>
        <v>512</v>
      </c>
      <c r="C578" s="52" t="s">
        <v>705</v>
      </c>
      <c r="D578" s="55" t="s">
        <v>828</v>
      </c>
      <c r="E578" s="2" t="s">
        <v>219</v>
      </c>
      <c r="F578" s="71">
        <v>240915</v>
      </c>
      <c r="G578" s="29" t="s">
        <v>58</v>
      </c>
      <c r="H578" s="20" t="s">
        <v>72</v>
      </c>
      <c r="I578" s="20" t="s">
        <v>84</v>
      </c>
      <c r="J578" s="20" t="s">
        <v>83</v>
      </c>
      <c r="K578" s="71"/>
      <c r="L578" s="20" t="s">
        <v>158</v>
      </c>
      <c r="M578" s="20"/>
      <c r="N578" s="20"/>
      <c r="O578" s="20"/>
      <c r="P578" s="20"/>
      <c r="Q578" s="20"/>
      <c r="R578" s="20"/>
      <c r="S578" s="20"/>
      <c r="T578" s="26"/>
      <c r="U578" s="17"/>
    </row>
    <row r="579" spans="1:21" x14ac:dyDescent="0.25">
      <c r="A579" s="2"/>
      <c r="B579" s="20">
        <v>512</v>
      </c>
      <c r="C579" s="52" t="s">
        <v>882</v>
      </c>
      <c r="D579" s="55" t="s">
        <v>883</v>
      </c>
      <c r="E579" s="2" t="s">
        <v>232</v>
      </c>
      <c r="F579" s="71">
        <v>250915</v>
      </c>
      <c r="G579" s="29" t="s">
        <v>57</v>
      </c>
      <c r="H579" s="20"/>
      <c r="I579" s="20" t="s">
        <v>84</v>
      </c>
      <c r="J579" s="20" t="s">
        <v>82</v>
      </c>
      <c r="K579" s="71"/>
      <c r="L579" s="20"/>
      <c r="M579" s="20"/>
      <c r="N579" s="20"/>
      <c r="O579" s="20"/>
      <c r="P579" s="20"/>
      <c r="Q579" s="20"/>
      <c r="R579" s="20"/>
      <c r="S579" s="20"/>
      <c r="T579" s="26"/>
      <c r="U579" s="17"/>
    </row>
    <row r="580" spans="1:21" x14ac:dyDescent="0.25">
      <c r="A580" s="2" t="str">
        <f>IFERROR(VLOOKUP(B580,Clientes!A:B,2,0),"")</f>
        <v/>
      </c>
      <c r="B580" s="20">
        <f>B578+1</f>
        <v>513</v>
      </c>
      <c r="C580" s="52" t="s">
        <v>1102</v>
      </c>
      <c r="D580" s="55" t="s">
        <v>1103</v>
      </c>
      <c r="E580" s="2" t="s">
        <v>217</v>
      </c>
      <c r="F580" s="71">
        <v>250915</v>
      </c>
      <c r="G580" s="29" t="s">
        <v>58</v>
      </c>
      <c r="H580" s="20" t="s">
        <v>72</v>
      </c>
      <c r="I580" s="20" t="s">
        <v>84</v>
      </c>
      <c r="J580" s="20" t="s">
        <v>81</v>
      </c>
      <c r="K580" s="71"/>
      <c r="L580" s="20" t="s">
        <v>205</v>
      </c>
      <c r="M580" s="20"/>
      <c r="N580" s="20"/>
      <c r="O580" s="20"/>
      <c r="P580" s="20"/>
      <c r="Q580" s="20"/>
      <c r="R580" s="20"/>
      <c r="S580" s="20"/>
      <c r="T580" s="26"/>
      <c r="U580" s="17"/>
    </row>
    <row r="581" spans="1:21" x14ac:dyDescent="0.25">
      <c r="A581" s="2"/>
      <c r="B581" s="20" t="s">
        <v>1114</v>
      </c>
      <c r="C581" s="52" t="s">
        <v>1112</v>
      </c>
      <c r="D581" s="55" t="s">
        <v>1113</v>
      </c>
      <c r="E581" s="2" t="s">
        <v>235</v>
      </c>
      <c r="F581" s="71">
        <v>240915</v>
      </c>
      <c r="G581" s="29" t="s">
        <v>56</v>
      </c>
      <c r="H581" s="55" t="s">
        <v>537</v>
      </c>
      <c r="I581" s="20" t="s">
        <v>84</v>
      </c>
      <c r="J581" s="20" t="s">
        <v>83</v>
      </c>
      <c r="K581" s="71"/>
      <c r="L581" s="20"/>
      <c r="M581" s="20"/>
      <c r="N581" s="20"/>
      <c r="O581" s="20"/>
      <c r="P581" s="20"/>
      <c r="Q581" s="20"/>
      <c r="R581" s="20"/>
      <c r="S581" s="20"/>
      <c r="T581" s="26"/>
      <c r="U581" s="17"/>
    </row>
    <row r="582" spans="1:21" x14ac:dyDescent="0.25">
      <c r="A582" s="2" t="str">
        <f>IFERROR(VLOOKUP(B582,Clientes!A:B,2,0),"")</f>
        <v/>
      </c>
      <c r="B582" s="20">
        <f>B580+1</f>
        <v>514</v>
      </c>
      <c r="C582" s="52" t="s">
        <v>1112</v>
      </c>
      <c r="D582" s="55" t="s">
        <v>1113</v>
      </c>
      <c r="E582" s="2" t="s">
        <v>235</v>
      </c>
      <c r="F582" s="71">
        <v>240915</v>
      </c>
      <c r="G582" s="29" t="s">
        <v>63</v>
      </c>
      <c r="H582" s="20"/>
      <c r="I582" s="20" t="s">
        <v>84</v>
      </c>
      <c r="J582" s="20" t="s">
        <v>81</v>
      </c>
      <c r="K582" s="71"/>
      <c r="L582" s="20"/>
      <c r="M582" s="20"/>
      <c r="N582" s="20"/>
      <c r="O582" s="20"/>
      <c r="P582" s="20"/>
      <c r="Q582" s="20"/>
      <c r="R582" s="20"/>
      <c r="S582" s="20"/>
      <c r="T582" s="26"/>
      <c r="U582" s="17"/>
    </row>
    <row r="583" spans="1:21" x14ac:dyDescent="0.25">
      <c r="A583" s="2"/>
      <c r="B583" s="20">
        <v>514</v>
      </c>
      <c r="C583" s="52" t="s">
        <v>243</v>
      </c>
      <c r="D583" s="55" t="s">
        <v>244</v>
      </c>
      <c r="E583" s="2" t="s">
        <v>218</v>
      </c>
      <c r="F583" s="71">
        <v>250915</v>
      </c>
      <c r="G583" s="29" t="s">
        <v>58</v>
      </c>
      <c r="H583" s="20" t="s">
        <v>72</v>
      </c>
      <c r="I583" s="20" t="s">
        <v>84</v>
      </c>
      <c r="J583" s="20" t="s">
        <v>82</v>
      </c>
      <c r="K583" s="71"/>
      <c r="L583" s="20"/>
      <c r="M583" s="20"/>
      <c r="N583" s="20"/>
      <c r="O583" s="20"/>
      <c r="P583" s="20"/>
      <c r="Q583" s="20"/>
      <c r="R583" s="20"/>
      <c r="S583" s="20"/>
      <c r="T583" s="26"/>
      <c r="U583" s="17"/>
    </row>
    <row r="584" spans="1:21" x14ac:dyDescent="0.25">
      <c r="A584" s="2" t="str">
        <f>IFERROR(VLOOKUP(B584,Clientes!A:B,2,0),"")</f>
        <v/>
      </c>
      <c r="B584" s="20">
        <f>B582+1</f>
        <v>515</v>
      </c>
      <c r="C584" s="52"/>
      <c r="D584" s="55"/>
      <c r="E584" s="2"/>
      <c r="F584" s="71"/>
      <c r="G584" s="29"/>
      <c r="H584" s="20"/>
      <c r="I584" s="20" t="s">
        <v>84</v>
      </c>
      <c r="J584" s="20"/>
      <c r="K584" s="71"/>
      <c r="L584" s="20"/>
      <c r="M584" s="20"/>
      <c r="N584" s="20"/>
      <c r="O584" s="20"/>
      <c r="P584" s="20"/>
      <c r="Q584" s="20"/>
      <c r="R584" s="20"/>
      <c r="S584" s="20"/>
      <c r="T584" s="26"/>
      <c r="U584" s="17"/>
    </row>
    <row r="585" spans="1:21" x14ac:dyDescent="0.25">
      <c r="A585" s="2" t="str">
        <f>IFERROR(VLOOKUP(B585,Clientes!A:B,2,0),"")</f>
        <v/>
      </c>
      <c r="B585" s="20">
        <f t="shared" ref="B585:B593" si="46">B584+1</f>
        <v>516</v>
      </c>
      <c r="C585" s="52" t="s">
        <v>402</v>
      </c>
      <c r="D585" s="55" t="s">
        <v>403</v>
      </c>
      <c r="E585" s="2" t="s">
        <v>234</v>
      </c>
      <c r="F585" s="71">
        <v>240915</v>
      </c>
      <c r="G585" s="29" t="s">
        <v>63</v>
      </c>
      <c r="H585" s="20"/>
      <c r="I585" s="20" t="s">
        <v>84</v>
      </c>
      <c r="J585" s="20" t="s">
        <v>81</v>
      </c>
      <c r="K585" s="71"/>
      <c r="L585" s="20"/>
      <c r="M585" s="20"/>
      <c r="N585" s="20"/>
      <c r="O585" s="20"/>
      <c r="P585" s="20"/>
      <c r="Q585" s="20"/>
      <c r="R585" s="20"/>
      <c r="S585" s="20"/>
      <c r="T585" s="26"/>
      <c r="U585" s="17"/>
    </row>
    <row r="586" spans="1:21" x14ac:dyDescent="0.25">
      <c r="A586" s="2" t="str">
        <f>IFERROR(VLOOKUP(B586,Clientes!A:B,2,0),"")</f>
        <v/>
      </c>
      <c r="B586" s="20">
        <f t="shared" si="46"/>
        <v>517</v>
      </c>
      <c r="C586" s="52"/>
      <c r="D586" s="55"/>
      <c r="E586" s="2"/>
      <c r="F586" s="71"/>
      <c r="G586" s="29"/>
      <c r="H586" s="20"/>
      <c r="I586" s="20" t="s">
        <v>84</v>
      </c>
      <c r="J586" s="20"/>
      <c r="K586" s="71"/>
      <c r="L586" s="20"/>
      <c r="M586" s="20"/>
      <c r="N586" s="20"/>
      <c r="O586" s="20"/>
      <c r="P586" s="20"/>
      <c r="Q586" s="20"/>
      <c r="R586" s="20"/>
      <c r="S586" s="20"/>
      <c r="T586" s="26"/>
      <c r="U586" s="17"/>
    </row>
    <row r="587" spans="1:21" x14ac:dyDescent="0.25">
      <c r="A587" s="2" t="str">
        <f>IFERROR(VLOOKUP(B587,Clientes!A:B,2,0),"")</f>
        <v/>
      </c>
      <c r="B587" s="20">
        <f t="shared" si="46"/>
        <v>518</v>
      </c>
      <c r="C587" s="52" t="s">
        <v>1098</v>
      </c>
      <c r="D587" s="55" t="s">
        <v>391</v>
      </c>
      <c r="E587" s="2" t="s">
        <v>234</v>
      </c>
      <c r="F587" s="71">
        <v>240915</v>
      </c>
      <c r="G587" s="29" t="s">
        <v>57</v>
      </c>
      <c r="H587" s="20"/>
      <c r="I587" s="20" t="s">
        <v>84</v>
      </c>
      <c r="J587" s="20" t="s">
        <v>81</v>
      </c>
      <c r="K587" s="71"/>
      <c r="L587" s="20" t="s">
        <v>148</v>
      </c>
      <c r="M587" s="20"/>
      <c r="N587" s="20"/>
      <c r="O587" s="20"/>
      <c r="P587" s="20"/>
      <c r="Q587" s="20"/>
      <c r="R587" s="20"/>
      <c r="S587" s="20"/>
      <c r="T587" s="26"/>
      <c r="U587" s="17"/>
    </row>
    <row r="588" spans="1:21" x14ac:dyDescent="0.25">
      <c r="A588" s="2" t="str">
        <f>IFERROR(VLOOKUP(B588,Clientes!A:B,2,0),"")</f>
        <v/>
      </c>
      <c r="B588" s="20">
        <f t="shared" si="46"/>
        <v>519</v>
      </c>
      <c r="C588" s="52"/>
      <c r="D588" s="55"/>
      <c r="E588" s="2"/>
      <c r="F588" s="71"/>
      <c r="G588" s="29"/>
      <c r="H588" s="20"/>
      <c r="I588" s="20" t="s">
        <v>84</v>
      </c>
      <c r="J588" s="20"/>
      <c r="K588" s="71"/>
      <c r="L588" s="20"/>
      <c r="M588" s="20"/>
      <c r="N588" s="20"/>
      <c r="O588" s="20"/>
      <c r="P588" s="20"/>
      <c r="Q588" s="20"/>
      <c r="R588" s="20"/>
      <c r="S588" s="20"/>
      <c r="T588" s="26"/>
      <c r="U588" s="17"/>
    </row>
    <row r="589" spans="1:21" x14ac:dyDescent="0.25">
      <c r="A589" s="2" t="str">
        <f>IFERROR(VLOOKUP(B589,Clientes!A:B,2,0),"")</f>
        <v/>
      </c>
      <c r="B589" s="20">
        <f t="shared" si="46"/>
        <v>520</v>
      </c>
      <c r="C589" s="52" t="s">
        <v>396</v>
      </c>
      <c r="D589" s="55" t="s">
        <v>397</v>
      </c>
      <c r="E589" s="2" t="s">
        <v>234</v>
      </c>
      <c r="F589" s="71">
        <v>240915</v>
      </c>
      <c r="G589" s="29" t="s">
        <v>62</v>
      </c>
      <c r="H589" s="20"/>
      <c r="I589" s="20" t="s">
        <v>84</v>
      </c>
      <c r="J589" s="20" t="s">
        <v>81</v>
      </c>
      <c r="K589" s="71"/>
      <c r="L589" s="20"/>
      <c r="M589" s="20"/>
      <c r="N589" s="20"/>
      <c r="O589" s="20"/>
      <c r="P589" s="20"/>
      <c r="Q589" s="20"/>
      <c r="R589" s="20"/>
      <c r="S589" s="20"/>
      <c r="T589" s="26"/>
      <c r="U589" s="17"/>
    </row>
    <row r="590" spans="1:21" x14ac:dyDescent="0.25">
      <c r="A590" s="2" t="str">
        <f>IFERROR(VLOOKUP(B590,Clientes!A:B,2,0),"")</f>
        <v/>
      </c>
      <c r="B590" s="20">
        <f t="shared" si="46"/>
        <v>521</v>
      </c>
      <c r="C590" s="52" t="s">
        <v>373</v>
      </c>
      <c r="D590" s="55" t="s">
        <v>374</v>
      </c>
      <c r="E590" s="2" t="s">
        <v>223</v>
      </c>
      <c r="F590" s="71">
        <v>240915</v>
      </c>
      <c r="G590" s="29" t="s">
        <v>58</v>
      </c>
      <c r="H590" s="20" t="s">
        <v>74</v>
      </c>
      <c r="I590" s="20" t="s">
        <v>84</v>
      </c>
      <c r="J590" s="20" t="s">
        <v>81</v>
      </c>
      <c r="K590" s="71"/>
      <c r="L590" s="20" t="s">
        <v>167</v>
      </c>
      <c r="M590" s="20"/>
      <c r="N590" s="20"/>
      <c r="O590" s="20"/>
      <c r="P590" s="20"/>
      <c r="Q590" s="20"/>
      <c r="R590" s="20"/>
      <c r="S590" s="20"/>
      <c r="T590" s="26"/>
      <c r="U590" s="17"/>
    </row>
    <row r="591" spans="1:21" x14ac:dyDescent="0.25">
      <c r="A591" s="2" t="str">
        <f>IFERROR(VLOOKUP(B591,Clientes!A:B,2,0),"")</f>
        <v/>
      </c>
      <c r="B591" s="20">
        <f t="shared" si="46"/>
        <v>522</v>
      </c>
      <c r="C591" s="52" t="s">
        <v>1130</v>
      </c>
      <c r="D591" s="55" t="s">
        <v>1131</v>
      </c>
      <c r="E591" s="2"/>
      <c r="F591" s="71">
        <v>240915</v>
      </c>
      <c r="G591" s="29" t="s">
        <v>56</v>
      </c>
      <c r="H591" s="20" t="s">
        <v>74</v>
      </c>
      <c r="I591" s="20" t="s">
        <v>84</v>
      </c>
      <c r="J591" s="20" t="s">
        <v>81</v>
      </c>
      <c r="K591" s="71"/>
      <c r="L591" s="20"/>
      <c r="M591" s="20"/>
      <c r="N591" s="20"/>
      <c r="O591" s="20"/>
      <c r="P591" s="20"/>
      <c r="Q591" s="20"/>
      <c r="R591" s="20"/>
      <c r="S591" s="20"/>
      <c r="T591" s="26"/>
      <c r="U591" s="17"/>
    </row>
    <row r="592" spans="1:21" x14ac:dyDescent="0.25">
      <c r="A592" s="2" t="str">
        <f>IFERROR(VLOOKUP(B592,Clientes!A:B,2,0),"")</f>
        <v/>
      </c>
      <c r="B592" s="20">
        <f t="shared" si="46"/>
        <v>523</v>
      </c>
      <c r="C592" s="52" t="s">
        <v>1143</v>
      </c>
      <c r="D592" s="55" t="s">
        <v>860</v>
      </c>
      <c r="E592" s="2" t="s">
        <v>218</v>
      </c>
      <c r="F592" s="71">
        <v>250915</v>
      </c>
      <c r="G592" s="29" t="s">
        <v>57</v>
      </c>
      <c r="H592" s="20"/>
      <c r="I592" s="20" t="s">
        <v>84</v>
      </c>
      <c r="J592" s="20" t="s">
        <v>1232</v>
      </c>
      <c r="K592" s="71"/>
      <c r="L592" s="20"/>
      <c r="M592" s="20"/>
      <c r="N592" s="20"/>
      <c r="O592" s="20"/>
      <c r="P592" s="20"/>
      <c r="Q592" s="20"/>
      <c r="R592" s="20"/>
      <c r="S592" s="20"/>
      <c r="T592" s="26"/>
      <c r="U592" s="17"/>
    </row>
    <row r="593" spans="1:21" x14ac:dyDescent="0.25">
      <c r="A593" s="2" t="str">
        <f>IFERROR(VLOOKUP(B593,Clientes!A:B,2,0),"")</f>
        <v/>
      </c>
      <c r="B593" s="20">
        <f t="shared" si="46"/>
        <v>524</v>
      </c>
      <c r="C593" s="52" t="s">
        <v>583</v>
      </c>
      <c r="D593" s="55" t="s">
        <v>584</v>
      </c>
      <c r="E593" s="2" t="s">
        <v>228</v>
      </c>
      <c r="F593" s="71">
        <v>250915</v>
      </c>
      <c r="G593" s="29" t="s">
        <v>56</v>
      </c>
      <c r="H593" s="20" t="s">
        <v>72</v>
      </c>
      <c r="I593" s="20" t="s">
        <v>84</v>
      </c>
      <c r="J593" s="20" t="s">
        <v>81</v>
      </c>
      <c r="K593" s="71"/>
      <c r="L593" s="20"/>
      <c r="M593" s="20"/>
      <c r="N593" s="20"/>
      <c r="O593" s="20"/>
      <c r="P593" s="20"/>
      <c r="Q593" s="20"/>
      <c r="R593" s="20"/>
      <c r="S593" s="20"/>
      <c r="T593" s="26"/>
      <c r="U593" s="17"/>
    </row>
    <row r="594" spans="1:21" x14ac:dyDescent="0.25">
      <c r="A594" s="2" t="str">
        <f>IFERROR(VLOOKUP(B594,Clientes!A:B,2,0),"")</f>
        <v/>
      </c>
      <c r="B594" s="20">
        <f t="shared" ref="B594:B604" si="47">B593+1</f>
        <v>525</v>
      </c>
      <c r="C594" s="52" t="s">
        <v>1009</v>
      </c>
      <c r="D594" s="55" t="s">
        <v>1140</v>
      </c>
      <c r="E594" s="2" t="s">
        <v>231</v>
      </c>
      <c r="F594" s="71">
        <v>250915</v>
      </c>
      <c r="G594" s="29" t="s">
        <v>56</v>
      </c>
      <c r="H594" s="20" t="s">
        <v>72</v>
      </c>
      <c r="I594" s="20" t="s">
        <v>84</v>
      </c>
      <c r="J594" s="20" t="s">
        <v>81</v>
      </c>
      <c r="K594" s="71"/>
      <c r="L594" s="20"/>
      <c r="M594" s="20"/>
      <c r="N594" s="20"/>
      <c r="O594" s="20"/>
      <c r="P594" s="20"/>
      <c r="Q594" s="20"/>
      <c r="R594" s="20"/>
      <c r="S594" s="20"/>
      <c r="T594" s="26"/>
      <c r="U594" s="17"/>
    </row>
    <row r="595" spans="1:21" x14ac:dyDescent="0.25">
      <c r="A595" s="2" t="str">
        <f>IFERROR(VLOOKUP(B595,Clientes!A:B,2,0),"")</f>
        <v/>
      </c>
      <c r="B595" s="20">
        <f t="shared" si="47"/>
        <v>526</v>
      </c>
      <c r="C595" s="52" t="s">
        <v>452</v>
      </c>
      <c r="D595" s="55" t="s">
        <v>1139</v>
      </c>
      <c r="E595" s="2"/>
      <c r="F595" s="71">
        <v>250915</v>
      </c>
      <c r="G595" s="29" t="s">
        <v>63</v>
      </c>
      <c r="H595" s="20"/>
      <c r="I595" s="20" t="s">
        <v>84</v>
      </c>
      <c r="J595" s="20" t="s">
        <v>81</v>
      </c>
      <c r="K595" s="71"/>
      <c r="L595" s="20"/>
      <c r="M595" s="20"/>
      <c r="N595" s="20"/>
      <c r="O595" s="20"/>
      <c r="P595" s="20"/>
      <c r="Q595" s="20"/>
      <c r="R595" s="20"/>
      <c r="S595" s="20"/>
      <c r="T595" s="26"/>
      <c r="U595" s="17"/>
    </row>
    <row r="596" spans="1:21" x14ac:dyDescent="0.25">
      <c r="A596" s="2" t="str">
        <f>IFERROR(VLOOKUP(B596,Clientes!A:B,2,0),"")</f>
        <v/>
      </c>
      <c r="B596" s="20">
        <f t="shared" si="47"/>
        <v>527</v>
      </c>
      <c r="C596" s="52" t="s">
        <v>1141</v>
      </c>
      <c r="D596" s="55" t="s">
        <v>1142</v>
      </c>
      <c r="E596" s="2" t="s">
        <v>226</v>
      </c>
      <c r="F596" s="71">
        <v>280915</v>
      </c>
      <c r="G596" s="29" t="s">
        <v>57</v>
      </c>
      <c r="H596" s="20"/>
      <c r="I596" s="20" t="s">
        <v>84</v>
      </c>
      <c r="J596" s="20" t="s">
        <v>82</v>
      </c>
      <c r="K596" s="71"/>
      <c r="L596" s="20"/>
      <c r="M596" s="20"/>
      <c r="N596" s="20"/>
      <c r="O596" s="20"/>
      <c r="P596" s="20"/>
      <c r="Q596" s="20"/>
      <c r="R596" s="20"/>
      <c r="S596" s="20"/>
      <c r="T596" s="26"/>
      <c r="U596" s="17"/>
    </row>
    <row r="597" spans="1:21" x14ac:dyDescent="0.25">
      <c r="A597" s="2" t="str">
        <f>IFERROR(VLOOKUP(B597,Clientes!A:B,2,0),"")</f>
        <v/>
      </c>
      <c r="B597" s="20">
        <f t="shared" si="47"/>
        <v>528</v>
      </c>
      <c r="C597" s="52" t="s">
        <v>651</v>
      </c>
      <c r="D597" s="55" t="s">
        <v>1144</v>
      </c>
      <c r="E597" s="2" t="s">
        <v>216</v>
      </c>
      <c r="F597" s="71">
        <v>280915</v>
      </c>
      <c r="G597" s="29" t="s">
        <v>57</v>
      </c>
      <c r="H597" s="20"/>
      <c r="I597" s="20" t="s">
        <v>84</v>
      </c>
      <c r="J597" s="20" t="s">
        <v>82</v>
      </c>
      <c r="K597" s="71"/>
      <c r="L597" s="20"/>
      <c r="M597" s="20"/>
      <c r="N597" s="20"/>
      <c r="O597" s="20"/>
      <c r="P597" s="20"/>
      <c r="Q597" s="20"/>
      <c r="R597" s="20"/>
      <c r="S597" s="20"/>
      <c r="T597" s="26"/>
      <c r="U597" s="17"/>
    </row>
    <row r="598" spans="1:21" x14ac:dyDescent="0.25">
      <c r="A598" s="2" t="str">
        <f>IFERROR(VLOOKUP(B598,Clientes!A:B,2,0),"")</f>
        <v/>
      </c>
      <c r="B598" s="20">
        <f t="shared" si="47"/>
        <v>529</v>
      </c>
      <c r="C598" s="52" t="s">
        <v>1137</v>
      </c>
      <c r="D598" s="55" t="s">
        <v>1138</v>
      </c>
      <c r="E598" s="2" t="s">
        <v>232</v>
      </c>
      <c r="F598" s="71">
        <v>280915</v>
      </c>
      <c r="G598" s="29" t="s">
        <v>58</v>
      </c>
      <c r="H598" s="20" t="s">
        <v>72</v>
      </c>
      <c r="I598" s="20" t="s">
        <v>84</v>
      </c>
      <c r="J598" s="20" t="s">
        <v>82</v>
      </c>
      <c r="K598" s="71"/>
      <c r="L598" s="20"/>
      <c r="M598" s="20"/>
      <c r="N598" s="20"/>
      <c r="O598" s="20"/>
      <c r="P598" s="20"/>
      <c r="Q598" s="20"/>
      <c r="R598" s="20"/>
      <c r="S598" s="20"/>
      <c r="T598" s="26"/>
      <c r="U598" s="17"/>
    </row>
    <row r="599" spans="1:21" x14ac:dyDescent="0.25">
      <c r="A599" s="2" t="str">
        <f>IFERROR(VLOOKUP(B599,Clientes!A:B,2,0),"")</f>
        <v/>
      </c>
      <c r="B599" s="20">
        <f t="shared" si="47"/>
        <v>530</v>
      </c>
      <c r="C599" s="52"/>
      <c r="D599" s="55"/>
      <c r="E599" s="2"/>
      <c r="F599" s="71"/>
      <c r="G599" s="29"/>
      <c r="H599" s="20"/>
      <c r="I599" s="20" t="s">
        <v>84</v>
      </c>
      <c r="J599" s="20"/>
      <c r="K599" s="71"/>
      <c r="L599" s="20"/>
      <c r="M599" s="20"/>
      <c r="N599" s="20"/>
      <c r="O599" s="20"/>
      <c r="P599" s="20"/>
      <c r="Q599" s="20"/>
      <c r="R599" s="20"/>
      <c r="S599" s="20"/>
      <c r="T599" s="26"/>
      <c r="U599" s="17"/>
    </row>
    <row r="600" spans="1:21" x14ac:dyDescent="0.25">
      <c r="A600" s="2" t="str">
        <f>IFERROR(VLOOKUP(B600,Clientes!A:B,2,0),"")</f>
        <v/>
      </c>
      <c r="B600" s="20">
        <f t="shared" si="47"/>
        <v>531</v>
      </c>
      <c r="C600" s="52" t="s">
        <v>680</v>
      </c>
      <c r="D600" s="55" t="s">
        <v>683</v>
      </c>
      <c r="E600" s="2" t="s">
        <v>229</v>
      </c>
      <c r="F600" s="71">
        <v>280915</v>
      </c>
      <c r="G600" s="29" t="s">
        <v>57</v>
      </c>
      <c r="H600" s="20"/>
      <c r="I600" s="20" t="s">
        <v>84</v>
      </c>
      <c r="J600" s="20" t="s">
        <v>82</v>
      </c>
      <c r="K600" s="71"/>
      <c r="L600" s="20" t="s">
        <v>40</v>
      </c>
      <c r="M600" s="20"/>
      <c r="N600" s="20"/>
      <c r="O600" s="20"/>
      <c r="P600" s="20"/>
      <c r="Q600" s="20"/>
      <c r="R600" s="20"/>
      <c r="S600" s="20"/>
      <c r="T600" s="26"/>
      <c r="U600" s="17"/>
    </row>
    <row r="601" spans="1:21" x14ac:dyDescent="0.25">
      <c r="A601" s="2" t="str">
        <f>IFERROR(VLOOKUP(B601,Clientes!A:B,2,0),"")</f>
        <v/>
      </c>
      <c r="B601" s="20">
        <f t="shared" si="47"/>
        <v>532</v>
      </c>
      <c r="C601" s="52" t="s">
        <v>1120</v>
      </c>
      <c r="D601" s="55" t="s">
        <v>1121</v>
      </c>
      <c r="E601" s="2" t="s">
        <v>229</v>
      </c>
      <c r="F601" s="71">
        <v>280915</v>
      </c>
      <c r="G601" s="29" t="s">
        <v>57</v>
      </c>
      <c r="H601" s="20"/>
      <c r="I601" s="20" t="s">
        <v>84</v>
      </c>
      <c r="J601" s="20" t="s">
        <v>82</v>
      </c>
      <c r="K601" s="71"/>
      <c r="L601" s="20" t="s">
        <v>40</v>
      </c>
      <c r="M601" s="20"/>
      <c r="N601" s="20"/>
      <c r="O601" s="20"/>
      <c r="P601" s="20"/>
      <c r="Q601" s="20"/>
      <c r="R601" s="20"/>
      <c r="S601" s="20"/>
      <c r="T601" s="26"/>
      <c r="U601" s="17"/>
    </row>
    <row r="602" spans="1:21" x14ac:dyDescent="0.25">
      <c r="A602" s="2" t="str">
        <f>IFERROR(VLOOKUP(B602,Clientes!A:B,2,0),"")</f>
        <v/>
      </c>
      <c r="B602" s="20">
        <f t="shared" si="47"/>
        <v>533</v>
      </c>
      <c r="C602" s="52" t="s">
        <v>1118</v>
      </c>
      <c r="D602" s="55" t="s">
        <v>1119</v>
      </c>
      <c r="E602" s="2" t="s">
        <v>214</v>
      </c>
      <c r="F602" s="71">
        <v>280915</v>
      </c>
      <c r="G602" s="29" t="s">
        <v>57</v>
      </c>
      <c r="H602" s="20"/>
      <c r="I602" s="20" t="s">
        <v>84</v>
      </c>
      <c r="J602" s="20" t="s">
        <v>82</v>
      </c>
      <c r="K602" s="71"/>
      <c r="L602" s="20" t="s">
        <v>23</v>
      </c>
      <c r="M602" s="20"/>
      <c r="N602" s="20"/>
      <c r="O602" s="20"/>
      <c r="P602" s="20"/>
      <c r="Q602" s="20"/>
      <c r="R602" s="20"/>
      <c r="S602" s="20"/>
      <c r="T602" s="26"/>
      <c r="U602" s="17"/>
    </row>
    <row r="603" spans="1:21" x14ac:dyDescent="0.25">
      <c r="A603" s="2" t="str">
        <f>IFERROR(VLOOKUP(B603,Clientes!A:B,2,0),"")</f>
        <v/>
      </c>
      <c r="B603" s="20">
        <f t="shared" si="47"/>
        <v>534</v>
      </c>
      <c r="C603" s="52" t="s">
        <v>333</v>
      </c>
      <c r="D603" s="55" t="s">
        <v>1117</v>
      </c>
      <c r="E603" s="2" t="s">
        <v>221</v>
      </c>
      <c r="F603" s="71">
        <v>280915</v>
      </c>
      <c r="G603" s="29" t="s">
        <v>58</v>
      </c>
      <c r="H603" s="55" t="s">
        <v>537</v>
      </c>
      <c r="I603" s="20" t="s">
        <v>84</v>
      </c>
      <c r="J603" s="20" t="s">
        <v>81</v>
      </c>
      <c r="K603" s="71"/>
      <c r="L603" s="20" t="s">
        <v>161</v>
      </c>
      <c r="M603" s="20"/>
      <c r="N603" s="20"/>
      <c r="O603" s="20"/>
      <c r="P603" s="20"/>
      <c r="Q603" s="20"/>
      <c r="R603" s="20"/>
      <c r="S603" s="20"/>
      <c r="T603" s="26"/>
      <c r="U603" s="17"/>
    </row>
    <row r="604" spans="1:21" x14ac:dyDescent="0.25">
      <c r="A604" s="2" t="str">
        <f>IFERROR(VLOOKUP(B604,Clientes!A:B,2,0),"")</f>
        <v/>
      </c>
      <c r="B604" s="20">
        <f t="shared" si="47"/>
        <v>535</v>
      </c>
      <c r="C604" s="52" t="s">
        <v>1115</v>
      </c>
      <c r="D604" s="55" t="s">
        <v>1116</v>
      </c>
      <c r="E604" s="2" t="s">
        <v>223</v>
      </c>
      <c r="F604" s="71">
        <v>280915</v>
      </c>
      <c r="G604" s="29" t="s">
        <v>58</v>
      </c>
      <c r="H604" s="20" t="s">
        <v>74</v>
      </c>
      <c r="I604" s="20" t="s">
        <v>84</v>
      </c>
      <c r="J604" s="20" t="s">
        <v>82</v>
      </c>
      <c r="K604" s="71"/>
      <c r="L604" s="20" t="s">
        <v>759</v>
      </c>
      <c r="M604" s="20"/>
      <c r="N604" s="20"/>
      <c r="O604" s="20"/>
      <c r="P604" s="20"/>
      <c r="Q604" s="20"/>
      <c r="R604" s="20"/>
      <c r="S604" s="20"/>
      <c r="T604" s="26"/>
      <c r="U604" s="17"/>
    </row>
    <row r="605" spans="1:21" x14ac:dyDescent="0.25">
      <c r="A605" s="2"/>
      <c r="B605" s="20" t="s">
        <v>1125</v>
      </c>
      <c r="C605" s="52" t="s">
        <v>1128</v>
      </c>
      <c r="D605" s="55" t="s">
        <v>1129</v>
      </c>
      <c r="E605" s="2" t="s">
        <v>215</v>
      </c>
      <c r="F605" s="71">
        <v>290915</v>
      </c>
      <c r="G605" s="29" t="s">
        <v>59</v>
      </c>
      <c r="H605" s="20"/>
      <c r="I605" s="20" t="s">
        <v>84</v>
      </c>
      <c r="J605" s="20" t="s">
        <v>81</v>
      </c>
      <c r="K605" s="71"/>
      <c r="L605" s="20"/>
      <c r="M605" s="20"/>
      <c r="N605" s="20"/>
      <c r="O605" s="20"/>
      <c r="P605" s="20"/>
      <c r="Q605" s="20"/>
      <c r="R605" s="20"/>
      <c r="S605" s="20"/>
      <c r="T605" s="26"/>
      <c r="U605" s="17"/>
    </row>
    <row r="606" spans="1:21" x14ac:dyDescent="0.25">
      <c r="A606" s="2"/>
      <c r="B606" s="20" t="s">
        <v>1127</v>
      </c>
      <c r="C606" s="52" t="s">
        <v>1126</v>
      </c>
      <c r="D606" s="55" t="s">
        <v>769</v>
      </c>
      <c r="E606" s="2" t="s">
        <v>234</v>
      </c>
      <c r="F606" s="71">
        <v>280915</v>
      </c>
      <c r="G606" s="29" t="s">
        <v>63</v>
      </c>
      <c r="H606" s="20"/>
      <c r="I606" s="20" t="s">
        <v>84</v>
      </c>
      <c r="J606" s="20" t="s">
        <v>81</v>
      </c>
      <c r="K606" s="71"/>
      <c r="L606" s="20"/>
      <c r="M606" s="20"/>
      <c r="N606" s="20"/>
      <c r="O606" s="20"/>
      <c r="P606" s="20"/>
      <c r="Q606" s="20"/>
      <c r="R606" s="20"/>
      <c r="S606" s="20"/>
      <c r="T606" s="26"/>
      <c r="U606" s="17"/>
    </row>
    <row r="607" spans="1:21" x14ac:dyDescent="0.25">
      <c r="A607" s="2"/>
      <c r="B607" s="20" t="s">
        <v>1124</v>
      </c>
      <c r="C607" s="52" t="s">
        <v>930</v>
      </c>
      <c r="D607" s="55" t="s">
        <v>931</v>
      </c>
      <c r="E607" s="2"/>
      <c r="F607" s="71">
        <v>220915</v>
      </c>
      <c r="G607" s="29" t="s">
        <v>56</v>
      </c>
      <c r="H607" s="20"/>
      <c r="I607" s="20" t="s">
        <v>84</v>
      </c>
      <c r="J607" s="20" t="s">
        <v>81</v>
      </c>
      <c r="K607" s="71"/>
      <c r="L607" s="20"/>
      <c r="M607" s="20"/>
      <c r="N607" s="20"/>
      <c r="O607" s="20"/>
      <c r="P607" s="20"/>
      <c r="Q607" s="20"/>
      <c r="R607" s="20"/>
      <c r="S607" s="20"/>
      <c r="T607" s="26"/>
      <c r="U607" s="17"/>
    </row>
    <row r="608" spans="1:21" x14ac:dyDescent="0.25">
      <c r="A608" s="2" t="str">
        <f>IFERROR(VLOOKUP(B608,Clientes!A:B,2,0),"")</f>
        <v/>
      </c>
      <c r="B608" s="20">
        <f>B604+1</f>
        <v>536</v>
      </c>
      <c r="C608" s="52" t="s">
        <v>684</v>
      </c>
      <c r="D608" s="55" t="s">
        <v>685</v>
      </c>
      <c r="E608" s="2" t="s">
        <v>230</v>
      </c>
      <c r="F608" s="71">
        <v>290915</v>
      </c>
      <c r="G608" s="29" t="s">
        <v>57</v>
      </c>
      <c r="H608" s="20"/>
      <c r="I608" s="20" t="s">
        <v>84</v>
      </c>
      <c r="J608" s="20" t="s">
        <v>82</v>
      </c>
      <c r="K608" s="71"/>
      <c r="L608" s="20" t="s">
        <v>18</v>
      </c>
      <c r="M608" s="20"/>
      <c r="N608" s="20"/>
      <c r="O608" s="20"/>
      <c r="P608" s="20"/>
      <c r="Q608" s="20"/>
      <c r="R608" s="20"/>
      <c r="S608" s="20"/>
      <c r="T608" s="26"/>
      <c r="U608" s="17"/>
    </row>
    <row r="609" spans="1:21" x14ac:dyDescent="0.25">
      <c r="A609" s="2"/>
      <c r="B609" s="20" t="s">
        <v>1160</v>
      </c>
      <c r="C609" s="52" t="s">
        <v>1161</v>
      </c>
      <c r="D609" s="55" t="s">
        <v>1162</v>
      </c>
      <c r="E609" s="2"/>
      <c r="F609" s="71">
        <v>290915</v>
      </c>
      <c r="G609" s="29" t="s">
        <v>57</v>
      </c>
      <c r="H609" s="20"/>
      <c r="I609" s="20"/>
      <c r="J609" s="20" t="s">
        <v>82</v>
      </c>
      <c r="K609" s="71"/>
      <c r="L609" s="20"/>
      <c r="M609" s="20"/>
      <c r="N609" s="20"/>
      <c r="O609" s="20"/>
      <c r="P609" s="20"/>
      <c r="Q609" s="20"/>
      <c r="R609" s="20"/>
      <c r="S609" s="20"/>
      <c r="T609" s="26"/>
      <c r="U609" s="17"/>
    </row>
    <row r="610" spans="1:21" x14ac:dyDescent="0.25">
      <c r="A610" s="2" t="str">
        <f>IFERROR(VLOOKUP(B610,Clientes!A:B,2,0),"")</f>
        <v/>
      </c>
      <c r="B610" s="20">
        <f>B608+1</f>
        <v>537</v>
      </c>
      <c r="C610" s="52" t="s">
        <v>475</v>
      </c>
      <c r="D610" s="55" t="s">
        <v>476</v>
      </c>
      <c r="E610" s="2" t="s">
        <v>225</v>
      </c>
      <c r="F610" s="71">
        <v>290915</v>
      </c>
      <c r="G610" s="29" t="s">
        <v>57</v>
      </c>
      <c r="H610" s="20"/>
      <c r="I610" s="20" t="s">
        <v>84</v>
      </c>
      <c r="J610" s="20" t="s">
        <v>82</v>
      </c>
      <c r="K610" s="71"/>
      <c r="L610" s="20" t="s">
        <v>40</v>
      </c>
      <c r="M610" s="20"/>
      <c r="N610" s="20"/>
      <c r="O610" s="20"/>
      <c r="P610" s="20"/>
      <c r="Q610" s="20"/>
      <c r="R610" s="20"/>
      <c r="S610" s="20"/>
      <c r="T610" s="26"/>
      <c r="U610" s="17"/>
    </row>
    <row r="611" spans="1:21" x14ac:dyDescent="0.25">
      <c r="A611" s="2"/>
      <c r="B611" s="20">
        <v>537</v>
      </c>
      <c r="C611" s="52" t="s">
        <v>1170</v>
      </c>
      <c r="D611" s="55" t="s">
        <v>1171</v>
      </c>
      <c r="E611" s="2" t="s">
        <v>236</v>
      </c>
      <c r="F611" s="71">
        <v>280915</v>
      </c>
      <c r="G611" s="29" t="s">
        <v>58</v>
      </c>
      <c r="H611" s="20"/>
      <c r="I611" s="20" t="s">
        <v>84</v>
      </c>
      <c r="J611" s="20" t="s">
        <v>81</v>
      </c>
      <c r="K611" s="71"/>
      <c r="L611" s="20"/>
      <c r="M611" s="20"/>
      <c r="N611" s="20"/>
      <c r="O611" s="20"/>
      <c r="P611" s="20"/>
      <c r="Q611" s="20"/>
      <c r="R611" s="20"/>
      <c r="S611" s="20"/>
      <c r="T611" s="26"/>
      <c r="U611" s="17"/>
    </row>
    <row r="612" spans="1:21" x14ac:dyDescent="0.25">
      <c r="A612" s="2" t="str">
        <f>IFERROR(VLOOKUP(B612,Clientes!A:B,2,0),"")</f>
        <v/>
      </c>
      <c r="B612" s="20">
        <f>B610+1</f>
        <v>538</v>
      </c>
      <c r="C612" s="52" t="s">
        <v>499</v>
      </c>
      <c r="D612" s="55" t="s">
        <v>500</v>
      </c>
      <c r="E612" s="2"/>
      <c r="F612" s="71">
        <v>290915</v>
      </c>
      <c r="G612" s="29" t="s">
        <v>57</v>
      </c>
      <c r="H612" s="20"/>
      <c r="I612" s="20" t="s">
        <v>84</v>
      </c>
      <c r="J612" s="20" t="s">
        <v>82</v>
      </c>
      <c r="K612" s="71"/>
      <c r="L612" s="20"/>
      <c r="M612" s="20"/>
      <c r="N612" s="20"/>
      <c r="O612" s="20"/>
      <c r="P612" s="20"/>
      <c r="Q612" s="20"/>
      <c r="R612" s="20"/>
      <c r="S612" s="20"/>
      <c r="T612" s="26"/>
      <c r="U612" s="17"/>
    </row>
    <row r="613" spans="1:21" x14ac:dyDescent="0.25">
      <c r="A613" s="2" t="str">
        <f>IFERROR(VLOOKUP(B613,Clientes!A:B,2,0),"")</f>
        <v/>
      </c>
      <c r="B613" s="20">
        <f t="shared" ref="B613:B619" si="48">B612+1</f>
        <v>539</v>
      </c>
      <c r="C613" s="52" t="s">
        <v>731</v>
      </c>
      <c r="D613" s="55" t="s">
        <v>732</v>
      </c>
      <c r="E613" s="2" t="s">
        <v>229</v>
      </c>
      <c r="F613" s="71">
        <v>11015</v>
      </c>
      <c r="G613" s="29" t="s">
        <v>58</v>
      </c>
      <c r="H613" s="20" t="s">
        <v>72</v>
      </c>
      <c r="I613" s="20" t="s">
        <v>84</v>
      </c>
      <c r="J613" s="20" t="s">
        <v>81</v>
      </c>
      <c r="K613" s="71"/>
      <c r="L613" s="20" t="s">
        <v>40</v>
      </c>
      <c r="M613" s="20"/>
      <c r="N613" s="20"/>
      <c r="O613" s="20"/>
      <c r="P613" s="20"/>
      <c r="Q613" s="20"/>
      <c r="R613" s="20"/>
      <c r="S613" s="20"/>
      <c r="T613" s="26" t="s">
        <v>1145</v>
      </c>
      <c r="U613" s="17"/>
    </row>
    <row r="614" spans="1:21" x14ac:dyDescent="0.25">
      <c r="A614" s="2"/>
      <c r="B614" s="20" t="s">
        <v>1155</v>
      </c>
      <c r="C614" s="52" t="s">
        <v>1156</v>
      </c>
      <c r="D614" s="55" t="s">
        <v>1157</v>
      </c>
      <c r="E614" s="2" t="s">
        <v>235</v>
      </c>
      <c r="F614" s="71">
        <v>290915</v>
      </c>
      <c r="G614" s="29" t="s">
        <v>63</v>
      </c>
      <c r="H614" s="20"/>
      <c r="I614" s="20" t="s">
        <v>84</v>
      </c>
      <c r="J614" s="20" t="s">
        <v>81</v>
      </c>
      <c r="K614" s="71"/>
      <c r="L614" s="20"/>
      <c r="M614" s="20"/>
      <c r="N614" s="20"/>
      <c r="O614" s="20"/>
      <c r="P614" s="20"/>
      <c r="Q614" s="20"/>
      <c r="R614" s="20"/>
      <c r="S614" s="20"/>
      <c r="T614" s="26"/>
      <c r="U614" s="17"/>
    </row>
    <row r="615" spans="1:21" x14ac:dyDescent="0.25">
      <c r="A615" s="2"/>
      <c r="B615" s="20" t="s">
        <v>1165</v>
      </c>
      <c r="C615" s="52" t="s">
        <v>1166</v>
      </c>
      <c r="D615" s="55" t="s">
        <v>1167</v>
      </c>
      <c r="E615" s="2"/>
      <c r="F615" s="71">
        <v>300915</v>
      </c>
      <c r="G615" s="29" t="s">
        <v>61</v>
      </c>
      <c r="H615" s="20"/>
      <c r="I615" s="20" t="s">
        <v>84</v>
      </c>
      <c r="J615" s="20" t="s">
        <v>81</v>
      </c>
      <c r="K615" s="71"/>
      <c r="L615" s="20"/>
      <c r="M615" s="20"/>
      <c r="N615" s="20"/>
      <c r="O615" s="20"/>
      <c r="P615" s="20"/>
      <c r="Q615" s="20"/>
      <c r="R615" s="20"/>
      <c r="S615" s="20"/>
      <c r="T615" s="26"/>
      <c r="U615" s="17"/>
    </row>
    <row r="616" spans="1:21" x14ac:dyDescent="0.25">
      <c r="A616" s="2"/>
      <c r="B616" s="20" t="s">
        <v>1168</v>
      </c>
      <c r="C616" s="52" t="s">
        <v>481</v>
      </c>
      <c r="D616" s="55" t="s">
        <v>1169</v>
      </c>
      <c r="E616" s="2" t="s">
        <v>230</v>
      </c>
      <c r="F616" s="71">
        <v>300915</v>
      </c>
      <c r="G616" s="29" t="s">
        <v>58</v>
      </c>
      <c r="H616" s="20" t="s">
        <v>72</v>
      </c>
      <c r="I616" s="20" t="s">
        <v>84</v>
      </c>
      <c r="J616" s="20" t="s">
        <v>81</v>
      </c>
      <c r="K616" s="71"/>
      <c r="L616" s="20" t="s">
        <v>18</v>
      </c>
      <c r="M616" s="20"/>
      <c r="N616" s="20" t="s">
        <v>164</v>
      </c>
      <c r="O616" s="20"/>
      <c r="P616" s="20" t="s">
        <v>147</v>
      </c>
      <c r="Q616" s="20"/>
      <c r="R616" s="20" t="s">
        <v>22</v>
      </c>
      <c r="S616" s="20"/>
      <c r="T616" s="26"/>
      <c r="U616" s="17"/>
    </row>
    <row r="617" spans="1:21" x14ac:dyDescent="0.25">
      <c r="A617" s="2" t="str">
        <f>IFERROR(VLOOKUP(B617,Clientes!A:B,2,0),"")</f>
        <v/>
      </c>
      <c r="B617" s="20">
        <f>B613+1</f>
        <v>540</v>
      </c>
      <c r="C617" s="52" t="s">
        <v>784</v>
      </c>
      <c r="D617" s="55" t="s">
        <v>785</v>
      </c>
      <c r="E617" s="2" t="s">
        <v>225</v>
      </c>
      <c r="F617" s="71">
        <v>11015</v>
      </c>
      <c r="G617" s="29" t="s">
        <v>57</v>
      </c>
      <c r="H617" s="20"/>
      <c r="I617" s="20" t="s">
        <v>84</v>
      </c>
      <c r="J617" s="20" t="s">
        <v>1232</v>
      </c>
      <c r="K617" s="71"/>
      <c r="L617" s="20"/>
      <c r="M617" s="20"/>
      <c r="N617" s="20"/>
      <c r="O617" s="20"/>
      <c r="P617" s="20"/>
      <c r="Q617" s="20"/>
      <c r="R617" s="20"/>
      <c r="S617" s="20"/>
      <c r="T617" s="26" t="s">
        <v>1145</v>
      </c>
      <c r="U617" s="17"/>
    </row>
    <row r="618" spans="1:21" x14ac:dyDescent="0.25">
      <c r="A618" s="2" t="str">
        <f>IFERROR(VLOOKUP(B618,Clientes!A:B,2,0),"")</f>
        <v/>
      </c>
      <c r="B618" s="20">
        <f t="shared" si="48"/>
        <v>541</v>
      </c>
      <c r="C618" s="52" t="s">
        <v>1158</v>
      </c>
      <c r="D618" s="55" t="s">
        <v>1159</v>
      </c>
      <c r="E618" s="2" t="s">
        <v>234</v>
      </c>
      <c r="F618" s="71">
        <v>300915</v>
      </c>
      <c r="G618" s="29"/>
      <c r="H618" s="20"/>
      <c r="I618" s="20" t="s">
        <v>84</v>
      </c>
      <c r="J618" s="20" t="s">
        <v>81</v>
      </c>
      <c r="K618" s="71"/>
      <c r="L618" s="20"/>
      <c r="M618" s="20"/>
      <c r="N618" s="20"/>
      <c r="O618" s="20"/>
      <c r="P618" s="20"/>
      <c r="Q618" s="20"/>
      <c r="R618" s="20"/>
      <c r="S618" s="20"/>
      <c r="T618" s="26"/>
      <c r="U618" s="17"/>
    </row>
    <row r="619" spans="1:21" x14ac:dyDescent="0.25">
      <c r="A619" s="2" t="str">
        <f>IFERROR(VLOOKUP(B619,Clientes!A:B,2,0),"")</f>
        <v/>
      </c>
      <c r="B619" s="20">
        <f t="shared" si="48"/>
        <v>542</v>
      </c>
      <c r="C619" s="52" t="s">
        <v>481</v>
      </c>
      <c r="D619" s="55" t="s">
        <v>482</v>
      </c>
      <c r="E619" s="2" t="s">
        <v>230</v>
      </c>
      <c r="F619" s="71">
        <v>300915</v>
      </c>
      <c r="G619" s="29" t="s">
        <v>62</v>
      </c>
      <c r="H619" s="55" t="s">
        <v>537</v>
      </c>
      <c r="I619" s="20" t="s">
        <v>84</v>
      </c>
      <c r="J619" s="20" t="s">
        <v>81</v>
      </c>
      <c r="K619" s="71"/>
      <c r="L619" s="20" t="s">
        <v>158</v>
      </c>
      <c r="M619" s="20"/>
      <c r="N619" s="20"/>
      <c r="O619" s="20"/>
      <c r="P619" s="20"/>
      <c r="Q619" s="20"/>
      <c r="R619" s="20"/>
      <c r="S619" s="20"/>
      <c r="T619" s="26"/>
      <c r="U619" s="17"/>
    </row>
    <row r="620" spans="1:21" x14ac:dyDescent="0.25">
      <c r="A620" s="2" t="str">
        <f>IFERROR(VLOOKUP(B620,Clientes!A:B,2,0),"")</f>
        <v/>
      </c>
      <c r="B620" s="20">
        <f>B619+1</f>
        <v>543</v>
      </c>
      <c r="C620" s="52" t="s">
        <v>797</v>
      </c>
      <c r="D620" s="55" t="s">
        <v>798</v>
      </c>
      <c r="E620" s="2" t="s">
        <v>225</v>
      </c>
      <c r="F620" s="71">
        <v>300915</v>
      </c>
      <c r="G620" s="29" t="s">
        <v>57</v>
      </c>
      <c r="H620" s="20"/>
      <c r="I620" s="20" t="s">
        <v>84</v>
      </c>
      <c r="J620" s="20" t="s">
        <v>1232</v>
      </c>
      <c r="K620" s="71"/>
      <c r="L620" s="20" t="s">
        <v>93</v>
      </c>
      <c r="M620" s="20"/>
      <c r="N620" s="20" t="s">
        <v>40</v>
      </c>
      <c r="O620" s="20"/>
      <c r="P620" s="20"/>
      <c r="Q620" s="20"/>
      <c r="R620" s="20"/>
      <c r="S620" s="20"/>
      <c r="T620" s="26"/>
      <c r="U620" s="17"/>
    </row>
    <row r="621" spans="1:21" x14ac:dyDescent="0.25">
      <c r="A621" s="2"/>
      <c r="B621" s="20">
        <v>543</v>
      </c>
      <c r="C621" s="52" t="s">
        <v>1146</v>
      </c>
      <c r="D621" s="55" t="s">
        <v>442</v>
      </c>
      <c r="E621" s="2" t="s">
        <v>234</v>
      </c>
      <c r="F621" s="71">
        <v>300915</v>
      </c>
      <c r="G621" s="29" t="s">
        <v>58</v>
      </c>
      <c r="H621" s="20" t="s">
        <v>72</v>
      </c>
      <c r="I621" s="20" t="s">
        <v>84</v>
      </c>
      <c r="J621" s="20" t="s">
        <v>81</v>
      </c>
      <c r="K621" s="71"/>
      <c r="L621" s="20" t="s">
        <v>144</v>
      </c>
      <c r="M621" s="20"/>
      <c r="N621" s="20" t="s">
        <v>148</v>
      </c>
      <c r="O621" s="20"/>
      <c r="P621" s="20"/>
      <c r="Q621" s="20"/>
      <c r="R621" s="20"/>
      <c r="S621" s="20"/>
      <c r="T621" s="26"/>
      <c r="U621" s="17"/>
    </row>
    <row r="622" spans="1:21" x14ac:dyDescent="0.25">
      <c r="A622" s="2" t="str">
        <f>IFERROR(VLOOKUP(B622,Clientes!A:B,2,0),"")</f>
        <v/>
      </c>
      <c r="B622" s="20">
        <f>B620+1</f>
        <v>544</v>
      </c>
      <c r="C622" s="52"/>
      <c r="D622" s="55"/>
      <c r="E622" s="2"/>
      <c r="F622" s="71"/>
      <c r="G622" s="29"/>
      <c r="H622" s="20"/>
      <c r="I622" s="20" t="s">
        <v>84</v>
      </c>
      <c r="J622" s="20"/>
      <c r="K622" s="71"/>
      <c r="L622" s="20"/>
      <c r="M622" s="20"/>
      <c r="N622" s="20"/>
      <c r="O622" s="20"/>
      <c r="P622" s="20"/>
      <c r="Q622" s="20"/>
      <c r="R622" s="20"/>
      <c r="S622" s="20"/>
      <c r="T622" s="26"/>
      <c r="U622" s="17"/>
    </row>
    <row r="623" spans="1:21" x14ac:dyDescent="0.25">
      <c r="A623" s="2" t="str">
        <f>IFERROR(VLOOKUP(B623,Clientes!A:B,2,0),"")</f>
        <v/>
      </c>
      <c r="B623" s="20">
        <f t="shared" ref="B623:B628" si="49">B622+1</f>
        <v>545</v>
      </c>
      <c r="C623" s="52" t="s">
        <v>1147</v>
      </c>
      <c r="D623" s="55" t="s">
        <v>1148</v>
      </c>
      <c r="E623" s="2" t="s">
        <v>237</v>
      </c>
      <c r="F623" s="71">
        <v>300915</v>
      </c>
      <c r="G623" s="55" t="s">
        <v>537</v>
      </c>
      <c r="H623" s="20"/>
      <c r="I623" s="20" t="s">
        <v>84</v>
      </c>
      <c r="J623" s="20" t="s">
        <v>81</v>
      </c>
      <c r="K623" s="71"/>
      <c r="L623" s="20"/>
      <c r="M623" s="20"/>
      <c r="N623" s="20"/>
      <c r="O623" s="20"/>
      <c r="P623" s="20"/>
      <c r="Q623" s="20"/>
      <c r="R623" s="20"/>
      <c r="S623" s="20"/>
      <c r="T623" s="26"/>
      <c r="U623" s="17"/>
    </row>
    <row r="624" spans="1:21" x14ac:dyDescent="0.25">
      <c r="A624" s="2" t="str">
        <f>IFERROR(VLOOKUP(B624,Clientes!A:B,2,0),"")</f>
        <v/>
      </c>
      <c r="B624" s="20">
        <f t="shared" si="49"/>
        <v>546</v>
      </c>
      <c r="C624" s="52" t="s">
        <v>670</v>
      </c>
      <c r="D624" s="55" t="s">
        <v>671</v>
      </c>
      <c r="E624" s="2"/>
      <c r="F624" s="71">
        <v>81015</v>
      </c>
      <c r="G624" s="29" t="s">
        <v>1218</v>
      </c>
      <c r="H624" s="20"/>
      <c r="I624" s="20" t="s">
        <v>84</v>
      </c>
      <c r="J624" s="20" t="s">
        <v>81</v>
      </c>
      <c r="K624" s="71"/>
      <c r="L624" s="20"/>
      <c r="M624" s="20"/>
      <c r="N624" s="20"/>
      <c r="O624" s="20"/>
      <c r="P624" s="20"/>
      <c r="Q624" s="20"/>
      <c r="R624" s="20"/>
      <c r="S624" s="20"/>
      <c r="T624" s="26"/>
      <c r="U624" s="17"/>
    </row>
    <row r="625" spans="1:21" x14ac:dyDescent="0.25">
      <c r="A625" s="2" t="str">
        <f>IFERROR(VLOOKUP(B625,Clientes!A:B,2,0),"")</f>
        <v/>
      </c>
      <c r="B625" s="20">
        <f t="shared" si="49"/>
        <v>547</v>
      </c>
      <c r="C625" s="52" t="s">
        <v>1151</v>
      </c>
      <c r="D625" s="55" t="s">
        <v>1152</v>
      </c>
      <c r="E625" s="2" t="s">
        <v>223</v>
      </c>
      <c r="F625" s="71">
        <v>81015</v>
      </c>
      <c r="G625" s="29" t="s">
        <v>66</v>
      </c>
      <c r="H625" s="20"/>
      <c r="I625" s="20" t="s">
        <v>636</v>
      </c>
      <c r="J625" s="20" t="s">
        <v>82</v>
      </c>
      <c r="K625" s="71"/>
      <c r="L625" s="20"/>
      <c r="M625" s="20"/>
      <c r="N625" s="20"/>
      <c r="O625" s="20"/>
      <c r="P625" s="20"/>
      <c r="Q625" s="20"/>
      <c r="R625" s="20"/>
      <c r="S625" s="20"/>
      <c r="T625" s="26"/>
      <c r="U625" s="17"/>
    </row>
    <row r="626" spans="1:21" ht="25.5" x14ac:dyDescent="0.25">
      <c r="A626" s="2" t="str">
        <f>IFERROR(VLOOKUP(B626,Clientes!A:B,2,0),"")</f>
        <v/>
      </c>
      <c r="B626" s="20">
        <f t="shared" si="49"/>
        <v>548</v>
      </c>
      <c r="C626" s="52"/>
      <c r="D626" s="55" t="s">
        <v>1149</v>
      </c>
      <c r="E626" s="2"/>
      <c r="F626" s="71">
        <v>141015</v>
      </c>
      <c r="G626" s="55" t="s">
        <v>537</v>
      </c>
      <c r="H626" s="20"/>
      <c r="I626" s="20" t="s">
        <v>632</v>
      </c>
      <c r="J626" s="20" t="s">
        <v>81</v>
      </c>
      <c r="K626" s="71"/>
      <c r="L626" s="20"/>
      <c r="M626" s="20"/>
      <c r="N626" s="20"/>
      <c r="O626" s="20"/>
      <c r="P626" s="20"/>
      <c r="Q626" s="20"/>
      <c r="R626" s="20"/>
      <c r="S626" s="20"/>
      <c r="T626" s="26" t="s">
        <v>1150</v>
      </c>
      <c r="U626" s="17"/>
    </row>
    <row r="627" spans="1:21" x14ac:dyDescent="0.25">
      <c r="A627" s="2" t="str">
        <f>IFERROR(VLOOKUP(B627,Clientes!A:B,2,0),"")</f>
        <v/>
      </c>
      <c r="B627" s="20">
        <f t="shared" si="49"/>
        <v>549</v>
      </c>
      <c r="C627" s="52" t="s">
        <v>780</v>
      </c>
      <c r="D627" s="55" t="s">
        <v>781</v>
      </c>
      <c r="E627" s="2" t="s">
        <v>223</v>
      </c>
      <c r="F627" s="71">
        <v>191015</v>
      </c>
      <c r="G627" s="29" t="s">
        <v>64</v>
      </c>
      <c r="H627" s="20" t="s">
        <v>72</v>
      </c>
      <c r="I627" s="20" t="s">
        <v>84</v>
      </c>
      <c r="J627" s="20" t="s">
        <v>83</v>
      </c>
      <c r="K627" s="71"/>
      <c r="L627" s="20"/>
      <c r="M627" s="20"/>
      <c r="N627" s="20"/>
      <c r="O627" s="20"/>
      <c r="P627" s="20"/>
      <c r="Q627" s="20"/>
      <c r="R627" s="20"/>
      <c r="S627" s="20"/>
      <c r="T627" s="26"/>
      <c r="U627" s="17"/>
    </row>
    <row r="628" spans="1:21" x14ac:dyDescent="0.25">
      <c r="A628" s="2" t="str">
        <f>IFERROR(VLOOKUP(B628,Clientes!A:B,2,0),"")</f>
        <v/>
      </c>
      <c r="B628" s="20">
        <f t="shared" si="49"/>
        <v>550</v>
      </c>
      <c r="C628" s="52" t="s">
        <v>1079</v>
      </c>
      <c r="D628" s="55" t="s">
        <v>1080</v>
      </c>
      <c r="E628" s="2" t="s">
        <v>238</v>
      </c>
      <c r="F628" s="71">
        <v>191015</v>
      </c>
      <c r="G628" s="29" t="s">
        <v>63</v>
      </c>
      <c r="H628" s="20"/>
      <c r="I628" s="20" t="s">
        <v>636</v>
      </c>
      <c r="J628" s="20" t="s">
        <v>81</v>
      </c>
      <c r="K628" s="71"/>
      <c r="L628" s="20"/>
      <c r="M628" s="20"/>
      <c r="N628" s="20"/>
      <c r="O628" s="20"/>
      <c r="P628" s="20"/>
      <c r="Q628" s="20"/>
      <c r="R628" s="20"/>
      <c r="S628" s="20"/>
      <c r="T628" s="26"/>
      <c r="U628" s="17"/>
    </row>
    <row r="629" spans="1:21" x14ac:dyDescent="0.25">
      <c r="A629" s="2" t="str">
        <f>IFERROR(VLOOKUP(B629,Clientes!A:B,2,0),"")</f>
        <v/>
      </c>
      <c r="B629" s="20">
        <f t="shared" ref="B629:B630" si="50">B628+1</f>
        <v>551</v>
      </c>
      <c r="C629" s="52" t="s">
        <v>928</v>
      </c>
      <c r="D629" s="55" t="s">
        <v>1304</v>
      </c>
      <c r="E629" s="2" t="s">
        <v>214</v>
      </c>
      <c r="F629" s="71">
        <v>191015</v>
      </c>
      <c r="G629" s="29" t="s">
        <v>59</v>
      </c>
      <c r="H629" s="20"/>
      <c r="I629" s="20" t="s">
        <v>636</v>
      </c>
      <c r="J629" s="20" t="s">
        <v>81</v>
      </c>
      <c r="K629" s="71"/>
      <c r="L629" s="20"/>
      <c r="M629" s="20"/>
      <c r="N629" s="20"/>
      <c r="O629" s="20"/>
      <c r="P629" s="20"/>
      <c r="Q629" s="20"/>
      <c r="R629" s="20"/>
      <c r="S629" s="20"/>
      <c r="T629" s="26"/>
      <c r="U629" s="17"/>
    </row>
    <row r="630" spans="1:21" ht="18" customHeight="1" x14ac:dyDescent="0.25">
      <c r="A630" s="2" t="str">
        <f>IFERROR(VLOOKUP(B630,Clientes!A:B,2,0),"")</f>
        <v/>
      </c>
      <c r="B630" s="20">
        <f t="shared" si="50"/>
        <v>552</v>
      </c>
      <c r="C630" s="52" t="s">
        <v>695</v>
      </c>
      <c r="D630" s="55" t="s">
        <v>696</v>
      </c>
      <c r="E630" s="2"/>
      <c r="F630" s="71">
        <v>191015</v>
      </c>
      <c r="G630" s="29"/>
      <c r="H630" s="20"/>
      <c r="I630" s="20" t="s">
        <v>636</v>
      </c>
      <c r="J630" s="20" t="s">
        <v>82</v>
      </c>
      <c r="K630" s="71"/>
      <c r="L630" s="20" t="s">
        <v>149</v>
      </c>
      <c r="M630" s="20"/>
      <c r="N630" s="20"/>
      <c r="O630" s="20"/>
      <c r="P630" s="20"/>
      <c r="Q630" s="20"/>
      <c r="R630" s="20"/>
      <c r="S630" s="20"/>
      <c r="T630" s="26"/>
      <c r="U630" s="17"/>
    </row>
    <row r="631" spans="1:21" ht="18" customHeight="1" x14ac:dyDescent="0.25">
      <c r="A631" s="2" t="str">
        <f>IFERROR(VLOOKUP(B631,Clientes!A:B,2,0),"")</f>
        <v/>
      </c>
      <c r="B631" s="20">
        <f t="shared" ref="B631" si="51">B630+1</f>
        <v>553</v>
      </c>
      <c r="C631" s="52" t="s">
        <v>786</v>
      </c>
      <c r="D631" s="55" t="s">
        <v>787</v>
      </c>
      <c r="E631" s="2"/>
      <c r="F631" s="71">
        <v>191015</v>
      </c>
      <c r="G631" s="29" t="s">
        <v>63</v>
      </c>
      <c r="H631" s="20"/>
      <c r="I631" s="20" t="s">
        <v>636</v>
      </c>
      <c r="J631" s="20" t="s">
        <v>81</v>
      </c>
      <c r="K631" s="71"/>
      <c r="L631" s="20"/>
      <c r="M631" s="20"/>
      <c r="N631" s="20"/>
      <c r="O631" s="20"/>
      <c r="P631" s="20"/>
      <c r="Q631" s="20"/>
      <c r="R631" s="20"/>
      <c r="S631" s="20"/>
      <c r="T631" s="26"/>
      <c r="U631" s="17"/>
    </row>
    <row r="632" spans="1:21" ht="18" customHeight="1" x14ac:dyDescent="0.25">
      <c r="A632" s="2" t="str">
        <f>IFERROR(VLOOKUP(B632,Clientes!A:B,2,0),"")</f>
        <v/>
      </c>
      <c r="B632" s="20">
        <v>554</v>
      </c>
      <c r="C632" s="52" t="s">
        <v>1153</v>
      </c>
      <c r="D632" s="55" t="s">
        <v>1154</v>
      </c>
      <c r="E632" s="2"/>
      <c r="F632" s="71">
        <v>191016</v>
      </c>
      <c r="G632" s="29"/>
      <c r="H632" s="20"/>
      <c r="I632" s="20" t="s">
        <v>636</v>
      </c>
      <c r="J632" s="20" t="s">
        <v>1232</v>
      </c>
      <c r="K632" s="71"/>
      <c r="L632" s="20" t="s">
        <v>149</v>
      </c>
      <c r="M632" s="20"/>
      <c r="N632" s="20"/>
      <c r="O632" s="20"/>
      <c r="P632" s="20"/>
      <c r="Q632" s="20"/>
      <c r="R632" s="20"/>
      <c r="S632" s="20"/>
      <c r="T632" s="26"/>
      <c r="U632" s="17"/>
    </row>
    <row r="633" spans="1:21" x14ac:dyDescent="0.25">
      <c r="A633" s="2" t="str">
        <f>IFERROR(VLOOKUP(B633,Clientes!A:B,2,0),"")</f>
        <v/>
      </c>
      <c r="B633" s="20">
        <f t="shared" ref="B633:B646" si="52">B632+1</f>
        <v>555</v>
      </c>
      <c r="C633" s="52" t="s">
        <v>724</v>
      </c>
      <c r="D633" s="55" t="s">
        <v>725</v>
      </c>
      <c r="E633" s="2"/>
      <c r="F633" s="71">
        <v>201015</v>
      </c>
      <c r="G633" s="29" t="s">
        <v>56</v>
      </c>
      <c r="H633" s="20"/>
      <c r="I633" s="20" t="s">
        <v>84</v>
      </c>
      <c r="J633" s="20" t="s">
        <v>81</v>
      </c>
      <c r="K633" s="71"/>
      <c r="L633" s="20"/>
      <c r="M633" s="20"/>
      <c r="N633" s="20"/>
      <c r="O633" s="20"/>
      <c r="P633" s="20"/>
      <c r="Q633" s="20"/>
      <c r="R633" s="20"/>
      <c r="S633" s="20"/>
      <c r="T633" s="26"/>
      <c r="U633" s="17"/>
    </row>
    <row r="634" spans="1:21" x14ac:dyDescent="0.25">
      <c r="A634" s="2" t="str">
        <f>IFERROR(VLOOKUP(B634,Clientes!A:B,2,0),"")</f>
        <v/>
      </c>
      <c r="B634" s="20">
        <f t="shared" si="52"/>
        <v>556</v>
      </c>
      <c r="C634" s="52" t="s">
        <v>523</v>
      </c>
      <c r="D634" s="55" t="s">
        <v>524</v>
      </c>
      <c r="E634" s="2" t="s">
        <v>216</v>
      </c>
      <c r="F634" s="71">
        <v>201015</v>
      </c>
      <c r="G634" s="29" t="s">
        <v>56</v>
      </c>
      <c r="H634" s="20" t="s">
        <v>73</v>
      </c>
      <c r="I634" s="20" t="s">
        <v>84</v>
      </c>
      <c r="J634" s="20" t="s">
        <v>83</v>
      </c>
      <c r="K634" s="71"/>
      <c r="L634" s="20"/>
      <c r="M634" s="20"/>
      <c r="N634" s="20"/>
      <c r="O634" s="20"/>
      <c r="P634" s="20"/>
      <c r="Q634" s="20"/>
      <c r="R634" s="20"/>
      <c r="S634" s="20"/>
      <c r="T634" s="26"/>
      <c r="U634" s="17"/>
    </row>
    <row r="635" spans="1:21" x14ac:dyDescent="0.25">
      <c r="A635" s="2"/>
      <c r="B635" s="20">
        <v>556</v>
      </c>
      <c r="C635" s="52" t="s">
        <v>521</v>
      </c>
      <c r="D635" s="55" t="s">
        <v>522</v>
      </c>
      <c r="E635" s="2" t="s">
        <v>217</v>
      </c>
      <c r="F635" s="71">
        <v>201015</v>
      </c>
      <c r="G635" s="29" t="s">
        <v>56</v>
      </c>
      <c r="H635" s="55" t="s">
        <v>537</v>
      </c>
      <c r="I635" s="20" t="s">
        <v>84</v>
      </c>
      <c r="J635" s="20" t="s">
        <v>83</v>
      </c>
      <c r="K635" s="71"/>
      <c r="L635" s="20"/>
      <c r="M635" s="20"/>
      <c r="N635" s="20"/>
      <c r="O635" s="20"/>
      <c r="P635" s="20"/>
      <c r="Q635" s="20"/>
      <c r="R635" s="20"/>
      <c r="S635" s="20"/>
      <c r="T635" s="26"/>
      <c r="U635" s="17"/>
    </row>
    <row r="636" spans="1:21" x14ac:dyDescent="0.25">
      <c r="A636" s="2" t="str">
        <f>IFERROR(VLOOKUP(B636,Clientes!A:B,2,0),"")</f>
        <v/>
      </c>
      <c r="B636" s="20">
        <f>B634+1</f>
        <v>557</v>
      </c>
      <c r="C636" s="52" t="s">
        <v>314</v>
      </c>
      <c r="D636" s="55" t="s">
        <v>315</v>
      </c>
      <c r="E636" s="2" t="s">
        <v>232</v>
      </c>
      <c r="F636" s="71">
        <v>201015</v>
      </c>
      <c r="G636" s="29" t="s">
        <v>56</v>
      </c>
      <c r="H636" s="55" t="s">
        <v>537</v>
      </c>
      <c r="I636" s="20" t="s">
        <v>84</v>
      </c>
      <c r="J636" s="20" t="s">
        <v>81</v>
      </c>
      <c r="K636" s="71"/>
      <c r="L636" s="20"/>
      <c r="M636" s="20"/>
      <c r="N636" s="20"/>
      <c r="O636" s="20"/>
      <c r="P636" s="20"/>
      <c r="Q636" s="20"/>
      <c r="R636" s="20"/>
      <c r="S636" s="20"/>
      <c r="T636" s="26"/>
      <c r="U636" s="17"/>
    </row>
    <row r="637" spans="1:21" x14ac:dyDescent="0.25">
      <c r="A637" s="2"/>
      <c r="B637" s="20">
        <v>557</v>
      </c>
      <c r="C637" s="52" t="s">
        <v>1268</v>
      </c>
      <c r="D637" s="55" t="s">
        <v>1269</v>
      </c>
      <c r="E637" s="2" t="s">
        <v>217</v>
      </c>
      <c r="F637" s="71">
        <v>201015</v>
      </c>
      <c r="G637" s="29" t="s">
        <v>58</v>
      </c>
      <c r="H637" s="20" t="s">
        <v>72</v>
      </c>
      <c r="I637" s="20" t="s">
        <v>84</v>
      </c>
      <c r="J637" s="20" t="s">
        <v>81</v>
      </c>
      <c r="K637" s="71"/>
      <c r="L637" s="20"/>
      <c r="M637" s="20"/>
      <c r="N637" s="20"/>
      <c r="O637" s="20"/>
      <c r="P637" s="20"/>
      <c r="Q637" s="20"/>
      <c r="R637" s="20"/>
      <c r="S637" s="20"/>
      <c r="T637" s="26"/>
      <c r="U637" s="17"/>
    </row>
    <row r="638" spans="1:21" x14ac:dyDescent="0.25">
      <c r="A638" s="2" t="str">
        <f>IFERROR(VLOOKUP(B638,Clientes!A:B,2,0),"")</f>
        <v/>
      </c>
      <c r="B638" s="20">
        <f>B636+1</f>
        <v>558</v>
      </c>
      <c r="C638" s="52" t="s">
        <v>884</v>
      </c>
      <c r="D638" s="55" t="s">
        <v>885</v>
      </c>
      <c r="E638" s="2" t="s">
        <v>218</v>
      </c>
      <c r="F638" s="71">
        <v>201015</v>
      </c>
      <c r="G638" s="29" t="s">
        <v>56</v>
      </c>
      <c r="H638" s="20" t="s">
        <v>72</v>
      </c>
      <c r="I638" s="20" t="s">
        <v>84</v>
      </c>
      <c r="J638" s="20" t="s">
        <v>83</v>
      </c>
      <c r="K638" s="71"/>
      <c r="L638" s="20"/>
      <c r="M638" s="20"/>
      <c r="N638" s="20"/>
      <c r="O638" s="20"/>
      <c r="P638" s="20"/>
      <c r="Q638" s="20"/>
      <c r="R638" s="20"/>
      <c r="S638" s="20"/>
      <c r="T638" s="26"/>
      <c r="U638" s="17"/>
    </row>
    <row r="639" spans="1:21" x14ac:dyDescent="0.25">
      <c r="A639" s="2" t="str">
        <f>IFERROR(VLOOKUP(B639,Clientes!A:B,2,0),"")</f>
        <v/>
      </c>
      <c r="B639" s="20">
        <f t="shared" si="52"/>
        <v>559</v>
      </c>
      <c r="C639" s="52" t="s">
        <v>603</v>
      </c>
      <c r="D639" s="55" t="s">
        <v>1174</v>
      </c>
      <c r="E639" s="2" t="s">
        <v>234</v>
      </c>
      <c r="F639" s="71">
        <v>201015</v>
      </c>
      <c r="G639" s="29" t="s">
        <v>63</v>
      </c>
      <c r="H639" s="20"/>
      <c r="I639" s="20" t="s">
        <v>84</v>
      </c>
      <c r="J639" s="20" t="s">
        <v>81</v>
      </c>
      <c r="K639" s="71"/>
      <c r="L639" s="20"/>
      <c r="M639" s="20"/>
      <c r="N639" s="20"/>
      <c r="O639" s="20"/>
      <c r="P639" s="20"/>
      <c r="Q639" s="20"/>
      <c r="R639" s="20"/>
      <c r="S639" s="20"/>
      <c r="T639" s="26"/>
      <c r="U639" s="17"/>
    </row>
    <row r="640" spans="1:21" x14ac:dyDescent="0.25">
      <c r="A640" s="2" t="str">
        <f>IFERROR(VLOOKUP(B640,Clientes!A:B,2,0),"")</f>
        <v/>
      </c>
      <c r="B640" s="20">
        <f t="shared" si="52"/>
        <v>560</v>
      </c>
      <c r="C640" s="52"/>
      <c r="D640" s="55" t="s">
        <v>1178</v>
      </c>
      <c r="E640" s="2" t="s">
        <v>234</v>
      </c>
      <c r="F640" s="71">
        <v>201015</v>
      </c>
      <c r="G640" s="55" t="s">
        <v>537</v>
      </c>
      <c r="H640" s="55" t="s">
        <v>537</v>
      </c>
      <c r="I640" s="20" t="s">
        <v>84</v>
      </c>
      <c r="J640" s="20" t="s">
        <v>81</v>
      </c>
      <c r="K640" s="71"/>
      <c r="L640" s="20"/>
      <c r="M640" s="20"/>
      <c r="N640" s="20"/>
      <c r="O640" s="20"/>
      <c r="P640" s="20"/>
      <c r="Q640" s="20"/>
      <c r="R640" s="20"/>
      <c r="S640" s="20"/>
      <c r="T640" s="26"/>
      <c r="U640" s="17"/>
    </row>
    <row r="641" spans="1:21" x14ac:dyDescent="0.25">
      <c r="A641" s="2" t="str">
        <f>IFERROR(VLOOKUP(B641,Clientes!A:B,2,0),"")</f>
        <v/>
      </c>
      <c r="B641" s="20">
        <f t="shared" si="52"/>
        <v>561</v>
      </c>
      <c r="C641" s="52" t="s">
        <v>535</v>
      </c>
      <c r="D641" s="55" t="s">
        <v>1177</v>
      </c>
      <c r="E641" s="2" t="s">
        <v>237</v>
      </c>
      <c r="F641" s="71">
        <v>201015</v>
      </c>
      <c r="G641" s="29" t="s">
        <v>69</v>
      </c>
      <c r="H641" s="20"/>
      <c r="I641" s="20" t="s">
        <v>84</v>
      </c>
      <c r="J641" s="20" t="s">
        <v>83</v>
      </c>
      <c r="K641" s="71"/>
      <c r="L641" s="20"/>
      <c r="M641" s="20"/>
      <c r="N641" s="20"/>
      <c r="O641" s="20"/>
      <c r="P641" s="20"/>
      <c r="Q641" s="20"/>
      <c r="R641" s="20"/>
      <c r="S641" s="20"/>
      <c r="T641" s="26"/>
      <c r="U641" s="17"/>
    </row>
    <row r="642" spans="1:21" x14ac:dyDescent="0.25">
      <c r="A642" s="2" t="str">
        <f>IFERROR(VLOOKUP(B642,Clientes!A:B,2,0),"")</f>
        <v/>
      </c>
      <c r="B642" s="20">
        <f t="shared" si="52"/>
        <v>562</v>
      </c>
      <c r="C642" s="52" t="s">
        <v>1172</v>
      </c>
      <c r="D642" s="55" t="s">
        <v>1173</v>
      </c>
      <c r="E642" s="2" t="s">
        <v>223</v>
      </c>
      <c r="F642" s="71">
        <v>201015</v>
      </c>
      <c r="G642" s="29" t="s">
        <v>62</v>
      </c>
      <c r="H642" s="20"/>
      <c r="I642" s="20" t="s">
        <v>84</v>
      </c>
      <c r="J642" s="20" t="s">
        <v>83</v>
      </c>
      <c r="K642" s="71"/>
      <c r="L642" s="20"/>
      <c r="M642" s="20"/>
      <c r="N642" s="20"/>
      <c r="O642" s="20"/>
      <c r="P642" s="20"/>
      <c r="Q642" s="20"/>
      <c r="R642" s="20"/>
      <c r="S642" s="20"/>
      <c r="T642" s="26"/>
      <c r="U642" s="17"/>
    </row>
    <row r="643" spans="1:21" x14ac:dyDescent="0.25">
      <c r="A643" s="2" t="str">
        <f>IFERROR(VLOOKUP(B643,Clientes!A:B,2,0),"")</f>
        <v/>
      </c>
      <c r="B643" s="20">
        <f t="shared" si="52"/>
        <v>563</v>
      </c>
      <c r="C643" s="52" t="s">
        <v>311</v>
      </c>
      <c r="D643" s="55" t="s">
        <v>312</v>
      </c>
      <c r="E643" s="2" t="s">
        <v>237</v>
      </c>
      <c r="F643" s="71">
        <v>201015</v>
      </c>
      <c r="G643" s="29" t="s">
        <v>69</v>
      </c>
      <c r="H643" s="20"/>
      <c r="I643" s="20" t="s">
        <v>84</v>
      </c>
      <c r="J643" s="20" t="s">
        <v>83</v>
      </c>
      <c r="K643" s="71"/>
      <c r="L643" s="20"/>
      <c r="M643" s="20"/>
      <c r="N643" s="20"/>
      <c r="O643" s="20"/>
      <c r="P643" s="20"/>
      <c r="Q643" s="20"/>
      <c r="R643" s="20"/>
      <c r="S643" s="20"/>
      <c r="T643" s="26"/>
      <c r="U643" s="17"/>
    </row>
    <row r="644" spans="1:21" x14ac:dyDescent="0.25">
      <c r="A644" s="2" t="str">
        <f>IFERROR(VLOOKUP(B644,Clientes!A:B,2,0),"")</f>
        <v/>
      </c>
      <c r="B644" s="20">
        <f t="shared" si="52"/>
        <v>564</v>
      </c>
      <c r="C644" s="52" t="s">
        <v>1175</v>
      </c>
      <c r="D644" s="55" t="s">
        <v>1176</v>
      </c>
      <c r="E644" s="2" t="s">
        <v>237</v>
      </c>
      <c r="F644" s="71">
        <v>201015</v>
      </c>
      <c r="G644" s="29" t="s">
        <v>69</v>
      </c>
      <c r="H644" s="20"/>
      <c r="I644" s="20" t="s">
        <v>84</v>
      </c>
      <c r="J644" s="20" t="s">
        <v>83</v>
      </c>
      <c r="K644" s="71"/>
      <c r="L644" s="20"/>
      <c r="M644" s="20"/>
      <c r="N644" s="20"/>
      <c r="O644" s="20"/>
      <c r="P644" s="20"/>
      <c r="Q644" s="20"/>
      <c r="R644" s="20"/>
      <c r="S644" s="20"/>
      <c r="T644" s="26"/>
      <c r="U644" s="17"/>
    </row>
    <row r="645" spans="1:21" x14ac:dyDescent="0.25">
      <c r="A645" s="2" t="str">
        <f>IFERROR(VLOOKUP(B645,Clientes!A:B,2,0),"")</f>
        <v/>
      </c>
      <c r="B645" s="20">
        <f t="shared" si="52"/>
        <v>565</v>
      </c>
      <c r="C645" s="52" t="s">
        <v>260</v>
      </c>
      <c r="D645" s="55" t="s">
        <v>554</v>
      </c>
      <c r="E645" s="2" t="s">
        <v>237</v>
      </c>
      <c r="F645" s="71">
        <v>201015</v>
      </c>
      <c r="G645" s="29" t="s">
        <v>69</v>
      </c>
      <c r="H645" s="20"/>
      <c r="I645" s="20" t="s">
        <v>84</v>
      </c>
      <c r="J645" s="20" t="s">
        <v>83</v>
      </c>
      <c r="K645" s="71"/>
      <c r="L645" s="20"/>
      <c r="M645" s="20"/>
      <c r="N645" s="20"/>
      <c r="O645" s="20"/>
      <c r="P645" s="20"/>
      <c r="Q645" s="20"/>
      <c r="R645" s="20"/>
      <c r="S645" s="20"/>
      <c r="T645" s="26"/>
      <c r="U645" s="17"/>
    </row>
    <row r="646" spans="1:21" x14ac:dyDescent="0.25">
      <c r="A646" s="2" t="str">
        <f>IFERROR(VLOOKUP(B646,Clientes!A:B,2,0),"")</f>
        <v/>
      </c>
      <c r="B646" s="20">
        <f t="shared" si="52"/>
        <v>566</v>
      </c>
      <c r="C646" s="52"/>
      <c r="D646" s="55" t="s">
        <v>1179</v>
      </c>
      <c r="E646" s="2"/>
      <c r="F646" s="71">
        <v>211015</v>
      </c>
      <c r="G646" s="29" t="s">
        <v>66</v>
      </c>
      <c r="H646" s="20"/>
      <c r="I646" s="20" t="s">
        <v>84</v>
      </c>
      <c r="J646" s="20" t="s">
        <v>81</v>
      </c>
      <c r="K646" s="71"/>
      <c r="L646" s="20"/>
      <c r="M646" s="20"/>
      <c r="N646" s="20"/>
      <c r="O646" s="20"/>
      <c r="P646" s="20"/>
      <c r="Q646" s="20"/>
      <c r="R646" s="20"/>
      <c r="S646" s="20"/>
      <c r="T646" s="26"/>
      <c r="U646" s="17"/>
    </row>
    <row r="647" spans="1:21" x14ac:dyDescent="0.25">
      <c r="A647" s="2" t="str">
        <f>IFERROR(VLOOKUP(B647,Clientes!A:B,2,0),"")</f>
        <v/>
      </c>
      <c r="B647" s="20">
        <f t="shared" ref="B647:B683" si="53">B646+1</f>
        <v>567</v>
      </c>
      <c r="C647" s="52" t="s">
        <v>297</v>
      </c>
      <c r="D647" s="55" t="s">
        <v>298</v>
      </c>
      <c r="E647" s="2" t="s">
        <v>234</v>
      </c>
      <c r="F647" s="71">
        <v>211015</v>
      </c>
      <c r="G647" s="29" t="s">
        <v>56</v>
      </c>
      <c r="H647" s="20" t="s">
        <v>73</v>
      </c>
      <c r="I647" s="20" t="s">
        <v>84</v>
      </c>
      <c r="J647" s="20" t="s">
        <v>83</v>
      </c>
      <c r="K647" s="71"/>
      <c r="L647" s="20"/>
      <c r="M647" s="20"/>
      <c r="N647" s="20"/>
      <c r="O647" s="20"/>
      <c r="P647" s="20"/>
      <c r="Q647" s="20"/>
      <c r="R647" s="20"/>
      <c r="S647" s="20"/>
      <c r="T647" s="26"/>
      <c r="U647" s="17"/>
    </row>
    <row r="648" spans="1:21" x14ac:dyDescent="0.25">
      <c r="A648" s="2" t="str">
        <f>IFERROR(VLOOKUP(B648,Clientes!A:B,2,0),"")</f>
        <v/>
      </c>
      <c r="B648" s="20">
        <f t="shared" si="53"/>
        <v>568</v>
      </c>
      <c r="C648" s="52"/>
      <c r="D648" s="55"/>
      <c r="E648" s="2"/>
      <c r="F648" s="71"/>
      <c r="G648" s="29"/>
      <c r="H648" s="20"/>
      <c r="I648" s="20" t="s">
        <v>84</v>
      </c>
      <c r="J648" s="20"/>
      <c r="K648" s="71"/>
      <c r="L648" s="20"/>
      <c r="M648" s="20"/>
      <c r="N648" s="20"/>
      <c r="O648" s="20"/>
      <c r="P648" s="20"/>
      <c r="Q648" s="20"/>
      <c r="R648" s="20"/>
      <c r="S648" s="20"/>
      <c r="T648" s="26"/>
      <c r="U648" s="17"/>
    </row>
    <row r="649" spans="1:21" x14ac:dyDescent="0.25">
      <c r="A649" s="2" t="str">
        <f>IFERROR(VLOOKUP(B649,Clientes!A:B,2,0),"")</f>
        <v/>
      </c>
      <c r="B649" s="20">
        <f t="shared" si="53"/>
        <v>569</v>
      </c>
      <c r="C649" s="52" t="s">
        <v>1172</v>
      </c>
      <c r="D649" s="55" t="s">
        <v>1173</v>
      </c>
      <c r="E649" s="2" t="s">
        <v>223</v>
      </c>
      <c r="F649" s="71">
        <v>211015</v>
      </c>
      <c r="G649" s="29" t="s">
        <v>63</v>
      </c>
      <c r="H649" s="20"/>
      <c r="I649" s="20" t="s">
        <v>84</v>
      </c>
      <c r="J649" s="20" t="s">
        <v>81</v>
      </c>
      <c r="K649" s="71"/>
      <c r="L649" s="20"/>
      <c r="M649" s="20"/>
      <c r="N649" s="20"/>
      <c r="O649" s="20"/>
      <c r="P649" s="20"/>
      <c r="Q649" s="20"/>
      <c r="R649" s="20"/>
      <c r="S649" s="20"/>
      <c r="T649" s="26"/>
      <c r="U649" s="17"/>
    </row>
    <row r="650" spans="1:21" x14ac:dyDescent="0.25">
      <c r="A650" s="2" t="str">
        <f>IFERROR(VLOOKUP(B650,Clientes!A:B,2,0),"")</f>
        <v/>
      </c>
      <c r="B650" s="20">
        <f t="shared" si="53"/>
        <v>570</v>
      </c>
      <c r="C650" s="52" t="s">
        <v>1182</v>
      </c>
      <c r="D650" s="55" t="s">
        <v>1183</v>
      </c>
      <c r="E650" s="2"/>
      <c r="F650" s="71">
        <v>211015</v>
      </c>
      <c r="G650" s="29" t="s">
        <v>56</v>
      </c>
      <c r="H650" s="20" t="s">
        <v>73</v>
      </c>
      <c r="I650" s="20" t="s">
        <v>84</v>
      </c>
      <c r="J650" s="20" t="s">
        <v>83</v>
      </c>
      <c r="K650" s="71"/>
      <c r="L650" s="20"/>
      <c r="M650" s="20"/>
      <c r="N650" s="20"/>
      <c r="O650" s="20"/>
      <c r="P650" s="20"/>
      <c r="Q650" s="20"/>
      <c r="R650" s="20"/>
      <c r="S650" s="20"/>
      <c r="T650" s="26"/>
      <c r="U650" s="17"/>
    </row>
    <row r="651" spans="1:21" x14ac:dyDescent="0.25">
      <c r="A651" s="2" t="str">
        <f>IFERROR(VLOOKUP(B651,Clientes!A:B,2,0),"")</f>
        <v/>
      </c>
      <c r="B651" s="20">
        <f t="shared" si="53"/>
        <v>571</v>
      </c>
      <c r="C651" s="52" t="s">
        <v>1180</v>
      </c>
      <c r="D651" s="55" t="s">
        <v>1181</v>
      </c>
      <c r="E651" s="2" t="s">
        <v>227</v>
      </c>
      <c r="F651" s="71">
        <v>221015</v>
      </c>
      <c r="G651" s="29" t="s">
        <v>56</v>
      </c>
      <c r="H651" s="20"/>
      <c r="I651" s="20" t="s">
        <v>84</v>
      </c>
      <c r="J651" s="20" t="s">
        <v>81</v>
      </c>
      <c r="K651" s="71"/>
      <c r="L651" s="20"/>
      <c r="M651" s="20"/>
      <c r="N651" s="20"/>
      <c r="O651" s="20"/>
      <c r="P651" s="20"/>
      <c r="Q651" s="20"/>
      <c r="R651" s="20"/>
      <c r="S651" s="20"/>
      <c r="T651" s="26"/>
      <c r="U651" s="17"/>
    </row>
    <row r="652" spans="1:21" x14ac:dyDescent="0.25">
      <c r="A652" s="2" t="str">
        <f>IFERROR(VLOOKUP(B652,Clientes!A:B,2,0),"")</f>
        <v/>
      </c>
      <c r="B652" s="20">
        <f t="shared" si="53"/>
        <v>572</v>
      </c>
      <c r="C652" s="52"/>
      <c r="D652" s="55"/>
      <c r="E652" s="2"/>
      <c r="F652" s="71"/>
      <c r="G652" s="29"/>
      <c r="H652" s="20"/>
      <c r="I652" s="20" t="s">
        <v>84</v>
      </c>
      <c r="J652" s="20"/>
      <c r="K652" s="71"/>
      <c r="L652" s="20"/>
      <c r="M652" s="20"/>
      <c r="N652" s="20"/>
      <c r="O652" s="20"/>
      <c r="P652" s="20"/>
      <c r="Q652" s="20"/>
      <c r="R652" s="20"/>
      <c r="S652" s="20"/>
      <c r="T652" s="26"/>
      <c r="U652" s="17"/>
    </row>
    <row r="653" spans="1:21" x14ac:dyDescent="0.25">
      <c r="A653" s="2" t="str">
        <f>IFERROR(VLOOKUP(B653,Clientes!A:B,2,0),"")</f>
        <v/>
      </c>
      <c r="B653" s="20">
        <f t="shared" si="53"/>
        <v>573</v>
      </c>
      <c r="C653" s="52"/>
      <c r="D653" s="55"/>
      <c r="E653" s="2"/>
      <c r="F653" s="71"/>
      <c r="G653" s="29"/>
      <c r="H653" s="20"/>
      <c r="I653" s="20" t="s">
        <v>84</v>
      </c>
      <c r="J653" s="20"/>
      <c r="K653" s="71"/>
      <c r="L653" s="20"/>
      <c r="M653" s="20"/>
      <c r="N653" s="20"/>
      <c r="O653" s="20"/>
      <c r="P653" s="20"/>
      <c r="Q653" s="20"/>
      <c r="R653" s="20"/>
      <c r="S653" s="20"/>
      <c r="T653" s="26"/>
      <c r="U653" s="17"/>
    </row>
    <row r="654" spans="1:21" x14ac:dyDescent="0.25">
      <c r="A654" s="2" t="str">
        <f>IFERROR(VLOOKUP(B654,Clientes!A:B,2,0),"")</f>
        <v/>
      </c>
      <c r="B654" s="20">
        <f t="shared" si="53"/>
        <v>574</v>
      </c>
      <c r="C654" s="52"/>
      <c r="D654" s="55"/>
      <c r="E654" s="2"/>
      <c r="F654" s="71"/>
      <c r="G654" s="29"/>
      <c r="H654" s="20"/>
      <c r="I654" s="20" t="s">
        <v>84</v>
      </c>
      <c r="J654" s="20"/>
      <c r="K654" s="71"/>
      <c r="L654" s="20"/>
      <c r="M654" s="20"/>
      <c r="N654" s="20"/>
      <c r="O654" s="20"/>
      <c r="P654" s="20"/>
      <c r="Q654" s="20"/>
      <c r="R654" s="20"/>
      <c r="S654" s="20"/>
      <c r="T654" s="26"/>
      <c r="U654" s="17"/>
    </row>
    <row r="655" spans="1:21" x14ac:dyDescent="0.25">
      <c r="A655" s="2" t="str">
        <f>IFERROR(VLOOKUP(B655,Clientes!A:B,2,0),"")</f>
        <v/>
      </c>
      <c r="B655" s="20">
        <f t="shared" si="53"/>
        <v>575</v>
      </c>
      <c r="C655" s="52" t="s">
        <v>1070</v>
      </c>
      <c r="D655" s="55" t="s">
        <v>1071</v>
      </c>
      <c r="E655" s="2" t="s">
        <v>214</v>
      </c>
      <c r="F655" s="71">
        <v>221015</v>
      </c>
      <c r="G655" s="29" t="s">
        <v>56</v>
      </c>
      <c r="H655" s="55" t="s">
        <v>537</v>
      </c>
      <c r="I655" s="20" t="s">
        <v>84</v>
      </c>
      <c r="J655" s="20" t="s">
        <v>83</v>
      </c>
      <c r="K655" s="71"/>
      <c r="L655" s="20"/>
      <c r="M655" s="20"/>
      <c r="N655" s="20"/>
      <c r="O655" s="20"/>
      <c r="P655" s="20"/>
      <c r="Q655" s="20"/>
      <c r="R655" s="20"/>
      <c r="S655" s="20"/>
      <c r="T655" s="26"/>
      <c r="U655" s="17"/>
    </row>
    <row r="656" spans="1:21" x14ac:dyDescent="0.25">
      <c r="A656" s="2" t="str">
        <f>IFERROR(VLOOKUP(B656,Clientes!A:B,2,0),"")</f>
        <v/>
      </c>
      <c r="B656" s="20">
        <f t="shared" si="53"/>
        <v>576</v>
      </c>
      <c r="C656" s="52"/>
      <c r="D656" s="55"/>
      <c r="E656" s="2"/>
      <c r="F656" s="71"/>
      <c r="G656" s="29"/>
      <c r="H656" s="20"/>
      <c r="I656" s="20" t="s">
        <v>84</v>
      </c>
      <c r="J656" s="20"/>
      <c r="K656" s="71"/>
      <c r="L656" s="20"/>
      <c r="M656" s="20"/>
      <c r="N656" s="20"/>
      <c r="O656" s="20"/>
      <c r="P656" s="20"/>
      <c r="Q656" s="20"/>
      <c r="R656" s="20"/>
      <c r="S656" s="20"/>
      <c r="T656" s="26"/>
      <c r="U656" s="17"/>
    </row>
    <row r="657" spans="1:21" x14ac:dyDescent="0.25">
      <c r="A657" s="2" t="str">
        <f>IFERROR(VLOOKUP(B657,Clientes!A:B,2,0),"")</f>
        <v/>
      </c>
      <c r="B657" s="20">
        <f t="shared" si="53"/>
        <v>577</v>
      </c>
      <c r="C657" s="52"/>
      <c r="D657" s="55"/>
      <c r="E657" s="2"/>
      <c r="F657" s="71"/>
      <c r="G657" s="29"/>
      <c r="H657" s="20"/>
      <c r="I657" s="20" t="s">
        <v>84</v>
      </c>
      <c r="J657" s="20"/>
      <c r="K657" s="71"/>
      <c r="L657" s="20"/>
      <c r="M657" s="20"/>
      <c r="N657" s="20"/>
      <c r="O657" s="20"/>
      <c r="P657" s="20"/>
      <c r="Q657" s="20"/>
      <c r="R657" s="20"/>
      <c r="S657" s="20"/>
      <c r="T657" s="26"/>
      <c r="U657" s="17"/>
    </row>
    <row r="658" spans="1:21" x14ac:dyDescent="0.25">
      <c r="A658" s="2" t="str">
        <f>IFERROR(VLOOKUP(B658,Clientes!A:B,2,0),"")</f>
        <v/>
      </c>
      <c r="B658" s="20">
        <f t="shared" si="53"/>
        <v>578</v>
      </c>
      <c r="C658" s="52"/>
      <c r="D658" s="55"/>
      <c r="E658" s="2"/>
      <c r="F658" s="71"/>
      <c r="G658" s="29"/>
      <c r="H658" s="20"/>
      <c r="I658" s="20" t="s">
        <v>84</v>
      </c>
      <c r="J658" s="20"/>
      <c r="K658" s="71"/>
      <c r="L658" s="20"/>
      <c r="M658" s="20"/>
      <c r="N658" s="20"/>
      <c r="O658" s="20"/>
      <c r="P658" s="20"/>
      <c r="Q658" s="20"/>
      <c r="R658" s="20"/>
      <c r="S658" s="20"/>
      <c r="T658" s="26"/>
      <c r="U658" s="17"/>
    </row>
    <row r="659" spans="1:21" x14ac:dyDescent="0.25">
      <c r="A659" s="2" t="str">
        <f>IFERROR(VLOOKUP(B659,Clientes!A:B,2,0),"")</f>
        <v/>
      </c>
      <c r="B659" s="20">
        <f t="shared" si="53"/>
        <v>579</v>
      </c>
      <c r="C659" s="52"/>
      <c r="D659" s="55"/>
      <c r="E659" s="2"/>
      <c r="F659" s="71"/>
      <c r="G659" s="29"/>
      <c r="H659" s="20"/>
      <c r="I659" s="20" t="s">
        <v>84</v>
      </c>
      <c r="J659" s="20"/>
      <c r="K659" s="71"/>
      <c r="L659" s="20"/>
      <c r="M659" s="20"/>
      <c r="N659" s="20"/>
      <c r="O659" s="20"/>
      <c r="P659" s="20"/>
      <c r="Q659" s="20"/>
      <c r="R659" s="20"/>
      <c r="S659" s="20"/>
      <c r="T659" s="26"/>
      <c r="U659" s="17"/>
    </row>
    <row r="660" spans="1:21" x14ac:dyDescent="0.25">
      <c r="A660" s="2" t="str">
        <f>IFERROR(VLOOKUP(B660,Clientes!A:B,2,0),"")</f>
        <v/>
      </c>
      <c r="B660" s="20">
        <f t="shared" si="53"/>
        <v>580</v>
      </c>
      <c r="C660" s="52" t="s">
        <v>850</v>
      </c>
      <c r="D660" s="55" t="s">
        <v>851</v>
      </c>
      <c r="E660" s="2" t="s">
        <v>225</v>
      </c>
      <c r="F660" s="71">
        <v>231015</v>
      </c>
      <c r="G660" s="29" t="s">
        <v>56</v>
      </c>
      <c r="H660" s="20" t="s">
        <v>72</v>
      </c>
      <c r="I660" s="20" t="s">
        <v>84</v>
      </c>
      <c r="J660" s="20" t="s">
        <v>83</v>
      </c>
      <c r="K660" s="71"/>
      <c r="L660" s="20"/>
      <c r="M660" s="20"/>
      <c r="N660" s="20"/>
      <c r="O660" s="20"/>
      <c r="P660" s="20"/>
      <c r="Q660" s="20"/>
      <c r="R660" s="20"/>
      <c r="S660" s="20"/>
      <c r="T660" s="26"/>
      <c r="U660" s="17"/>
    </row>
    <row r="661" spans="1:21" x14ac:dyDescent="0.25">
      <c r="A661" s="2" t="str">
        <f>IFERROR(VLOOKUP(B661,Clientes!A:B,2,0),"")</f>
        <v/>
      </c>
      <c r="B661" s="20">
        <f t="shared" si="53"/>
        <v>581</v>
      </c>
      <c r="C661" s="52"/>
      <c r="D661" s="55"/>
      <c r="E661" s="2"/>
      <c r="F661" s="71"/>
      <c r="G661" s="29"/>
      <c r="H661" s="20"/>
      <c r="I661" s="20" t="s">
        <v>84</v>
      </c>
      <c r="J661" s="20"/>
      <c r="K661" s="71"/>
      <c r="L661" s="20"/>
      <c r="M661" s="20"/>
      <c r="N661" s="20"/>
      <c r="O661" s="20"/>
      <c r="P661" s="20"/>
      <c r="Q661" s="20"/>
      <c r="R661" s="20"/>
      <c r="S661" s="20"/>
      <c r="T661" s="26"/>
      <c r="U661" s="17"/>
    </row>
    <row r="662" spans="1:21" x14ac:dyDescent="0.25">
      <c r="A662" s="2" t="str">
        <f>IFERROR(VLOOKUP(B662,Clientes!A:B,2,0),"")</f>
        <v/>
      </c>
      <c r="B662" s="20">
        <f t="shared" si="53"/>
        <v>582</v>
      </c>
      <c r="C662" s="52"/>
      <c r="D662" s="55"/>
      <c r="E662" s="2"/>
      <c r="F662" s="71"/>
      <c r="G662" s="29"/>
      <c r="H662" s="20"/>
      <c r="I662" s="20" t="s">
        <v>84</v>
      </c>
      <c r="J662" s="20"/>
      <c r="K662" s="71"/>
      <c r="L662" s="20"/>
      <c r="M662" s="20"/>
      <c r="N662" s="20"/>
      <c r="O662" s="20"/>
      <c r="P662" s="20"/>
      <c r="Q662" s="20"/>
      <c r="R662" s="20"/>
      <c r="S662" s="20"/>
      <c r="T662" s="26"/>
      <c r="U662" s="17"/>
    </row>
    <row r="663" spans="1:21" x14ac:dyDescent="0.25">
      <c r="A663" s="2" t="str">
        <f>IFERROR(VLOOKUP(B663,Clientes!A:B,2,0),"")</f>
        <v/>
      </c>
      <c r="B663" s="20">
        <f t="shared" si="53"/>
        <v>583</v>
      </c>
      <c r="C663" s="52"/>
      <c r="D663" s="55"/>
      <c r="E663" s="2"/>
      <c r="F663" s="71"/>
      <c r="G663" s="29"/>
      <c r="H663" s="20"/>
      <c r="I663" s="20" t="s">
        <v>84</v>
      </c>
      <c r="J663" s="20"/>
      <c r="K663" s="71"/>
      <c r="L663" s="20"/>
      <c r="M663" s="20"/>
      <c r="N663" s="20"/>
      <c r="O663" s="20"/>
      <c r="P663" s="20"/>
      <c r="Q663" s="20"/>
      <c r="R663" s="20"/>
      <c r="S663" s="20"/>
      <c r="T663" s="26"/>
      <c r="U663" s="17"/>
    </row>
    <row r="664" spans="1:21" x14ac:dyDescent="0.25">
      <c r="A664" s="2" t="str">
        <f>IFERROR(VLOOKUP(B664,Clientes!A:B,2,0),"")</f>
        <v/>
      </c>
      <c r="B664" s="20">
        <f t="shared" si="53"/>
        <v>584</v>
      </c>
      <c r="C664" s="52"/>
      <c r="D664" s="55"/>
      <c r="E664" s="2"/>
      <c r="F664" s="71"/>
      <c r="G664" s="29"/>
      <c r="H664" s="20"/>
      <c r="I664" s="20" t="s">
        <v>84</v>
      </c>
      <c r="J664" s="20"/>
      <c r="K664" s="71"/>
      <c r="L664" s="20"/>
      <c r="M664" s="20"/>
      <c r="N664" s="20"/>
      <c r="O664" s="20"/>
      <c r="P664" s="20"/>
      <c r="Q664" s="20"/>
      <c r="R664" s="20"/>
      <c r="S664" s="20"/>
      <c r="T664" s="26"/>
      <c r="U664" s="17"/>
    </row>
    <row r="665" spans="1:21" x14ac:dyDescent="0.25">
      <c r="A665" s="2" t="str">
        <f>IFERROR(VLOOKUP(B665,Clientes!A:B,2,0),"")</f>
        <v/>
      </c>
      <c r="B665" s="20">
        <f t="shared" si="53"/>
        <v>585</v>
      </c>
      <c r="C665" s="52"/>
      <c r="D665" s="55"/>
      <c r="E665" s="2"/>
      <c r="F665" s="71"/>
      <c r="G665" s="29"/>
      <c r="H665" s="20"/>
      <c r="I665" s="20" t="s">
        <v>84</v>
      </c>
      <c r="J665" s="20"/>
      <c r="K665" s="71"/>
      <c r="L665" s="20"/>
      <c r="M665" s="20"/>
      <c r="N665" s="20"/>
      <c r="O665" s="20"/>
      <c r="P665" s="20"/>
      <c r="Q665" s="20"/>
      <c r="R665" s="20"/>
      <c r="S665" s="20"/>
      <c r="T665" s="26"/>
      <c r="U665" s="17"/>
    </row>
    <row r="666" spans="1:21" x14ac:dyDescent="0.25">
      <c r="A666" s="2" t="str">
        <f>IFERROR(VLOOKUP(B666,Clientes!A:B,2,0),"")</f>
        <v/>
      </c>
      <c r="B666" s="20">
        <f t="shared" si="53"/>
        <v>586</v>
      </c>
      <c r="C666" s="52"/>
      <c r="D666" s="55"/>
      <c r="E666" s="2"/>
      <c r="F666" s="71"/>
      <c r="G666" s="29"/>
      <c r="H666" s="20"/>
      <c r="I666" s="20" t="s">
        <v>84</v>
      </c>
      <c r="J666" s="20"/>
      <c r="K666" s="71"/>
      <c r="L666" s="20"/>
      <c r="M666" s="20"/>
      <c r="N666" s="20"/>
      <c r="O666" s="20"/>
      <c r="P666" s="20"/>
      <c r="Q666" s="20"/>
      <c r="R666" s="20"/>
      <c r="S666" s="20"/>
      <c r="T666" s="26"/>
      <c r="U666" s="17"/>
    </row>
    <row r="667" spans="1:21" x14ac:dyDescent="0.25">
      <c r="A667" s="2" t="str">
        <f>IFERROR(VLOOKUP(B667,Clientes!A:B,2,0),"")</f>
        <v/>
      </c>
      <c r="B667" s="20">
        <f t="shared" si="53"/>
        <v>587</v>
      </c>
      <c r="C667" s="52"/>
      <c r="D667" s="55"/>
      <c r="E667" s="2"/>
      <c r="F667" s="71"/>
      <c r="G667" s="29"/>
      <c r="H667" s="20"/>
      <c r="I667" s="20" t="s">
        <v>84</v>
      </c>
      <c r="J667" s="20"/>
      <c r="K667" s="71"/>
      <c r="L667" s="20"/>
      <c r="M667" s="20"/>
      <c r="N667" s="20"/>
      <c r="O667" s="20"/>
      <c r="P667" s="20"/>
      <c r="Q667" s="20"/>
      <c r="R667" s="20"/>
      <c r="S667" s="20"/>
      <c r="T667" s="26"/>
      <c r="U667" s="17"/>
    </row>
    <row r="668" spans="1:21" x14ac:dyDescent="0.25">
      <c r="A668" s="2" t="str">
        <f>IFERROR(VLOOKUP(B668,Clientes!A:B,2,0),"")</f>
        <v/>
      </c>
      <c r="B668" s="20">
        <f t="shared" si="53"/>
        <v>588</v>
      </c>
      <c r="C668" s="52"/>
      <c r="D668" s="55"/>
      <c r="E668" s="2"/>
      <c r="F668" s="71"/>
      <c r="G668" s="29"/>
      <c r="H668" s="20"/>
      <c r="I668" s="20" t="s">
        <v>84</v>
      </c>
      <c r="J668" s="20"/>
      <c r="K668" s="71"/>
      <c r="L668" s="20"/>
      <c r="M668" s="20"/>
      <c r="N668" s="20"/>
      <c r="O668" s="20"/>
      <c r="P668" s="20"/>
      <c r="Q668" s="20"/>
      <c r="R668" s="20"/>
      <c r="S668" s="20"/>
      <c r="T668" s="26"/>
      <c r="U668" s="17"/>
    </row>
    <row r="669" spans="1:21" x14ac:dyDescent="0.25">
      <c r="A669" s="2" t="str">
        <f>IFERROR(VLOOKUP(B669,Clientes!A:B,2,0),"")</f>
        <v/>
      </c>
      <c r="B669" s="20">
        <f t="shared" si="53"/>
        <v>589</v>
      </c>
      <c r="C669" s="52"/>
      <c r="D669" s="55"/>
      <c r="E669" s="2"/>
      <c r="F669" s="71"/>
      <c r="G669" s="29"/>
      <c r="H669" s="20"/>
      <c r="I669" s="20" t="s">
        <v>84</v>
      </c>
      <c r="J669" s="20"/>
      <c r="K669" s="71"/>
      <c r="L669" s="20"/>
      <c r="M669" s="20"/>
      <c r="N669" s="20"/>
      <c r="O669" s="20"/>
      <c r="P669" s="20"/>
      <c r="Q669" s="20"/>
      <c r="R669" s="20"/>
      <c r="S669" s="20"/>
      <c r="T669" s="26"/>
      <c r="U669" s="17"/>
    </row>
    <row r="670" spans="1:21" x14ac:dyDescent="0.25">
      <c r="A670" s="2" t="str">
        <f>IFERROR(VLOOKUP(B670,Clientes!A:B,2,0),"")</f>
        <v/>
      </c>
      <c r="B670" s="20">
        <f t="shared" si="53"/>
        <v>590</v>
      </c>
      <c r="C670" s="52"/>
      <c r="D670" s="55"/>
      <c r="E670" s="2"/>
      <c r="F670" s="71"/>
      <c r="G670" s="29"/>
      <c r="H670" s="20"/>
      <c r="I670" s="20" t="s">
        <v>84</v>
      </c>
      <c r="J670" s="20"/>
      <c r="K670" s="71"/>
      <c r="L670" s="20"/>
      <c r="M670" s="20"/>
      <c r="N670" s="20"/>
      <c r="O670" s="20"/>
      <c r="P670" s="20"/>
      <c r="Q670" s="20"/>
      <c r="R670" s="20"/>
      <c r="S670" s="20"/>
      <c r="T670" s="26"/>
      <c r="U670" s="17"/>
    </row>
    <row r="671" spans="1:21" x14ac:dyDescent="0.25">
      <c r="A671" s="2" t="str">
        <f>IFERROR(VLOOKUP(B671,Clientes!A:B,2,0),"")</f>
        <v/>
      </c>
      <c r="B671" s="20">
        <f t="shared" si="53"/>
        <v>591</v>
      </c>
      <c r="C671" s="52"/>
      <c r="D671" s="55"/>
      <c r="E671" s="2"/>
      <c r="F671" s="71"/>
      <c r="G671" s="29"/>
      <c r="H671" s="20"/>
      <c r="I671" s="20" t="s">
        <v>84</v>
      </c>
      <c r="J671" s="20"/>
      <c r="K671" s="71"/>
      <c r="L671" s="20"/>
      <c r="M671" s="20"/>
      <c r="N671" s="20"/>
      <c r="O671" s="20"/>
      <c r="P671" s="20"/>
      <c r="Q671" s="20"/>
      <c r="R671" s="20"/>
      <c r="S671" s="20"/>
      <c r="T671" s="26"/>
      <c r="U671" s="17"/>
    </row>
    <row r="672" spans="1:21" x14ac:dyDescent="0.25">
      <c r="A672" s="2" t="str">
        <f>IFERROR(VLOOKUP(B672,Clientes!A:B,2,0),"")</f>
        <v/>
      </c>
      <c r="B672" s="20">
        <f t="shared" si="53"/>
        <v>592</v>
      </c>
      <c r="C672" s="52"/>
      <c r="D672" s="55"/>
      <c r="E672" s="2"/>
      <c r="F672" s="71"/>
      <c r="G672" s="29"/>
      <c r="H672" s="20"/>
      <c r="I672" s="20" t="s">
        <v>84</v>
      </c>
      <c r="J672" s="20"/>
      <c r="K672" s="71"/>
      <c r="L672" s="20"/>
      <c r="M672" s="20"/>
      <c r="N672" s="20"/>
      <c r="O672" s="20"/>
      <c r="P672" s="20"/>
      <c r="Q672" s="20"/>
      <c r="R672" s="20"/>
      <c r="S672" s="20"/>
      <c r="T672" s="26"/>
      <c r="U672" s="17"/>
    </row>
    <row r="673" spans="1:21" x14ac:dyDescent="0.25">
      <c r="A673" s="2" t="str">
        <f>IFERROR(VLOOKUP(B673,Clientes!A:B,2,0),"")</f>
        <v/>
      </c>
      <c r="B673" s="20">
        <f t="shared" si="53"/>
        <v>593</v>
      </c>
      <c r="C673" s="52"/>
      <c r="D673" s="55"/>
      <c r="E673" s="2"/>
      <c r="F673" s="71"/>
      <c r="G673" s="29"/>
      <c r="H673" s="20"/>
      <c r="I673" s="20" t="s">
        <v>84</v>
      </c>
      <c r="J673" s="20"/>
      <c r="K673" s="71"/>
      <c r="L673" s="20"/>
      <c r="M673" s="20"/>
      <c r="N673" s="20"/>
      <c r="O673" s="20"/>
      <c r="P673" s="20"/>
      <c r="Q673" s="20"/>
      <c r="R673" s="20"/>
      <c r="S673" s="20"/>
      <c r="T673" s="26"/>
      <c r="U673" s="17"/>
    </row>
    <row r="674" spans="1:21" x14ac:dyDescent="0.25">
      <c r="A674" s="2" t="str">
        <f>IFERROR(VLOOKUP(B674,Clientes!A:B,2,0),"")</f>
        <v/>
      </c>
      <c r="B674" s="20">
        <f t="shared" si="53"/>
        <v>594</v>
      </c>
      <c r="C674" s="52"/>
      <c r="D674" s="55"/>
      <c r="E674" s="2"/>
      <c r="F674" s="71"/>
      <c r="G674" s="29"/>
      <c r="H674" s="20"/>
      <c r="I674" s="20" t="s">
        <v>84</v>
      </c>
      <c r="J674" s="20"/>
      <c r="K674" s="71"/>
      <c r="L674" s="20"/>
      <c r="M674" s="20"/>
      <c r="N674" s="20"/>
      <c r="O674" s="20"/>
      <c r="P674" s="20"/>
      <c r="Q674" s="20"/>
      <c r="R674" s="20"/>
      <c r="S674" s="20"/>
      <c r="T674" s="26"/>
      <c r="U674" s="17"/>
    </row>
    <row r="675" spans="1:21" x14ac:dyDescent="0.25">
      <c r="A675" s="2" t="str">
        <f>IFERROR(VLOOKUP(B675,Clientes!A:B,2,0),"")</f>
        <v/>
      </c>
      <c r="B675" s="20">
        <f t="shared" si="53"/>
        <v>595</v>
      </c>
      <c r="C675" s="52"/>
      <c r="D675" s="55"/>
      <c r="E675" s="2"/>
      <c r="F675" s="71"/>
      <c r="G675" s="29"/>
      <c r="H675" s="20"/>
      <c r="I675" s="20" t="s">
        <v>84</v>
      </c>
      <c r="J675" s="20"/>
      <c r="K675" s="71"/>
      <c r="L675" s="20"/>
      <c r="M675" s="20"/>
      <c r="N675" s="20"/>
      <c r="O675" s="20"/>
      <c r="P675" s="20"/>
      <c r="Q675" s="20"/>
      <c r="R675" s="20"/>
      <c r="S675" s="20"/>
      <c r="T675" s="26"/>
      <c r="U675" s="17"/>
    </row>
    <row r="676" spans="1:21" x14ac:dyDescent="0.25">
      <c r="A676" s="2" t="str">
        <f>IFERROR(VLOOKUP(B676,Clientes!A:B,2,0),"")</f>
        <v/>
      </c>
      <c r="B676" s="20">
        <f t="shared" si="53"/>
        <v>596</v>
      </c>
      <c r="C676" s="52"/>
      <c r="D676" s="55"/>
      <c r="E676" s="2"/>
      <c r="F676" s="71"/>
      <c r="G676" s="29"/>
      <c r="H676" s="20"/>
      <c r="I676" s="20" t="s">
        <v>84</v>
      </c>
      <c r="J676" s="20"/>
      <c r="K676" s="71"/>
      <c r="L676" s="20"/>
      <c r="M676" s="20"/>
      <c r="N676" s="20"/>
      <c r="O676" s="20"/>
      <c r="P676" s="20"/>
      <c r="Q676" s="20"/>
      <c r="R676" s="20"/>
      <c r="S676" s="20"/>
      <c r="T676" s="26"/>
      <c r="U676" s="17"/>
    </row>
    <row r="677" spans="1:21" x14ac:dyDescent="0.25">
      <c r="A677" s="2" t="str">
        <f>IFERROR(VLOOKUP(B677,Clientes!A:B,2,0),"")</f>
        <v/>
      </c>
      <c r="B677" s="20">
        <f t="shared" si="53"/>
        <v>597</v>
      </c>
      <c r="C677" s="52"/>
      <c r="D677" s="55"/>
      <c r="E677" s="2"/>
      <c r="F677" s="71"/>
      <c r="G677" s="29"/>
      <c r="H677" s="20"/>
      <c r="I677" s="20" t="s">
        <v>84</v>
      </c>
      <c r="J677" s="20"/>
      <c r="K677" s="71"/>
      <c r="L677" s="20"/>
      <c r="M677" s="20"/>
      <c r="N677" s="20"/>
      <c r="O677" s="20"/>
      <c r="P677" s="20"/>
      <c r="Q677" s="20"/>
      <c r="R677" s="20"/>
      <c r="S677" s="20"/>
      <c r="T677" s="26"/>
      <c r="U677" s="17"/>
    </row>
    <row r="678" spans="1:21" x14ac:dyDescent="0.25">
      <c r="A678" s="2" t="str">
        <f>IFERROR(VLOOKUP(B678,Clientes!A:B,2,0),"")</f>
        <v/>
      </c>
      <c r="B678" s="20">
        <f t="shared" si="53"/>
        <v>598</v>
      </c>
      <c r="C678" s="52"/>
      <c r="D678" s="55"/>
      <c r="E678" s="2"/>
      <c r="F678" s="71"/>
      <c r="G678" s="29"/>
      <c r="H678" s="20"/>
      <c r="I678" s="20" t="s">
        <v>84</v>
      </c>
      <c r="J678" s="20"/>
      <c r="K678" s="71"/>
      <c r="L678" s="20"/>
      <c r="M678" s="20"/>
      <c r="N678" s="20"/>
      <c r="O678" s="20"/>
      <c r="P678" s="20"/>
      <c r="Q678" s="20"/>
      <c r="R678" s="20"/>
      <c r="S678" s="20"/>
      <c r="T678" s="26"/>
      <c r="U678" s="17"/>
    </row>
    <row r="679" spans="1:21" x14ac:dyDescent="0.25">
      <c r="A679" s="2" t="str">
        <f>IFERROR(VLOOKUP(B679,Clientes!A:B,2,0),"")</f>
        <v/>
      </c>
      <c r="B679" s="20">
        <f t="shared" si="53"/>
        <v>599</v>
      </c>
      <c r="C679" s="52"/>
      <c r="D679" s="55"/>
      <c r="E679" s="2"/>
      <c r="F679" s="71"/>
      <c r="G679" s="29"/>
      <c r="H679" s="20"/>
      <c r="I679" s="20" t="s">
        <v>84</v>
      </c>
      <c r="J679" s="20"/>
      <c r="K679" s="71"/>
      <c r="L679" s="20"/>
      <c r="M679" s="20"/>
      <c r="N679" s="20"/>
      <c r="O679" s="20"/>
      <c r="P679" s="20"/>
      <c r="Q679" s="20"/>
      <c r="R679" s="20"/>
      <c r="S679" s="20"/>
      <c r="T679" s="26"/>
      <c r="U679" s="17"/>
    </row>
    <row r="680" spans="1:21" x14ac:dyDescent="0.25">
      <c r="A680" s="2" t="str">
        <f>IFERROR(VLOOKUP(B680,Clientes!A:B,2,0),"")</f>
        <v/>
      </c>
      <c r="B680" s="20">
        <f t="shared" si="53"/>
        <v>600</v>
      </c>
      <c r="C680" s="52"/>
      <c r="D680" s="55"/>
      <c r="E680" s="2"/>
      <c r="F680" s="71"/>
      <c r="G680" s="29"/>
      <c r="H680" s="20"/>
      <c r="I680" s="20" t="s">
        <v>84</v>
      </c>
      <c r="J680" s="20"/>
      <c r="K680" s="71"/>
      <c r="L680" s="20"/>
      <c r="M680" s="20"/>
      <c r="N680" s="20"/>
      <c r="O680" s="20"/>
      <c r="P680" s="20"/>
      <c r="Q680" s="20"/>
      <c r="R680" s="20"/>
      <c r="S680" s="20"/>
      <c r="T680" s="26"/>
      <c r="U680" s="17"/>
    </row>
    <row r="681" spans="1:21" x14ac:dyDescent="0.25">
      <c r="A681" s="2" t="str">
        <f>IFERROR(VLOOKUP(B681,Clientes!A:B,2,0),"")</f>
        <v/>
      </c>
      <c r="B681" s="20">
        <f t="shared" si="53"/>
        <v>601</v>
      </c>
      <c r="C681" s="52" t="s">
        <v>1214</v>
      </c>
      <c r="D681" s="55" t="s">
        <v>1215</v>
      </c>
      <c r="E681" s="2" t="s">
        <v>217</v>
      </c>
      <c r="F681" s="71">
        <v>221015</v>
      </c>
      <c r="G681" s="29" t="s">
        <v>56</v>
      </c>
      <c r="H681" s="20" t="s">
        <v>72</v>
      </c>
      <c r="I681" s="20" t="s">
        <v>84</v>
      </c>
      <c r="J681" s="20" t="s">
        <v>83</v>
      </c>
      <c r="K681" s="71"/>
      <c r="L681" s="20"/>
      <c r="M681" s="20"/>
      <c r="N681" s="20"/>
      <c r="O681" s="20"/>
      <c r="P681" s="20"/>
      <c r="Q681" s="20"/>
      <c r="R681" s="20"/>
      <c r="S681" s="20"/>
      <c r="T681" s="26"/>
      <c r="U681" s="17"/>
    </row>
    <row r="682" spans="1:21" x14ac:dyDescent="0.25">
      <c r="A682" s="2" t="str">
        <f>IFERROR(VLOOKUP(B682,Clientes!A:B,2,0),"")</f>
        <v/>
      </c>
      <c r="B682" s="20">
        <f t="shared" si="53"/>
        <v>602</v>
      </c>
      <c r="C682" s="52" t="s">
        <v>1196</v>
      </c>
      <c r="D682" s="55" t="s">
        <v>1197</v>
      </c>
      <c r="E682" s="2" t="s">
        <v>236</v>
      </c>
      <c r="F682" s="71">
        <v>221015</v>
      </c>
      <c r="G682" s="29" t="s">
        <v>69</v>
      </c>
      <c r="H682" s="20"/>
      <c r="I682" s="20" t="s">
        <v>84</v>
      </c>
      <c r="J682" s="20" t="s">
        <v>83</v>
      </c>
      <c r="K682" s="71"/>
      <c r="L682" s="20"/>
      <c r="M682" s="20"/>
      <c r="N682" s="20"/>
      <c r="O682" s="20"/>
      <c r="P682" s="20"/>
      <c r="Q682" s="20"/>
      <c r="R682" s="20"/>
      <c r="S682" s="20"/>
      <c r="T682" s="26"/>
      <c r="U682" s="17"/>
    </row>
    <row r="683" spans="1:21" x14ac:dyDescent="0.25">
      <c r="A683" s="2" t="str">
        <f>IFERROR(VLOOKUP(B683,Clientes!A:B,2,0),"")</f>
        <v/>
      </c>
      <c r="B683" s="20">
        <f t="shared" si="53"/>
        <v>603</v>
      </c>
      <c r="C683" s="52" t="s">
        <v>521</v>
      </c>
      <c r="D683" s="55" t="s">
        <v>522</v>
      </c>
      <c r="E683" s="2" t="s">
        <v>217</v>
      </c>
      <c r="F683" s="71">
        <v>231015</v>
      </c>
      <c r="G683" s="29" t="s">
        <v>56</v>
      </c>
      <c r="H683" s="20" t="s">
        <v>72</v>
      </c>
      <c r="I683" s="20" t="s">
        <v>84</v>
      </c>
      <c r="J683" s="20" t="s">
        <v>83</v>
      </c>
      <c r="K683" s="71"/>
      <c r="L683" s="20"/>
      <c r="M683" s="20"/>
      <c r="N683" s="20"/>
      <c r="O683" s="20"/>
      <c r="P683" s="20"/>
      <c r="Q683" s="20"/>
      <c r="R683" s="20"/>
      <c r="S683" s="20"/>
      <c r="T683" s="26"/>
      <c r="U683" s="17"/>
    </row>
    <row r="684" spans="1:21" x14ac:dyDescent="0.25">
      <c r="A684" s="2" t="str">
        <f>IFERROR(VLOOKUP(B684,Clientes!A:B,2,0),"")</f>
        <v/>
      </c>
      <c r="B684" s="20">
        <f t="shared" ref="B684:B689" si="54">B683+1</f>
        <v>604</v>
      </c>
      <c r="C684" s="52" t="s">
        <v>983</v>
      </c>
      <c r="D684" s="55" t="s">
        <v>984</v>
      </c>
      <c r="E684" s="2" t="s">
        <v>228</v>
      </c>
      <c r="F684" s="71">
        <v>231015</v>
      </c>
      <c r="G684" s="29" t="s">
        <v>69</v>
      </c>
      <c r="H684" s="20"/>
      <c r="I684" s="20" t="s">
        <v>84</v>
      </c>
      <c r="J684" s="20" t="s">
        <v>81</v>
      </c>
      <c r="K684" s="71"/>
      <c r="L684" s="20"/>
      <c r="M684" s="20"/>
      <c r="N684" s="20"/>
      <c r="O684" s="20"/>
      <c r="P684" s="20"/>
      <c r="Q684" s="20"/>
      <c r="R684" s="20"/>
      <c r="S684" s="20"/>
      <c r="T684" s="26"/>
      <c r="U684" s="17"/>
    </row>
    <row r="685" spans="1:21" x14ac:dyDescent="0.25">
      <c r="A685" s="2" t="str">
        <f>IFERROR(VLOOKUP(B685,Clientes!A:B,2,0),"")</f>
        <v/>
      </c>
      <c r="B685" s="20">
        <f t="shared" si="54"/>
        <v>605</v>
      </c>
      <c r="C685" s="52" t="s">
        <v>1216</v>
      </c>
      <c r="D685" s="55" t="s">
        <v>1217</v>
      </c>
      <c r="E685" s="2" t="s">
        <v>228</v>
      </c>
      <c r="F685" s="71">
        <v>231015</v>
      </c>
      <c r="G685" s="29" t="s">
        <v>69</v>
      </c>
      <c r="H685" s="20"/>
      <c r="I685" s="20" t="s">
        <v>84</v>
      </c>
      <c r="J685" s="20" t="s">
        <v>81</v>
      </c>
      <c r="K685" s="71"/>
      <c r="L685" s="20"/>
      <c r="M685" s="20"/>
      <c r="N685" s="20"/>
      <c r="O685" s="20"/>
      <c r="P685" s="20"/>
      <c r="Q685" s="20"/>
      <c r="R685" s="20"/>
      <c r="S685" s="20"/>
      <c r="T685" s="26"/>
      <c r="U685" s="17"/>
    </row>
    <row r="686" spans="1:21" x14ac:dyDescent="0.25">
      <c r="A686" s="2" t="str">
        <f>IFERROR(VLOOKUP(B686,Clientes!A:B,2,0),"")</f>
        <v/>
      </c>
      <c r="B686" s="20">
        <f t="shared" si="54"/>
        <v>606</v>
      </c>
      <c r="C686" s="52" t="s">
        <v>1229</v>
      </c>
      <c r="D686" s="55" t="s">
        <v>1230</v>
      </c>
      <c r="E686" s="2" t="s">
        <v>233</v>
      </c>
      <c r="F686" s="71">
        <v>261015</v>
      </c>
      <c r="G686" s="29" t="s">
        <v>56</v>
      </c>
      <c r="H686" s="20" t="s">
        <v>73</v>
      </c>
      <c r="I686" s="20" t="s">
        <v>84</v>
      </c>
      <c r="J686" s="20" t="s">
        <v>83</v>
      </c>
      <c r="K686" s="71"/>
      <c r="L686" s="20"/>
      <c r="M686" s="20"/>
      <c r="N686" s="20"/>
      <c r="O686" s="20"/>
      <c r="P686" s="20"/>
      <c r="Q686" s="20"/>
      <c r="R686" s="20"/>
      <c r="S686" s="20"/>
      <c r="T686" s="26"/>
      <c r="U686" s="17"/>
    </row>
    <row r="687" spans="1:21" x14ac:dyDescent="0.25">
      <c r="A687" s="2" t="str">
        <f>IFERROR(VLOOKUP(B687,Clientes!A:B,2,0),"")</f>
        <v/>
      </c>
      <c r="B687" s="20">
        <f t="shared" si="54"/>
        <v>607</v>
      </c>
      <c r="C687" s="52"/>
      <c r="D687" s="55"/>
      <c r="E687" s="2"/>
      <c r="F687" s="71"/>
      <c r="G687" s="29"/>
      <c r="H687" s="20"/>
      <c r="I687" s="20" t="s">
        <v>84</v>
      </c>
      <c r="J687" s="20"/>
      <c r="K687" s="71"/>
      <c r="L687" s="20"/>
      <c r="M687" s="20"/>
      <c r="N687" s="20"/>
      <c r="O687" s="20"/>
      <c r="P687" s="20"/>
      <c r="Q687" s="20"/>
      <c r="R687" s="20"/>
      <c r="S687" s="20"/>
      <c r="T687" s="26"/>
      <c r="U687" s="17"/>
    </row>
    <row r="688" spans="1:21" x14ac:dyDescent="0.25">
      <c r="A688" s="2" t="str">
        <f>IFERROR(VLOOKUP(B688,Clientes!A:B,2,0),"")</f>
        <v/>
      </c>
      <c r="B688" s="20">
        <f t="shared" si="54"/>
        <v>608</v>
      </c>
      <c r="C688" s="52" t="s">
        <v>1219</v>
      </c>
      <c r="D688" s="55" t="s">
        <v>1220</v>
      </c>
      <c r="E688" s="2"/>
      <c r="F688" s="71">
        <v>231015</v>
      </c>
      <c r="G688" s="29" t="s">
        <v>63</v>
      </c>
      <c r="H688" s="20"/>
      <c r="I688" s="20" t="s">
        <v>84</v>
      </c>
      <c r="J688" s="20" t="s">
        <v>81</v>
      </c>
      <c r="K688" s="71"/>
      <c r="L688" s="20"/>
      <c r="M688" s="20"/>
      <c r="N688" s="20"/>
      <c r="O688" s="20"/>
      <c r="P688" s="20"/>
      <c r="Q688" s="20"/>
      <c r="R688" s="20"/>
      <c r="S688" s="20"/>
      <c r="T688" s="26"/>
      <c r="U688" s="17"/>
    </row>
    <row r="689" spans="1:21" x14ac:dyDescent="0.25">
      <c r="A689" s="2" t="str">
        <f>IFERROR(VLOOKUP(B689,Clientes!A:B,2,0),"")</f>
        <v/>
      </c>
      <c r="B689" s="20">
        <f t="shared" si="54"/>
        <v>609</v>
      </c>
      <c r="C689" s="52" t="s">
        <v>1224</v>
      </c>
      <c r="D689" s="55" t="s">
        <v>1225</v>
      </c>
      <c r="E689" s="2" t="s">
        <v>222</v>
      </c>
      <c r="F689" s="71">
        <v>261015</v>
      </c>
      <c r="G689" s="29" t="s">
        <v>56</v>
      </c>
      <c r="H689" s="20" t="s">
        <v>1192</v>
      </c>
      <c r="I689" s="20" t="s">
        <v>84</v>
      </c>
      <c r="J689" s="20" t="s">
        <v>83</v>
      </c>
      <c r="K689" s="71"/>
      <c r="L689" s="20"/>
      <c r="M689" s="20"/>
      <c r="N689" s="20"/>
      <c r="O689" s="20"/>
      <c r="P689" s="20"/>
      <c r="Q689" s="20"/>
      <c r="R689" s="20"/>
      <c r="S689" s="20"/>
      <c r="T689" s="26"/>
      <c r="U689" s="17"/>
    </row>
    <row r="690" spans="1:21" x14ac:dyDescent="0.25">
      <c r="A690" s="2"/>
      <c r="B690" s="20">
        <v>609</v>
      </c>
      <c r="C690" s="52" t="s">
        <v>1227</v>
      </c>
      <c r="D690" s="55" t="s">
        <v>1228</v>
      </c>
      <c r="E690" s="2" t="s">
        <v>232</v>
      </c>
      <c r="F690" s="71">
        <v>261015</v>
      </c>
      <c r="G690" s="29" t="s">
        <v>56</v>
      </c>
      <c r="H690" s="20" t="s">
        <v>1192</v>
      </c>
      <c r="I690" s="20" t="s">
        <v>84</v>
      </c>
      <c r="J690" s="20" t="s">
        <v>83</v>
      </c>
      <c r="K690" s="71"/>
      <c r="L690" s="20"/>
      <c r="M690" s="20"/>
      <c r="N690" s="20"/>
      <c r="O690" s="20"/>
      <c r="P690" s="20"/>
      <c r="Q690" s="20"/>
      <c r="R690" s="20"/>
      <c r="S690" s="20"/>
      <c r="T690" s="26"/>
      <c r="U690" s="17"/>
    </row>
    <row r="691" spans="1:21" x14ac:dyDescent="0.25">
      <c r="A691" s="2" t="str">
        <f>IFERROR(VLOOKUP(B691,Clientes!A:B,2,0),"")</f>
        <v/>
      </c>
      <c r="B691" s="20">
        <f>B689+1</f>
        <v>610</v>
      </c>
      <c r="C691" s="52"/>
      <c r="D691" s="55"/>
      <c r="E691" s="2"/>
      <c r="F691" s="71"/>
      <c r="G691" s="29"/>
      <c r="H691" s="20"/>
      <c r="I691" s="20" t="s">
        <v>84</v>
      </c>
      <c r="J691" s="20"/>
      <c r="K691" s="71"/>
      <c r="L691" s="20"/>
      <c r="M691" s="20"/>
      <c r="N691" s="20"/>
      <c r="O691" s="20"/>
      <c r="P691" s="20"/>
      <c r="Q691" s="20"/>
      <c r="R691" s="20"/>
      <c r="S691" s="20"/>
      <c r="T691" s="26"/>
      <c r="U691" s="17"/>
    </row>
    <row r="692" spans="1:21" x14ac:dyDescent="0.25">
      <c r="A692" s="2" t="str">
        <f>IFERROR(VLOOKUP(B692,Clientes!A:B,2,0),"")</f>
        <v/>
      </c>
      <c r="B692" s="20">
        <f t="shared" ref="B692:B700" si="55">B691+1</f>
        <v>611</v>
      </c>
      <c r="C692" s="52" t="s">
        <v>396</v>
      </c>
      <c r="D692" s="55" t="s">
        <v>397</v>
      </c>
      <c r="E692" s="55" t="s">
        <v>1226</v>
      </c>
      <c r="F692" s="71">
        <v>261015</v>
      </c>
      <c r="G692" s="29" t="s">
        <v>64</v>
      </c>
      <c r="H692" s="20" t="s">
        <v>77</v>
      </c>
      <c r="I692" s="20" t="s">
        <v>84</v>
      </c>
      <c r="J692" s="20" t="s">
        <v>81</v>
      </c>
      <c r="K692" s="71"/>
      <c r="L692" s="20"/>
      <c r="M692" s="20"/>
      <c r="N692" s="20"/>
      <c r="O692" s="20"/>
      <c r="P692" s="20"/>
      <c r="Q692" s="20"/>
      <c r="R692" s="20"/>
      <c r="S692" s="20"/>
      <c r="T692" s="26"/>
      <c r="U692" s="17"/>
    </row>
    <row r="693" spans="1:21" x14ac:dyDescent="0.25">
      <c r="A693" s="2" t="str">
        <f>IFERROR(VLOOKUP(B693,Clientes!A:B,2,0),"")</f>
        <v/>
      </c>
      <c r="B693" s="20">
        <f t="shared" si="55"/>
        <v>612</v>
      </c>
      <c r="C693" s="52" t="s">
        <v>327</v>
      </c>
      <c r="D693" s="55" t="s">
        <v>509</v>
      </c>
      <c r="E693" s="2" t="s">
        <v>231</v>
      </c>
      <c r="F693" s="71">
        <v>271015</v>
      </c>
      <c r="G693" s="29" t="s">
        <v>56</v>
      </c>
      <c r="H693" s="20" t="s">
        <v>72</v>
      </c>
      <c r="I693" s="20" t="s">
        <v>84</v>
      </c>
      <c r="J693" s="20" t="s">
        <v>83</v>
      </c>
      <c r="K693" s="71"/>
      <c r="L693" s="20"/>
      <c r="M693" s="20"/>
      <c r="N693" s="20"/>
      <c r="O693" s="20"/>
      <c r="P693" s="20"/>
      <c r="Q693" s="20"/>
      <c r="R693" s="20"/>
      <c r="S693" s="20"/>
      <c r="T693" s="26"/>
      <c r="U693" s="17"/>
    </row>
    <row r="694" spans="1:21" x14ac:dyDescent="0.25">
      <c r="A694" s="2" t="str">
        <f>IFERROR(VLOOKUP(B694,Clientes!A:B,2,0),"")</f>
        <v/>
      </c>
      <c r="B694" s="20">
        <f t="shared" si="55"/>
        <v>613</v>
      </c>
      <c r="C694" s="52" t="s">
        <v>1242</v>
      </c>
      <c r="D694" s="55" t="s">
        <v>1243</v>
      </c>
      <c r="E694" s="2" t="s">
        <v>226</v>
      </c>
      <c r="F694" s="71">
        <v>271015</v>
      </c>
      <c r="G694" s="29" t="s">
        <v>58</v>
      </c>
      <c r="H694" s="20" t="s">
        <v>72</v>
      </c>
      <c r="I694" s="20" t="s">
        <v>84</v>
      </c>
      <c r="J694" s="20" t="s">
        <v>81</v>
      </c>
      <c r="K694" s="71"/>
      <c r="L694" s="20"/>
      <c r="M694" s="20"/>
      <c r="N694" s="20"/>
      <c r="O694" s="20"/>
      <c r="P694" s="20"/>
      <c r="Q694" s="20"/>
      <c r="R694" s="20"/>
      <c r="S694" s="20"/>
      <c r="T694" s="26"/>
      <c r="U694" s="17"/>
    </row>
    <row r="695" spans="1:21" x14ac:dyDescent="0.25">
      <c r="A695" s="2" t="str">
        <f>IFERROR(VLOOKUP(B695,Clientes!A:B,2,0),"")</f>
        <v/>
      </c>
      <c r="B695" s="20">
        <f t="shared" si="55"/>
        <v>614</v>
      </c>
      <c r="C695" s="52" t="s">
        <v>475</v>
      </c>
      <c r="D695" s="55" t="s">
        <v>476</v>
      </c>
      <c r="E695" s="2" t="s">
        <v>225</v>
      </c>
      <c r="F695" s="71">
        <v>271015</v>
      </c>
      <c r="G695" s="29" t="s">
        <v>58</v>
      </c>
      <c r="H695" s="20" t="s">
        <v>72</v>
      </c>
      <c r="I695" s="20" t="s">
        <v>84</v>
      </c>
      <c r="J695" s="20" t="s">
        <v>81</v>
      </c>
      <c r="K695" s="71"/>
      <c r="L695" s="20"/>
      <c r="M695" s="20"/>
      <c r="N695" s="20"/>
      <c r="O695" s="20"/>
      <c r="P695" s="20"/>
      <c r="Q695" s="20"/>
      <c r="R695" s="20"/>
      <c r="S695" s="20"/>
      <c r="T695" s="26"/>
      <c r="U695" s="17"/>
    </row>
    <row r="696" spans="1:21" x14ac:dyDescent="0.25">
      <c r="A696" s="2" t="str">
        <f>IFERROR(VLOOKUP(B696,Clientes!A:B,2,0),"")</f>
        <v/>
      </c>
      <c r="B696" s="20">
        <f t="shared" si="55"/>
        <v>615</v>
      </c>
      <c r="C696" s="52"/>
      <c r="D696" s="55"/>
      <c r="E696" s="2"/>
      <c r="F696" s="71"/>
      <c r="G696" s="29"/>
      <c r="H696" s="20"/>
      <c r="I696" s="20" t="s">
        <v>84</v>
      </c>
      <c r="J696" s="20"/>
      <c r="K696" s="71"/>
      <c r="L696" s="20"/>
      <c r="M696" s="20"/>
      <c r="N696" s="20"/>
      <c r="O696" s="20"/>
      <c r="P696" s="20"/>
      <c r="Q696" s="20"/>
      <c r="R696" s="20"/>
      <c r="S696" s="20"/>
      <c r="T696" s="26"/>
      <c r="U696" s="17"/>
    </row>
    <row r="697" spans="1:21" x14ac:dyDescent="0.25">
      <c r="A697" s="2" t="str">
        <f>IFERROR(VLOOKUP(B697,Clientes!A:B,2,0),"")</f>
        <v/>
      </c>
      <c r="B697" s="20">
        <f t="shared" si="55"/>
        <v>616</v>
      </c>
      <c r="C697" s="52"/>
      <c r="D697" s="55"/>
      <c r="E697" s="2"/>
      <c r="F697" s="71"/>
      <c r="G697" s="29"/>
      <c r="H697" s="20"/>
      <c r="I697" s="20" t="s">
        <v>84</v>
      </c>
      <c r="J697" s="20"/>
      <c r="K697" s="71"/>
      <c r="L697" s="20"/>
      <c r="M697" s="20"/>
      <c r="N697" s="20"/>
      <c r="O697" s="20"/>
      <c r="P697" s="20"/>
      <c r="Q697" s="20"/>
      <c r="R697" s="20"/>
      <c r="S697" s="20"/>
      <c r="T697" s="26"/>
      <c r="U697" s="17"/>
    </row>
    <row r="698" spans="1:21" x14ac:dyDescent="0.25">
      <c r="A698" s="2" t="str">
        <f>IFERROR(VLOOKUP(B698,Clientes!A:B,2,0),"")</f>
        <v/>
      </c>
      <c r="B698" s="20">
        <f t="shared" si="55"/>
        <v>617</v>
      </c>
      <c r="C698" s="52" t="s">
        <v>243</v>
      </c>
      <c r="D698" s="55" t="s">
        <v>244</v>
      </c>
      <c r="E698" s="2" t="s">
        <v>218</v>
      </c>
      <c r="F698" s="71">
        <v>271015</v>
      </c>
      <c r="G698" s="29" t="s">
        <v>58</v>
      </c>
      <c r="H698" s="20" t="s">
        <v>72</v>
      </c>
      <c r="I698" s="20" t="s">
        <v>84</v>
      </c>
      <c r="J698" s="20" t="s">
        <v>81</v>
      </c>
      <c r="K698" s="71"/>
      <c r="L698" s="20" t="s">
        <v>22</v>
      </c>
      <c r="M698" s="20"/>
      <c r="N698" s="20"/>
      <c r="O698" s="20"/>
      <c r="P698" s="20"/>
      <c r="Q698" s="20"/>
      <c r="R698" s="20"/>
      <c r="S698" s="20"/>
      <c r="T698" s="26"/>
      <c r="U698" s="17"/>
    </row>
    <row r="699" spans="1:21" x14ac:dyDescent="0.25">
      <c r="A699" s="2" t="str">
        <f>IFERROR(VLOOKUP(B699,Clientes!A:B,2,0),"")</f>
        <v/>
      </c>
      <c r="B699" s="20">
        <f t="shared" si="55"/>
        <v>618</v>
      </c>
      <c r="C699" s="52"/>
      <c r="D699" s="55"/>
      <c r="E699" s="2"/>
      <c r="F699" s="71"/>
      <c r="G699" s="29"/>
      <c r="H699" s="20"/>
      <c r="I699" s="20" t="s">
        <v>84</v>
      </c>
      <c r="J699" s="20"/>
      <c r="K699" s="71"/>
      <c r="L699" s="20"/>
      <c r="M699" s="20"/>
      <c r="N699" s="20"/>
      <c r="O699" s="20"/>
      <c r="P699" s="20"/>
      <c r="Q699" s="20"/>
      <c r="R699" s="20"/>
      <c r="S699" s="20"/>
      <c r="T699" s="26"/>
      <c r="U699" s="17"/>
    </row>
    <row r="700" spans="1:21" x14ac:dyDescent="0.25">
      <c r="A700" s="2" t="str">
        <f>IFERROR(VLOOKUP(B700,Clientes!A:B,2,0),"")</f>
        <v/>
      </c>
      <c r="B700" s="20">
        <f t="shared" si="55"/>
        <v>619</v>
      </c>
      <c r="C700" s="52" t="s">
        <v>1244</v>
      </c>
      <c r="D700" s="55" t="s">
        <v>1245</v>
      </c>
      <c r="E700" s="2"/>
      <c r="F700" s="71">
        <v>281015</v>
      </c>
      <c r="G700" s="29" t="s">
        <v>66</v>
      </c>
      <c r="H700" s="20" t="s">
        <v>77</v>
      </c>
      <c r="I700" s="20" t="s">
        <v>84</v>
      </c>
      <c r="J700" s="20" t="s">
        <v>81</v>
      </c>
      <c r="K700" s="71"/>
      <c r="L700" s="20"/>
      <c r="M700" s="20"/>
      <c r="N700" s="20"/>
      <c r="O700" s="20"/>
      <c r="P700" s="20"/>
      <c r="Q700" s="20"/>
      <c r="R700" s="20"/>
      <c r="S700" s="20"/>
      <c r="T700" s="26"/>
      <c r="U700" s="17"/>
    </row>
    <row r="701" spans="1:21" x14ac:dyDescent="0.25">
      <c r="A701" s="2" t="str">
        <f>IFERROR(VLOOKUP(B701,Clientes!A:B,2,0),"")</f>
        <v/>
      </c>
      <c r="B701" s="20">
        <f t="shared" ref="B701:B707" si="56">B700+1</f>
        <v>620</v>
      </c>
      <c r="C701" s="52" t="s">
        <v>1247</v>
      </c>
      <c r="D701" s="55" t="s">
        <v>1248</v>
      </c>
      <c r="E701" s="2" t="s">
        <v>229</v>
      </c>
      <c r="F701" s="71">
        <v>281015</v>
      </c>
      <c r="G701" s="29" t="s">
        <v>56</v>
      </c>
      <c r="H701" s="20" t="s">
        <v>72</v>
      </c>
      <c r="I701" s="20" t="s">
        <v>84</v>
      </c>
      <c r="J701" s="20" t="s">
        <v>83</v>
      </c>
      <c r="K701" s="71"/>
      <c r="L701" s="20"/>
      <c r="M701" s="20"/>
      <c r="N701" s="20"/>
      <c r="O701" s="20"/>
      <c r="P701" s="20"/>
      <c r="Q701" s="20"/>
      <c r="R701" s="20"/>
      <c r="S701" s="20"/>
      <c r="T701" s="26"/>
      <c r="U701" s="17"/>
    </row>
    <row r="702" spans="1:21" x14ac:dyDescent="0.25">
      <c r="A702" s="2" t="str">
        <f>IFERROR(VLOOKUP(B702,Clientes!A:B,2,0),"")</f>
        <v/>
      </c>
      <c r="B702" s="20">
        <f t="shared" si="56"/>
        <v>621</v>
      </c>
      <c r="C702" s="52" t="s">
        <v>681</v>
      </c>
      <c r="D702" s="55" t="s">
        <v>682</v>
      </c>
      <c r="E702" s="2" t="s">
        <v>216</v>
      </c>
      <c r="F702" s="71">
        <v>281015</v>
      </c>
      <c r="G702" s="29" t="s">
        <v>56</v>
      </c>
      <c r="H702" s="20" t="s">
        <v>73</v>
      </c>
      <c r="I702" s="20" t="s">
        <v>84</v>
      </c>
      <c r="J702" s="20" t="s">
        <v>83</v>
      </c>
      <c r="K702" s="71"/>
      <c r="L702" s="20"/>
      <c r="M702" s="20"/>
      <c r="N702" s="20"/>
      <c r="O702" s="20"/>
      <c r="P702" s="20"/>
      <c r="Q702" s="20"/>
      <c r="R702" s="20"/>
      <c r="S702" s="20"/>
      <c r="T702" s="26"/>
      <c r="U702" s="17"/>
    </row>
    <row r="703" spans="1:21" x14ac:dyDescent="0.25">
      <c r="A703" s="2" t="str">
        <f>IFERROR(VLOOKUP(B703,Clientes!A:B,2,0),"")</f>
        <v/>
      </c>
      <c r="B703" s="20">
        <f t="shared" si="56"/>
        <v>622</v>
      </c>
      <c r="C703" s="52" t="s">
        <v>705</v>
      </c>
      <c r="D703" s="55" t="s">
        <v>828</v>
      </c>
      <c r="E703" s="2" t="s">
        <v>230</v>
      </c>
      <c r="F703" s="71">
        <v>281015</v>
      </c>
      <c r="G703" s="29" t="s">
        <v>56</v>
      </c>
      <c r="H703" s="20" t="s">
        <v>73</v>
      </c>
      <c r="I703" s="20" t="s">
        <v>84</v>
      </c>
      <c r="J703" s="20" t="s">
        <v>83</v>
      </c>
      <c r="K703" s="71"/>
      <c r="L703" s="20"/>
      <c r="M703" s="20"/>
      <c r="N703" s="20"/>
      <c r="O703" s="20"/>
      <c r="P703" s="20"/>
      <c r="Q703" s="20"/>
      <c r="R703" s="20"/>
      <c r="S703" s="20"/>
      <c r="T703" s="26"/>
      <c r="U703" s="17"/>
    </row>
    <row r="704" spans="1:21" x14ac:dyDescent="0.25">
      <c r="A704" s="2" t="str">
        <f>IFERROR(VLOOKUP(B704,Clientes!A:B,2,0),"")</f>
        <v/>
      </c>
      <c r="B704" s="20">
        <f t="shared" si="56"/>
        <v>623</v>
      </c>
      <c r="C704" s="52" t="s">
        <v>319</v>
      </c>
      <c r="D704" s="55" t="s">
        <v>320</v>
      </c>
      <c r="E704" s="2"/>
      <c r="F704" s="71">
        <v>281015</v>
      </c>
      <c r="G704" s="29" t="s">
        <v>63</v>
      </c>
      <c r="H704" s="20"/>
      <c r="I704" s="20" t="s">
        <v>84</v>
      </c>
      <c r="J704" s="20" t="s">
        <v>81</v>
      </c>
      <c r="K704" s="71"/>
      <c r="L704" s="20"/>
      <c r="M704" s="20"/>
      <c r="N704" s="20"/>
      <c r="O704" s="20"/>
      <c r="P704" s="20"/>
      <c r="Q704" s="20"/>
      <c r="R704" s="20"/>
      <c r="S704" s="20"/>
      <c r="T704" s="26"/>
      <c r="U704" s="17"/>
    </row>
    <row r="705" spans="1:21" x14ac:dyDescent="0.25">
      <c r="A705" s="2" t="str">
        <f>IFERROR(VLOOKUP(B705,Clientes!A:B,2,0),"")</f>
        <v/>
      </c>
      <c r="B705" s="20">
        <f t="shared" si="56"/>
        <v>624</v>
      </c>
      <c r="C705" s="52" t="s">
        <v>1249</v>
      </c>
      <c r="D705" s="55" t="s">
        <v>1250</v>
      </c>
      <c r="E705" s="2" t="s">
        <v>1234</v>
      </c>
      <c r="F705" s="71">
        <v>281015</v>
      </c>
      <c r="G705" s="29" t="s">
        <v>56</v>
      </c>
      <c r="H705" s="20" t="s">
        <v>74</v>
      </c>
      <c r="I705" s="20" t="s">
        <v>84</v>
      </c>
      <c r="J705" s="20" t="s">
        <v>83</v>
      </c>
      <c r="K705" s="71"/>
      <c r="L705" s="20"/>
      <c r="M705" s="20"/>
      <c r="N705" s="20"/>
      <c r="O705" s="20"/>
      <c r="P705" s="20"/>
      <c r="Q705" s="20"/>
      <c r="R705" s="20"/>
      <c r="S705" s="20"/>
      <c r="T705" s="26"/>
      <c r="U705" s="17"/>
    </row>
    <row r="706" spans="1:21" x14ac:dyDescent="0.25">
      <c r="A706" s="2" t="str">
        <f>IFERROR(VLOOKUP(B706,Clientes!A:B,2,0),"")</f>
        <v/>
      </c>
      <c r="B706" s="20">
        <f t="shared" si="56"/>
        <v>625</v>
      </c>
      <c r="C706" s="52" t="s">
        <v>906</v>
      </c>
      <c r="D706" s="55" t="s">
        <v>1246</v>
      </c>
      <c r="E706" s="2" t="s">
        <v>222</v>
      </c>
      <c r="F706" s="71">
        <v>291015</v>
      </c>
      <c r="G706" s="29" t="s">
        <v>56</v>
      </c>
      <c r="H706" s="20" t="s">
        <v>72</v>
      </c>
      <c r="I706" s="20" t="s">
        <v>84</v>
      </c>
      <c r="J706" s="20" t="s">
        <v>83</v>
      </c>
      <c r="K706" s="71"/>
      <c r="L706" s="20"/>
      <c r="M706" s="20"/>
      <c r="N706" s="20"/>
      <c r="O706" s="20"/>
      <c r="P706" s="20"/>
      <c r="Q706" s="20"/>
      <c r="R706" s="20"/>
      <c r="S706" s="20"/>
      <c r="T706" s="26"/>
      <c r="U706" s="17"/>
    </row>
    <row r="707" spans="1:21" x14ac:dyDescent="0.25">
      <c r="A707" s="2" t="str">
        <f>IFERROR(VLOOKUP(B707,Clientes!A:B,2,0),"")</f>
        <v/>
      </c>
      <c r="B707" s="20">
        <f t="shared" si="56"/>
        <v>626</v>
      </c>
      <c r="C707" s="52" t="s">
        <v>898</v>
      </c>
      <c r="D707" s="55" t="s">
        <v>899</v>
      </c>
      <c r="E707" s="2" t="s">
        <v>217</v>
      </c>
      <c r="F707" s="71">
        <v>31115</v>
      </c>
      <c r="G707" s="29" t="s">
        <v>56</v>
      </c>
      <c r="H707" s="20" t="s">
        <v>72</v>
      </c>
      <c r="I707" s="20" t="s">
        <v>84</v>
      </c>
      <c r="J707" s="20" t="s">
        <v>1232</v>
      </c>
      <c r="K707" s="71"/>
      <c r="L707" s="20"/>
      <c r="M707" s="20"/>
      <c r="N707" s="20"/>
      <c r="O707" s="20"/>
      <c r="P707" s="20"/>
      <c r="Q707" s="20"/>
      <c r="R707" s="20"/>
      <c r="S707" s="20"/>
      <c r="T707" s="26"/>
      <c r="U707" s="17"/>
    </row>
    <row r="708" spans="1:21" x14ac:dyDescent="0.25">
      <c r="A708" s="2"/>
      <c r="B708" s="20" t="s">
        <v>1255</v>
      </c>
      <c r="C708" s="52" t="s">
        <v>797</v>
      </c>
      <c r="D708" s="55" t="s">
        <v>798</v>
      </c>
      <c r="E708" s="2" t="s">
        <v>225</v>
      </c>
      <c r="F708" s="71">
        <v>291015</v>
      </c>
      <c r="G708" s="29" t="s">
        <v>58</v>
      </c>
      <c r="H708" s="20" t="s">
        <v>72</v>
      </c>
      <c r="I708" s="20" t="s">
        <v>84</v>
      </c>
      <c r="J708" s="20" t="s">
        <v>81</v>
      </c>
      <c r="K708" s="71"/>
      <c r="L708" s="20" t="s">
        <v>23</v>
      </c>
      <c r="M708" s="20"/>
      <c r="N708" s="20"/>
      <c r="O708" s="20"/>
      <c r="P708" s="20"/>
      <c r="Q708" s="20"/>
      <c r="R708" s="20"/>
      <c r="S708" s="20"/>
      <c r="T708" s="26"/>
      <c r="U708" s="17"/>
    </row>
    <row r="709" spans="1:21" x14ac:dyDescent="0.25">
      <c r="A709" s="2" t="str">
        <f>IFERROR(VLOOKUP(B709,Clientes!A:B,2,0),"")</f>
        <v/>
      </c>
      <c r="B709" s="20">
        <f>B707+1</f>
        <v>627</v>
      </c>
      <c r="C709" s="52" t="s">
        <v>1172</v>
      </c>
      <c r="D709" s="55" t="s">
        <v>1173</v>
      </c>
      <c r="E709" s="2"/>
      <c r="F709" s="71">
        <v>291015</v>
      </c>
      <c r="G709" s="29" t="s">
        <v>69</v>
      </c>
      <c r="H709" s="20"/>
      <c r="I709" s="20" t="s">
        <v>84</v>
      </c>
      <c r="J709" s="20" t="s">
        <v>83</v>
      </c>
      <c r="K709" s="71"/>
      <c r="L709" s="20"/>
      <c r="M709" s="20"/>
      <c r="N709" s="20"/>
      <c r="O709" s="20"/>
      <c r="P709" s="20"/>
      <c r="Q709" s="20"/>
      <c r="R709" s="20"/>
      <c r="S709" s="20"/>
      <c r="T709" s="26"/>
      <c r="U709" s="17"/>
    </row>
    <row r="710" spans="1:21" x14ac:dyDescent="0.25">
      <c r="A710" s="2" t="str">
        <f>IFERROR(VLOOKUP(B710,Clientes!A:B,2,0),"")</f>
        <v/>
      </c>
      <c r="B710" s="20">
        <f t="shared" ref="B710:B735" si="57">B709+1</f>
        <v>628</v>
      </c>
      <c r="C710" s="52" t="s">
        <v>854</v>
      </c>
      <c r="D710" s="55" t="s">
        <v>855</v>
      </c>
      <c r="E710" s="2" t="s">
        <v>218</v>
      </c>
      <c r="F710" s="71">
        <v>31115</v>
      </c>
      <c r="G710" s="29" t="s">
        <v>1191</v>
      </c>
      <c r="H710" s="20" t="s">
        <v>73</v>
      </c>
      <c r="I710" s="20" t="s">
        <v>84</v>
      </c>
      <c r="J710" s="20" t="s">
        <v>81</v>
      </c>
      <c r="K710" s="71"/>
      <c r="L710" s="20"/>
      <c r="M710" s="20"/>
      <c r="N710" s="20"/>
      <c r="O710" s="20"/>
      <c r="P710" s="20"/>
      <c r="Q710" s="20"/>
      <c r="R710" s="20"/>
      <c r="S710" s="20"/>
      <c r="T710" s="26"/>
      <c r="U710" s="17"/>
    </row>
    <row r="711" spans="1:21" x14ac:dyDescent="0.25">
      <c r="A711" s="2" t="str">
        <f>IFERROR(VLOOKUP(B711,Clientes!A:B,2,0),"")</f>
        <v/>
      </c>
      <c r="B711" s="20">
        <f t="shared" si="57"/>
        <v>629</v>
      </c>
      <c r="C711" s="52" t="s">
        <v>1251</v>
      </c>
      <c r="D711" s="55" t="s">
        <v>1252</v>
      </c>
      <c r="E711" s="2" t="s">
        <v>219</v>
      </c>
      <c r="F711" s="71">
        <v>31115</v>
      </c>
      <c r="G711" s="29" t="s">
        <v>58</v>
      </c>
      <c r="H711" s="20"/>
      <c r="I711" s="20" t="s">
        <v>84</v>
      </c>
      <c r="J711" s="20" t="s">
        <v>81</v>
      </c>
      <c r="K711" s="71"/>
      <c r="L711" s="20"/>
      <c r="M711" s="20"/>
      <c r="N711" s="20"/>
      <c r="O711" s="20"/>
      <c r="P711" s="20"/>
      <c r="Q711" s="20"/>
      <c r="R711" s="20"/>
      <c r="S711" s="20"/>
      <c r="T711" s="26"/>
      <c r="U711" s="17"/>
    </row>
    <row r="712" spans="1:21" x14ac:dyDescent="0.25">
      <c r="A712" s="2" t="str">
        <f>IFERROR(VLOOKUP(B712,Clientes!A:B,2,0),"")</f>
        <v/>
      </c>
      <c r="B712" s="20">
        <f t="shared" si="57"/>
        <v>630</v>
      </c>
      <c r="C712" s="52" t="s">
        <v>1253</v>
      </c>
      <c r="D712" s="55" t="s">
        <v>1254</v>
      </c>
      <c r="E712" s="2" t="s">
        <v>220</v>
      </c>
      <c r="F712" s="71">
        <v>31115</v>
      </c>
      <c r="G712" s="29" t="s">
        <v>57</v>
      </c>
      <c r="H712" s="20"/>
      <c r="I712" s="20" t="s">
        <v>84</v>
      </c>
      <c r="J712" s="20" t="s">
        <v>81</v>
      </c>
      <c r="K712" s="71"/>
      <c r="L712" s="20"/>
      <c r="M712" s="20"/>
      <c r="N712" s="20"/>
      <c r="O712" s="20"/>
      <c r="P712" s="20"/>
      <c r="Q712" s="20"/>
      <c r="R712" s="20"/>
      <c r="S712" s="20"/>
      <c r="T712" s="26"/>
      <c r="U712" s="17"/>
    </row>
    <row r="713" spans="1:21" x14ac:dyDescent="0.25">
      <c r="A713" s="2" t="str">
        <f>IFERROR(VLOOKUP(B713,Clientes!A:B,2,0),"")</f>
        <v/>
      </c>
      <c r="B713" s="20">
        <f t="shared" si="57"/>
        <v>631</v>
      </c>
      <c r="C713" s="52"/>
      <c r="D713" s="55"/>
      <c r="E713" s="2"/>
      <c r="F713" s="71"/>
      <c r="G713" s="29"/>
      <c r="H713" s="20"/>
      <c r="I713" s="20" t="s">
        <v>84</v>
      </c>
      <c r="J713" s="20"/>
      <c r="K713" s="71"/>
      <c r="L713" s="20"/>
      <c r="M713" s="20"/>
      <c r="N713" s="20"/>
      <c r="O713" s="20"/>
      <c r="P713" s="20"/>
      <c r="Q713" s="20"/>
      <c r="R713" s="20"/>
      <c r="S713" s="20"/>
      <c r="T713" s="26"/>
      <c r="U713" s="17"/>
    </row>
    <row r="714" spans="1:21" x14ac:dyDescent="0.25">
      <c r="A714" s="2" t="str">
        <f>IFERROR(VLOOKUP(B714,Clientes!A:B,2,0),"")</f>
        <v/>
      </c>
      <c r="B714" s="20">
        <f t="shared" si="57"/>
        <v>632</v>
      </c>
      <c r="C714" s="52"/>
      <c r="D714" s="55"/>
      <c r="E714" s="2"/>
      <c r="F714" s="71"/>
      <c r="G714" s="29"/>
      <c r="H714" s="20"/>
      <c r="I714" s="20" t="s">
        <v>84</v>
      </c>
      <c r="J714" s="20"/>
      <c r="K714" s="71"/>
      <c r="L714" s="20"/>
      <c r="M714" s="20"/>
      <c r="N714" s="20"/>
      <c r="O714" s="20"/>
      <c r="P714" s="20"/>
      <c r="Q714" s="20"/>
      <c r="R714" s="20"/>
      <c r="S714" s="20"/>
      <c r="T714" s="26"/>
      <c r="U714" s="17"/>
    </row>
    <row r="715" spans="1:21" x14ac:dyDescent="0.25">
      <c r="A715" s="2" t="str">
        <f>IFERROR(VLOOKUP(B715,Clientes!A:B,2,0),"")</f>
        <v/>
      </c>
      <c r="B715" s="20">
        <f t="shared" si="57"/>
        <v>633</v>
      </c>
      <c r="C715" s="52"/>
      <c r="D715" s="55"/>
      <c r="E715" s="2"/>
      <c r="F715" s="71"/>
      <c r="G715" s="29"/>
      <c r="H715" s="20"/>
      <c r="I715" s="20" t="s">
        <v>84</v>
      </c>
      <c r="J715" s="20"/>
      <c r="K715" s="71"/>
      <c r="L715" s="20"/>
      <c r="M715" s="20"/>
      <c r="N715" s="20"/>
      <c r="O715" s="20"/>
      <c r="P715" s="20"/>
      <c r="Q715" s="20"/>
      <c r="R715" s="20"/>
      <c r="S715" s="20"/>
      <c r="T715" s="26"/>
      <c r="U715" s="17"/>
    </row>
    <row r="716" spans="1:21" x14ac:dyDescent="0.25">
      <c r="A716" s="2" t="str">
        <f>IFERROR(VLOOKUP(B716,Clientes!A:B,2,0),"")</f>
        <v/>
      </c>
      <c r="B716" s="20">
        <f t="shared" si="57"/>
        <v>634</v>
      </c>
      <c r="C716" s="52"/>
      <c r="D716" s="55"/>
      <c r="E716" s="2"/>
      <c r="F716" s="71"/>
      <c r="G716" s="29"/>
      <c r="H716" s="20"/>
      <c r="I716" s="20" t="s">
        <v>84</v>
      </c>
      <c r="J716" s="20"/>
      <c r="K716" s="71"/>
      <c r="L716" s="20"/>
      <c r="M716" s="20"/>
      <c r="N716" s="20"/>
      <c r="O716" s="20"/>
      <c r="P716" s="20"/>
      <c r="Q716" s="20"/>
      <c r="R716" s="20"/>
      <c r="S716" s="20"/>
      <c r="T716" s="26"/>
      <c r="U716" s="17"/>
    </row>
    <row r="717" spans="1:21" x14ac:dyDescent="0.25">
      <c r="A717" s="2" t="str">
        <f>IFERROR(VLOOKUP(B717,Clientes!A:B,2,0),"")</f>
        <v/>
      </c>
      <c r="B717" s="20">
        <f t="shared" si="57"/>
        <v>635</v>
      </c>
      <c r="C717" s="52"/>
      <c r="D717" s="55"/>
      <c r="E717" s="2"/>
      <c r="F717" s="71"/>
      <c r="G717" s="29"/>
      <c r="H717" s="20"/>
      <c r="I717" s="20" t="s">
        <v>84</v>
      </c>
      <c r="J717" s="20"/>
      <c r="K717" s="71"/>
      <c r="L717" s="20"/>
      <c r="M717" s="20"/>
      <c r="N717" s="20"/>
      <c r="O717" s="20"/>
      <c r="P717" s="20"/>
      <c r="Q717" s="20"/>
      <c r="R717" s="20"/>
      <c r="S717" s="20"/>
      <c r="T717" s="26"/>
      <c r="U717" s="17"/>
    </row>
    <row r="718" spans="1:21" x14ac:dyDescent="0.25">
      <c r="A718" s="2" t="str">
        <f>IFERROR(VLOOKUP(B718,Clientes!A:B,2,0),"")</f>
        <v/>
      </c>
      <c r="B718" s="20">
        <f t="shared" si="57"/>
        <v>636</v>
      </c>
      <c r="C718" s="52"/>
      <c r="D718" s="55"/>
      <c r="E718" s="2"/>
      <c r="F718" s="71"/>
      <c r="G718" s="29"/>
      <c r="H718" s="20"/>
      <c r="I718" s="20" t="s">
        <v>84</v>
      </c>
      <c r="J718" s="20"/>
      <c r="K718" s="71"/>
      <c r="L718" s="20"/>
      <c r="M718" s="20"/>
      <c r="N718" s="20"/>
      <c r="O718" s="20"/>
      <c r="P718" s="20"/>
      <c r="Q718" s="20"/>
      <c r="R718" s="20"/>
      <c r="S718" s="20"/>
      <c r="T718" s="26"/>
      <c r="U718" s="17"/>
    </row>
    <row r="719" spans="1:21" x14ac:dyDescent="0.25">
      <c r="A719" s="2" t="str">
        <f>IFERROR(VLOOKUP(B719,Clientes!A:B,2,0),"")</f>
        <v/>
      </c>
      <c r="B719" s="20">
        <f t="shared" si="57"/>
        <v>637</v>
      </c>
      <c r="C719" s="52"/>
      <c r="D719" s="55"/>
      <c r="E719" s="2"/>
      <c r="F719" s="71"/>
      <c r="G719" s="29"/>
      <c r="H719" s="20"/>
      <c r="I719" s="20" t="s">
        <v>84</v>
      </c>
      <c r="J719" s="20"/>
      <c r="K719" s="71"/>
      <c r="L719" s="20"/>
      <c r="M719" s="20"/>
      <c r="N719" s="20"/>
      <c r="O719" s="20"/>
      <c r="P719" s="20"/>
      <c r="Q719" s="20"/>
      <c r="R719" s="20"/>
      <c r="S719" s="20"/>
      <c r="T719" s="26"/>
      <c r="U719" s="17"/>
    </row>
    <row r="720" spans="1:21" x14ac:dyDescent="0.25">
      <c r="A720" s="2" t="str">
        <f>IFERROR(VLOOKUP(B720,Clientes!A:B,2,0),"")</f>
        <v/>
      </c>
      <c r="B720" s="20">
        <f t="shared" si="57"/>
        <v>638</v>
      </c>
      <c r="C720" s="52"/>
      <c r="D720" s="55"/>
      <c r="E720" s="2"/>
      <c r="F720" s="71"/>
      <c r="G720" s="29"/>
      <c r="H720" s="20"/>
      <c r="I720" s="20" t="s">
        <v>84</v>
      </c>
      <c r="J720" s="20"/>
      <c r="K720" s="71"/>
      <c r="L720" s="20"/>
      <c r="M720" s="20"/>
      <c r="N720" s="20"/>
      <c r="O720" s="20"/>
      <c r="P720" s="20"/>
      <c r="Q720" s="20"/>
      <c r="R720" s="20"/>
      <c r="S720" s="20"/>
      <c r="T720" s="26"/>
      <c r="U720" s="17"/>
    </row>
    <row r="721" spans="1:21" x14ac:dyDescent="0.25">
      <c r="A721" s="2" t="str">
        <f>IFERROR(VLOOKUP(B721,Clientes!A:B,2,0),"")</f>
        <v/>
      </c>
      <c r="B721" s="20">
        <f t="shared" si="57"/>
        <v>639</v>
      </c>
      <c r="C721" s="52" t="s">
        <v>857</v>
      </c>
      <c r="D721" s="55" t="s">
        <v>853</v>
      </c>
      <c r="E721" s="2" t="s">
        <v>222</v>
      </c>
      <c r="F721" s="71">
        <v>41115</v>
      </c>
      <c r="G721" s="29" t="s">
        <v>58</v>
      </c>
      <c r="H721" s="20" t="s">
        <v>72</v>
      </c>
      <c r="I721" s="20" t="s">
        <v>84</v>
      </c>
      <c r="J721" s="20" t="s">
        <v>81</v>
      </c>
      <c r="K721" s="71"/>
      <c r="L721" s="20"/>
      <c r="M721" s="20"/>
      <c r="N721" s="20"/>
      <c r="O721" s="20"/>
      <c r="P721" s="20"/>
      <c r="Q721" s="20"/>
      <c r="R721" s="20"/>
      <c r="S721" s="20"/>
      <c r="T721" s="26"/>
      <c r="U721" s="17"/>
    </row>
    <row r="722" spans="1:21" x14ac:dyDescent="0.25">
      <c r="A722" s="2" t="str">
        <f>IFERROR(VLOOKUP(B722,Clientes!A:B,2,0),"")</f>
        <v/>
      </c>
      <c r="B722" s="20">
        <f t="shared" si="57"/>
        <v>640</v>
      </c>
      <c r="C722" s="52"/>
      <c r="D722" s="55"/>
      <c r="E722" s="2"/>
      <c r="F722" s="71"/>
      <c r="G722" s="29"/>
      <c r="H722" s="20"/>
      <c r="I722" s="20" t="s">
        <v>84</v>
      </c>
      <c r="J722" s="20"/>
      <c r="K722" s="71"/>
      <c r="L722" s="20"/>
      <c r="M722" s="20"/>
      <c r="N722" s="20"/>
      <c r="O722" s="20"/>
      <c r="P722" s="20"/>
      <c r="Q722" s="20"/>
      <c r="R722" s="20"/>
      <c r="S722" s="20"/>
      <c r="T722" s="26"/>
      <c r="U722" s="17"/>
    </row>
    <row r="723" spans="1:21" x14ac:dyDescent="0.25">
      <c r="A723" s="2" t="str">
        <f>IFERROR(VLOOKUP(B723,Clientes!A:B,2,0),"")</f>
        <v/>
      </c>
      <c r="B723" s="20">
        <f t="shared" si="57"/>
        <v>641</v>
      </c>
      <c r="C723" s="52" t="s">
        <v>387</v>
      </c>
      <c r="D723" s="55" t="s">
        <v>388</v>
      </c>
      <c r="E723" s="2" t="s">
        <v>1226</v>
      </c>
      <c r="F723" s="71">
        <v>41115</v>
      </c>
      <c r="G723" s="29" t="s">
        <v>64</v>
      </c>
      <c r="H723" s="20" t="s">
        <v>77</v>
      </c>
      <c r="I723" s="20" t="s">
        <v>84</v>
      </c>
      <c r="J723" s="20" t="s">
        <v>81</v>
      </c>
      <c r="K723" s="71"/>
      <c r="L723" s="20"/>
      <c r="M723" s="20"/>
      <c r="N723" s="20"/>
      <c r="O723" s="20"/>
      <c r="P723" s="20"/>
      <c r="Q723" s="20"/>
      <c r="R723" s="20"/>
      <c r="S723" s="20"/>
      <c r="T723" s="26"/>
      <c r="U723" s="17"/>
    </row>
    <row r="724" spans="1:21" x14ac:dyDescent="0.25">
      <c r="A724" s="2" t="str">
        <f>IFERROR(VLOOKUP(B724,Clientes!A:B,2,0),"")</f>
        <v/>
      </c>
      <c r="B724" s="20">
        <f t="shared" si="57"/>
        <v>642</v>
      </c>
      <c r="C724" s="52"/>
      <c r="D724" s="55"/>
      <c r="E724" s="2"/>
      <c r="F724" s="71"/>
      <c r="G724" s="29"/>
      <c r="H724" s="20"/>
      <c r="I724" s="20" t="s">
        <v>84</v>
      </c>
      <c r="J724" s="20"/>
      <c r="K724" s="71"/>
      <c r="L724" s="20"/>
      <c r="M724" s="20"/>
      <c r="N724" s="20"/>
      <c r="O724" s="20"/>
      <c r="P724" s="20"/>
      <c r="Q724" s="20"/>
      <c r="R724" s="20"/>
      <c r="S724" s="20"/>
      <c r="T724" s="26"/>
      <c r="U724" s="17"/>
    </row>
    <row r="725" spans="1:21" x14ac:dyDescent="0.25">
      <c r="A725" s="2" t="str">
        <f>IFERROR(VLOOKUP(B725,Clientes!A:B,2,0),"")</f>
        <v/>
      </c>
      <c r="B725" s="20">
        <f t="shared" si="57"/>
        <v>643</v>
      </c>
      <c r="C725" s="52" t="s">
        <v>1314</v>
      </c>
      <c r="D725" s="55" t="s">
        <v>1315</v>
      </c>
      <c r="E725" s="2" t="s">
        <v>225</v>
      </c>
      <c r="F725" s="71">
        <v>61115</v>
      </c>
      <c r="G725" s="29" t="s">
        <v>57</v>
      </c>
      <c r="H725" s="20"/>
      <c r="I725" s="20" t="s">
        <v>84</v>
      </c>
      <c r="J725" s="20" t="s">
        <v>81</v>
      </c>
      <c r="K725" s="71"/>
      <c r="L725" s="20"/>
      <c r="M725" s="20"/>
      <c r="N725" s="20"/>
      <c r="O725" s="20"/>
      <c r="P725" s="20"/>
      <c r="Q725" s="20"/>
      <c r="R725" s="20"/>
      <c r="S725" s="20"/>
      <c r="T725" s="26"/>
      <c r="U725" s="17"/>
    </row>
    <row r="726" spans="1:21" x14ac:dyDescent="0.25">
      <c r="A726" s="2" t="str">
        <f>IFERROR(VLOOKUP(B726,Clientes!A:B,2,0),"")</f>
        <v/>
      </c>
      <c r="B726" s="20">
        <f t="shared" si="57"/>
        <v>644</v>
      </c>
      <c r="C726" s="52" t="s">
        <v>1137</v>
      </c>
      <c r="D726" s="55" t="s">
        <v>1138</v>
      </c>
      <c r="E726" s="2" t="s">
        <v>232</v>
      </c>
      <c r="F726" s="71">
        <v>61115</v>
      </c>
      <c r="G726" s="29" t="s">
        <v>69</v>
      </c>
      <c r="H726" s="20"/>
      <c r="I726" s="20" t="s">
        <v>84</v>
      </c>
      <c r="J726" s="20" t="s">
        <v>81</v>
      </c>
      <c r="K726" s="71"/>
      <c r="L726" s="20"/>
      <c r="M726" s="20"/>
      <c r="N726" s="20"/>
      <c r="O726" s="20"/>
      <c r="P726" s="20"/>
      <c r="Q726" s="20"/>
      <c r="R726" s="20"/>
      <c r="S726" s="20"/>
      <c r="T726" s="26"/>
      <c r="U726" s="17"/>
    </row>
    <row r="727" spans="1:21" x14ac:dyDescent="0.25">
      <c r="A727" s="2" t="str">
        <f>IFERROR(VLOOKUP(B727,Clientes!A:B,2,0),"")</f>
        <v/>
      </c>
      <c r="B727" s="20">
        <f t="shared" si="57"/>
        <v>645</v>
      </c>
      <c r="C727" s="52"/>
      <c r="D727" s="55"/>
      <c r="E727" s="2"/>
      <c r="F727" s="71"/>
      <c r="G727" s="29"/>
      <c r="H727" s="20"/>
      <c r="I727" s="20" t="s">
        <v>84</v>
      </c>
      <c r="J727" s="20"/>
      <c r="K727" s="71"/>
      <c r="L727" s="20"/>
      <c r="M727" s="20"/>
      <c r="N727" s="20"/>
      <c r="O727" s="20"/>
      <c r="P727" s="20"/>
      <c r="Q727" s="20"/>
      <c r="R727" s="20"/>
      <c r="S727" s="20"/>
      <c r="T727" s="26"/>
      <c r="U727" s="17"/>
    </row>
    <row r="728" spans="1:21" x14ac:dyDescent="0.25">
      <c r="A728" s="2" t="str">
        <f>IFERROR(VLOOKUP(B728,Clientes!A:B,2,0),"")</f>
        <v/>
      </c>
      <c r="B728" s="20">
        <f t="shared" si="57"/>
        <v>646</v>
      </c>
      <c r="C728" s="52"/>
      <c r="D728" s="55"/>
      <c r="E728" s="2"/>
      <c r="F728" s="71"/>
      <c r="G728" s="29"/>
      <c r="H728" s="20"/>
      <c r="I728" s="20" t="s">
        <v>84</v>
      </c>
      <c r="J728" s="20"/>
      <c r="K728" s="71"/>
      <c r="L728" s="20"/>
      <c r="M728" s="20"/>
      <c r="N728" s="20"/>
      <c r="O728" s="20"/>
      <c r="P728" s="20"/>
      <c r="Q728" s="20"/>
      <c r="R728" s="20"/>
      <c r="S728" s="20"/>
      <c r="T728" s="26"/>
      <c r="U728" s="17"/>
    </row>
    <row r="729" spans="1:21" x14ac:dyDescent="0.25">
      <c r="A729" s="2" t="str">
        <f>IFERROR(VLOOKUP(B729,Clientes!A:B,2,0),"")</f>
        <v/>
      </c>
      <c r="B729" s="20">
        <f t="shared" si="57"/>
        <v>647</v>
      </c>
      <c r="C729" s="52" t="s">
        <v>1270</v>
      </c>
      <c r="D729" s="55" t="s">
        <v>1271</v>
      </c>
      <c r="E729" s="2" t="s">
        <v>215</v>
      </c>
      <c r="F729" s="71">
        <v>61115</v>
      </c>
      <c r="G729" s="29" t="s">
        <v>58</v>
      </c>
      <c r="H729" s="20" t="s">
        <v>72</v>
      </c>
      <c r="I729" s="20" t="s">
        <v>84</v>
      </c>
      <c r="J729" s="20" t="s">
        <v>81</v>
      </c>
      <c r="K729" s="71"/>
      <c r="L729" s="20"/>
      <c r="M729" s="20"/>
      <c r="N729" s="20"/>
      <c r="O729" s="20"/>
      <c r="P729" s="20"/>
      <c r="Q729" s="20"/>
      <c r="R729" s="20"/>
      <c r="S729" s="20"/>
      <c r="T729" s="26"/>
      <c r="U729" s="17"/>
    </row>
    <row r="730" spans="1:21" x14ac:dyDescent="0.25">
      <c r="A730" s="2" t="str">
        <f>IFERROR(VLOOKUP(B730,Clientes!A:B,2,0),"")</f>
        <v/>
      </c>
      <c r="B730" s="20">
        <f t="shared" si="57"/>
        <v>648</v>
      </c>
      <c r="C730" s="52" t="s">
        <v>521</v>
      </c>
      <c r="D730" s="55" t="s">
        <v>522</v>
      </c>
      <c r="E730" s="2" t="s">
        <v>217</v>
      </c>
      <c r="F730" s="71">
        <v>91115</v>
      </c>
      <c r="G730" s="29" t="s">
        <v>56</v>
      </c>
      <c r="H730" s="20" t="s">
        <v>73</v>
      </c>
      <c r="I730" s="20" t="s">
        <v>84</v>
      </c>
      <c r="J730" s="20" t="s">
        <v>83</v>
      </c>
      <c r="K730" s="71"/>
      <c r="L730" s="20"/>
      <c r="M730" s="20"/>
      <c r="N730" s="20"/>
      <c r="O730" s="20"/>
      <c r="P730" s="20"/>
      <c r="Q730" s="20"/>
      <c r="R730" s="20"/>
      <c r="S730" s="20"/>
      <c r="T730" s="26"/>
      <c r="U730" s="17"/>
    </row>
    <row r="731" spans="1:21" x14ac:dyDescent="0.25">
      <c r="A731" s="2" t="str">
        <f>IFERROR(VLOOKUP(B731,Clientes!A:B,2,0),"")</f>
        <v/>
      </c>
      <c r="B731" s="20">
        <f t="shared" si="57"/>
        <v>649</v>
      </c>
      <c r="C731" s="52"/>
      <c r="D731" s="55"/>
      <c r="E731" s="2"/>
      <c r="F731" s="71"/>
      <c r="G731" s="29"/>
      <c r="H731" s="20"/>
      <c r="I731" s="20" t="s">
        <v>84</v>
      </c>
      <c r="J731" s="20"/>
      <c r="K731" s="71"/>
      <c r="L731" s="20"/>
      <c r="M731" s="20"/>
      <c r="N731" s="20"/>
      <c r="O731" s="20"/>
      <c r="P731" s="20"/>
      <c r="Q731" s="20"/>
      <c r="R731" s="20"/>
      <c r="S731" s="20"/>
      <c r="T731" s="26"/>
      <c r="U731" s="17"/>
    </row>
    <row r="732" spans="1:21" x14ac:dyDescent="0.25">
      <c r="A732" s="2" t="str">
        <f>IFERROR(VLOOKUP(B732,Clientes!A:B,2,0),"")</f>
        <v/>
      </c>
      <c r="B732" s="20">
        <f t="shared" si="57"/>
        <v>650</v>
      </c>
      <c r="C732" s="52"/>
      <c r="D732" s="55"/>
      <c r="E732" s="2"/>
      <c r="F732" s="71"/>
      <c r="G732" s="29"/>
      <c r="H732" s="20"/>
      <c r="I732" s="20" t="s">
        <v>84</v>
      </c>
      <c r="J732" s="20"/>
      <c r="K732" s="71"/>
      <c r="L732" s="20"/>
      <c r="M732" s="20"/>
      <c r="N732" s="20"/>
      <c r="O732" s="20"/>
      <c r="P732" s="20"/>
      <c r="Q732" s="20"/>
      <c r="R732" s="20"/>
      <c r="S732" s="20"/>
      <c r="T732" s="26"/>
      <c r="U732" s="17"/>
    </row>
    <row r="733" spans="1:21" x14ac:dyDescent="0.25">
      <c r="A733" s="2" t="str">
        <f>IFERROR(VLOOKUP(B733,Clientes!A:B,2,0),"")</f>
        <v/>
      </c>
      <c r="B733" s="20">
        <f t="shared" si="57"/>
        <v>651</v>
      </c>
      <c r="C733" s="52" t="s">
        <v>1259</v>
      </c>
      <c r="D733" s="55" t="s">
        <v>1260</v>
      </c>
      <c r="E733" s="2" t="s">
        <v>215</v>
      </c>
      <c r="F733" s="71">
        <v>91115</v>
      </c>
      <c r="G733" s="29" t="s">
        <v>58</v>
      </c>
      <c r="H733" s="20"/>
      <c r="I733" s="20" t="s">
        <v>84</v>
      </c>
      <c r="J733" s="20" t="s">
        <v>81</v>
      </c>
      <c r="K733" s="71"/>
      <c r="L733" s="20" t="s">
        <v>139</v>
      </c>
      <c r="M733" s="20"/>
      <c r="N733" s="20"/>
      <c r="O733" s="20"/>
      <c r="P733" s="20"/>
      <c r="Q733" s="20"/>
      <c r="R733" s="20"/>
      <c r="S733" s="20"/>
      <c r="T733" s="26"/>
      <c r="U733" s="17"/>
    </row>
    <row r="734" spans="1:21" x14ac:dyDescent="0.25">
      <c r="A734" s="2" t="str">
        <f>IFERROR(VLOOKUP(B734,Clientes!A:B,2,0),"")</f>
        <v/>
      </c>
      <c r="B734" s="20">
        <f t="shared" si="57"/>
        <v>652</v>
      </c>
      <c r="C734" s="52" t="s">
        <v>1261</v>
      </c>
      <c r="D734" s="55" t="s">
        <v>1262</v>
      </c>
      <c r="E734" s="2"/>
      <c r="F734" s="71">
        <v>91115</v>
      </c>
      <c r="G734" s="29" t="s">
        <v>63</v>
      </c>
      <c r="H734" s="20"/>
      <c r="I734" s="20" t="s">
        <v>84</v>
      </c>
      <c r="J734" s="20" t="s">
        <v>81</v>
      </c>
      <c r="K734" s="71"/>
      <c r="L734" s="20"/>
      <c r="M734" s="20"/>
      <c r="N734" s="20"/>
      <c r="O734" s="20"/>
      <c r="P734" s="20"/>
      <c r="Q734" s="20"/>
      <c r="R734" s="20"/>
      <c r="S734" s="20"/>
      <c r="T734" s="26"/>
      <c r="U734" s="17"/>
    </row>
    <row r="735" spans="1:21" x14ac:dyDescent="0.25">
      <c r="A735" s="2" t="str">
        <f>IFERROR(VLOOKUP(B735,Clientes!A:B,2,0),"")</f>
        <v/>
      </c>
      <c r="B735" s="20">
        <f t="shared" si="57"/>
        <v>653</v>
      </c>
      <c r="C735" s="52" t="s">
        <v>1257</v>
      </c>
      <c r="D735" s="55" t="s">
        <v>1258</v>
      </c>
      <c r="E735" s="2" t="s">
        <v>1238</v>
      </c>
      <c r="F735" s="71">
        <v>91115</v>
      </c>
      <c r="G735" s="29" t="s">
        <v>1191</v>
      </c>
      <c r="H735" s="20"/>
      <c r="I735" s="20" t="s">
        <v>84</v>
      </c>
      <c r="J735" s="20" t="s">
        <v>81</v>
      </c>
      <c r="K735" s="71"/>
      <c r="L735" s="20"/>
      <c r="M735" s="20"/>
      <c r="N735" s="20"/>
      <c r="O735" s="20"/>
      <c r="P735" s="20"/>
      <c r="Q735" s="20"/>
      <c r="R735" s="20"/>
      <c r="S735" s="20"/>
      <c r="T735" s="26"/>
      <c r="U735" s="17"/>
    </row>
    <row r="736" spans="1:21" x14ac:dyDescent="0.25">
      <c r="A736" s="2" t="str">
        <f>IFERROR(VLOOKUP(B736,Clientes!A:B,2,0),"")</f>
        <v/>
      </c>
      <c r="B736" s="20">
        <f t="shared" ref="B736:B742" si="58">B735+1</f>
        <v>654</v>
      </c>
      <c r="C736" s="52" t="s">
        <v>620</v>
      </c>
      <c r="D736" s="55" t="s">
        <v>621</v>
      </c>
      <c r="E736" s="2" t="s">
        <v>228</v>
      </c>
      <c r="F736" s="71">
        <v>101115</v>
      </c>
      <c r="G736" s="29" t="s">
        <v>58</v>
      </c>
      <c r="H736" s="20" t="s">
        <v>72</v>
      </c>
      <c r="I736" s="20" t="s">
        <v>84</v>
      </c>
      <c r="J736" s="20" t="s">
        <v>81</v>
      </c>
      <c r="K736" s="71"/>
      <c r="L736" s="20" t="s">
        <v>24</v>
      </c>
      <c r="M736" s="20"/>
      <c r="N736" s="20"/>
      <c r="O736" s="20"/>
      <c r="P736" s="20"/>
      <c r="Q736" s="20"/>
      <c r="R736" s="20"/>
      <c r="S736" s="20"/>
      <c r="T736" s="26"/>
      <c r="U736" s="17"/>
    </row>
    <row r="737" spans="1:21" x14ac:dyDescent="0.25">
      <c r="A737" s="2" t="str">
        <f>IFERROR(VLOOKUP(B737,Clientes!A:B,2,0),"")</f>
        <v/>
      </c>
      <c r="B737" s="20">
        <f t="shared" si="58"/>
        <v>655</v>
      </c>
      <c r="C737" s="52" t="s">
        <v>1263</v>
      </c>
      <c r="D737" s="55" t="s">
        <v>1264</v>
      </c>
      <c r="E737" s="2" t="s">
        <v>214</v>
      </c>
      <c r="F737" s="71">
        <v>101115</v>
      </c>
      <c r="G737" s="29" t="s">
        <v>58</v>
      </c>
      <c r="H737" s="20" t="s">
        <v>72</v>
      </c>
      <c r="I737" s="20" t="s">
        <v>84</v>
      </c>
      <c r="J737" s="20" t="s">
        <v>81</v>
      </c>
      <c r="K737" s="71"/>
      <c r="L737" s="20" t="s">
        <v>28</v>
      </c>
      <c r="M737" s="20"/>
      <c r="N737" s="20"/>
      <c r="O737" s="20"/>
      <c r="P737" s="20"/>
      <c r="Q737" s="20"/>
      <c r="R737" s="20"/>
      <c r="S737" s="20"/>
      <c r="T737" s="26"/>
      <c r="U737" s="17"/>
    </row>
    <row r="738" spans="1:21" x14ac:dyDescent="0.25">
      <c r="A738" s="2" t="str">
        <f>IFERROR(VLOOKUP(B738,Clientes!A:B,2,0),"")</f>
        <v/>
      </c>
      <c r="B738" s="20">
        <f t="shared" si="58"/>
        <v>656</v>
      </c>
      <c r="C738" s="52" t="s">
        <v>599</v>
      </c>
      <c r="D738" s="55" t="s">
        <v>600</v>
      </c>
      <c r="E738" s="2" t="s">
        <v>220</v>
      </c>
      <c r="F738" s="71">
        <v>101115</v>
      </c>
      <c r="G738" s="29" t="s">
        <v>58</v>
      </c>
      <c r="H738" s="20" t="s">
        <v>72</v>
      </c>
      <c r="I738" s="20" t="s">
        <v>84</v>
      </c>
      <c r="J738" s="20" t="s">
        <v>81</v>
      </c>
      <c r="K738" s="71"/>
      <c r="L738" s="20" t="s">
        <v>759</v>
      </c>
      <c r="M738" s="20"/>
      <c r="N738" s="20"/>
      <c r="O738" s="20"/>
      <c r="P738" s="20"/>
      <c r="Q738" s="20"/>
      <c r="R738" s="20"/>
      <c r="S738" s="20"/>
      <c r="T738" s="26"/>
      <c r="U738" s="17"/>
    </row>
    <row r="739" spans="1:21" x14ac:dyDescent="0.25">
      <c r="A739" s="2" t="str">
        <f>IFERROR(VLOOKUP(B739,Clientes!A:B,2,0),"")</f>
        <v/>
      </c>
      <c r="B739" s="20">
        <f t="shared" si="58"/>
        <v>657</v>
      </c>
      <c r="C739" s="52" t="s">
        <v>753</v>
      </c>
      <c r="D739" s="55" t="s">
        <v>754</v>
      </c>
      <c r="E739" s="2" t="s">
        <v>1241</v>
      </c>
      <c r="F739" s="71">
        <v>101115</v>
      </c>
      <c r="G739" s="29" t="s">
        <v>56</v>
      </c>
      <c r="H739" s="20" t="s">
        <v>73</v>
      </c>
      <c r="I739" s="20" t="s">
        <v>84</v>
      </c>
      <c r="J739" s="20" t="s">
        <v>83</v>
      </c>
      <c r="K739" s="71"/>
      <c r="L739" s="20"/>
      <c r="M739" s="20"/>
      <c r="N739" s="20"/>
      <c r="O739" s="20"/>
      <c r="P739" s="20"/>
      <c r="Q739" s="20"/>
      <c r="R739" s="20"/>
      <c r="S739" s="20"/>
      <c r="T739" s="26"/>
      <c r="U739" s="17"/>
    </row>
    <row r="740" spans="1:21" x14ac:dyDescent="0.25">
      <c r="A740" s="2" t="str">
        <f>IFERROR(VLOOKUP(B740,Clientes!A:B,2,0),"")</f>
        <v/>
      </c>
      <c r="B740" s="20">
        <f t="shared" si="58"/>
        <v>658</v>
      </c>
      <c r="C740" s="52" t="s">
        <v>1193</v>
      </c>
      <c r="D740" s="55" t="s">
        <v>1194</v>
      </c>
      <c r="E740" s="2" t="s">
        <v>1238</v>
      </c>
      <c r="F740" s="71">
        <v>101115</v>
      </c>
      <c r="G740" s="29" t="s">
        <v>56</v>
      </c>
      <c r="H740" s="20" t="s">
        <v>74</v>
      </c>
      <c r="I740" s="20" t="s">
        <v>84</v>
      </c>
      <c r="J740" s="20" t="s">
        <v>83</v>
      </c>
      <c r="K740" s="71"/>
      <c r="L740" s="20"/>
      <c r="M740" s="20"/>
      <c r="N740" s="20"/>
      <c r="O740" s="20"/>
      <c r="P740" s="20"/>
      <c r="Q740" s="20"/>
      <c r="R740" s="20"/>
      <c r="S740" s="20"/>
      <c r="T740" s="26"/>
      <c r="U740" s="17"/>
    </row>
    <row r="741" spans="1:21" x14ac:dyDescent="0.25">
      <c r="A741" s="2" t="str">
        <f>IFERROR(VLOOKUP(B741,Clientes!A:B,2,0),"")</f>
        <v/>
      </c>
      <c r="B741" s="20">
        <f t="shared" si="58"/>
        <v>659</v>
      </c>
      <c r="C741" s="52"/>
      <c r="D741" s="55"/>
      <c r="E741" s="2"/>
      <c r="F741" s="71"/>
      <c r="G741" s="29"/>
      <c r="H741" s="20"/>
      <c r="I741" s="20" t="s">
        <v>84</v>
      </c>
      <c r="J741" s="20"/>
      <c r="K741" s="71"/>
      <c r="L741" s="20"/>
      <c r="M741" s="20"/>
      <c r="N741" s="20"/>
      <c r="O741" s="20"/>
      <c r="P741" s="20"/>
      <c r="Q741" s="20"/>
      <c r="R741" s="20"/>
      <c r="S741" s="20"/>
      <c r="T741" s="26"/>
      <c r="U741" s="17"/>
    </row>
    <row r="742" spans="1:21" x14ac:dyDescent="0.25">
      <c r="A742" s="2" t="str">
        <f>IFERROR(VLOOKUP(B742,Clientes!A:B,2,0),"")</f>
        <v/>
      </c>
      <c r="B742" s="20">
        <f t="shared" si="58"/>
        <v>660</v>
      </c>
      <c r="C742" s="52" t="s">
        <v>1257</v>
      </c>
      <c r="D742" s="55" t="s">
        <v>1258</v>
      </c>
      <c r="E742" s="2" t="s">
        <v>1238</v>
      </c>
      <c r="F742" s="71">
        <v>111115</v>
      </c>
      <c r="G742" s="29" t="s">
        <v>56</v>
      </c>
      <c r="H742" s="20" t="s">
        <v>74</v>
      </c>
      <c r="I742" s="20" t="s">
        <v>84</v>
      </c>
      <c r="J742" s="20" t="s">
        <v>83</v>
      </c>
      <c r="K742" s="71"/>
      <c r="L742" s="20"/>
      <c r="M742" s="20"/>
      <c r="N742" s="20"/>
      <c r="O742" s="20"/>
      <c r="P742" s="20"/>
      <c r="Q742" s="20"/>
      <c r="R742" s="20"/>
      <c r="S742" s="20"/>
      <c r="T742" s="26"/>
      <c r="U742" s="17"/>
    </row>
    <row r="743" spans="1:21" x14ac:dyDescent="0.25">
      <c r="A743" s="2" t="str">
        <f>IFERROR(VLOOKUP(B743,Clientes!A:B,2,0),"")</f>
        <v/>
      </c>
      <c r="B743" s="20">
        <f t="shared" ref="B743:B749" si="59">B742+1</f>
        <v>661</v>
      </c>
      <c r="C743" s="52" t="s">
        <v>271</v>
      </c>
      <c r="D743" s="55" t="s">
        <v>272</v>
      </c>
      <c r="E743" s="2" t="s">
        <v>228</v>
      </c>
      <c r="F743" s="71">
        <v>280715</v>
      </c>
      <c r="G743" s="29" t="s">
        <v>57</v>
      </c>
      <c r="H743" s="20" t="s">
        <v>1192</v>
      </c>
      <c r="I743" s="20" t="s">
        <v>84</v>
      </c>
      <c r="J743" s="20" t="s">
        <v>1232</v>
      </c>
      <c r="K743" s="71"/>
      <c r="L743" s="20"/>
      <c r="M743" s="20"/>
      <c r="N743" s="20"/>
      <c r="O743" s="20"/>
      <c r="P743" s="20"/>
      <c r="Q743" s="20"/>
      <c r="R743" s="20"/>
      <c r="S743" s="20"/>
      <c r="T743" s="26"/>
      <c r="U743" s="17"/>
    </row>
    <row r="744" spans="1:21" x14ac:dyDescent="0.25">
      <c r="A744" s="2" t="str">
        <f>IFERROR(VLOOKUP(B744,Clientes!A:B,2,0),"")</f>
        <v/>
      </c>
      <c r="B744" s="20">
        <f t="shared" si="59"/>
        <v>662</v>
      </c>
      <c r="C744" s="52"/>
      <c r="D744" s="55"/>
      <c r="E744" s="2"/>
      <c r="F744" s="71"/>
      <c r="G744" s="29"/>
      <c r="H744" s="20"/>
      <c r="I744" s="20" t="s">
        <v>84</v>
      </c>
      <c r="J744" s="20"/>
      <c r="K744" s="71"/>
      <c r="L744" s="20"/>
      <c r="M744" s="20"/>
      <c r="N744" s="20"/>
      <c r="O744" s="20"/>
      <c r="P744" s="20"/>
      <c r="Q744" s="20"/>
      <c r="R744" s="20"/>
      <c r="S744" s="20"/>
      <c r="T744" s="26"/>
      <c r="U744" s="17"/>
    </row>
    <row r="745" spans="1:21" x14ac:dyDescent="0.25">
      <c r="A745" s="2" t="str">
        <f>IFERROR(VLOOKUP(B745,Clientes!A:B,2,0),"")</f>
        <v/>
      </c>
      <c r="B745" s="20">
        <f t="shared" si="59"/>
        <v>663</v>
      </c>
      <c r="C745" s="52" t="s">
        <v>521</v>
      </c>
      <c r="D745" s="55" t="s">
        <v>522</v>
      </c>
      <c r="E745" s="2" t="s">
        <v>217</v>
      </c>
      <c r="F745" s="71">
        <v>121115</v>
      </c>
      <c r="G745" s="29" t="s">
        <v>58</v>
      </c>
      <c r="H745" s="20" t="s">
        <v>73</v>
      </c>
      <c r="I745" s="20" t="s">
        <v>84</v>
      </c>
      <c r="J745" s="20" t="s">
        <v>82</v>
      </c>
      <c r="K745" s="71"/>
      <c r="L745" s="20" t="s">
        <v>24</v>
      </c>
      <c r="M745" s="20"/>
      <c r="N745" s="20"/>
      <c r="O745" s="20"/>
      <c r="P745" s="20"/>
      <c r="Q745" s="20"/>
      <c r="R745" s="20"/>
      <c r="S745" s="20"/>
      <c r="T745" s="26"/>
      <c r="U745" s="17"/>
    </row>
    <row r="746" spans="1:21" x14ac:dyDescent="0.25">
      <c r="A746" s="2" t="str">
        <f>IFERROR(VLOOKUP(B746,Clientes!A:B,2,0),"")</f>
        <v/>
      </c>
      <c r="B746" s="20">
        <f>B745+1</f>
        <v>664</v>
      </c>
      <c r="C746" s="52" t="s">
        <v>1126</v>
      </c>
      <c r="D746" s="55" t="s">
        <v>769</v>
      </c>
      <c r="E746" s="2" t="s">
        <v>1233</v>
      </c>
      <c r="F746" s="71">
        <v>121115</v>
      </c>
      <c r="G746" s="29" t="s">
        <v>64</v>
      </c>
      <c r="H746" s="20" t="s">
        <v>1192</v>
      </c>
      <c r="I746" s="20" t="s">
        <v>84</v>
      </c>
      <c r="J746" s="20" t="s">
        <v>81</v>
      </c>
      <c r="K746" s="71"/>
      <c r="L746" s="20"/>
      <c r="M746" s="20"/>
      <c r="N746" s="20"/>
      <c r="O746" s="20"/>
      <c r="P746" s="20"/>
      <c r="Q746" s="20"/>
      <c r="R746" s="20"/>
      <c r="S746" s="20"/>
      <c r="T746" s="26" t="s">
        <v>1318</v>
      </c>
      <c r="U746" s="17"/>
    </row>
    <row r="747" spans="1:21" x14ac:dyDescent="0.25">
      <c r="A747" s="2" t="str">
        <f>IFERROR(VLOOKUP(B747,Clientes!A:B,2,0),"")</f>
        <v/>
      </c>
      <c r="B747" s="20">
        <f t="shared" si="59"/>
        <v>665</v>
      </c>
      <c r="C747" s="52" t="s">
        <v>637</v>
      </c>
      <c r="D747" s="55" t="s">
        <v>638</v>
      </c>
      <c r="E747" s="2" t="s">
        <v>1226</v>
      </c>
      <c r="F747" s="71">
        <v>121115</v>
      </c>
      <c r="G747" s="29" t="s">
        <v>64</v>
      </c>
      <c r="H747" s="20" t="s">
        <v>77</v>
      </c>
      <c r="I747" s="20" t="s">
        <v>84</v>
      </c>
      <c r="J747" s="20" t="s">
        <v>81</v>
      </c>
      <c r="K747" s="71"/>
      <c r="L747" s="20"/>
      <c r="M747" s="20"/>
      <c r="N747" s="20"/>
      <c r="O747" s="20"/>
      <c r="P747" s="20"/>
      <c r="Q747" s="20"/>
      <c r="R747" s="20"/>
      <c r="S747" s="20"/>
      <c r="T747" s="26"/>
      <c r="U747" s="17"/>
    </row>
    <row r="748" spans="1:21" x14ac:dyDescent="0.25">
      <c r="A748" s="2" t="str">
        <f>IFERROR(VLOOKUP(B748,Clientes!A:B,2,0),"")</f>
        <v/>
      </c>
      <c r="B748" s="20">
        <f t="shared" si="59"/>
        <v>666</v>
      </c>
      <c r="C748" s="52" t="s">
        <v>914</v>
      </c>
      <c r="D748" s="55" t="s">
        <v>915</v>
      </c>
      <c r="E748" s="2" t="s">
        <v>1240</v>
      </c>
      <c r="F748" s="71">
        <v>121115</v>
      </c>
      <c r="G748" s="29" t="s">
        <v>69</v>
      </c>
      <c r="H748" s="20"/>
      <c r="I748" s="20" t="s">
        <v>84</v>
      </c>
      <c r="J748" s="20" t="s">
        <v>81</v>
      </c>
      <c r="K748" s="71"/>
      <c r="L748" s="20"/>
      <c r="M748" s="20"/>
      <c r="N748" s="20"/>
      <c r="O748" s="20"/>
      <c r="P748" s="20"/>
      <c r="Q748" s="20"/>
      <c r="R748" s="20"/>
      <c r="S748" s="20"/>
      <c r="T748" s="26"/>
      <c r="U748" s="17"/>
    </row>
    <row r="749" spans="1:21" x14ac:dyDescent="0.25">
      <c r="A749" s="2" t="str">
        <f>IFERROR(VLOOKUP(B749,Clientes!A:B,2,0),"")</f>
        <v/>
      </c>
      <c r="B749" s="20">
        <f t="shared" si="59"/>
        <v>667</v>
      </c>
      <c r="C749" s="52" t="s">
        <v>1266</v>
      </c>
      <c r="D749" s="55" t="s">
        <v>1267</v>
      </c>
      <c r="E749" s="2" t="s">
        <v>220</v>
      </c>
      <c r="F749" s="71">
        <v>131115</v>
      </c>
      <c r="G749" s="29" t="s">
        <v>58</v>
      </c>
      <c r="H749" s="20" t="s">
        <v>72</v>
      </c>
      <c r="I749" s="20" t="s">
        <v>84</v>
      </c>
      <c r="J749" s="20" t="s">
        <v>81</v>
      </c>
      <c r="K749" s="71"/>
      <c r="L749" s="20" t="s">
        <v>45</v>
      </c>
      <c r="M749" s="20"/>
      <c r="N749" s="20"/>
      <c r="O749" s="20"/>
      <c r="P749" s="20"/>
      <c r="Q749" s="20"/>
      <c r="R749" s="20"/>
      <c r="S749" s="20"/>
      <c r="T749" s="26"/>
      <c r="U749" s="17"/>
    </row>
    <row r="750" spans="1:21" x14ac:dyDescent="0.25">
      <c r="A750" s="2"/>
      <c r="B750" s="20">
        <v>667</v>
      </c>
      <c r="C750" s="52" t="s">
        <v>668</v>
      </c>
      <c r="D750" s="55" t="s">
        <v>669</v>
      </c>
      <c r="E750" s="2" t="s">
        <v>1238</v>
      </c>
      <c r="F750" s="71">
        <v>131115</v>
      </c>
      <c r="G750" s="29" t="s">
        <v>56</v>
      </c>
      <c r="H750" s="20" t="s">
        <v>72</v>
      </c>
      <c r="I750" s="20" t="s">
        <v>84</v>
      </c>
      <c r="J750" s="20" t="s">
        <v>81</v>
      </c>
      <c r="K750" s="71"/>
      <c r="L750" s="20"/>
      <c r="M750" s="20"/>
      <c r="N750" s="20"/>
      <c r="O750" s="20"/>
      <c r="P750" s="20"/>
      <c r="Q750" s="20"/>
      <c r="R750" s="20"/>
      <c r="S750" s="20"/>
      <c r="T750" s="26"/>
      <c r="U750" s="17"/>
    </row>
    <row r="751" spans="1:21" x14ac:dyDescent="0.25">
      <c r="A751" s="2" t="str">
        <f>IFERROR(VLOOKUP(B751,Clientes!A:B,2,0),"")</f>
        <v/>
      </c>
      <c r="B751" s="20">
        <f>B749+1</f>
        <v>668</v>
      </c>
      <c r="C751" s="52" t="s">
        <v>649</v>
      </c>
      <c r="D751" s="55" t="s">
        <v>650</v>
      </c>
      <c r="E751" s="2" t="s">
        <v>228</v>
      </c>
      <c r="F751" s="71">
        <v>131115</v>
      </c>
      <c r="G751" s="29" t="s">
        <v>57</v>
      </c>
      <c r="H751" s="20"/>
      <c r="I751" s="20" t="s">
        <v>84</v>
      </c>
      <c r="J751" s="20" t="s">
        <v>81</v>
      </c>
      <c r="K751" s="71"/>
      <c r="L751" s="20" t="s">
        <v>145</v>
      </c>
      <c r="M751" s="20"/>
      <c r="N751" s="20"/>
      <c r="O751" s="20"/>
      <c r="P751" s="20"/>
      <c r="Q751" s="20"/>
      <c r="R751" s="20"/>
      <c r="S751" s="20"/>
      <c r="T751" s="26"/>
      <c r="U751" s="17"/>
    </row>
    <row r="752" spans="1:21" x14ac:dyDescent="0.25">
      <c r="A752" s="2"/>
      <c r="B752" s="20" t="s">
        <v>1295</v>
      </c>
      <c r="C752" s="52" t="s">
        <v>900</v>
      </c>
      <c r="D752" s="55" t="s">
        <v>901</v>
      </c>
      <c r="E752" s="2" t="s">
        <v>217</v>
      </c>
      <c r="F752" s="71">
        <v>161115</v>
      </c>
      <c r="G752" s="29" t="s">
        <v>58</v>
      </c>
      <c r="H752" s="20" t="s">
        <v>72</v>
      </c>
      <c r="I752" s="20" t="s">
        <v>84</v>
      </c>
      <c r="J752" s="20" t="s">
        <v>81</v>
      </c>
      <c r="K752" s="71"/>
      <c r="L752" s="20" t="s">
        <v>28</v>
      </c>
      <c r="M752" s="20"/>
      <c r="N752" s="20"/>
      <c r="O752" s="20"/>
      <c r="P752" s="20"/>
      <c r="Q752" s="20"/>
      <c r="R752" s="20"/>
      <c r="S752" s="20"/>
      <c r="T752" s="26"/>
      <c r="U752" s="17"/>
    </row>
    <row r="753" spans="1:21" x14ac:dyDescent="0.25">
      <c r="A753" s="2" t="str">
        <f>IFERROR(VLOOKUP(B753,Clientes!A:B,2,0),"")</f>
        <v/>
      </c>
      <c r="B753" s="20">
        <f>B751+1</f>
        <v>669</v>
      </c>
      <c r="C753" s="52" t="s">
        <v>1251</v>
      </c>
      <c r="D753" s="55" t="s">
        <v>1252</v>
      </c>
      <c r="E753" s="2" t="s">
        <v>219</v>
      </c>
      <c r="F753" s="71">
        <v>131115</v>
      </c>
      <c r="G753" s="29" t="s">
        <v>57</v>
      </c>
      <c r="H753" s="20"/>
      <c r="I753" s="20" t="s">
        <v>84</v>
      </c>
      <c r="J753" s="20" t="s">
        <v>82</v>
      </c>
      <c r="K753" s="71"/>
      <c r="L753" s="20" t="s">
        <v>21</v>
      </c>
      <c r="M753" s="20"/>
      <c r="N753" s="20"/>
      <c r="O753" s="20"/>
      <c r="P753" s="20"/>
      <c r="Q753" s="20"/>
      <c r="R753" s="20"/>
      <c r="S753" s="20"/>
      <c r="T753" s="26"/>
      <c r="U753" s="17"/>
    </row>
    <row r="754" spans="1:21" x14ac:dyDescent="0.25">
      <c r="A754" s="2"/>
      <c r="B754" s="20">
        <v>669</v>
      </c>
      <c r="C754" s="52" t="s">
        <v>936</v>
      </c>
      <c r="D754" s="55" t="s">
        <v>937</v>
      </c>
      <c r="E754" s="2" t="s">
        <v>232</v>
      </c>
      <c r="F754" s="71">
        <v>161115</v>
      </c>
      <c r="G754" s="29" t="s">
        <v>56</v>
      </c>
      <c r="H754" s="20" t="s">
        <v>72</v>
      </c>
      <c r="I754" s="20" t="s">
        <v>84</v>
      </c>
      <c r="J754" s="20" t="s">
        <v>83</v>
      </c>
      <c r="K754" s="71"/>
      <c r="L754" s="20"/>
      <c r="M754" s="20"/>
      <c r="N754" s="20"/>
      <c r="O754" s="20"/>
      <c r="P754" s="20"/>
      <c r="Q754" s="20"/>
      <c r="R754" s="20"/>
      <c r="S754" s="20"/>
      <c r="T754" s="26"/>
      <c r="U754" s="17"/>
    </row>
    <row r="755" spans="1:21" x14ac:dyDescent="0.25">
      <c r="A755" s="2" t="str">
        <f>IFERROR(VLOOKUP(B755,Clientes!A:B,2,0),"")</f>
        <v/>
      </c>
      <c r="B755" s="20">
        <f>B753+1</f>
        <v>670</v>
      </c>
      <c r="C755" s="52" t="s">
        <v>1275</v>
      </c>
      <c r="D755" s="55" t="s">
        <v>1276</v>
      </c>
      <c r="E755" s="2" t="s">
        <v>219</v>
      </c>
      <c r="F755" s="71">
        <v>131115</v>
      </c>
      <c r="G755" s="29" t="s">
        <v>57</v>
      </c>
      <c r="H755" s="20"/>
      <c r="I755" s="20" t="s">
        <v>84</v>
      </c>
      <c r="J755" s="20" t="s">
        <v>82</v>
      </c>
      <c r="K755" s="71"/>
      <c r="L755" s="20" t="s">
        <v>21</v>
      </c>
      <c r="M755" s="20"/>
      <c r="N755" s="20"/>
      <c r="O755" s="20"/>
      <c r="P755" s="20"/>
      <c r="Q755" s="20"/>
      <c r="R755" s="20"/>
      <c r="S755" s="20"/>
      <c r="T755" s="26"/>
      <c r="U755" s="17"/>
    </row>
    <row r="756" spans="1:21" ht="24" x14ac:dyDescent="0.25">
      <c r="A756" s="2"/>
      <c r="B756" s="20" t="s">
        <v>1297</v>
      </c>
      <c r="C756" s="52" t="s">
        <v>1298</v>
      </c>
      <c r="D756" s="55" t="s">
        <v>1299</v>
      </c>
      <c r="E756" s="2" t="s">
        <v>219</v>
      </c>
      <c r="F756" s="71">
        <v>161115</v>
      </c>
      <c r="G756" s="29" t="s">
        <v>58</v>
      </c>
      <c r="H756" s="20" t="s">
        <v>1192</v>
      </c>
      <c r="I756" s="20" t="s">
        <v>84</v>
      </c>
      <c r="J756" s="20" t="s">
        <v>1232</v>
      </c>
      <c r="K756" s="71"/>
      <c r="L756" s="20" t="s">
        <v>45</v>
      </c>
      <c r="M756" s="20"/>
      <c r="N756" s="20"/>
      <c r="O756" s="20"/>
      <c r="P756" s="20"/>
      <c r="Q756" s="20"/>
      <c r="R756" s="20"/>
      <c r="S756" s="20"/>
      <c r="T756" s="79" t="s">
        <v>1300</v>
      </c>
      <c r="U756" s="17"/>
    </row>
    <row r="757" spans="1:21" x14ac:dyDescent="0.25">
      <c r="A757" s="2" t="str">
        <f>IFERROR(VLOOKUP(B757,Clientes!A:B,2,0),"")</f>
        <v/>
      </c>
      <c r="B757" s="20">
        <f>B755+1</f>
        <v>671</v>
      </c>
      <c r="C757" s="52" t="s">
        <v>1273</v>
      </c>
      <c r="D757" s="55" t="s">
        <v>1274</v>
      </c>
      <c r="E757" s="2" t="s">
        <v>219</v>
      </c>
      <c r="F757" s="71">
        <v>131115</v>
      </c>
      <c r="G757" s="29" t="s">
        <v>57</v>
      </c>
      <c r="H757" s="20"/>
      <c r="I757" s="20" t="s">
        <v>84</v>
      </c>
      <c r="J757" s="20" t="s">
        <v>82</v>
      </c>
      <c r="K757" s="71"/>
      <c r="L757" s="20" t="s">
        <v>21</v>
      </c>
      <c r="M757" s="20"/>
      <c r="N757" s="20"/>
      <c r="O757" s="20"/>
      <c r="P757" s="20"/>
      <c r="Q757" s="20"/>
      <c r="R757" s="20"/>
      <c r="S757" s="20"/>
      <c r="T757" s="26"/>
      <c r="U757" s="17"/>
    </row>
    <row r="758" spans="1:21" ht="24" x14ac:dyDescent="0.25">
      <c r="A758" s="2"/>
      <c r="B758" s="20" t="s">
        <v>1301</v>
      </c>
      <c r="C758" s="52" t="s">
        <v>1302</v>
      </c>
      <c r="D758" s="55" t="s">
        <v>1303</v>
      </c>
      <c r="E758" s="2" t="s">
        <v>219</v>
      </c>
      <c r="F758" s="71">
        <v>161115</v>
      </c>
      <c r="G758" s="29" t="s">
        <v>58</v>
      </c>
      <c r="H758" s="20"/>
      <c r="I758" s="20" t="s">
        <v>84</v>
      </c>
      <c r="J758" s="20" t="s">
        <v>1232</v>
      </c>
      <c r="K758" s="71"/>
      <c r="L758" s="20" t="s">
        <v>45</v>
      </c>
      <c r="M758" s="20"/>
      <c r="N758" s="20"/>
      <c r="O758" s="20"/>
      <c r="P758" s="20"/>
      <c r="Q758" s="20"/>
      <c r="R758" s="20"/>
      <c r="S758" s="20"/>
      <c r="T758" s="79" t="s">
        <v>1300</v>
      </c>
      <c r="U758" s="17"/>
    </row>
    <row r="759" spans="1:21" x14ac:dyDescent="0.25">
      <c r="A759" s="2" t="str">
        <f>IFERROR(VLOOKUP(B759,Clientes!A:B,2,0),"")</f>
        <v/>
      </c>
      <c r="B759" s="20">
        <f>B757+1</f>
        <v>672</v>
      </c>
      <c r="C759" s="52"/>
      <c r="D759" s="55"/>
      <c r="E759" s="2"/>
      <c r="F759" s="71"/>
      <c r="G759" s="29"/>
      <c r="H759" s="20"/>
      <c r="I759" s="20" t="s">
        <v>84</v>
      </c>
      <c r="J759" s="20"/>
      <c r="K759" s="71"/>
      <c r="L759" s="20"/>
      <c r="M759" s="20"/>
      <c r="N759" s="20"/>
      <c r="O759" s="20"/>
      <c r="P759" s="20"/>
      <c r="Q759" s="20"/>
      <c r="R759" s="20"/>
      <c r="S759" s="20"/>
      <c r="T759" s="26"/>
      <c r="U759" s="17"/>
    </row>
    <row r="760" spans="1:21" x14ac:dyDescent="0.25">
      <c r="A760" s="2" t="str">
        <f>IFERROR(VLOOKUP(B760,Clientes!A:B,2,0),"")</f>
        <v/>
      </c>
      <c r="B760" s="20">
        <f t="shared" ref="B760:B761" si="60">B759+1</f>
        <v>673</v>
      </c>
      <c r="C760" s="52" t="s">
        <v>898</v>
      </c>
      <c r="D760" s="55" t="s">
        <v>899</v>
      </c>
      <c r="E760" s="2" t="s">
        <v>217</v>
      </c>
      <c r="F760" s="71">
        <v>161115</v>
      </c>
      <c r="G760" s="29" t="s">
        <v>57</v>
      </c>
      <c r="H760" s="20"/>
      <c r="I760" s="20" t="s">
        <v>84</v>
      </c>
      <c r="J760" s="20" t="s">
        <v>82</v>
      </c>
      <c r="K760" s="71"/>
      <c r="L760" s="20" t="s">
        <v>145</v>
      </c>
      <c r="M760" s="20"/>
      <c r="N760" s="20"/>
      <c r="O760" s="20"/>
      <c r="P760" s="20"/>
      <c r="Q760" s="20"/>
      <c r="R760" s="20"/>
      <c r="S760" s="20"/>
      <c r="T760" s="26"/>
      <c r="U760" s="17"/>
    </row>
    <row r="761" spans="1:21" x14ac:dyDescent="0.25">
      <c r="A761" s="2" t="str">
        <f>IFERROR(VLOOKUP(B761,Clientes!A:B,2,0),"")</f>
        <v/>
      </c>
      <c r="B761" s="20">
        <f t="shared" si="60"/>
        <v>674</v>
      </c>
      <c r="C761" s="52" t="s">
        <v>1277</v>
      </c>
      <c r="D761" s="55" t="s">
        <v>1278</v>
      </c>
      <c r="E761" s="2" t="s">
        <v>228</v>
      </c>
      <c r="F761" s="71">
        <v>161115</v>
      </c>
      <c r="G761" s="29" t="s">
        <v>58</v>
      </c>
      <c r="H761" s="20" t="s">
        <v>72</v>
      </c>
      <c r="I761" s="20" t="s">
        <v>84</v>
      </c>
      <c r="J761" s="20" t="s">
        <v>81</v>
      </c>
      <c r="K761" s="71"/>
      <c r="L761" s="20" t="s">
        <v>13</v>
      </c>
      <c r="M761" s="20"/>
      <c r="N761" s="20" t="s">
        <v>24</v>
      </c>
      <c r="O761" s="20"/>
      <c r="P761" s="20" t="s">
        <v>145</v>
      </c>
      <c r="Q761" s="20"/>
      <c r="R761" s="20" t="s">
        <v>758</v>
      </c>
      <c r="S761" s="20"/>
      <c r="T761" s="26" t="s">
        <v>1279</v>
      </c>
      <c r="U761" s="17"/>
    </row>
    <row r="762" spans="1:21" x14ac:dyDescent="0.25">
      <c r="A762" s="2" t="str">
        <f>IFERROR(VLOOKUP(B762,Clientes!A:B,2,0),"")</f>
        <v/>
      </c>
      <c r="B762" s="20">
        <f t="shared" ref="B762" si="61">B761+1</f>
        <v>675</v>
      </c>
      <c r="C762" s="52" t="s">
        <v>1280</v>
      </c>
      <c r="D762" s="55" t="s">
        <v>1231</v>
      </c>
      <c r="E762" s="2" t="s">
        <v>1237</v>
      </c>
      <c r="F762" s="71">
        <v>161116</v>
      </c>
      <c r="G762" s="29" t="s">
        <v>1191</v>
      </c>
      <c r="H762" s="20"/>
      <c r="I762" s="20" t="s">
        <v>84</v>
      </c>
      <c r="J762" s="20" t="s">
        <v>81</v>
      </c>
      <c r="K762" s="71"/>
      <c r="L762" s="20"/>
      <c r="M762" s="20"/>
      <c r="N762" s="20"/>
      <c r="O762" s="20"/>
      <c r="P762" s="20"/>
      <c r="Q762" s="20"/>
      <c r="R762" s="20"/>
      <c r="S762" s="20"/>
      <c r="T762" s="26" t="s">
        <v>1305</v>
      </c>
      <c r="U762" s="17"/>
    </row>
    <row r="763" spans="1:21" x14ac:dyDescent="0.25">
      <c r="A763" s="2" t="str">
        <f>IFERROR(VLOOKUP(B763,Clientes!A:B,2,0),"")</f>
        <v/>
      </c>
      <c r="B763" s="20">
        <f t="shared" ref="B763:B768" si="62">B762+1</f>
        <v>676</v>
      </c>
      <c r="C763" s="52" t="s">
        <v>1281</v>
      </c>
      <c r="D763" s="55" t="s">
        <v>1282</v>
      </c>
      <c r="E763" s="2" t="s">
        <v>220</v>
      </c>
      <c r="F763" s="71">
        <v>161115</v>
      </c>
      <c r="G763" s="29" t="s">
        <v>57</v>
      </c>
      <c r="H763" s="20" t="s">
        <v>72</v>
      </c>
      <c r="I763" s="20" t="s">
        <v>84</v>
      </c>
      <c r="J763" s="20" t="s">
        <v>81</v>
      </c>
      <c r="K763" s="71"/>
      <c r="L763" s="20" t="s">
        <v>45</v>
      </c>
      <c r="M763" s="20"/>
      <c r="N763" s="20"/>
      <c r="O763" s="20"/>
      <c r="P763" s="20"/>
      <c r="Q763" s="20"/>
      <c r="R763" s="20"/>
      <c r="S763" s="20"/>
      <c r="T763" s="26"/>
      <c r="U763" s="17"/>
    </row>
    <row r="764" spans="1:21" x14ac:dyDescent="0.25">
      <c r="A764" s="2" t="str">
        <f>IFERROR(VLOOKUP(B764,Clientes!A:B,2,0),"")</f>
        <v/>
      </c>
      <c r="B764" s="20">
        <f t="shared" si="62"/>
        <v>677</v>
      </c>
      <c r="C764" s="52" t="s">
        <v>876</v>
      </c>
      <c r="D764" s="55" t="s">
        <v>1284</v>
      </c>
      <c r="E764" s="2"/>
      <c r="F764" s="71">
        <v>161115</v>
      </c>
      <c r="G764" s="29" t="s">
        <v>56</v>
      </c>
      <c r="H764" s="20" t="s">
        <v>74</v>
      </c>
      <c r="I764" s="20" t="s">
        <v>84</v>
      </c>
      <c r="J764" s="20" t="s">
        <v>81</v>
      </c>
      <c r="K764" s="71"/>
      <c r="L764" s="20"/>
      <c r="M764" s="20"/>
      <c r="N764" s="20"/>
      <c r="O764" s="20"/>
      <c r="P764" s="20"/>
      <c r="Q764" s="20"/>
      <c r="R764" s="20"/>
      <c r="S764" s="20"/>
      <c r="T764" s="26"/>
      <c r="U764" s="17"/>
    </row>
    <row r="765" spans="1:21" x14ac:dyDescent="0.25">
      <c r="A765" s="2" t="str">
        <f>IFERROR(VLOOKUP(B765,Clientes!A:B,2,0),"")</f>
        <v/>
      </c>
      <c r="B765" s="20">
        <f t="shared" si="62"/>
        <v>678</v>
      </c>
      <c r="C765" s="52" t="s">
        <v>1283</v>
      </c>
      <c r="D765" s="55" t="s">
        <v>1285</v>
      </c>
      <c r="E765" s="2"/>
      <c r="F765" s="71">
        <v>161115</v>
      </c>
      <c r="G765" s="29" t="s">
        <v>1191</v>
      </c>
      <c r="H765" s="20"/>
      <c r="I765" s="20" t="s">
        <v>84</v>
      </c>
      <c r="J765" s="20" t="s">
        <v>83</v>
      </c>
      <c r="K765" s="71"/>
      <c r="L765" s="20"/>
      <c r="M765" s="20"/>
      <c r="N765" s="20"/>
      <c r="O765" s="20"/>
      <c r="P765" s="20"/>
      <c r="Q765" s="20"/>
      <c r="R765" s="20"/>
      <c r="S765" s="20"/>
      <c r="T765" s="26"/>
      <c r="U765" s="17"/>
    </row>
    <row r="766" spans="1:21" x14ac:dyDescent="0.25">
      <c r="A766" s="78" t="s">
        <v>1286</v>
      </c>
      <c r="B766" s="20">
        <f t="shared" si="62"/>
        <v>679</v>
      </c>
      <c r="C766" s="52" t="s">
        <v>1287</v>
      </c>
      <c r="D766" s="55" t="s">
        <v>1288</v>
      </c>
      <c r="E766" s="2" t="s">
        <v>229</v>
      </c>
      <c r="F766" s="71">
        <v>171115</v>
      </c>
      <c r="G766" s="29" t="s">
        <v>58</v>
      </c>
      <c r="H766" s="20"/>
      <c r="I766" s="20" t="s">
        <v>84</v>
      </c>
      <c r="J766" s="20" t="s">
        <v>81</v>
      </c>
      <c r="K766" s="71"/>
      <c r="L766" s="20" t="s">
        <v>145</v>
      </c>
      <c r="M766" s="20"/>
      <c r="N766" s="20"/>
      <c r="O766" s="20"/>
      <c r="P766" s="20"/>
      <c r="Q766" s="20"/>
      <c r="R766" s="20"/>
      <c r="S766" s="20"/>
      <c r="T766" s="26"/>
      <c r="U766" s="17"/>
    </row>
    <row r="767" spans="1:21" x14ac:dyDescent="0.25">
      <c r="A767" s="2" t="str">
        <f>IFERROR(VLOOKUP(B767,Clientes!A:B,2,0),"")</f>
        <v/>
      </c>
      <c r="B767" s="20">
        <f t="shared" si="62"/>
        <v>680</v>
      </c>
      <c r="C767" s="52" t="s">
        <v>1034</v>
      </c>
      <c r="D767" s="55" t="s">
        <v>1035</v>
      </c>
      <c r="E767" s="2" t="s">
        <v>233</v>
      </c>
      <c r="F767" s="71">
        <v>171115</v>
      </c>
      <c r="G767" s="29" t="s">
        <v>58</v>
      </c>
      <c r="H767" s="20" t="s">
        <v>72</v>
      </c>
      <c r="I767" s="20" t="s">
        <v>84</v>
      </c>
      <c r="J767" s="20" t="s">
        <v>81</v>
      </c>
      <c r="K767" s="71"/>
      <c r="L767" s="20" t="s">
        <v>132</v>
      </c>
      <c r="M767" s="20"/>
      <c r="N767" s="20"/>
      <c r="O767" s="20"/>
      <c r="P767" s="20"/>
      <c r="Q767" s="20"/>
      <c r="R767" s="20"/>
      <c r="S767" s="20"/>
      <c r="T767" s="26"/>
      <c r="U767" s="17"/>
    </row>
    <row r="768" spans="1:21" x14ac:dyDescent="0.25">
      <c r="A768" s="2" t="str">
        <f>IFERROR(VLOOKUP(B768,Clientes!A:B,2,0),"")</f>
        <v/>
      </c>
      <c r="B768" s="20">
        <f t="shared" si="62"/>
        <v>681</v>
      </c>
      <c r="C768" s="52" t="s">
        <v>329</v>
      </c>
      <c r="D768" s="55" t="s">
        <v>1021</v>
      </c>
      <c r="E768" s="2" t="s">
        <v>220</v>
      </c>
      <c r="F768" s="71">
        <v>171115</v>
      </c>
      <c r="G768" s="29" t="s">
        <v>56</v>
      </c>
      <c r="H768" s="20" t="s">
        <v>73</v>
      </c>
      <c r="I768" s="20" t="s">
        <v>84</v>
      </c>
      <c r="J768" s="20" t="s">
        <v>83</v>
      </c>
      <c r="K768" s="71"/>
      <c r="L768" s="20"/>
      <c r="M768" s="20"/>
      <c r="N768" s="20"/>
      <c r="O768" s="20"/>
      <c r="P768" s="20"/>
      <c r="Q768" s="20"/>
      <c r="R768" s="20"/>
      <c r="S768" s="20"/>
      <c r="T768" s="26"/>
      <c r="U768" s="17"/>
    </row>
    <row r="769" spans="1:21" x14ac:dyDescent="0.25">
      <c r="A769" s="2"/>
      <c r="B769" s="20" t="s">
        <v>1296</v>
      </c>
      <c r="C769" s="52" t="s">
        <v>1289</v>
      </c>
      <c r="D769" s="55" t="s">
        <v>1290</v>
      </c>
      <c r="E769" s="2" t="s">
        <v>221</v>
      </c>
      <c r="F769" s="71">
        <v>171115</v>
      </c>
      <c r="G769" s="29" t="s">
        <v>58</v>
      </c>
      <c r="H769" s="20" t="s">
        <v>72</v>
      </c>
      <c r="I769" s="20" t="s">
        <v>84</v>
      </c>
      <c r="J769" s="20" t="s">
        <v>81</v>
      </c>
      <c r="K769" s="71"/>
      <c r="L769" s="20" t="s">
        <v>157</v>
      </c>
      <c r="M769" s="20"/>
      <c r="N769" s="20"/>
      <c r="O769" s="20"/>
      <c r="P769" s="20"/>
      <c r="Q769" s="20"/>
      <c r="R769" s="20"/>
      <c r="S769" s="20"/>
      <c r="T769" s="26"/>
      <c r="U769" s="17"/>
    </row>
    <row r="770" spans="1:21" x14ac:dyDescent="0.25">
      <c r="A770" s="2" t="str">
        <f>IFERROR(VLOOKUP(B770,Clientes!A:B,2,0),"")</f>
        <v/>
      </c>
      <c r="B770" s="20">
        <f>B768+1</f>
        <v>682</v>
      </c>
      <c r="C770" s="52" t="s">
        <v>974</v>
      </c>
      <c r="D770" s="55" t="s">
        <v>975</v>
      </c>
      <c r="E770" s="2" t="s">
        <v>1240</v>
      </c>
      <c r="F770" s="71">
        <v>171115</v>
      </c>
      <c r="G770" s="29" t="s">
        <v>69</v>
      </c>
      <c r="H770" s="20"/>
      <c r="I770" s="20" t="s">
        <v>84</v>
      </c>
      <c r="J770" s="20" t="s">
        <v>81</v>
      </c>
      <c r="K770" s="71"/>
      <c r="L770" s="20"/>
      <c r="M770" s="20"/>
      <c r="N770" s="20"/>
      <c r="O770" s="20"/>
      <c r="P770" s="20"/>
      <c r="Q770" s="20"/>
      <c r="R770" s="20"/>
      <c r="S770" s="20"/>
      <c r="T770" s="26"/>
      <c r="U770" s="17"/>
    </row>
    <row r="771" spans="1:21" x14ac:dyDescent="0.25">
      <c r="A771" s="2" t="str">
        <f>IFERROR(VLOOKUP(B771,Clientes!A:B,2,0),"")</f>
        <v/>
      </c>
      <c r="B771" s="20">
        <f>B770+1</f>
        <v>683</v>
      </c>
      <c r="C771" s="52" t="s">
        <v>1291</v>
      </c>
      <c r="D771" s="55" t="s">
        <v>1294</v>
      </c>
      <c r="E771" s="2" t="s">
        <v>220</v>
      </c>
      <c r="F771" s="71">
        <v>181115</v>
      </c>
      <c r="G771" s="29" t="s">
        <v>57</v>
      </c>
      <c r="H771" s="20"/>
      <c r="I771" s="20" t="s">
        <v>84</v>
      </c>
      <c r="J771" s="20" t="s">
        <v>82</v>
      </c>
      <c r="K771" s="71"/>
      <c r="L771" s="20" t="s">
        <v>45</v>
      </c>
      <c r="M771" s="20"/>
      <c r="N771" s="20"/>
      <c r="O771" s="20"/>
      <c r="P771" s="20"/>
      <c r="Q771" s="20"/>
      <c r="R771" s="20"/>
      <c r="S771" s="20"/>
      <c r="T771" s="26"/>
      <c r="U771" s="17"/>
    </row>
    <row r="772" spans="1:21" x14ac:dyDescent="0.25">
      <c r="A772" s="2"/>
      <c r="B772" s="20" t="s">
        <v>1319</v>
      </c>
      <c r="C772" s="52" t="s">
        <v>1126</v>
      </c>
      <c r="D772" s="55" t="s">
        <v>769</v>
      </c>
      <c r="E772" s="2" t="s">
        <v>1233</v>
      </c>
      <c r="F772" s="71">
        <v>171115</v>
      </c>
      <c r="G772" s="29" t="s">
        <v>64</v>
      </c>
      <c r="H772" s="20"/>
      <c r="I772" s="20" t="s">
        <v>84</v>
      </c>
      <c r="J772" s="20" t="s">
        <v>81</v>
      </c>
      <c r="K772" s="71"/>
      <c r="L772" s="20"/>
      <c r="M772" s="20"/>
      <c r="N772" s="20"/>
      <c r="O772" s="20"/>
      <c r="P772" s="20"/>
      <c r="Q772" s="20"/>
      <c r="R772" s="20"/>
      <c r="S772" s="20"/>
      <c r="T772" s="26"/>
      <c r="U772" s="17"/>
    </row>
    <row r="773" spans="1:21" x14ac:dyDescent="0.25">
      <c r="A773" s="2"/>
      <c r="B773" s="20">
        <v>684</v>
      </c>
      <c r="C773" s="52" t="s">
        <v>1292</v>
      </c>
      <c r="D773" s="55" t="s">
        <v>1293</v>
      </c>
      <c r="E773" s="2" t="s">
        <v>220</v>
      </c>
      <c r="F773" s="71">
        <v>181115</v>
      </c>
      <c r="G773" s="29" t="s">
        <v>57</v>
      </c>
      <c r="H773" s="20"/>
      <c r="I773" s="20" t="s">
        <v>84</v>
      </c>
      <c r="J773" s="20" t="s">
        <v>82</v>
      </c>
      <c r="K773" s="71"/>
      <c r="L773" s="20" t="s">
        <v>45</v>
      </c>
      <c r="M773" s="20"/>
      <c r="N773" s="20"/>
      <c r="O773" s="20"/>
      <c r="P773" s="20"/>
      <c r="Q773" s="20"/>
      <c r="R773" s="20"/>
      <c r="S773" s="20"/>
      <c r="T773" s="26"/>
      <c r="U773" s="17"/>
    </row>
    <row r="774" spans="1:21" x14ac:dyDescent="0.25">
      <c r="A774" s="2" t="str">
        <f>IFERROR(VLOOKUP(B774,Clientes!A:B,2,0),"")</f>
        <v/>
      </c>
      <c r="B774" s="20">
        <f>B771+1</f>
        <v>684</v>
      </c>
      <c r="C774" s="52" t="s">
        <v>311</v>
      </c>
      <c r="D774" s="55" t="s">
        <v>312</v>
      </c>
      <c r="E774" s="2" t="s">
        <v>1235</v>
      </c>
      <c r="F774" s="71">
        <v>171115</v>
      </c>
      <c r="G774" s="29" t="s">
        <v>56</v>
      </c>
      <c r="H774" s="20" t="s">
        <v>73</v>
      </c>
      <c r="I774" s="20" t="s">
        <v>84</v>
      </c>
      <c r="J774" s="20" t="s">
        <v>83</v>
      </c>
      <c r="K774" s="71"/>
      <c r="L774" s="20"/>
      <c r="M774" s="20"/>
      <c r="N774" s="20"/>
      <c r="O774" s="20"/>
      <c r="P774" s="20"/>
      <c r="Q774" s="20"/>
      <c r="R774" s="20"/>
      <c r="S774" s="20"/>
      <c r="T774" s="26"/>
      <c r="U774" s="17"/>
    </row>
    <row r="775" spans="1:21" x14ac:dyDescent="0.25">
      <c r="A775" s="2"/>
      <c r="B775" s="20" t="s">
        <v>1309</v>
      </c>
      <c r="C775" s="52" t="s">
        <v>540</v>
      </c>
      <c r="D775" s="55" t="s">
        <v>593</v>
      </c>
      <c r="E775" s="2" t="s">
        <v>232</v>
      </c>
      <c r="F775" s="71">
        <v>181115</v>
      </c>
      <c r="G775" s="29" t="s">
        <v>58</v>
      </c>
      <c r="H775" s="20" t="s">
        <v>72</v>
      </c>
      <c r="I775" s="20" t="s">
        <v>84</v>
      </c>
      <c r="J775" s="20" t="s">
        <v>81</v>
      </c>
      <c r="K775" s="71"/>
      <c r="L775" s="20" t="s">
        <v>164</v>
      </c>
      <c r="M775" s="20"/>
      <c r="N775" s="20" t="s">
        <v>139</v>
      </c>
      <c r="O775" s="20"/>
      <c r="P775" s="20"/>
      <c r="Q775" s="20"/>
      <c r="R775" s="20"/>
      <c r="S775" s="20"/>
      <c r="T775" s="26"/>
      <c r="U775" s="17"/>
    </row>
    <row r="776" spans="1:21" x14ac:dyDescent="0.25">
      <c r="A776" s="2" t="str">
        <f>IFERROR(VLOOKUP(B776,Clientes!A:B,2,0),"")</f>
        <v/>
      </c>
      <c r="B776" s="20">
        <f>B774+1</f>
        <v>685</v>
      </c>
      <c r="C776" s="52" t="s">
        <v>969</v>
      </c>
      <c r="D776" s="55" t="s">
        <v>970</v>
      </c>
      <c r="E776" s="2" t="s">
        <v>1237</v>
      </c>
      <c r="F776" s="71">
        <v>181115</v>
      </c>
      <c r="G776" s="29" t="s">
        <v>57</v>
      </c>
      <c r="H776" s="20"/>
      <c r="I776" s="20" t="s">
        <v>84</v>
      </c>
      <c r="J776" s="20" t="s">
        <v>81</v>
      </c>
      <c r="K776" s="71"/>
      <c r="L776" s="20" t="s">
        <v>145</v>
      </c>
      <c r="M776" s="20"/>
      <c r="N776" s="20"/>
      <c r="O776" s="20"/>
      <c r="P776" s="20"/>
      <c r="Q776" s="20"/>
      <c r="R776" s="20"/>
      <c r="S776" s="20"/>
      <c r="T776" s="26"/>
      <c r="U776" s="17"/>
    </row>
    <row r="777" spans="1:21" x14ac:dyDescent="0.25">
      <c r="A777" s="2" t="str">
        <f>IFERROR(VLOOKUP(B777,Clientes!A:B,2,0),"")</f>
        <v/>
      </c>
      <c r="B777" s="20">
        <f t="shared" ref="B777:B782" si="63">B776+1</f>
        <v>686</v>
      </c>
      <c r="C777" s="52" t="s">
        <v>240</v>
      </c>
      <c r="D777" s="55" t="s">
        <v>1306</v>
      </c>
      <c r="E777" s="2" t="s">
        <v>218</v>
      </c>
      <c r="F777" s="71">
        <v>181115</v>
      </c>
      <c r="G777" s="29" t="s">
        <v>57</v>
      </c>
      <c r="H777" s="20"/>
      <c r="I777" s="20" t="s">
        <v>84</v>
      </c>
      <c r="J777" s="20" t="s">
        <v>82</v>
      </c>
      <c r="K777" s="71"/>
      <c r="L777" s="20" t="s">
        <v>44</v>
      </c>
      <c r="M777" s="20"/>
      <c r="N777" s="20"/>
      <c r="O777" s="20"/>
      <c r="P777" s="20"/>
      <c r="Q777" s="20"/>
      <c r="R777" s="20"/>
      <c r="S777" s="20"/>
      <c r="T777" s="26"/>
      <c r="U777" s="17"/>
    </row>
    <row r="778" spans="1:21" x14ac:dyDescent="0.25">
      <c r="A778" s="2" t="str">
        <f>IFERROR(VLOOKUP(B778,Clientes!A:B,2,0),"")</f>
        <v/>
      </c>
      <c r="B778" s="20">
        <f t="shared" si="63"/>
        <v>687</v>
      </c>
      <c r="C778" s="52" t="s">
        <v>1242</v>
      </c>
      <c r="D778" s="55" t="s">
        <v>1243</v>
      </c>
      <c r="E778" s="2" t="s">
        <v>225</v>
      </c>
      <c r="F778" s="71">
        <v>191115</v>
      </c>
      <c r="G778" s="29" t="s">
        <v>57</v>
      </c>
      <c r="H778" s="20"/>
      <c r="I778" s="20" t="s">
        <v>84</v>
      </c>
      <c r="J778" s="20" t="s">
        <v>81</v>
      </c>
      <c r="K778" s="71"/>
      <c r="L778" s="20" t="s">
        <v>160</v>
      </c>
      <c r="M778" s="20"/>
      <c r="N778" s="20"/>
      <c r="O778" s="20"/>
      <c r="P778" s="20"/>
      <c r="Q778" s="20"/>
      <c r="R778" s="20"/>
      <c r="S778" s="20"/>
      <c r="T778" s="26"/>
      <c r="U778" s="17"/>
    </row>
    <row r="779" spans="1:21" x14ac:dyDescent="0.25">
      <c r="A779" s="2" t="str">
        <f>IFERROR(VLOOKUP(B779,Clientes!A:B,2,0),"")</f>
        <v/>
      </c>
      <c r="B779" s="20">
        <f t="shared" si="63"/>
        <v>688</v>
      </c>
      <c r="C779" s="52" t="s">
        <v>1307</v>
      </c>
      <c r="D779" s="55" t="s">
        <v>1308</v>
      </c>
      <c r="E779" s="2" t="s">
        <v>220</v>
      </c>
      <c r="F779" s="71">
        <v>191115</v>
      </c>
      <c r="G779" s="29" t="s">
        <v>57</v>
      </c>
      <c r="H779" s="20"/>
      <c r="I779" s="20" t="s">
        <v>84</v>
      </c>
      <c r="J779" s="20" t="s">
        <v>82</v>
      </c>
      <c r="K779" s="71"/>
      <c r="L779" s="20" t="s">
        <v>45</v>
      </c>
      <c r="M779" s="20"/>
      <c r="N779" s="20"/>
      <c r="O779" s="20"/>
      <c r="P779" s="20"/>
      <c r="Q779" s="20"/>
      <c r="R779" s="20"/>
      <c r="S779" s="20"/>
      <c r="T779" s="26"/>
      <c r="U779" s="17"/>
    </row>
    <row r="780" spans="1:21" x14ac:dyDescent="0.25">
      <c r="A780" s="2" t="str">
        <f>IFERROR(VLOOKUP(B780,Clientes!A:B,2,0),"")</f>
        <v/>
      </c>
      <c r="B780" s="20">
        <f t="shared" si="63"/>
        <v>689</v>
      </c>
      <c r="C780" s="52" t="s">
        <v>1310</v>
      </c>
      <c r="D780" s="55" t="s">
        <v>1311</v>
      </c>
      <c r="E780" s="2" t="s">
        <v>218</v>
      </c>
      <c r="F780" s="71">
        <v>191115</v>
      </c>
      <c r="G780" s="29" t="s">
        <v>57</v>
      </c>
      <c r="H780" s="20"/>
      <c r="I780" s="20" t="s">
        <v>84</v>
      </c>
      <c r="J780" s="20" t="s">
        <v>82</v>
      </c>
      <c r="K780" s="71"/>
      <c r="L780" s="20" t="s">
        <v>22</v>
      </c>
      <c r="M780" s="20"/>
      <c r="N780" s="20"/>
      <c r="O780" s="20"/>
      <c r="P780" s="20"/>
      <c r="Q780" s="20"/>
      <c r="R780" s="20"/>
      <c r="S780" s="20"/>
      <c r="T780" s="26"/>
      <c r="U780" s="17"/>
    </row>
    <row r="781" spans="1:21" x14ac:dyDescent="0.25">
      <c r="A781" s="2" t="str">
        <f>IFERROR(VLOOKUP(B781,Clientes!A:B,2,0),"")</f>
        <v/>
      </c>
      <c r="B781" s="20">
        <f t="shared" si="63"/>
        <v>690</v>
      </c>
      <c r="C781" s="52" t="s">
        <v>1312</v>
      </c>
      <c r="D781" s="55" t="s">
        <v>1313</v>
      </c>
      <c r="E781" s="2" t="s">
        <v>220</v>
      </c>
      <c r="F781" s="71">
        <v>191115</v>
      </c>
      <c r="G781" s="29" t="s">
        <v>58</v>
      </c>
      <c r="H781" s="20" t="s">
        <v>72</v>
      </c>
      <c r="I781" s="20" t="s">
        <v>84</v>
      </c>
      <c r="J781" s="20" t="s">
        <v>81</v>
      </c>
      <c r="K781" s="71"/>
      <c r="L781" s="20" t="s">
        <v>149</v>
      </c>
      <c r="M781" s="20"/>
      <c r="N781" s="20"/>
      <c r="O781" s="20"/>
      <c r="P781" s="20"/>
      <c r="Q781" s="20"/>
      <c r="R781" s="20"/>
      <c r="S781" s="20"/>
      <c r="T781" s="26"/>
      <c r="U781" s="17"/>
    </row>
    <row r="782" spans="1:21" x14ac:dyDescent="0.25">
      <c r="A782" s="2" t="str">
        <f>IFERROR(VLOOKUP(B782,Clientes!A:B,2,0),"")</f>
        <v/>
      </c>
      <c r="B782" s="20">
        <f t="shared" si="63"/>
        <v>691</v>
      </c>
      <c r="C782" s="52" t="s">
        <v>450</v>
      </c>
      <c r="D782" s="55" t="s">
        <v>451</v>
      </c>
      <c r="E782" s="2" t="s">
        <v>1226</v>
      </c>
      <c r="F782" s="71">
        <v>191115</v>
      </c>
      <c r="G782" s="29" t="s">
        <v>64</v>
      </c>
      <c r="H782" s="20"/>
      <c r="I782" s="20" t="s">
        <v>84</v>
      </c>
      <c r="J782" s="20" t="s">
        <v>81</v>
      </c>
      <c r="K782" s="71"/>
      <c r="L782" s="20"/>
      <c r="M782" s="20"/>
      <c r="N782" s="20"/>
      <c r="O782" s="20"/>
      <c r="P782" s="20"/>
      <c r="Q782" s="20"/>
      <c r="R782" s="20"/>
      <c r="S782" s="20"/>
      <c r="T782" s="26"/>
      <c r="U782" s="17"/>
    </row>
    <row r="783" spans="1:21" x14ac:dyDescent="0.25">
      <c r="A783" s="2" t="str">
        <f>IFERROR(VLOOKUP(B783,Clientes!A:B,2,0),"")</f>
        <v/>
      </c>
      <c r="B783" s="20">
        <f>B782+1</f>
        <v>692</v>
      </c>
      <c r="C783" s="52" t="s">
        <v>1316</v>
      </c>
      <c r="D783" s="55" t="s">
        <v>1317</v>
      </c>
      <c r="E783" s="2" t="s">
        <v>214</v>
      </c>
      <c r="F783" s="71">
        <v>191115</v>
      </c>
      <c r="G783" s="29" t="s">
        <v>57</v>
      </c>
      <c r="H783" s="20"/>
      <c r="I783" s="20" t="s">
        <v>84</v>
      </c>
      <c r="J783" s="20" t="s">
        <v>82</v>
      </c>
      <c r="K783" s="71"/>
      <c r="L783" s="20" t="s">
        <v>758</v>
      </c>
      <c r="M783" s="20"/>
      <c r="N783" s="20"/>
      <c r="O783" s="20"/>
      <c r="P783" s="20"/>
      <c r="Q783" s="20"/>
      <c r="R783" s="20"/>
      <c r="S783" s="20"/>
      <c r="T783" s="26"/>
      <c r="U783" s="17"/>
    </row>
    <row r="784" spans="1:21" x14ac:dyDescent="0.25">
      <c r="A784" s="2" t="str">
        <f>IFERROR(VLOOKUP(B784,Clientes!A:B,2,0),"")</f>
        <v/>
      </c>
      <c r="B784" s="20">
        <f>B783+1</f>
        <v>693</v>
      </c>
      <c r="C784" s="52" t="s">
        <v>731</v>
      </c>
      <c r="D784" s="55" t="s">
        <v>732</v>
      </c>
      <c r="E784" s="2" t="s">
        <v>229</v>
      </c>
      <c r="F784" s="71">
        <v>201115</v>
      </c>
      <c r="G784" s="29" t="s">
        <v>58</v>
      </c>
      <c r="H784" s="20" t="s">
        <v>73</v>
      </c>
      <c r="I784" s="20" t="s">
        <v>84</v>
      </c>
      <c r="J784" s="20" t="s">
        <v>81</v>
      </c>
      <c r="K784" s="71"/>
      <c r="L784" s="20" t="s">
        <v>22</v>
      </c>
      <c r="M784" s="20"/>
      <c r="N784" s="20"/>
      <c r="O784" s="20"/>
      <c r="P784" s="20"/>
      <c r="Q784" s="20"/>
      <c r="R784" s="20"/>
      <c r="S784" s="20"/>
      <c r="T784" s="26"/>
      <c r="U784" s="17"/>
    </row>
    <row r="785" spans="1:21" x14ac:dyDescent="0.25">
      <c r="A785" s="2" t="str">
        <f>IFERROR(VLOOKUP(B785,Clientes!A:B,2,0),"")</f>
        <v/>
      </c>
      <c r="B785" s="20">
        <f>B784+1</f>
        <v>694</v>
      </c>
      <c r="C785" s="52" t="s">
        <v>1321</v>
      </c>
      <c r="D785" s="55" t="s">
        <v>1322</v>
      </c>
      <c r="E785" s="2" t="s">
        <v>217</v>
      </c>
      <c r="F785" s="71">
        <v>231115</v>
      </c>
      <c r="G785" s="29" t="s">
        <v>57</v>
      </c>
      <c r="H785" s="20"/>
      <c r="I785" s="20" t="s">
        <v>84</v>
      </c>
      <c r="J785" s="20" t="s">
        <v>83</v>
      </c>
      <c r="K785" s="71"/>
      <c r="L785" s="20" t="s">
        <v>148</v>
      </c>
      <c r="M785" s="20"/>
      <c r="N785" s="20"/>
      <c r="O785" s="20"/>
      <c r="P785" s="20"/>
      <c r="Q785" s="20"/>
      <c r="R785" s="20"/>
      <c r="S785" s="20"/>
      <c r="T785" s="26"/>
      <c r="U785" s="17"/>
    </row>
    <row r="786" spans="1:21" x14ac:dyDescent="0.25">
      <c r="A786" s="2" t="str">
        <f>IFERROR(VLOOKUP(B786,Clientes!A:B,2,0),"")</f>
        <v/>
      </c>
      <c r="B786" s="20">
        <f>B785+1</f>
        <v>695</v>
      </c>
      <c r="C786" s="52" t="s">
        <v>744</v>
      </c>
      <c r="D786" s="55" t="s">
        <v>745</v>
      </c>
      <c r="E786" s="2" t="s">
        <v>231</v>
      </c>
      <c r="F786" s="71">
        <v>231115</v>
      </c>
      <c r="G786" s="29" t="s">
        <v>57</v>
      </c>
      <c r="H786" s="20"/>
      <c r="I786" s="20" t="s">
        <v>84</v>
      </c>
      <c r="J786" s="20" t="s">
        <v>1232</v>
      </c>
      <c r="K786" s="71"/>
      <c r="L786" s="20" t="s">
        <v>164</v>
      </c>
      <c r="M786" s="20"/>
      <c r="N786" s="20" t="s">
        <v>44</v>
      </c>
      <c r="O786" s="20"/>
      <c r="P786" s="20"/>
      <c r="Q786" s="20"/>
      <c r="R786" s="20"/>
      <c r="S786" s="20"/>
      <c r="T786" s="26"/>
      <c r="U786" s="17"/>
    </row>
    <row r="787" spans="1:21" x14ac:dyDescent="0.25">
      <c r="A787" s="2" t="str">
        <f>IFERROR(VLOOKUP(B787,Clientes!A:B,2,0),"")</f>
        <v/>
      </c>
      <c r="B787" s="20">
        <f>B786+1</f>
        <v>696</v>
      </c>
      <c r="C787" s="52" t="s">
        <v>1005</v>
      </c>
      <c r="D787" s="55" t="s">
        <v>1323</v>
      </c>
      <c r="E787" s="2" t="s">
        <v>220</v>
      </c>
      <c r="F787" s="71">
        <v>231115</v>
      </c>
      <c r="G787" s="29" t="s">
        <v>58</v>
      </c>
      <c r="H787" s="20" t="s">
        <v>72</v>
      </c>
      <c r="I787" s="20" t="s">
        <v>84</v>
      </c>
      <c r="J787" s="20" t="s">
        <v>81</v>
      </c>
      <c r="K787" s="71"/>
      <c r="L787" s="20"/>
      <c r="M787" s="20"/>
      <c r="N787" s="20"/>
      <c r="O787" s="20"/>
      <c r="P787" s="20"/>
      <c r="Q787" s="20"/>
      <c r="R787" s="20"/>
      <c r="S787" s="20"/>
      <c r="T787" s="26"/>
      <c r="U787" s="17"/>
    </row>
    <row r="788" spans="1:21" x14ac:dyDescent="0.25">
      <c r="A788" s="2"/>
      <c r="B788" s="20">
        <v>696</v>
      </c>
      <c r="C788" s="52" t="s">
        <v>1328</v>
      </c>
      <c r="D788" s="55" t="s">
        <v>1329</v>
      </c>
      <c r="E788" s="2" t="s">
        <v>219</v>
      </c>
      <c r="F788" s="71">
        <v>231115</v>
      </c>
      <c r="G788" s="29" t="s">
        <v>57</v>
      </c>
      <c r="H788" s="20"/>
      <c r="I788" s="20" t="s">
        <v>84</v>
      </c>
      <c r="J788" s="20" t="s">
        <v>83</v>
      </c>
      <c r="K788" s="71"/>
      <c r="L788" s="20" t="s">
        <v>45</v>
      </c>
      <c r="M788" s="20"/>
      <c r="N788" s="20"/>
      <c r="O788" s="20"/>
      <c r="P788" s="20"/>
      <c r="Q788" s="20"/>
      <c r="R788" s="20"/>
      <c r="S788" s="20"/>
      <c r="T788" s="26"/>
      <c r="U788" s="17"/>
    </row>
    <row r="789" spans="1:21" x14ac:dyDescent="0.25">
      <c r="A789" s="2" t="str">
        <f>IFERROR(VLOOKUP(B789,Clientes!A:B,2,0),"")</f>
        <v/>
      </c>
      <c r="B789" s="20">
        <f>B787+1</f>
        <v>697</v>
      </c>
      <c r="C789" s="52" t="s">
        <v>1326</v>
      </c>
      <c r="D789" s="55" t="s">
        <v>1327</v>
      </c>
      <c r="E789" s="2" t="s">
        <v>221</v>
      </c>
      <c r="F789" s="71">
        <v>231115</v>
      </c>
      <c r="G789" s="29" t="s">
        <v>58</v>
      </c>
      <c r="H789" s="20" t="s">
        <v>72</v>
      </c>
      <c r="I789" s="20" t="s">
        <v>84</v>
      </c>
      <c r="J789" s="20" t="s">
        <v>83</v>
      </c>
      <c r="K789" s="71"/>
      <c r="L789" s="20" t="s">
        <v>157</v>
      </c>
      <c r="M789" s="20"/>
      <c r="N789" s="20"/>
      <c r="O789" s="20"/>
      <c r="P789" s="20"/>
      <c r="Q789" s="20"/>
      <c r="R789" s="20"/>
      <c r="S789" s="20"/>
      <c r="T789" s="26"/>
      <c r="U789" s="17"/>
    </row>
    <row r="790" spans="1:21" x14ac:dyDescent="0.25">
      <c r="A790" s="2" t="str">
        <f>IFERROR(VLOOKUP(B790,Clientes!A:B,2,0),"")</f>
        <v/>
      </c>
      <c r="B790" s="20">
        <f t="shared" ref="B790:B795" si="64">B789+1</f>
        <v>698</v>
      </c>
      <c r="C790" s="52"/>
      <c r="D790" s="55"/>
      <c r="E790" s="2"/>
      <c r="F790" s="71"/>
      <c r="G790" s="29"/>
      <c r="H790" s="20"/>
      <c r="I790" s="20" t="s">
        <v>84</v>
      </c>
      <c r="J790" s="20"/>
      <c r="K790" s="71"/>
      <c r="L790" s="20"/>
      <c r="M790" s="20"/>
      <c r="N790" s="20"/>
      <c r="O790" s="20"/>
      <c r="P790" s="20"/>
      <c r="Q790" s="20"/>
      <c r="R790" s="20"/>
      <c r="S790" s="20"/>
      <c r="T790" s="26"/>
      <c r="U790" s="17"/>
    </row>
    <row r="791" spans="1:21" x14ac:dyDescent="0.25">
      <c r="A791" s="2" t="str">
        <f>IFERROR(VLOOKUP(B791,Clientes!A:B,2,0),"")</f>
        <v/>
      </c>
      <c r="B791" s="20">
        <f t="shared" si="64"/>
        <v>699</v>
      </c>
      <c r="C791" s="52" t="s">
        <v>564</v>
      </c>
      <c r="D791" s="55" t="s">
        <v>565</v>
      </c>
      <c r="E791" s="2" t="s">
        <v>1238</v>
      </c>
      <c r="F791" s="71">
        <v>231115</v>
      </c>
      <c r="G791" s="29" t="s">
        <v>66</v>
      </c>
      <c r="H791" s="20" t="s">
        <v>77</v>
      </c>
      <c r="I791" s="20" t="s">
        <v>84</v>
      </c>
      <c r="J791" s="20" t="s">
        <v>81</v>
      </c>
      <c r="K791" s="71"/>
      <c r="L791" s="20"/>
      <c r="M791" s="20"/>
      <c r="N791" s="20"/>
      <c r="O791" s="20"/>
      <c r="P791" s="20"/>
      <c r="Q791" s="20"/>
      <c r="R791" s="20"/>
      <c r="S791" s="20"/>
      <c r="T791" s="26"/>
      <c r="U791" s="17"/>
    </row>
    <row r="792" spans="1:21" x14ac:dyDescent="0.25">
      <c r="A792" s="2" t="str">
        <f>IFERROR(VLOOKUP(B792,Clientes!A:B,2,0),"")</f>
        <v/>
      </c>
      <c r="B792" s="20">
        <f t="shared" si="64"/>
        <v>700</v>
      </c>
      <c r="C792" s="52" t="s">
        <v>1193</v>
      </c>
      <c r="D792" s="55" t="s">
        <v>1194</v>
      </c>
      <c r="E792" s="2" t="s">
        <v>1238</v>
      </c>
      <c r="F792" s="71">
        <v>231115</v>
      </c>
      <c r="G792" s="29" t="s">
        <v>58</v>
      </c>
      <c r="H792" s="20" t="s">
        <v>74</v>
      </c>
      <c r="I792" s="20" t="s">
        <v>84</v>
      </c>
      <c r="J792" s="20" t="s">
        <v>83</v>
      </c>
      <c r="K792" s="71"/>
      <c r="L792" s="20" t="s">
        <v>148</v>
      </c>
      <c r="M792" s="20"/>
      <c r="N792" s="20" t="s">
        <v>167</v>
      </c>
      <c r="O792" s="20"/>
      <c r="P792" s="20"/>
      <c r="Q792" s="20"/>
      <c r="R792" s="20"/>
      <c r="S792" s="20"/>
      <c r="T792" s="26"/>
      <c r="U792" s="17"/>
    </row>
    <row r="793" spans="1:21" x14ac:dyDescent="0.25">
      <c r="A793" s="2" t="str">
        <f>IFERROR(VLOOKUP(B793,Clientes!A:B,2,0),"")</f>
        <v/>
      </c>
      <c r="B793" s="20">
        <f t="shared" si="64"/>
        <v>701</v>
      </c>
      <c r="C793" s="52" t="s">
        <v>1340</v>
      </c>
      <c r="D793" s="55" t="s">
        <v>1341</v>
      </c>
      <c r="E793" s="2" t="s">
        <v>1238</v>
      </c>
      <c r="F793" s="71">
        <v>231115</v>
      </c>
      <c r="G793" s="29" t="s">
        <v>58</v>
      </c>
      <c r="H793" s="20" t="s">
        <v>74</v>
      </c>
      <c r="I793" s="20" t="s">
        <v>84</v>
      </c>
      <c r="J793" s="20" t="s">
        <v>83</v>
      </c>
      <c r="K793" s="71"/>
      <c r="L793" s="20" t="s">
        <v>148</v>
      </c>
      <c r="M793" s="20"/>
      <c r="N793" s="20"/>
      <c r="O793" s="20"/>
      <c r="P793" s="20"/>
      <c r="Q793" s="20"/>
      <c r="R793" s="20"/>
      <c r="S793" s="20"/>
      <c r="T793" s="26"/>
      <c r="U793" s="17"/>
    </row>
    <row r="794" spans="1:21" x14ac:dyDescent="0.25">
      <c r="A794" s="2" t="str">
        <f>IFERROR(VLOOKUP(B794,Clientes!A:B,2,0),"")</f>
        <v/>
      </c>
      <c r="B794" s="20">
        <f t="shared" si="64"/>
        <v>702</v>
      </c>
      <c r="C794" s="52" t="s">
        <v>1324</v>
      </c>
      <c r="D794" s="55" t="s">
        <v>1325</v>
      </c>
      <c r="E794" s="2" t="s">
        <v>1226</v>
      </c>
      <c r="F794" s="71">
        <v>231115</v>
      </c>
      <c r="G794" s="29" t="s">
        <v>56</v>
      </c>
      <c r="H794" s="20" t="s">
        <v>74</v>
      </c>
      <c r="I794" s="20" t="s">
        <v>84</v>
      </c>
      <c r="J794" s="20" t="s">
        <v>83</v>
      </c>
      <c r="K794" s="71"/>
      <c r="L794" s="20"/>
      <c r="M794" s="20"/>
      <c r="N794" s="20"/>
      <c r="O794" s="20"/>
      <c r="P794" s="20"/>
      <c r="Q794" s="20"/>
      <c r="R794" s="20"/>
      <c r="S794" s="20"/>
      <c r="T794" s="26"/>
      <c r="U794" s="17"/>
    </row>
    <row r="795" spans="1:21" x14ac:dyDescent="0.25">
      <c r="A795" s="2" t="str">
        <f>IFERROR(VLOOKUP(B795,Clientes!A:B,2,0),"")</f>
        <v/>
      </c>
      <c r="B795" s="20">
        <f t="shared" si="64"/>
        <v>703</v>
      </c>
      <c r="C795" s="52" t="s">
        <v>475</v>
      </c>
      <c r="D795" s="55" t="s">
        <v>476</v>
      </c>
      <c r="E795" s="2" t="s">
        <v>225</v>
      </c>
      <c r="F795" s="71">
        <v>241115</v>
      </c>
      <c r="G795" s="29" t="s">
        <v>58</v>
      </c>
      <c r="H795" s="20" t="s">
        <v>72</v>
      </c>
      <c r="I795" s="20" t="s">
        <v>84</v>
      </c>
      <c r="J795" s="20" t="s">
        <v>81</v>
      </c>
      <c r="K795" s="71"/>
      <c r="L795" s="20" t="s">
        <v>160</v>
      </c>
      <c r="M795" s="20"/>
      <c r="N795" s="20"/>
      <c r="O795" s="20"/>
      <c r="P795" s="20"/>
      <c r="Q795" s="20"/>
      <c r="R795" s="20"/>
      <c r="S795" s="20"/>
      <c r="T795" s="26"/>
      <c r="U795" s="17"/>
    </row>
    <row r="796" spans="1:21" x14ac:dyDescent="0.25">
      <c r="A796" s="2" t="str">
        <f>IFERROR(VLOOKUP(B796,Clientes!A:B,2,0),"")</f>
        <v/>
      </c>
      <c r="B796" s="20">
        <f>B795+1</f>
        <v>704</v>
      </c>
      <c r="C796" s="52" t="s">
        <v>583</v>
      </c>
      <c r="D796" s="55" t="s">
        <v>584</v>
      </c>
      <c r="E796" s="2" t="s">
        <v>225</v>
      </c>
      <c r="F796" s="71">
        <v>241115</v>
      </c>
      <c r="G796" s="29" t="s">
        <v>56</v>
      </c>
      <c r="H796" s="20" t="s">
        <v>72</v>
      </c>
      <c r="I796" s="20" t="s">
        <v>84</v>
      </c>
      <c r="J796" s="20" t="s">
        <v>83</v>
      </c>
      <c r="K796" s="71"/>
      <c r="L796" s="20"/>
      <c r="M796" s="20"/>
      <c r="N796" s="20"/>
      <c r="O796" s="20"/>
      <c r="P796" s="20"/>
      <c r="Q796" s="20"/>
      <c r="R796" s="20"/>
      <c r="S796" s="20"/>
      <c r="T796" s="26"/>
      <c r="U796" s="17"/>
    </row>
    <row r="797" spans="1:21" x14ac:dyDescent="0.25">
      <c r="A797" s="2" t="str">
        <f>IFERROR(VLOOKUP(B797,Clientes!A:B,2,0),"")</f>
        <v/>
      </c>
      <c r="B797" s="20">
        <f>B796+1</f>
        <v>705</v>
      </c>
      <c r="C797" s="52" t="s">
        <v>1275</v>
      </c>
      <c r="D797" s="55" t="s">
        <v>1330</v>
      </c>
      <c r="E797" s="2" t="s">
        <v>219</v>
      </c>
      <c r="F797" s="71">
        <v>241115</v>
      </c>
      <c r="G797" s="29" t="s">
        <v>57</v>
      </c>
      <c r="H797" s="20"/>
      <c r="I797" s="20" t="s">
        <v>84</v>
      </c>
      <c r="J797" s="20" t="s">
        <v>83</v>
      </c>
      <c r="K797" s="71"/>
      <c r="L797" s="20" t="s">
        <v>21</v>
      </c>
      <c r="M797" s="20"/>
      <c r="N797" s="20" t="s">
        <v>138</v>
      </c>
      <c r="O797" s="20"/>
      <c r="P797" s="20"/>
      <c r="Q797" s="20"/>
      <c r="R797" s="20"/>
      <c r="S797" s="20"/>
      <c r="T797" s="26"/>
      <c r="U797" s="17"/>
    </row>
    <row r="798" spans="1:21" x14ac:dyDescent="0.25">
      <c r="A798" s="2" t="str">
        <f>IFERROR(VLOOKUP(B798,Clientes!A:B,2,0),"")</f>
        <v/>
      </c>
      <c r="B798" s="20">
        <f>B797+1</f>
        <v>706</v>
      </c>
      <c r="C798" s="52" t="s">
        <v>1331</v>
      </c>
      <c r="D798" s="55" t="s">
        <v>1332</v>
      </c>
      <c r="E798" s="2" t="s">
        <v>219</v>
      </c>
      <c r="F798" s="71">
        <v>241115</v>
      </c>
      <c r="G798" s="29" t="s">
        <v>57</v>
      </c>
      <c r="H798" s="20"/>
      <c r="I798" s="20" t="s">
        <v>84</v>
      </c>
      <c r="J798" s="20" t="s">
        <v>83</v>
      </c>
      <c r="K798" s="71"/>
      <c r="L798" s="20" t="s">
        <v>21</v>
      </c>
      <c r="M798" s="20"/>
      <c r="N798" s="20" t="s">
        <v>138</v>
      </c>
      <c r="O798" s="20"/>
      <c r="P798" s="20"/>
      <c r="Q798" s="20"/>
      <c r="R798" s="20"/>
      <c r="S798" s="20"/>
      <c r="T798" s="26"/>
      <c r="U798" s="17"/>
    </row>
    <row r="799" spans="1:21" x14ac:dyDescent="0.25">
      <c r="A799" s="2" t="str">
        <f>IFERROR(VLOOKUP(B799,Clientes!A:B,2,0),"")</f>
        <v/>
      </c>
      <c r="B799" s="20">
        <f>B798+1</f>
        <v>707</v>
      </c>
      <c r="C799" s="52" t="s">
        <v>599</v>
      </c>
      <c r="D799" s="55" t="s">
        <v>600</v>
      </c>
      <c r="E799" s="2" t="s">
        <v>220</v>
      </c>
      <c r="F799" s="71">
        <v>241115</v>
      </c>
      <c r="G799" s="29" t="s">
        <v>58</v>
      </c>
      <c r="H799" s="20" t="s">
        <v>72</v>
      </c>
      <c r="I799" s="20" t="s">
        <v>84</v>
      </c>
      <c r="J799" s="20" t="s">
        <v>1232</v>
      </c>
      <c r="K799" s="71"/>
      <c r="L799" s="20" t="s">
        <v>134</v>
      </c>
      <c r="M799" s="20"/>
      <c r="N799" s="20"/>
      <c r="O799" s="20"/>
      <c r="P799" s="20"/>
      <c r="Q799" s="20"/>
      <c r="R799" s="20"/>
      <c r="S799" s="20"/>
      <c r="T799" s="26"/>
      <c r="U799" s="17"/>
    </row>
    <row r="800" spans="1:21" ht="25.5" x14ac:dyDescent="0.25">
      <c r="A800" s="2"/>
      <c r="B800" s="20" t="s">
        <v>1333</v>
      </c>
      <c r="C800" s="52" t="s">
        <v>1334</v>
      </c>
      <c r="D800" s="55" t="s">
        <v>1335</v>
      </c>
      <c r="E800" s="2" t="s">
        <v>220</v>
      </c>
      <c r="F800" s="71">
        <v>241115</v>
      </c>
      <c r="G800" s="29" t="s">
        <v>58</v>
      </c>
      <c r="H800" s="20" t="s">
        <v>72</v>
      </c>
      <c r="I800" s="20" t="s">
        <v>84</v>
      </c>
      <c r="J800" s="20" t="s">
        <v>81</v>
      </c>
      <c r="K800" s="71"/>
      <c r="L800" s="20"/>
      <c r="M800" s="20"/>
      <c r="N800" s="20"/>
      <c r="O800" s="20"/>
      <c r="P800" s="20"/>
      <c r="Q800" s="20"/>
      <c r="R800" s="20"/>
      <c r="S800" s="20"/>
      <c r="T800" s="26" t="s">
        <v>1336</v>
      </c>
      <c r="U800" s="17"/>
    </row>
    <row r="801" spans="1:21" x14ac:dyDescent="0.25">
      <c r="A801" s="2"/>
      <c r="B801" s="20" t="s">
        <v>1337</v>
      </c>
      <c r="C801" s="52" t="s">
        <v>1338</v>
      </c>
      <c r="D801" s="55" t="s">
        <v>1339</v>
      </c>
      <c r="E801" s="2" t="s">
        <v>225</v>
      </c>
      <c r="F801" s="71">
        <v>251115</v>
      </c>
      <c r="G801" s="29" t="s">
        <v>57</v>
      </c>
      <c r="H801" s="20"/>
      <c r="I801" s="20" t="s">
        <v>84</v>
      </c>
      <c r="J801" s="20" t="s">
        <v>1232</v>
      </c>
      <c r="K801" s="71"/>
      <c r="L801" s="20" t="s">
        <v>160</v>
      </c>
      <c r="M801" s="20"/>
      <c r="N801" s="20"/>
      <c r="O801" s="20"/>
      <c r="P801" s="20"/>
      <c r="Q801" s="20"/>
      <c r="R801" s="20"/>
      <c r="S801" s="20"/>
      <c r="T801" s="26"/>
      <c r="U801" s="17"/>
    </row>
    <row r="802" spans="1:21" x14ac:dyDescent="0.25">
      <c r="A802" s="2">
        <v>201</v>
      </c>
      <c r="B802" s="20">
        <f>B799+1</f>
        <v>708</v>
      </c>
      <c r="C802" s="52" t="s">
        <v>684</v>
      </c>
      <c r="D802" s="55" t="s">
        <v>685</v>
      </c>
      <c r="E802" s="2" t="s">
        <v>230</v>
      </c>
      <c r="F802" s="71">
        <v>241115</v>
      </c>
      <c r="G802" s="29" t="s">
        <v>58</v>
      </c>
      <c r="H802" s="20"/>
      <c r="I802" s="20" t="s">
        <v>84</v>
      </c>
      <c r="J802" s="20" t="s">
        <v>1232</v>
      </c>
      <c r="K802" s="71"/>
      <c r="L802" s="20" t="s">
        <v>44</v>
      </c>
      <c r="M802" s="20"/>
      <c r="N802" s="20" t="s">
        <v>164</v>
      </c>
      <c r="O802" s="20"/>
      <c r="P802" s="20"/>
      <c r="Q802" s="20"/>
      <c r="R802" s="20"/>
      <c r="S802" s="20"/>
      <c r="T802" s="26"/>
      <c r="U802" s="17"/>
    </row>
    <row r="803" spans="1:21" x14ac:dyDescent="0.25">
      <c r="A803" s="2" t="str">
        <f>IFERROR(VLOOKUP(B803,Clientes!A:B,2,0),"")</f>
        <v/>
      </c>
      <c r="B803" s="20">
        <f>B802+1</f>
        <v>709</v>
      </c>
      <c r="C803" s="52" t="s">
        <v>1273</v>
      </c>
      <c r="D803" s="55" t="s">
        <v>1274</v>
      </c>
      <c r="E803" s="2" t="s">
        <v>219</v>
      </c>
      <c r="F803" s="71">
        <v>241115</v>
      </c>
      <c r="G803" s="29" t="s">
        <v>58</v>
      </c>
      <c r="H803" s="20"/>
      <c r="I803" s="20" t="s">
        <v>84</v>
      </c>
      <c r="J803" s="20" t="s">
        <v>83</v>
      </c>
      <c r="K803" s="71"/>
      <c r="L803" s="20" t="s">
        <v>138</v>
      </c>
      <c r="M803" s="20"/>
      <c r="N803" s="20" t="s">
        <v>21</v>
      </c>
      <c r="O803" s="20"/>
      <c r="P803" s="20"/>
      <c r="Q803" s="20"/>
      <c r="R803" s="20"/>
      <c r="S803" s="20"/>
      <c r="T803" s="26"/>
      <c r="U803" s="17"/>
    </row>
    <row r="804" spans="1:21" x14ac:dyDescent="0.25">
      <c r="A804" s="2"/>
      <c r="B804" s="20">
        <v>709</v>
      </c>
      <c r="C804" s="52" t="s">
        <v>314</v>
      </c>
      <c r="D804" s="55" t="s">
        <v>315</v>
      </c>
      <c r="E804" s="2" t="s">
        <v>232</v>
      </c>
      <c r="F804" s="71">
        <v>251115</v>
      </c>
      <c r="G804" s="29" t="s">
        <v>58</v>
      </c>
      <c r="H804" s="20" t="s">
        <v>72</v>
      </c>
      <c r="I804" s="20" t="s">
        <v>84</v>
      </c>
      <c r="J804" s="20" t="s">
        <v>83</v>
      </c>
      <c r="K804" s="71"/>
      <c r="L804" s="20" t="s">
        <v>18</v>
      </c>
      <c r="M804" s="20"/>
      <c r="N804" s="20"/>
      <c r="O804" s="20"/>
      <c r="P804" s="20"/>
      <c r="Q804" s="20"/>
      <c r="R804" s="20"/>
      <c r="S804" s="20"/>
      <c r="T804" s="26"/>
      <c r="U804" s="17"/>
    </row>
    <row r="805" spans="1:21" x14ac:dyDescent="0.25">
      <c r="A805" s="2" t="str">
        <f>IFERROR(VLOOKUP(B805,Clientes!A:B,2,0),"")</f>
        <v/>
      </c>
      <c r="B805" s="20">
        <f>B803+1</f>
        <v>710</v>
      </c>
      <c r="C805" s="52" t="s">
        <v>794</v>
      </c>
      <c r="D805" s="55" t="s">
        <v>795</v>
      </c>
      <c r="E805" s="2" t="s">
        <v>1237</v>
      </c>
      <c r="F805" s="71">
        <v>241115</v>
      </c>
      <c r="G805" s="29" t="s">
        <v>57</v>
      </c>
      <c r="H805" s="20"/>
      <c r="I805" s="20" t="s">
        <v>84</v>
      </c>
      <c r="J805" s="20" t="s">
        <v>1232</v>
      </c>
      <c r="K805" s="71"/>
      <c r="L805" s="20" t="s">
        <v>150</v>
      </c>
      <c r="M805" s="20"/>
      <c r="N805" s="20"/>
      <c r="O805" s="20"/>
      <c r="P805" s="20"/>
      <c r="Q805" s="20"/>
      <c r="R805" s="20"/>
      <c r="S805" s="20"/>
      <c r="T805" s="26"/>
      <c r="U805" s="17"/>
    </row>
    <row r="806" spans="1:21" x14ac:dyDescent="0.25">
      <c r="A806" s="2"/>
      <c r="B806" s="20" t="s">
        <v>1345</v>
      </c>
      <c r="C806" s="52" t="s">
        <v>1346</v>
      </c>
      <c r="D806" s="55" t="s">
        <v>1347</v>
      </c>
      <c r="E806" s="2" t="s">
        <v>228</v>
      </c>
      <c r="F806" s="71">
        <v>251115</v>
      </c>
      <c r="G806" s="29" t="s">
        <v>58</v>
      </c>
      <c r="H806" s="20" t="s">
        <v>1192</v>
      </c>
      <c r="I806" s="20" t="s">
        <v>84</v>
      </c>
      <c r="J806" s="20" t="s">
        <v>1232</v>
      </c>
      <c r="K806" s="71"/>
      <c r="L806" s="20" t="s">
        <v>42</v>
      </c>
      <c r="M806" s="20"/>
      <c r="N806" s="20"/>
      <c r="O806" s="20"/>
      <c r="P806" s="20"/>
      <c r="Q806" s="20"/>
      <c r="R806" s="20"/>
      <c r="S806" s="20"/>
      <c r="T806" s="26" t="s">
        <v>1348</v>
      </c>
      <c r="U806" s="17"/>
    </row>
    <row r="807" spans="1:21" x14ac:dyDescent="0.25">
      <c r="A807" s="2"/>
      <c r="B807" s="20" t="s">
        <v>1355</v>
      </c>
      <c r="C807" s="52" t="s">
        <v>1356</v>
      </c>
      <c r="D807" s="55" t="s">
        <v>1357</v>
      </c>
      <c r="E807" s="2" t="s">
        <v>1237</v>
      </c>
      <c r="F807" s="71">
        <v>251115</v>
      </c>
      <c r="G807" s="29" t="s">
        <v>1191</v>
      </c>
      <c r="H807" s="20"/>
      <c r="I807" s="20" t="s">
        <v>84</v>
      </c>
      <c r="J807" s="20" t="s">
        <v>81</v>
      </c>
      <c r="K807" s="71"/>
      <c r="L807" s="20"/>
      <c r="M807" s="20"/>
      <c r="N807" s="20"/>
      <c r="O807" s="20"/>
      <c r="P807" s="20"/>
      <c r="Q807" s="20"/>
      <c r="R807" s="20"/>
      <c r="S807" s="20"/>
      <c r="T807" s="26"/>
      <c r="U807" s="17"/>
    </row>
    <row r="808" spans="1:21" x14ac:dyDescent="0.25">
      <c r="A808" s="2" t="str">
        <f>IFERROR(VLOOKUP(B808,Clientes!A:B,2,0),"")</f>
        <v/>
      </c>
      <c r="B808" s="20">
        <v>711</v>
      </c>
      <c r="C808" s="52" t="s">
        <v>797</v>
      </c>
      <c r="D808" s="55" t="s">
        <v>798</v>
      </c>
      <c r="E808" s="2" t="s">
        <v>225</v>
      </c>
      <c r="F808" s="71">
        <v>241115</v>
      </c>
      <c r="G808" s="29" t="s">
        <v>57</v>
      </c>
      <c r="H808" s="20"/>
      <c r="I808" s="20" t="s">
        <v>84</v>
      </c>
      <c r="J808" s="20" t="s">
        <v>1232</v>
      </c>
      <c r="K808" s="71"/>
      <c r="L808" s="20" t="s">
        <v>160</v>
      </c>
      <c r="M808" s="20"/>
      <c r="N808" s="20" t="s">
        <v>40</v>
      </c>
      <c r="O808" s="20"/>
      <c r="P808" s="20"/>
      <c r="Q808" s="20"/>
      <c r="R808" s="20"/>
      <c r="S808" s="20"/>
      <c r="T808" s="26"/>
      <c r="U808" s="17"/>
    </row>
    <row r="809" spans="1:21" x14ac:dyDescent="0.25">
      <c r="A809" s="2"/>
      <c r="B809" s="20" t="s">
        <v>1349</v>
      </c>
      <c r="C809" s="52" t="s">
        <v>1350</v>
      </c>
      <c r="D809" s="55" t="s">
        <v>1351</v>
      </c>
      <c r="E809" s="2" t="s">
        <v>228</v>
      </c>
      <c r="F809" s="71">
        <v>251115</v>
      </c>
      <c r="G809" s="29" t="s">
        <v>58</v>
      </c>
      <c r="H809" s="20"/>
      <c r="I809" s="20" t="s">
        <v>84</v>
      </c>
      <c r="J809" s="20" t="s">
        <v>1232</v>
      </c>
      <c r="K809" s="71"/>
      <c r="L809" s="20" t="s">
        <v>40</v>
      </c>
      <c r="M809" s="20"/>
      <c r="N809" s="20"/>
      <c r="O809" s="20"/>
      <c r="P809" s="20"/>
      <c r="Q809" s="20"/>
      <c r="R809" s="20"/>
      <c r="S809" s="20"/>
      <c r="T809" s="26"/>
      <c r="U809" s="17"/>
    </row>
    <row r="810" spans="1:21" x14ac:dyDescent="0.25">
      <c r="A810" s="2" t="str">
        <f>IFERROR(VLOOKUP(B810,Clientes!A:B,2,0),"")</f>
        <v/>
      </c>
      <c r="B810" s="20">
        <f>B808+1</f>
        <v>712</v>
      </c>
      <c r="C810" s="52" t="s">
        <v>1342</v>
      </c>
      <c r="D810" s="55" t="s">
        <v>1343</v>
      </c>
      <c r="E810" s="2"/>
      <c r="F810" s="71">
        <v>241115</v>
      </c>
      <c r="G810" s="29" t="s">
        <v>58</v>
      </c>
      <c r="H810" s="20" t="s">
        <v>73</v>
      </c>
      <c r="I810" s="20" t="s">
        <v>84</v>
      </c>
      <c r="J810" s="20" t="s">
        <v>83</v>
      </c>
      <c r="K810" s="71"/>
      <c r="L810" s="20"/>
      <c r="M810" s="20"/>
      <c r="N810" s="20"/>
      <c r="O810" s="20"/>
      <c r="P810" s="20"/>
      <c r="Q810" s="20"/>
      <c r="R810" s="20"/>
      <c r="S810" s="20"/>
      <c r="T810" s="26" t="s">
        <v>1344</v>
      </c>
      <c r="U810" s="17"/>
    </row>
    <row r="811" spans="1:21" x14ac:dyDescent="0.25">
      <c r="A811" s="2"/>
      <c r="B811" s="20" t="s">
        <v>1352</v>
      </c>
      <c r="C811" s="52" t="s">
        <v>1353</v>
      </c>
      <c r="D811" s="55" t="s">
        <v>1354</v>
      </c>
      <c r="E811" s="2" t="s">
        <v>230</v>
      </c>
      <c r="F811" s="71">
        <v>261115</v>
      </c>
      <c r="G811" s="29" t="s">
        <v>58</v>
      </c>
      <c r="H811" s="20" t="s">
        <v>72</v>
      </c>
      <c r="I811" s="20" t="s">
        <v>84</v>
      </c>
      <c r="J811" s="20" t="s">
        <v>83</v>
      </c>
      <c r="K811" s="71"/>
      <c r="L811" s="20" t="s">
        <v>44</v>
      </c>
      <c r="M811" s="20"/>
      <c r="N811" s="20" t="s">
        <v>164</v>
      </c>
      <c r="O811" s="20"/>
      <c r="P811" s="20"/>
      <c r="Q811" s="20"/>
      <c r="R811" s="20"/>
      <c r="S811" s="20"/>
      <c r="T811" s="26"/>
      <c r="U811" s="17"/>
    </row>
    <row r="812" spans="1:21" x14ac:dyDescent="0.25">
      <c r="A812" s="2" t="str">
        <f>IFERROR(VLOOKUP(B812,Clientes!A:B,2,0),"")</f>
        <v/>
      </c>
      <c r="B812" s="20">
        <f>B810+1</f>
        <v>713</v>
      </c>
      <c r="C812" s="52" t="s">
        <v>1324</v>
      </c>
      <c r="D812" s="55" t="s">
        <v>1325</v>
      </c>
      <c r="E812" s="2" t="s">
        <v>1226</v>
      </c>
      <c r="F812" s="71">
        <v>261115</v>
      </c>
      <c r="G812" s="29" t="s">
        <v>58</v>
      </c>
      <c r="H812" s="20" t="s">
        <v>74</v>
      </c>
      <c r="I812" s="20" t="s">
        <v>84</v>
      </c>
      <c r="J812" s="20" t="s">
        <v>83</v>
      </c>
      <c r="K812" s="71"/>
      <c r="L812" s="20" t="s">
        <v>150</v>
      </c>
      <c r="M812" s="20"/>
      <c r="N812" s="20"/>
      <c r="O812" s="20"/>
      <c r="P812" s="20"/>
      <c r="Q812" s="20"/>
      <c r="R812" s="20"/>
      <c r="S812" s="20"/>
      <c r="T812" s="26"/>
      <c r="U812" s="17"/>
    </row>
    <row r="813" spans="1:21" ht="17.25" customHeight="1" x14ac:dyDescent="0.25">
      <c r="A813" s="2" t="str">
        <f>IFERROR(VLOOKUP(B813,Clientes!A:B,2,0),"")</f>
        <v/>
      </c>
      <c r="B813" s="20">
        <f>B812+1</f>
        <v>714</v>
      </c>
      <c r="C813" s="52" t="s">
        <v>521</v>
      </c>
      <c r="D813" s="55" t="s">
        <v>522</v>
      </c>
      <c r="E813" s="2" t="s">
        <v>217</v>
      </c>
      <c r="F813" s="71">
        <v>261115</v>
      </c>
      <c r="G813" s="29" t="s">
        <v>56</v>
      </c>
      <c r="H813" s="20" t="s">
        <v>72</v>
      </c>
      <c r="I813" s="20" t="s">
        <v>84</v>
      </c>
      <c r="J813" s="20" t="s">
        <v>83</v>
      </c>
      <c r="K813" s="71"/>
      <c r="L813" s="20"/>
      <c r="M813" s="20"/>
      <c r="N813" s="20"/>
      <c r="O813" s="20"/>
      <c r="P813" s="20"/>
      <c r="Q813" s="20"/>
      <c r="R813" s="20"/>
      <c r="S813" s="20"/>
      <c r="T813" s="26"/>
      <c r="U813" s="17"/>
    </row>
    <row r="814" spans="1:21" x14ac:dyDescent="0.25">
      <c r="A814" s="2" t="str">
        <f>IFERROR(VLOOKUP(B814,Clientes!A:B,2,0),"")</f>
        <v/>
      </c>
      <c r="B814" s="20">
        <f>B813+1</f>
        <v>715</v>
      </c>
      <c r="C814" s="52" t="s">
        <v>1360</v>
      </c>
      <c r="D814" s="55" t="s">
        <v>1361</v>
      </c>
      <c r="E814" s="2" t="s">
        <v>1238</v>
      </c>
      <c r="F814" s="71">
        <v>261115</v>
      </c>
      <c r="G814" s="29" t="s">
        <v>58</v>
      </c>
      <c r="H814" s="20" t="s">
        <v>72</v>
      </c>
      <c r="I814" s="20" t="s">
        <v>84</v>
      </c>
      <c r="J814" s="20" t="s">
        <v>81</v>
      </c>
      <c r="K814" s="71"/>
      <c r="L814" s="20" t="s">
        <v>167</v>
      </c>
      <c r="M814" s="20"/>
      <c r="N814" s="20"/>
      <c r="O814" s="20"/>
      <c r="P814" s="20"/>
      <c r="Q814" s="20"/>
      <c r="R814" s="20"/>
      <c r="S814" s="20"/>
      <c r="T814" s="26"/>
      <c r="U814" s="17"/>
    </row>
    <row r="815" spans="1:21" x14ac:dyDescent="0.25">
      <c r="A815" s="2" t="str">
        <f>IFERROR(VLOOKUP(B815,Clientes!A:B,2,0),"")</f>
        <v/>
      </c>
      <c r="B815" s="20">
        <f>B814+1</f>
        <v>716</v>
      </c>
      <c r="C815" s="52" t="s">
        <v>341</v>
      </c>
      <c r="D815" s="55" t="s">
        <v>1369</v>
      </c>
      <c r="E815" s="2"/>
      <c r="F815" s="71">
        <v>261115</v>
      </c>
      <c r="G815" s="29" t="s">
        <v>63</v>
      </c>
      <c r="H815" s="20"/>
      <c r="I815" s="20" t="s">
        <v>84</v>
      </c>
      <c r="J815" s="20" t="s">
        <v>1232</v>
      </c>
      <c r="K815" s="71"/>
      <c r="L815" s="20"/>
      <c r="M815" s="20"/>
      <c r="N815" s="20"/>
      <c r="O815" s="20"/>
      <c r="P815" s="20"/>
      <c r="Q815" s="20"/>
      <c r="R815" s="20"/>
      <c r="S815" s="20"/>
      <c r="T815" s="26"/>
      <c r="U815" s="17"/>
    </row>
    <row r="816" spans="1:21" x14ac:dyDescent="0.25">
      <c r="A816" s="2" t="str">
        <f>IFERROR(VLOOKUP(B816,Clientes!A:B,2,0),"")</f>
        <v/>
      </c>
      <c r="B816" s="20">
        <f>B815+1</f>
        <v>717</v>
      </c>
      <c r="C816" s="52" t="s">
        <v>1358</v>
      </c>
      <c r="D816" s="55" t="s">
        <v>1359</v>
      </c>
      <c r="E816" s="2" t="s">
        <v>230</v>
      </c>
      <c r="F816" s="71">
        <v>271115</v>
      </c>
      <c r="G816" s="29" t="s">
        <v>58</v>
      </c>
      <c r="H816" s="20" t="s">
        <v>72</v>
      </c>
      <c r="I816" s="20" t="s">
        <v>84</v>
      </c>
      <c r="J816" s="20" t="s">
        <v>81</v>
      </c>
      <c r="K816" s="71"/>
      <c r="L816" s="20"/>
      <c r="M816" s="20"/>
      <c r="N816" s="20"/>
      <c r="O816" s="20"/>
      <c r="P816" s="20"/>
      <c r="Q816" s="20"/>
      <c r="R816" s="20"/>
      <c r="S816" s="20"/>
      <c r="T816" s="26" t="s">
        <v>1363</v>
      </c>
      <c r="U816" s="17"/>
    </row>
    <row r="817" spans="1:21" x14ac:dyDescent="0.25">
      <c r="A817" s="2"/>
      <c r="B817" s="20" t="s">
        <v>1362</v>
      </c>
      <c r="C817" s="52" t="s">
        <v>838</v>
      </c>
      <c r="D817" s="55" t="s">
        <v>839</v>
      </c>
      <c r="E817" s="2" t="s">
        <v>225</v>
      </c>
      <c r="F817" s="71">
        <v>271115</v>
      </c>
      <c r="G817" s="29" t="s">
        <v>57</v>
      </c>
      <c r="H817" s="20"/>
      <c r="I817" s="20" t="s">
        <v>84</v>
      </c>
      <c r="J817" s="20" t="s">
        <v>1232</v>
      </c>
      <c r="K817" s="71"/>
      <c r="L817" s="20"/>
      <c r="M817" s="20"/>
      <c r="N817" s="20"/>
      <c r="O817" s="20"/>
      <c r="P817" s="20"/>
      <c r="Q817" s="20"/>
      <c r="R817" s="20"/>
      <c r="S817" s="20"/>
      <c r="T817" s="26"/>
      <c r="U817" s="17"/>
    </row>
    <row r="818" spans="1:21" x14ac:dyDescent="0.25">
      <c r="A818" s="2" t="str">
        <f>IFERROR(VLOOKUP(B818,Clientes!A:B,2,0),"")</f>
        <v/>
      </c>
      <c r="B818" s="20">
        <f>B816+1</f>
        <v>718</v>
      </c>
      <c r="C818" s="52"/>
      <c r="D818" s="55"/>
      <c r="E818" s="2"/>
      <c r="F818" s="71"/>
      <c r="G818" s="29"/>
      <c r="H818" s="20"/>
      <c r="I818" s="20" t="s">
        <v>84</v>
      </c>
      <c r="J818" s="20"/>
      <c r="K818" s="71"/>
      <c r="L818" s="20"/>
      <c r="M818" s="20"/>
      <c r="N818" s="20"/>
      <c r="O818" s="20"/>
      <c r="P818" s="20"/>
      <c r="Q818" s="20"/>
      <c r="R818" s="20"/>
      <c r="S818" s="20"/>
      <c r="T818" s="26"/>
      <c r="U818" s="17"/>
    </row>
    <row r="819" spans="1:21" x14ac:dyDescent="0.25">
      <c r="A819" s="2" t="str">
        <f>IFERROR(VLOOKUP(B819,Clientes!A:B,2,0),"")</f>
        <v/>
      </c>
      <c r="B819" s="20">
        <f t="shared" ref="B819:B827" si="65">B818+1</f>
        <v>719</v>
      </c>
      <c r="C819" s="52"/>
      <c r="D819" s="55"/>
      <c r="E819" s="2"/>
      <c r="F819" s="71"/>
      <c r="G819" s="29"/>
      <c r="H819" s="20"/>
      <c r="I819" s="20" t="s">
        <v>84</v>
      </c>
      <c r="J819" s="20"/>
      <c r="K819" s="71"/>
      <c r="L819" s="20"/>
      <c r="M819" s="20"/>
      <c r="N819" s="20"/>
      <c r="O819" s="20"/>
      <c r="P819" s="20"/>
      <c r="Q819" s="20"/>
      <c r="R819" s="20"/>
      <c r="S819" s="20"/>
      <c r="T819" s="26"/>
      <c r="U819" s="17"/>
    </row>
    <row r="820" spans="1:21" x14ac:dyDescent="0.25">
      <c r="A820" s="2" t="str">
        <f>IFERROR(VLOOKUP(B820,Clientes!A:B,2,0),"")</f>
        <v/>
      </c>
      <c r="B820" s="20">
        <f t="shared" si="65"/>
        <v>720</v>
      </c>
      <c r="C820" s="52" t="s">
        <v>1251</v>
      </c>
      <c r="D820" s="55" t="s">
        <v>1252</v>
      </c>
      <c r="E820" s="2" t="s">
        <v>219</v>
      </c>
      <c r="F820" s="71">
        <v>301115</v>
      </c>
      <c r="G820" s="29" t="s">
        <v>57</v>
      </c>
      <c r="H820" s="20"/>
      <c r="I820" s="20" t="s">
        <v>84</v>
      </c>
      <c r="J820" s="20" t="s">
        <v>83</v>
      </c>
      <c r="K820" s="71"/>
      <c r="L820" s="20" t="s">
        <v>45</v>
      </c>
      <c r="M820" s="20"/>
      <c r="N820" s="20"/>
      <c r="O820" s="20"/>
      <c r="P820" s="20"/>
      <c r="Q820" s="20"/>
      <c r="R820" s="20"/>
      <c r="S820" s="20"/>
      <c r="T820" s="26"/>
      <c r="U820" s="17"/>
    </row>
    <row r="821" spans="1:21" x14ac:dyDescent="0.25">
      <c r="A821" s="2" t="str">
        <f>IFERROR(VLOOKUP(B821,Clientes!A:B,2,0),"")</f>
        <v/>
      </c>
      <c r="B821" s="20">
        <f t="shared" si="65"/>
        <v>721</v>
      </c>
      <c r="C821" s="52" t="s">
        <v>464</v>
      </c>
      <c r="D821" s="55" t="s">
        <v>465</v>
      </c>
      <c r="E821" s="2" t="s">
        <v>218</v>
      </c>
      <c r="F821" s="71">
        <v>301115</v>
      </c>
      <c r="G821" s="29" t="s">
        <v>56</v>
      </c>
      <c r="H821" s="20"/>
      <c r="I821" s="20" t="s">
        <v>84</v>
      </c>
      <c r="J821" s="20" t="s">
        <v>83</v>
      </c>
      <c r="K821" s="71"/>
      <c r="L821" s="20"/>
      <c r="M821" s="20"/>
      <c r="N821" s="20"/>
      <c r="O821" s="20"/>
      <c r="P821" s="20"/>
      <c r="Q821" s="20"/>
      <c r="R821" s="20"/>
      <c r="S821" s="20"/>
      <c r="T821" s="26"/>
      <c r="U821" s="17"/>
    </row>
    <row r="822" spans="1:21" x14ac:dyDescent="0.25">
      <c r="A822" s="2" t="str">
        <f>IFERROR(VLOOKUP(B822,Clientes!A:B,2,0),"")</f>
        <v/>
      </c>
      <c r="B822" s="20">
        <f t="shared" si="65"/>
        <v>722</v>
      </c>
      <c r="C822" s="52"/>
      <c r="D822" s="55"/>
      <c r="E822" s="2"/>
      <c r="F822" s="71"/>
      <c r="G822" s="29"/>
      <c r="H822" s="20"/>
      <c r="I822" s="20" t="s">
        <v>84</v>
      </c>
      <c r="J822" s="20"/>
      <c r="K822" s="71"/>
      <c r="L822" s="20"/>
      <c r="M822" s="20"/>
      <c r="N822" s="20"/>
      <c r="O822" s="20"/>
      <c r="P822" s="20"/>
      <c r="Q822" s="20"/>
      <c r="R822" s="20"/>
      <c r="S822" s="20"/>
      <c r="T822" s="26"/>
      <c r="U822" s="17"/>
    </row>
    <row r="823" spans="1:21" x14ac:dyDescent="0.25">
      <c r="A823" s="2" t="str">
        <f>IFERROR(VLOOKUP(B823,Clientes!A:B,2,0),"")</f>
        <v/>
      </c>
      <c r="B823" s="20">
        <f t="shared" si="65"/>
        <v>723</v>
      </c>
      <c r="C823" s="52" t="s">
        <v>430</v>
      </c>
      <c r="D823" s="55" t="s">
        <v>1368</v>
      </c>
      <c r="E823" s="2" t="s">
        <v>1237</v>
      </c>
      <c r="F823" s="71">
        <v>301115</v>
      </c>
      <c r="G823" s="29" t="s">
        <v>1191</v>
      </c>
      <c r="H823" s="20"/>
      <c r="I823" s="20" t="s">
        <v>84</v>
      </c>
      <c r="J823" s="20" t="s">
        <v>81</v>
      </c>
      <c r="K823" s="71"/>
      <c r="L823" s="20"/>
      <c r="M823" s="20"/>
      <c r="N823" s="20"/>
      <c r="O823" s="20"/>
      <c r="P823" s="20"/>
      <c r="Q823" s="20"/>
      <c r="R823" s="20"/>
      <c r="S823" s="20"/>
      <c r="T823" s="26"/>
      <c r="U823" s="17"/>
    </row>
    <row r="824" spans="1:21" x14ac:dyDescent="0.25">
      <c r="A824" s="2" t="str">
        <f>IFERROR(VLOOKUP(B824,Clientes!A:B,2,0),"")</f>
        <v/>
      </c>
      <c r="B824" s="20">
        <f t="shared" si="65"/>
        <v>724</v>
      </c>
      <c r="C824" s="52" t="s">
        <v>1366</v>
      </c>
      <c r="D824" s="55" t="s">
        <v>1367</v>
      </c>
      <c r="E824" s="2" t="s">
        <v>1241</v>
      </c>
      <c r="F824" s="71">
        <v>301115</v>
      </c>
      <c r="G824" s="29" t="s">
        <v>1191</v>
      </c>
      <c r="H824" s="20" t="s">
        <v>74</v>
      </c>
      <c r="I824" s="20" t="s">
        <v>84</v>
      </c>
      <c r="J824" s="20" t="s">
        <v>81</v>
      </c>
      <c r="K824" s="71"/>
      <c r="L824" s="20"/>
      <c r="M824" s="20"/>
      <c r="N824" s="20"/>
      <c r="O824" s="20"/>
      <c r="P824" s="20"/>
      <c r="Q824" s="20"/>
      <c r="R824" s="20"/>
      <c r="S824" s="20"/>
      <c r="T824" s="26"/>
      <c r="U824" s="17"/>
    </row>
    <row r="825" spans="1:21" x14ac:dyDescent="0.25">
      <c r="A825" s="2" t="str">
        <f>IFERROR(VLOOKUP(B825,Clientes!A:B,2,0),"")</f>
        <v/>
      </c>
      <c r="B825" s="20">
        <f t="shared" si="65"/>
        <v>725</v>
      </c>
      <c r="C825" s="52" t="s">
        <v>969</v>
      </c>
      <c r="D825" s="55" t="s">
        <v>970</v>
      </c>
      <c r="E825" s="2" t="s">
        <v>1237</v>
      </c>
      <c r="F825" s="71">
        <v>301115</v>
      </c>
      <c r="G825" s="29" t="s">
        <v>1191</v>
      </c>
      <c r="H825" s="20"/>
      <c r="I825" s="20" t="s">
        <v>84</v>
      </c>
      <c r="J825" s="20" t="s">
        <v>81</v>
      </c>
      <c r="K825" s="71"/>
      <c r="L825" s="20"/>
      <c r="M825" s="20"/>
      <c r="N825" s="20"/>
      <c r="O825" s="20"/>
      <c r="P825" s="20"/>
      <c r="Q825" s="20"/>
      <c r="R825" s="20"/>
      <c r="S825" s="20"/>
      <c r="T825" s="26"/>
      <c r="U825" s="17"/>
    </row>
    <row r="826" spans="1:21" x14ac:dyDescent="0.25">
      <c r="A826" s="2" t="str">
        <f>IFERROR(VLOOKUP(B826,Clientes!A:B,2,0),"")</f>
        <v/>
      </c>
      <c r="B826" s="20">
        <f t="shared" si="65"/>
        <v>726</v>
      </c>
      <c r="C826" s="52"/>
      <c r="D826" s="55"/>
      <c r="E826" s="2"/>
      <c r="F826" s="71"/>
      <c r="G826" s="29"/>
      <c r="H826" s="20"/>
      <c r="I826" s="20" t="s">
        <v>84</v>
      </c>
      <c r="J826" s="20"/>
      <c r="K826" s="71"/>
      <c r="L826" s="20"/>
      <c r="M826" s="20"/>
      <c r="N826" s="20"/>
      <c r="O826" s="20"/>
      <c r="P826" s="20"/>
      <c r="Q826" s="20"/>
      <c r="R826" s="20"/>
      <c r="S826" s="20"/>
      <c r="T826" s="26"/>
      <c r="U826" s="17"/>
    </row>
    <row r="827" spans="1:21" x14ac:dyDescent="0.25">
      <c r="A827" s="2" t="str">
        <f>IFERROR(VLOOKUP(B827,Clientes!A:B,2,0),"")</f>
        <v/>
      </c>
      <c r="B827" s="20">
        <f t="shared" si="65"/>
        <v>727</v>
      </c>
      <c r="C827" s="52" t="s">
        <v>1364</v>
      </c>
      <c r="D827" s="55" t="s">
        <v>1365</v>
      </c>
      <c r="E827" s="2" t="s">
        <v>233</v>
      </c>
      <c r="F827" s="71">
        <v>301115</v>
      </c>
      <c r="G827" s="29" t="s">
        <v>56</v>
      </c>
      <c r="H827" s="20"/>
      <c r="I827" s="20" t="s">
        <v>84</v>
      </c>
      <c r="J827" s="20" t="s">
        <v>83</v>
      </c>
      <c r="K827" s="71"/>
      <c r="L827" s="20"/>
      <c r="M827" s="20"/>
      <c r="N827" s="20"/>
      <c r="O827" s="20"/>
      <c r="P827" s="20"/>
      <c r="Q827" s="20"/>
      <c r="R827" s="20"/>
      <c r="S827" s="20"/>
      <c r="T827" s="26"/>
      <c r="U827" s="17"/>
    </row>
    <row r="828" spans="1:21" x14ac:dyDescent="0.25">
      <c r="A828" s="2" t="str">
        <f>IFERROR(VLOOKUP(B828,Clientes!A:B,2,0),"")</f>
        <v/>
      </c>
      <c r="B828" s="20">
        <f t="shared" ref="B828:B843" si="66">B827+1</f>
        <v>728</v>
      </c>
      <c r="C828" s="52"/>
      <c r="D828" s="55"/>
      <c r="E828" s="2"/>
      <c r="F828" s="71"/>
      <c r="G828" s="29"/>
      <c r="H828" s="20"/>
      <c r="I828" s="20" t="s">
        <v>84</v>
      </c>
      <c r="J828" s="20"/>
      <c r="K828" s="71"/>
      <c r="L828" s="20"/>
      <c r="M828" s="20"/>
      <c r="N828" s="20"/>
      <c r="O828" s="20"/>
      <c r="P828" s="20"/>
      <c r="Q828" s="20"/>
      <c r="R828" s="20"/>
      <c r="S828" s="20"/>
      <c r="T828" s="26"/>
      <c r="U828" s="17"/>
    </row>
    <row r="829" spans="1:21" x14ac:dyDescent="0.25">
      <c r="A829" s="2" t="str">
        <f>IFERROR(VLOOKUP(B829,Clientes!A:B,2,0),"")</f>
        <v/>
      </c>
      <c r="B829" s="20">
        <f t="shared" si="66"/>
        <v>729</v>
      </c>
      <c r="C829" s="52"/>
      <c r="D829" s="55"/>
      <c r="E829" s="2"/>
      <c r="F829" s="71"/>
      <c r="G829" s="29"/>
      <c r="H829" s="20"/>
      <c r="I829" s="20" t="s">
        <v>84</v>
      </c>
      <c r="J829" s="20"/>
      <c r="K829" s="71"/>
      <c r="L829" s="20"/>
      <c r="M829" s="20"/>
      <c r="N829" s="20"/>
      <c r="O829" s="20"/>
      <c r="P829" s="20"/>
      <c r="Q829" s="20"/>
      <c r="R829" s="20"/>
      <c r="S829" s="20"/>
      <c r="T829" s="26"/>
      <c r="U829" s="17"/>
    </row>
    <row r="830" spans="1:21" x14ac:dyDescent="0.25">
      <c r="A830" s="2" t="str">
        <f>IFERROR(VLOOKUP(B830,Clientes!A:B,2,0),"")</f>
        <v/>
      </c>
      <c r="B830" s="20">
        <f t="shared" si="66"/>
        <v>730</v>
      </c>
      <c r="C830" s="52" t="s">
        <v>462</v>
      </c>
      <c r="D830" s="55" t="s">
        <v>463</v>
      </c>
      <c r="E830" s="2" t="s">
        <v>222</v>
      </c>
      <c r="F830" s="71">
        <v>11215</v>
      </c>
      <c r="G830" s="29" t="s">
        <v>57</v>
      </c>
      <c r="H830" s="20" t="s">
        <v>72</v>
      </c>
      <c r="I830" s="20" t="s">
        <v>84</v>
      </c>
      <c r="J830" s="20" t="s">
        <v>83</v>
      </c>
      <c r="K830" s="71"/>
      <c r="L830" s="20" t="s">
        <v>142</v>
      </c>
      <c r="M830" s="20"/>
      <c r="N830" s="20" t="s">
        <v>157</v>
      </c>
      <c r="O830" s="20"/>
      <c r="P830" s="20"/>
      <c r="Q830" s="20"/>
      <c r="R830" s="20"/>
      <c r="S830" s="20"/>
      <c r="T830" s="26"/>
      <c r="U830" s="17"/>
    </row>
    <row r="831" spans="1:21" x14ac:dyDescent="0.25">
      <c r="A831" s="2" t="str">
        <f>IFERROR(VLOOKUP(B831,Clientes!A:B,2,0),"")</f>
        <v/>
      </c>
      <c r="B831" s="20">
        <f t="shared" si="66"/>
        <v>731</v>
      </c>
      <c r="C831" s="52" t="s">
        <v>1370</v>
      </c>
      <c r="D831" s="55" t="s">
        <v>1371</v>
      </c>
      <c r="E831" s="2" t="s">
        <v>215</v>
      </c>
      <c r="F831" s="71">
        <v>11215</v>
      </c>
      <c r="G831" s="29" t="s">
        <v>57</v>
      </c>
      <c r="H831" s="20" t="s">
        <v>73</v>
      </c>
      <c r="I831" s="20" t="s">
        <v>84</v>
      </c>
      <c r="J831" s="20" t="s">
        <v>83</v>
      </c>
      <c r="K831" s="71"/>
      <c r="L831" s="20" t="s">
        <v>161</v>
      </c>
      <c r="M831" s="20"/>
      <c r="N831" s="20"/>
      <c r="O831" s="20"/>
      <c r="P831" s="20"/>
      <c r="Q831" s="20"/>
      <c r="R831" s="20"/>
      <c r="S831" s="20"/>
      <c r="T831" s="26"/>
      <c r="U831" s="17"/>
    </row>
    <row r="832" spans="1:21" x14ac:dyDescent="0.25">
      <c r="A832" s="2" t="str">
        <f>IFERROR(VLOOKUP(B832,Clientes!A:B,2,0),"")</f>
        <v/>
      </c>
      <c r="B832" s="20">
        <f t="shared" si="66"/>
        <v>732</v>
      </c>
      <c r="C832" s="52" t="s">
        <v>684</v>
      </c>
      <c r="D832" s="55" t="s">
        <v>685</v>
      </c>
      <c r="E832" s="2" t="s">
        <v>230</v>
      </c>
      <c r="F832" s="71">
        <v>11215</v>
      </c>
      <c r="G832" s="29" t="s">
        <v>57</v>
      </c>
      <c r="H832" s="20"/>
      <c r="I832" s="20" t="s">
        <v>84</v>
      </c>
      <c r="J832" s="20" t="s">
        <v>1232</v>
      </c>
      <c r="K832" s="71"/>
      <c r="L832" s="20" t="s">
        <v>139</v>
      </c>
      <c r="M832" s="20"/>
      <c r="N832" s="20"/>
      <c r="O832" s="20"/>
      <c r="P832" s="20"/>
      <c r="Q832" s="20"/>
      <c r="R832" s="20"/>
      <c r="S832" s="20"/>
      <c r="T832" s="26"/>
      <c r="U832" s="17"/>
    </row>
    <row r="833" spans="1:21" x14ac:dyDescent="0.25">
      <c r="A833" s="2" t="str">
        <f>IFERROR(VLOOKUP(B833,Clientes!A:B,2,0),"")</f>
        <v/>
      </c>
      <c r="B833" s="20">
        <f t="shared" si="66"/>
        <v>733</v>
      </c>
      <c r="C833" s="52" t="s">
        <v>1275</v>
      </c>
      <c r="D833" s="55" t="s">
        <v>1330</v>
      </c>
      <c r="E833" s="2" t="s">
        <v>219</v>
      </c>
      <c r="F833" s="71">
        <v>11215</v>
      </c>
      <c r="G833" s="29" t="s">
        <v>56</v>
      </c>
      <c r="H833" s="20" t="s">
        <v>72</v>
      </c>
      <c r="I833" s="20" t="s">
        <v>84</v>
      </c>
      <c r="J833" s="20" t="s">
        <v>83</v>
      </c>
      <c r="K833" s="71"/>
      <c r="L833" s="20"/>
      <c r="M833" s="20"/>
      <c r="N833" s="20"/>
      <c r="O833" s="20"/>
      <c r="P833" s="20"/>
      <c r="Q833" s="20"/>
      <c r="R833" s="20"/>
      <c r="S833" s="20"/>
      <c r="T833" s="26"/>
      <c r="U833" s="17"/>
    </row>
    <row r="834" spans="1:21" x14ac:dyDescent="0.25">
      <c r="A834" s="2" t="str">
        <f>IFERROR(VLOOKUP(B834,Clientes!A:B,2,0),"")</f>
        <v/>
      </c>
      <c r="B834" s="20">
        <f t="shared" si="66"/>
        <v>734</v>
      </c>
      <c r="C834" s="52" t="s">
        <v>1133</v>
      </c>
      <c r="D834" s="55" t="s">
        <v>1134</v>
      </c>
      <c r="E834" s="2" t="s">
        <v>222</v>
      </c>
      <c r="F834" s="71">
        <v>11215</v>
      </c>
      <c r="G834" s="29" t="s">
        <v>58</v>
      </c>
      <c r="H834" s="20"/>
      <c r="I834" s="20" t="s">
        <v>84</v>
      </c>
      <c r="J834" s="20" t="s">
        <v>82</v>
      </c>
      <c r="K834" s="71"/>
      <c r="L834" s="20" t="s">
        <v>142</v>
      </c>
      <c r="M834" s="20"/>
      <c r="N834" s="20"/>
      <c r="O834" s="20"/>
      <c r="P834" s="20"/>
      <c r="Q834" s="20"/>
      <c r="R834" s="20"/>
      <c r="S834" s="20"/>
      <c r="T834" s="26"/>
      <c r="U834" s="17"/>
    </row>
    <row r="835" spans="1:21" x14ac:dyDescent="0.25">
      <c r="A835" s="2" t="str">
        <f>IFERROR(VLOOKUP(B835,Clientes!A:B,2,0),"")</f>
        <v/>
      </c>
      <c r="B835" s="20">
        <f t="shared" si="66"/>
        <v>735</v>
      </c>
      <c r="C835" s="52" t="s">
        <v>1045</v>
      </c>
      <c r="D835" s="55" t="s">
        <v>1046</v>
      </c>
      <c r="E835" s="2" t="s">
        <v>222</v>
      </c>
      <c r="F835" s="71">
        <v>11215</v>
      </c>
      <c r="G835" s="29" t="s">
        <v>58</v>
      </c>
      <c r="H835" s="20" t="s">
        <v>1192</v>
      </c>
      <c r="I835" s="20" t="s">
        <v>84</v>
      </c>
      <c r="J835" s="20" t="s">
        <v>83</v>
      </c>
      <c r="K835" s="71"/>
      <c r="L835" s="20" t="s">
        <v>142</v>
      </c>
      <c r="M835" s="20"/>
      <c r="N835" s="20" t="s">
        <v>157</v>
      </c>
      <c r="O835" s="20"/>
      <c r="P835" s="20"/>
      <c r="Q835" s="20"/>
      <c r="R835" s="20"/>
      <c r="S835" s="20"/>
      <c r="T835" s="26"/>
      <c r="U835" s="17"/>
    </row>
    <row r="836" spans="1:21" x14ac:dyDescent="0.25">
      <c r="A836" s="2" t="str">
        <f>IFERROR(VLOOKUP(B836,Clientes!A:B,2,0),"")</f>
        <v/>
      </c>
      <c r="B836" s="20">
        <f t="shared" si="66"/>
        <v>736</v>
      </c>
      <c r="C836" s="52" t="s">
        <v>1340</v>
      </c>
      <c r="D836" s="55" t="s">
        <v>1341</v>
      </c>
      <c r="E836" s="2" t="s">
        <v>1238</v>
      </c>
      <c r="F836" s="71">
        <v>11215</v>
      </c>
      <c r="G836" s="29" t="s">
        <v>58</v>
      </c>
      <c r="H836" s="20" t="s">
        <v>74</v>
      </c>
      <c r="I836" s="20" t="s">
        <v>84</v>
      </c>
      <c r="J836" s="20" t="s">
        <v>81</v>
      </c>
      <c r="K836" s="71"/>
      <c r="L836" s="20" t="s">
        <v>39</v>
      </c>
      <c r="M836" s="20"/>
      <c r="N836" s="20"/>
      <c r="O836" s="20"/>
      <c r="P836" s="20"/>
      <c r="Q836" s="20"/>
      <c r="R836" s="20"/>
      <c r="S836" s="20"/>
      <c r="T836" s="26"/>
      <c r="U836" s="17"/>
    </row>
    <row r="837" spans="1:21" x14ac:dyDescent="0.25">
      <c r="A837" s="2"/>
      <c r="B837" s="20" t="s">
        <v>1454</v>
      </c>
      <c r="C837" s="52" t="s">
        <v>1214</v>
      </c>
      <c r="D837" s="55" t="s">
        <v>1215</v>
      </c>
      <c r="E837" s="2"/>
      <c r="F837" s="71">
        <v>60415</v>
      </c>
      <c r="G837" s="29" t="s">
        <v>62</v>
      </c>
      <c r="H837" s="20"/>
      <c r="I837" s="20" t="s">
        <v>84</v>
      </c>
      <c r="J837" s="20" t="s">
        <v>1232</v>
      </c>
      <c r="K837" s="71"/>
      <c r="L837" s="20" t="s">
        <v>23</v>
      </c>
      <c r="M837" s="20"/>
      <c r="N837" s="20"/>
      <c r="O837" s="20"/>
      <c r="P837" s="20"/>
      <c r="Q837" s="20"/>
      <c r="R837" s="20"/>
      <c r="S837" s="20"/>
      <c r="T837" s="26"/>
      <c r="U837" s="17"/>
    </row>
    <row r="838" spans="1:21" x14ac:dyDescent="0.25">
      <c r="A838" s="2" t="str">
        <f>IFERROR(VLOOKUP(B838,Clientes!A:B,2,0),"")</f>
        <v/>
      </c>
      <c r="B838" s="20">
        <f>B836+1</f>
        <v>737</v>
      </c>
      <c r="C838" s="52" t="s">
        <v>1372</v>
      </c>
      <c r="D838" s="55" t="s">
        <v>1373</v>
      </c>
      <c r="E838" s="2" t="s">
        <v>222</v>
      </c>
      <c r="F838" s="71">
        <v>11215</v>
      </c>
      <c r="G838" s="29" t="s">
        <v>58</v>
      </c>
      <c r="H838" s="20" t="s">
        <v>1192</v>
      </c>
      <c r="I838" s="20" t="s">
        <v>84</v>
      </c>
      <c r="J838" s="20" t="s">
        <v>83</v>
      </c>
      <c r="K838" s="71"/>
      <c r="L838" s="20" t="s">
        <v>142</v>
      </c>
      <c r="M838" s="20"/>
      <c r="N838" s="20" t="s">
        <v>157</v>
      </c>
      <c r="O838" s="20"/>
      <c r="P838" s="20"/>
      <c r="Q838" s="20"/>
      <c r="R838" s="20"/>
      <c r="S838" s="20"/>
      <c r="T838" s="26"/>
      <c r="U838" s="17"/>
    </row>
    <row r="839" spans="1:21" x14ac:dyDescent="0.25">
      <c r="A839" s="2" t="str">
        <f>IFERROR(VLOOKUP(B839,Clientes!A:B,2,0),"")</f>
        <v/>
      </c>
      <c r="B839" s="20">
        <f t="shared" si="66"/>
        <v>738</v>
      </c>
      <c r="C839" s="52" t="s">
        <v>1374</v>
      </c>
      <c r="D839" s="55" t="s">
        <v>1375</v>
      </c>
      <c r="E839" s="2" t="s">
        <v>1226</v>
      </c>
      <c r="F839" s="71">
        <v>11215</v>
      </c>
      <c r="G839" s="29" t="s">
        <v>64</v>
      </c>
      <c r="H839" s="20" t="s">
        <v>77</v>
      </c>
      <c r="I839" s="20" t="s">
        <v>84</v>
      </c>
      <c r="J839" s="20" t="s">
        <v>83</v>
      </c>
      <c r="K839" s="71"/>
      <c r="L839" s="20"/>
      <c r="M839" s="20"/>
      <c r="N839" s="20"/>
      <c r="O839" s="20"/>
      <c r="P839" s="20"/>
      <c r="Q839" s="20"/>
      <c r="R839" s="20"/>
      <c r="S839" s="20"/>
      <c r="T839" s="26"/>
      <c r="U839" s="17"/>
    </row>
    <row r="840" spans="1:21" x14ac:dyDescent="0.25">
      <c r="A840" s="2" t="str">
        <f>IFERROR(VLOOKUP(B840,Clientes!A:B,2,0),"")</f>
        <v/>
      </c>
      <c r="B840" s="20">
        <f t="shared" si="66"/>
        <v>739</v>
      </c>
      <c r="C840" s="52" t="s">
        <v>448</v>
      </c>
      <c r="D840" s="55" t="s">
        <v>449</v>
      </c>
      <c r="E840" s="2" t="s">
        <v>1239</v>
      </c>
      <c r="F840" s="71">
        <v>11215</v>
      </c>
      <c r="G840" s="29" t="s">
        <v>56</v>
      </c>
      <c r="H840" s="20" t="s">
        <v>74</v>
      </c>
      <c r="I840" s="20" t="s">
        <v>84</v>
      </c>
      <c r="J840" s="20" t="s">
        <v>83</v>
      </c>
      <c r="K840" s="71"/>
      <c r="L840" s="20"/>
      <c r="M840" s="20"/>
      <c r="N840" s="20"/>
      <c r="O840" s="20"/>
      <c r="P840" s="20"/>
      <c r="Q840" s="20"/>
      <c r="R840" s="20"/>
      <c r="S840" s="20"/>
      <c r="T840" s="26"/>
      <c r="U840" s="17"/>
    </row>
    <row r="841" spans="1:21" x14ac:dyDescent="0.25">
      <c r="A841" s="2" t="str">
        <f>IFERROR(VLOOKUP(B841,Clientes!A:B,2,0),"")</f>
        <v/>
      </c>
      <c r="B841" s="20">
        <f t="shared" si="66"/>
        <v>740</v>
      </c>
      <c r="C841" s="52" t="s">
        <v>1376</v>
      </c>
      <c r="D841" s="55" t="s">
        <v>1377</v>
      </c>
      <c r="E841" s="2"/>
      <c r="F841" s="71">
        <v>11215</v>
      </c>
      <c r="G841" s="29" t="s">
        <v>66</v>
      </c>
      <c r="H841" s="20" t="s">
        <v>77</v>
      </c>
      <c r="I841" s="20" t="s">
        <v>84</v>
      </c>
      <c r="J841" s="20" t="s">
        <v>81</v>
      </c>
      <c r="K841" s="71"/>
      <c r="L841" s="20"/>
      <c r="M841" s="20"/>
      <c r="N841" s="20"/>
      <c r="O841" s="20"/>
      <c r="P841" s="20"/>
      <c r="Q841" s="20"/>
      <c r="R841" s="20"/>
      <c r="S841" s="20"/>
      <c r="T841" s="26"/>
      <c r="U841" s="17"/>
    </row>
    <row r="842" spans="1:21" x14ac:dyDescent="0.25">
      <c r="A842" s="2" t="str">
        <f>IFERROR(VLOOKUP(B842,Clientes!A:B,2,0),"")</f>
        <v/>
      </c>
      <c r="B842" s="20">
        <f t="shared" si="66"/>
        <v>741</v>
      </c>
      <c r="C842" s="52" t="s">
        <v>726</v>
      </c>
      <c r="D842" s="55" t="s">
        <v>727</v>
      </c>
      <c r="E842" s="2" t="s">
        <v>1238</v>
      </c>
      <c r="F842" s="71">
        <v>11215</v>
      </c>
      <c r="G842" s="29" t="s">
        <v>57</v>
      </c>
      <c r="H842" s="20"/>
      <c r="I842" s="20" t="s">
        <v>84</v>
      </c>
      <c r="J842" s="20" t="s">
        <v>83</v>
      </c>
      <c r="K842" s="71"/>
      <c r="L842" s="20" t="s">
        <v>148</v>
      </c>
      <c r="M842" s="20"/>
      <c r="N842" s="20" t="s">
        <v>39</v>
      </c>
      <c r="O842" s="20"/>
      <c r="P842" s="20" t="s">
        <v>146</v>
      </c>
      <c r="Q842" s="20"/>
      <c r="R842" s="20" t="s">
        <v>134</v>
      </c>
      <c r="S842" s="20"/>
      <c r="T842" s="26"/>
      <c r="U842" s="17"/>
    </row>
    <row r="843" spans="1:21" x14ac:dyDescent="0.25">
      <c r="A843" s="2" t="str">
        <f>IFERROR(VLOOKUP(B843,Clientes!A:B,2,0),"")</f>
        <v/>
      </c>
      <c r="B843" s="20">
        <f t="shared" si="66"/>
        <v>742</v>
      </c>
      <c r="C843" s="52" t="s">
        <v>1170</v>
      </c>
      <c r="D843" s="55" t="s">
        <v>1171</v>
      </c>
      <c r="E843" s="2" t="s">
        <v>1235</v>
      </c>
      <c r="F843" s="71">
        <v>11215</v>
      </c>
      <c r="G843" s="29" t="s">
        <v>69</v>
      </c>
      <c r="H843" s="20"/>
      <c r="I843" s="20" t="s">
        <v>84</v>
      </c>
      <c r="J843" s="20" t="s">
        <v>81</v>
      </c>
      <c r="K843" s="71"/>
      <c r="L843" s="20"/>
      <c r="M843" s="20"/>
      <c r="N843" s="20"/>
      <c r="O843" s="20"/>
      <c r="P843" s="20"/>
      <c r="Q843" s="20"/>
      <c r="R843" s="20"/>
      <c r="S843" s="20"/>
      <c r="T843" s="26"/>
      <c r="U843" s="17"/>
    </row>
    <row r="844" spans="1:21" x14ac:dyDescent="0.25">
      <c r="A844" s="2" t="str">
        <f>IFERROR(VLOOKUP(B844,Clientes!A:B,2,0),"")</f>
        <v/>
      </c>
      <c r="B844" s="20">
        <f t="shared" ref="B844:B854" si="67">B843+1</f>
        <v>743</v>
      </c>
      <c r="C844" s="52" t="s">
        <v>1388</v>
      </c>
      <c r="D844" s="55" t="s">
        <v>1389</v>
      </c>
      <c r="E844" s="2" t="s">
        <v>220</v>
      </c>
      <c r="F844" s="71">
        <v>21215</v>
      </c>
      <c r="G844" s="29" t="s">
        <v>57</v>
      </c>
      <c r="H844" s="20"/>
      <c r="I844" s="20" t="s">
        <v>84</v>
      </c>
      <c r="J844" s="20" t="s">
        <v>83</v>
      </c>
      <c r="K844" s="71"/>
      <c r="L844" s="20"/>
      <c r="M844" s="20"/>
      <c r="N844" s="20"/>
      <c r="O844" s="20"/>
      <c r="P844" s="20"/>
      <c r="Q844" s="20"/>
      <c r="R844" s="20"/>
      <c r="S844" s="20"/>
      <c r="T844" s="26"/>
      <c r="U844" s="17"/>
    </row>
    <row r="845" spans="1:21" x14ac:dyDescent="0.25">
      <c r="A845" s="2" t="str">
        <f>IFERROR(VLOOKUP(B845,Clientes!A:B,2,0),"")</f>
        <v/>
      </c>
      <c r="B845" s="20">
        <f t="shared" si="67"/>
        <v>744</v>
      </c>
      <c r="C845" s="52" t="s">
        <v>751</v>
      </c>
      <c r="D845" s="55" t="s">
        <v>49</v>
      </c>
      <c r="E845" s="2" t="s">
        <v>221</v>
      </c>
      <c r="F845" s="71">
        <v>21215</v>
      </c>
      <c r="G845" s="29" t="s">
        <v>57</v>
      </c>
      <c r="H845" s="20"/>
      <c r="I845" s="20" t="s">
        <v>84</v>
      </c>
      <c r="J845" s="20" t="s">
        <v>83</v>
      </c>
      <c r="K845" s="71"/>
      <c r="L845" s="20"/>
      <c r="M845" s="20"/>
      <c r="N845" s="20"/>
      <c r="O845" s="20"/>
      <c r="P845" s="20"/>
      <c r="Q845" s="20"/>
      <c r="R845" s="20"/>
      <c r="S845" s="20"/>
      <c r="T845" s="26"/>
      <c r="U845" s="17"/>
    </row>
    <row r="846" spans="1:21" x14ac:dyDescent="0.25">
      <c r="A846" s="2" t="str">
        <f>IFERROR(VLOOKUP(B846,Clientes!A:B,2,0),"")</f>
        <v/>
      </c>
      <c r="B846" s="20">
        <f t="shared" si="67"/>
        <v>745</v>
      </c>
      <c r="C846" s="52" t="s">
        <v>1386</v>
      </c>
      <c r="D846" s="55" t="s">
        <v>1387</v>
      </c>
      <c r="E846" s="2" t="s">
        <v>231</v>
      </c>
      <c r="F846" s="71">
        <v>21215</v>
      </c>
      <c r="G846" s="29" t="s">
        <v>57</v>
      </c>
      <c r="H846" s="20"/>
      <c r="I846" s="20" t="s">
        <v>84</v>
      </c>
      <c r="J846" s="20" t="s">
        <v>1232</v>
      </c>
      <c r="K846" s="71"/>
      <c r="L846" s="20" t="s">
        <v>44</v>
      </c>
      <c r="M846" s="20"/>
      <c r="N846" s="20"/>
      <c r="O846" s="20"/>
      <c r="P846" s="20"/>
      <c r="Q846" s="20"/>
      <c r="R846" s="20"/>
      <c r="S846" s="20"/>
      <c r="T846" s="26"/>
      <c r="U846" s="17"/>
    </row>
    <row r="847" spans="1:21" x14ac:dyDescent="0.25">
      <c r="A847" s="2" t="str">
        <f>IFERROR(VLOOKUP(B847,Clientes!A:B,2,0),"")</f>
        <v/>
      </c>
      <c r="B847" s="20">
        <f t="shared" si="67"/>
        <v>746</v>
      </c>
      <c r="C847" s="52"/>
      <c r="D847" s="55"/>
      <c r="E847" s="2"/>
      <c r="F847" s="71"/>
      <c r="G847" s="29"/>
      <c r="H847" s="20"/>
      <c r="I847" s="20" t="s">
        <v>84</v>
      </c>
      <c r="J847" s="20"/>
      <c r="K847" s="71"/>
      <c r="L847" s="20"/>
      <c r="M847" s="20"/>
      <c r="N847" s="20"/>
      <c r="O847" s="20"/>
      <c r="P847" s="20"/>
      <c r="Q847" s="20"/>
      <c r="R847" s="20"/>
      <c r="S847" s="20"/>
      <c r="T847" s="26"/>
      <c r="U847" s="17"/>
    </row>
    <row r="848" spans="1:21" x14ac:dyDescent="0.25">
      <c r="A848" s="2" t="str">
        <f>IFERROR(VLOOKUP(B848,Clientes!A:B,2,0),"")</f>
        <v/>
      </c>
      <c r="B848" s="20">
        <f t="shared" si="67"/>
        <v>747</v>
      </c>
      <c r="C848" s="52" t="s">
        <v>583</v>
      </c>
      <c r="D848" s="55" t="s">
        <v>584</v>
      </c>
      <c r="E848" s="2" t="s">
        <v>228</v>
      </c>
      <c r="F848" s="71">
        <v>21215</v>
      </c>
      <c r="G848" s="29" t="s">
        <v>56</v>
      </c>
      <c r="H848" s="20" t="s">
        <v>72</v>
      </c>
      <c r="I848" s="20" t="s">
        <v>84</v>
      </c>
      <c r="J848" s="20" t="s">
        <v>83</v>
      </c>
      <c r="K848" s="71"/>
      <c r="L848" s="20"/>
      <c r="M848" s="20"/>
      <c r="N848" s="20"/>
      <c r="O848" s="20"/>
      <c r="P848" s="20"/>
      <c r="Q848" s="20"/>
      <c r="R848" s="20"/>
      <c r="S848" s="20"/>
      <c r="T848" s="26"/>
      <c r="U848" s="17"/>
    </row>
    <row r="849" spans="1:21" x14ac:dyDescent="0.25">
      <c r="A849" s="2" t="str">
        <f>IFERROR(VLOOKUP(B849,Clientes!A:B,2,0),"")</f>
        <v/>
      </c>
      <c r="B849" s="20">
        <f t="shared" si="67"/>
        <v>748</v>
      </c>
      <c r="C849" s="52" t="s">
        <v>688</v>
      </c>
      <c r="D849" s="55" t="s">
        <v>1385</v>
      </c>
      <c r="E849" s="2" t="s">
        <v>218</v>
      </c>
      <c r="F849" s="71">
        <v>21215</v>
      </c>
      <c r="G849" s="29" t="s">
        <v>57</v>
      </c>
      <c r="H849" s="20"/>
      <c r="I849" s="20" t="s">
        <v>84</v>
      </c>
      <c r="J849" s="20" t="s">
        <v>83</v>
      </c>
      <c r="K849" s="71"/>
      <c r="L849" s="20" t="s">
        <v>13</v>
      </c>
      <c r="M849" s="20"/>
      <c r="N849" s="20"/>
      <c r="O849" s="20"/>
      <c r="P849" s="20"/>
      <c r="Q849" s="20"/>
      <c r="R849" s="20"/>
      <c r="S849" s="20"/>
      <c r="T849" s="26"/>
      <c r="U849" s="17"/>
    </row>
    <row r="850" spans="1:21" x14ac:dyDescent="0.25">
      <c r="A850" s="2" t="str">
        <f>IFERROR(VLOOKUP(B850,Clientes!A:B,2,0),"")</f>
        <v/>
      </c>
      <c r="B850" s="20">
        <f t="shared" si="67"/>
        <v>749</v>
      </c>
      <c r="C850" s="52" t="s">
        <v>1383</v>
      </c>
      <c r="D850" s="55" t="s">
        <v>1384</v>
      </c>
      <c r="E850" s="2" t="s">
        <v>222</v>
      </c>
      <c r="F850" s="71">
        <v>21215</v>
      </c>
      <c r="G850" s="29" t="s">
        <v>57</v>
      </c>
      <c r="H850" s="20" t="s">
        <v>73</v>
      </c>
      <c r="I850" s="20" t="s">
        <v>84</v>
      </c>
      <c r="J850" s="20" t="s">
        <v>83</v>
      </c>
      <c r="K850" s="71"/>
      <c r="L850" s="20" t="s">
        <v>142</v>
      </c>
      <c r="M850" s="20"/>
      <c r="N850" s="20" t="s">
        <v>157</v>
      </c>
      <c r="O850" s="20"/>
      <c r="P850" s="20"/>
      <c r="Q850" s="20"/>
      <c r="R850" s="20"/>
      <c r="S850" s="20"/>
      <c r="T850" s="26"/>
      <c r="U850" s="17"/>
    </row>
    <row r="851" spans="1:21" x14ac:dyDescent="0.25">
      <c r="A851" s="2" t="str">
        <f>IFERROR(VLOOKUP(B851,Clientes!A:B,2,0),"")</f>
        <v/>
      </c>
      <c r="B851" s="20">
        <f t="shared" si="67"/>
        <v>750</v>
      </c>
      <c r="C851" s="52" t="s">
        <v>1381</v>
      </c>
      <c r="D851" s="55" t="s">
        <v>1382</v>
      </c>
      <c r="E851" s="2" t="s">
        <v>222</v>
      </c>
      <c r="F851" s="71">
        <v>21215</v>
      </c>
      <c r="G851" s="29" t="s">
        <v>57</v>
      </c>
      <c r="H851" s="20" t="s">
        <v>73</v>
      </c>
      <c r="I851" s="20" t="s">
        <v>84</v>
      </c>
      <c r="J851" s="20" t="s">
        <v>83</v>
      </c>
      <c r="K851" s="71"/>
      <c r="L851" s="20" t="s">
        <v>142</v>
      </c>
      <c r="M851" s="20"/>
      <c r="N851" s="20" t="s">
        <v>157</v>
      </c>
      <c r="O851" s="20"/>
      <c r="P851" s="20"/>
      <c r="Q851" s="20"/>
      <c r="R851" s="20"/>
      <c r="S851" s="20"/>
      <c r="T851" s="26"/>
      <c r="U851" s="17"/>
    </row>
    <row r="852" spans="1:21" x14ac:dyDescent="0.25">
      <c r="A852" s="2" t="str">
        <f>IFERROR(VLOOKUP(B852,Clientes!A:B,2,0),"")</f>
        <v/>
      </c>
      <c r="B852" s="20">
        <f t="shared" si="67"/>
        <v>751</v>
      </c>
      <c r="C852" s="52" t="s">
        <v>333</v>
      </c>
      <c r="D852" s="55" t="s">
        <v>334</v>
      </c>
      <c r="E852" s="2" t="s">
        <v>221</v>
      </c>
      <c r="F852" s="71">
        <v>21215</v>
      </c>
      <c r="G852" s="29" t="s">
        <v>56</v>
      </c>
      <c r="H852" s="20" t="s">
        <v>1192</v>
      </c>
      <c r="I852" s="20" t="s">
        <v>84</v>
      </c>
      <c r="J852" s="20" t="s">
        <v>83</v>
      </c>
      <c r="K852" s="71"/>
      <c r="L852" s="20"/>
      <c r="M852" s="20"/>
      <c r="N852" s="20"/>
      <c r="O852" s="20"/>
      <c r="P852" s="20"/>
      <c r="Q852" s="20"/>
      <c r="R852" s="20"/>
      <c r="S852" s="20"/>
      <c r="T852" s="26"/>
      <c r="U852" s="17"/>
    </row>
    <row r="853" spans="1:21" x14ac:dyDescent="0.25">
      <c r="A853" s="2" t="str">
        <f>IFERROR(VLOOKUP(B853,Clientes!A:B,2,0),"")</f>
        <v/>
      </c>
      <c r="B853" s="20">
        <f t="shared" si="67"/>
        <v>752</v>
      </c>
      <c r="C853" s="52" t="s">
        <v>737</v>
      </c>
      <c r="D853" s="55" t="s">
        <v>738</v>
      </c>
      <c r="E853" s="2" t="s">
        <v>228</v>
      </c>
      <c r="F853" s="71">
        <v>31215</v>
      </c>
      <c r="G853" s="29" t="s">
        <v>57</v>
      </c>
      <c r="H853" s="20"/>
      <c r="I853" s="20" t="s">
        <v>84</v>
      </c>
      <c r="J853" s="20" t="s">
        <v>1232</v>
      </c>
      <c r="K853" s="71"/>
      <c r="L853" s="20" t="s">
        <v>40</v>
      </c>
      <c r="M853" s="20"/>
      <c r="N853" s="20"/>
      <c r="O853" s="20"/>
      <c r="P853" s="20"/>
      <c r="Q853" s="20"/>
      <c r="R853" s="20"/>
      <c r="S853" s="20"/>
      <c r="T853" s="26"/>
      <c r="U853" s="17"/>
    </row>
    <row r="854" spans="1:21" x14ac:dyDescent="0.25">
      <c r="A854" s="2" t="str">
        <f>IFERROR(VLOOKUP(B854,Clientes!A:B,2,0),"")</f>
        <v/>
      </c>
      <c r="B854" s="20">
        <f t="shared" si="67"/>
        <v>753</v>
      </c>
      <c r="C854" s="52" t="s">
        <v>1378</v>
      </c>
      <c r="D854" s="55" t="s">
        <v>1379</v>
      </c>
      <c r="E854" s="2" t="s">
        <v>218</v>
      </c>
      <c r="F854" s="71">
        <v>31215</v>
      </c>
      <c r="G854" s="29" t="s">
        <v>56</v>
      </c>
      <c r="H854" s="20" t="s">
        <v>73</v>
      </c>
      <c r="I854" s="20" t="s">
        <v>84</v>
      </c>
      <c r="J854" s="20" t="s">
        <v>83</v>
      </c>
      <c r="K854" s="71"/>
      <c r="L854" s="20"/>
      <c r="M854" s="20"/>
      <c r="N854" s="20"/>
      <c r="O854" s="20"/>
      <c r="P854" s="20"/>
      <c r="Q854" s="20"/>
      <c r="R854" s="20"/>
      <c r="S854" s="20"/>
      <c r="T854" s="26"/>
      <c r="U854" s="17"/>
    </row>
    <row r="855" spans="1:21" x14ac:dyDescent="0.25">
      <c r="A855" s="2"/>
      <c r="B855" s="20" t="s">
        <v>1380</v>
      </c>
      <c r="C855" s="52" t="s">
        <v>1350</v>
      </c>
      <c r="D855" s="55" t="s">
        <v>1351</v>
      </c>
      <c r="E855" s="2" t="s">
        <v>228</v>
      </c>
      <c r="F855" s="71">
        <v>31215</v>
      </c>
      <c r="G855" s="29" t="s">
        <v>58</v>
      </c>
      <c r="H855" s="20" t="s">
        <v>73</v>
      </c>
      <c r="I855" s="20" t="s">
        <v>84</v>
      </c>
      <c r="J855" s="20" t="s">
        <v>83</v>
      </c>
      <c r="K855" s="71"/>
      <c r="L855" s="20" t="s">
        <v>40</v>
      </c>
      <c r="M855" s="20"/>
      <c r="N855" s="20"/>
      <c r="O855" s="20"/>
      <c r="P855" s="20"/>
      <c r="Q855" s="20"/>
      <c r="R855" s="20"/>
      <c r="S855" s="20"/>
      <c r="T855" s="26"/>
      <c r="U855" s="17"/>
    </row>
    <row r="856" spans="1:21" x14ac:dyDescent="0.25">
      <c r="A856" s="2" t="str">
        <f>IFERROR(VLOOKUP(B856,Clientes!A:B,2,0),"")</f>
        <v/>
      </c>
      <c r="B856" s="20">
        <f>B854+1</f>
        <v>754</v>
      </c>
      <c r="C856" s="52" t="s">
        <v>938</v>
      </c>
      <c r="D856" s="55" t="s">
        <v>939</v>
      </c>
      <c r="E856" s="2" t="s">
        <v>1241</v>
      </c>
      <c r="F856" s="71">
        <v>31215</v>
      </c>
      <c r="G856" s="29" t="s">
        <v>1191</v>
      </c>
      <c r="H856" s="20"/>
      <c r="I856" s="20" t="s">
        <v>84</v>
      </c>
      <c r="J856" s="20" t="s">
        <v>81</v>
      </c>
      <c r="K856" s="71"/>
      <c r="L856" s="20"/>
      <c r="M856" s="20"/>
      <c r="N856" s="20"/>
      <c r="O856" s="20"/>
      <c r="P856" s="20"/>
      <c r="Q856" s="20"/>
      <c r="R856" s="20"/>
      <c r="S856" s="20"/>
      <c r="T856" s="26" t="s">
        <v>1399</v>
      </c>
      <c r="U856" s="17"/>
    </row>
    <row r="857" spans="1:21" ht="25.5" x14ac:dyDescent="0.25">
      <c r="A857" s="2" t="str">
        <f>IFERROR(VLOOKUP(B857,Clientes!A:B,2,0),"")</f>
        <v/>
      </c>
      <c r="B857" s="20">
        <f>B856+1</f>
        <v>755</v>
      </c>
      <c r="C857" s="52" t="s">
        <v>880</v>
      </c>
      <c r="D857" s="55" t="s">
        <v>881</v>
      </c>
      <c r="E857" s="2" t="s">
        <v>1237</v>
      </c>
      <c r="F857" s="71">
        <v>31215</v>
      </c>
      <c r="G857" s="29" t="s">
        <v>1191</v>
      </c>
      <c r="H857" s="20"/>
      <c r="I857" s="20" t="s">
        <v>84</v>
      </c>
      <c r="J857" s="20" t="s">
        <v>81</v>
      </c>
      <c r="K857" s="71"/>
      <c r="L857" s="20"/>
      <c r="M857" s="20"/>
      <c r="N857" s="20"/>
      <c r="O857" s="20"/>
      <c r="P857" s="20"/>
      <c r="Q857" s="20"/>
      <c r="R857" s="20"/>
      <c r="S857" s="20"/>
      <c r="T857" s="26" t="s">
        <v>1400</v>
      </c>
      <c r="U857" s="17"/>
    </row>
    <row r="858" spans="1:21" x14ac:dyDescent="0.25">
      <c r="A858" s="2" t="str">
        <f>IFERROR(VLOOKUP(B858,Clientes!A:B,2,0),"")</f>
        <v/>
      </c>
      <c r="B858" s="20">
        <f>B857+1</f>
        <v>756</v>
      </c>
      <c r="C858" s="52" t="s">
        <v>599</v>
      </c>
      <c r="D858" s="55" t="s">
        <v>600</v>
      </c>
      <c r="E858" s="2" t="s">
        <v>220</v>
      </c>
      <c r="F858" s="71">
        <v>31215</v>
      </c>
      <c r="G858" s="29" t="s">
        <v>57</v>
      </c>
      <c r="H858" s="20"/>
      <c r="I858" s="20" t="s">
        <v>84</v>
      </c>
      <c r="J858" s="20" t="s">
        <v>82</v>
      </c>
      <c r="K858" s="71"/>
      <c r="L858" s="20" t="s">
        <v>161</v>
      </c>
      <c r="M858" s="20"/>
      <c r="N858" s="20"/>
      <c r="O858" s="20"/>
      <c r="P858" s="20"/>
      <c r="Q858" s="20"/>
      <c r="R858" s="20"/>
      <c r="S858" s="20"/>
      <c r="T858" s="26"/>
      <c r="U858" s="17"/>
    </row>
    <row r="859" spans="1:21" x14ac:dyDescent="0.25">
      <c r="A859" s="2" t="str">
        <f>IFERROR(VLOOKUP(B859,Clientes!A:B,2,0),"")</f>
        <v/>
      </c>
      <c r="B859" s="20">
        <f>B858+1</f>
        <v>757</v>
      </c>
      <c r="C859" s="52" t="s">
        <v>305</v>
      </c>
      <c r="D859" s="55" t="s">
        <v>1401</v>
      </c>
      <c r="E859" s="2" t="s">
        <v>228</v>
      </c>
      <c r="F859" s="71">
        <v>41215</v>
      </c>
      <c r="G859" s="29" t="s">
        <v>58</v>
      </c>
      <c r="H859" s="20" t="s">
        <v>72</v>
      </c>
      <c r="I859" s="20" t="s">
        <v>84</v>
      </c>
      <c r="J859" s="20" t="s">
        <v>83</v>
      </c>
      <c r="K859" s="71"/>
      <c r="L859" s="20" t="s">
        <v>206</v>
      </c>
      <c r="M859" s="20"/>
      <c r="N859" s="20"/>
      <c r="O859" s="20"/>
      <c r="P859" s="20"/>
      <c r="Q859" s="20"/>
      <c r="R859" s="20"/>
      <c r="S859" s="20"/>
      <c r="T859" s="26"/>
      <c r="U859" s="17"/>
    </row>
    <row r="860" spans="1:21" x14ac:dyDescent="0.25">
      <c r="A860" s="2"/>
      <c r="B860" s="20" t="s">
        <v>1402</v>
      </c>
      <c r="C860" s="52" t="s">
        <v>1403</v>
      </c>
      <c r="D860" s="55" t="s">
        <v>1404</v>
      </c>
      <c r="E860" s="2" t="s">
        <v>1237</v>
      </c>
      <c r="F860" s="71">
        <v>31215</v>
      </c>
      <c r="G860" s="29" t="s">
        <v>1191</v>
      </c>
      <c r="H860" s="20"/>
      <c r="I860" s="20" t="s">
        <v>84</v>
      </c>
      <c r="J860" s="20" t="s">
        <v>81</v>
      </c>
      <c r="K860" s="71"/>
      <c r="L860" s="20"/>
      <c r="M860" s="20"/>
      <c r="N860" s="20"/>
      <c r="O860" s="20"/>
      <c r="P860" s="20"/>
      <c r="Q860" s="20"/>
      <c r="R860" s="20"/>
      <c r="S860" s="20"/>
      <c r="T860" s="26"/>
      <c r="U860" s="17"/>
    </row>
    <row r="861" spans="1:21" x14ac:dyDescent="0.25">
      <c r="A861" s="2"/>
      <c r="B861" s="20" t="s">
        <v>1405</v>
      </c>
      <c r="C861" s="52" t="s">
        <v>1406</v>
      </c>
      <c r="D861" s="55" t="s">
        <v>1407</v>
      </c>
      <c r="E861" s="2" t="s">
        <v>1237</v>
      </c>
      <c r="F861" s="71">
        <v>31215</v>
      </c>
      <c r="G861" s="29" t="s">
        <v>1191</v>
      </c>
      <c r="H861" s="20"/>
      <c r="I861" s="20" t="s">
        <v>84</v>
      </c>
      <c r="J861" s="20" t="s">
        <v>81</v>
      </c>
      <c r="K861" s="71"/>
      <c r="L861" s="20"/>
      <c r="M861" s="20"/>
      <c r="N861" s="20"/>
      <c r="O861" s="20"/>
      <c r="P861" s="20"/>
      <c r="Q861" s="20"/>
      <c r="R861" s="20"/>
      <c r="S861" s="20"/>
      <c r="T861" s="26"/>
      <c r="U861" s="17"/>
    </row>
    <row r="862" spans="1:21" x14ac:dyDescent="0.25">
      <c r="A862" s="2" t="str">
        <f>IFERROR(VLOOKUP(B862,Clientes!A:B,2,0),"")</f>
        <v/>
      </c>
      <c r="B862" s="20">
        <f>B859+1</f>
        <v>758</v>
      </c>
      <c r="C862" s="52" t="s">
        <v>499</v>
      </c>
      <c r="D862" s="55" t="s">
        <v>500</v>
      </c>
      <c r="E862" s="2" t="s">
        <v>227</v>
      </c>
      <c r="F862" s="71">
        <v>41215</v>
      </c>
      <c r="G862" s="29" t="s">
        <v>57</v>
      </c>
      <c r="H862" s="20"/>
      <c r="I862" s="20" t="s">
        <v>84</v>
      </c>
      <c r="J862" s="20" t="s">
        <v>81</v>
      </c>
      <c r="K862" s="71"/>
      <c r="L862" s="20" t="s">
        <v>169</v>
      </c>
      <c r="M862" s="20"/>
      <c r="N862" s="20"/>
      <c r="O862" s="20"/>
      <c r="P862" s="20"/>
      <c r="Q862" s="20"/>
      <c r="R862" s="20"/>
      <c r="S862" s="20"/>
      <c r="T862" s="26"/>
      <c r="U862" s="17"/>
    </row>
    <row r="863" spans="1:21" x14ac:dyDescent="0.25">
      <c r="A863" s="2" t="str">
        <f>IFERROR(VLOOKUP(B863,Clientes!A:B,2,0),"")</f>
        <v/>
      </c>
      <c r="B863" s="20">
        <f>B862+1</f>
        <v>759</v>
      </c>
      <c r="C863" s="52" t="s">
        <v>1408</v>
      </c>
      <c r="D863" s="55" t="s">
        <v>1409</v>
      </c>
      <c r="E863" s="2" t="s">
        <v>215</v>
      </c>
      <c r="F863" s="71">
        <v>41215</v>
      </c>
      <c r="G863" s="29" t="s">
        <v>57</v>
      </c>
      <c r="H863" s="20"/>
      <c r="I863" s="20" t="s">
        <v>84</v>
      </c>
      <c r="J863" s="20" t="s">
        <v>83</v>
      </c>
      <c r="K863" s="71"/>
      <c r="L863" s="20" t="s">
        <v>161</v>
      </c>
      <c r="M863" s="20"/>
      <c r="N863" s="20"/>
      <c r="O863" s="20"/>
      <c r="P863" s="20"/>
      <c r="Q863" s="20"/>
      <c r="R863" s="20"/>
      <c r="S863" s="20"/>
      <c r="T863" s="26"/>
      <c r="U863" s="17"/>
    </row>
    <row r="864" spans="1:21" x14ac:dyDescent="0.25">
      <c r="A864" s="2" t="str">
        <f>IFERROR(VLOOKUP(B864,Clientes!A:B,2,0),"")</f>
        <v/>
      </c>
      <c r="B864" s="20">
        <f>B863+1</f>
        <v>760</v>
      </c>
      <c r="C864" s="52" t="s">
        <v>1118</v>
      </c>
      <c r="D864" s="55" t="s">
        <v>1119</v>
      </c>
      <c r="E864" s="2" t="s">
        <v>214</v>
      </c>
      <c r="F864" s="71">
        <v>41215</v>
      </c>
      <c r="G864" s="29" t="s">
        <v>57</v>
      </c>
      <c r="H864" s="20"/>
      <c r="I864" s="20" t="s">
        <v>84</v>
      </c>
      <c r="J864" s="20" t="s">
        <v>83</v>
      </c>
      <c r="K864" s="71"/>
      <c r="L864" s="20" t="s">
        <v>206</v>
      </c>
      <c r="M864" s="20"/>
      <c r="N864" s="20"/>
      <c r="O864" s="20"/>
      <c r="P864" s="20"/>
      <c r="Q864" s="20"/>
      <c r="R864" s="20"/>
      <c r="S864" s="20"/>
      <c r="T864" s="26"/>
      <c r="U864" s="17"/>
    </row>
    <row r="865" spans="1:21" x14ac:dyDescent="0.25">
      <c r="A865" s="2" t="str">
        <f>IFERROR(VLOOKUP(B865,Clientes!A:B,2,0),"")</f>
        <v/>
      </c>
      <c r="B865" s="20">
        <f>B864+1</f>
        <v>761</v>
      </c>
      <c r="C865" s="52" t="s">
        <v>1410</v>
      </c>
      <c r="D865" s="55" t="s">
        <v>1411</v>
      </c>
      <c r="E865" s="2" t="s">
        <v>228</v>
      </c>
      <c r="F865" s="71">
        <v>41215</v>
      </c>
      <c r="G865" s="29" t="s">
        <v>57</v>
      </c>
      <c r="H865" s="20"/>
      <c r="I865" s="20" t="s">
        <v>84</v>
      </c>
      <c r="J865" s="20" t="s">
        <v>1232</v>
      </c>
      <c r="K865" s="71"/>
      <c r="L865" s="20" t="s">
        <v>40</v>
      </c>
      <c r="M865" s="20"/>
      <c r="N865" s="20"/>
      <c r="O865" s="20"/>
      <c r="P865" s="20"/>
      <c r="Q865" s="20"/>
      <c r="R865" s="20"/>
      <c r="S865" s="20"/>
      <c r="T865" s="26"/>
      <c r="U865" s="17"/>
    </row>
    <row r="866" spans="1:21" x14ac:dyDescent="0.25">
      <c r="A866" s="2" t="str">
        <f>IFERROR(VLOOKUP(B866,Clientes!A:B,2,0),"")</f>
        <v/>
      </c>
      <c r="B866" s="20">
        <f>B865+1</f>
        <v>762</v>
      </c>
      <c r="C866" s="52" t="s">
        <v>814</v>
      </c>
      <c r="D866" s="55" t="s">
        <v>815</v>
      </c>
      <c r="E866" s="2" t="s">
        <v>221</v>
      </c>
      <c r="F866" s="71">
        <v>41215</v>
      </c>
      <c r="G866" s="29" t="s">
        <v>57</v>
      </c>
      <c r="H866" s="20"/>
      <c r="I866" s="20" t="s">
        <v>84</v>
      </c>
      <c r="J866" s="20" t="s">
        <v>83</v>
      </c>
      <c r="K866" s="71"/>
      <c r="L866" s="20" t="s">
        <v>165</v>
      </c>
      <c r="M866" s="20"/>
      <c r="N866" s="20" t="s">
        <v>21</v>
      </c>
      <c r="O866" s="20"/>
      <c r="P866" s="20"/>
      <c r="Q866" s="20"/>
      <c r="R866" s="20"/>
      <c r="S866" s="20"/>
      <c r="T866" s="26"/>
      <c r="U866" s="17"/>
    </row>
    <row r="867" spans="1:21" x14ac:dyDescent="0.25">
      <c r="A867" s="2" t="str">
        <f>IFERROR(VLOOKUP(B867,Clientes!A:B,2,0),"")</f>
        <v/>
      </c>
      <c r="B867" s="20">
        <f>B866+1</f>
        <v>763</v>
      </c>
      <c r="C867" s="52" t="s">
        <v>649</v>
      </c>
      <c r="D867" s="55" t="s">
        <v>650</v>
      </c>
      <c r="E867" s="2" t="s">
        <v>228</v>
      </c>
      <c r="F867" s="71">
        <v>41215</v>
      </c>
      <c r="G867" s="29" t="s">
        <v>57</v>
      </c>
      <c r="H867" s="20"/>
      <c r="I867" s="20" t="s">
        <v>84</v>
      </c>
      <c r="J867" s="20" t="s">
        <v>83</v>
      </c>
      <c r="K867" s="71"/>
      <c r="L867" s="20" t="s">
        <v>40</v>
      </c>
      <c r="M867" s="20"/>
      <c r="N867" s="20"/>
      <c r="O867" s="20"/>
      <c r="P867" s="20"/>
      <c r="Q867" s="20"/>
      <c r="R867" s="20"/>
      <c r="S867" s="20"/>
      <c r="T867" s="26"/>
      <c r="U867" s="17"/>
    </row>
    <row r="868" spans="1:21" x14ac:dyDescent="0.25">
      <c r="A868" s="2"/>
      <c r="B868" s="20" t="s">
        <v>1413</v>
      </c>
      <c r="C868" s="52" t="s">
        <v>545</v>
      </c>
      <c r="D868" s="55" t="s">
        <v>546</v>
      </c>
      <c r="E868" s="2" t="s">
        <v>229</v>
      </c>
      <c r="F868" s="71">
        <v>71215</v>
      </c>
      <c r="G868" s="29" t="s">
        <v>57</v>
      </c>
      <c r="H868" s="20"/>
      <c r="I868" s="20" t="s">
        <v>84</v>
      </c>
      <c r="J868" s="20" t="s">
        <v>83</v>
      </c>
      <c r="K868" s="71"/>
      <c r="L868" s="20"/>
      <c r="M868" s="20"/>
      <c r="N868" s="20"/>
      <c r="O868" s="20"/>
      <c r="P868" s="20"/>
      <c r="Q868" s="20"/>
      <c r="R868" s="20"/>
      <c r="S868" s="20"/>
      <c r="T868" s="26"/>
      <c r="U868" s="17"/>
    </row>
    <row r="869" spans="1:21" x14ac:dyDescent="0.25">
      <c r="A869" s="2" t="str">
        <f>IFERROR(VLOOKUP(B869,Clientes!A:B,2,0),"")</f>
        <v/>
      </c>
      <c r="B869" s="20">
        <f>B867+1</f>
        <v>764</v>
      </c>
      <c r="C869" s="52"/>
      <c r="D869" s="55"/>
      <c r="E869" s="2"/>
      <c r="F869" s="71"/>
      <c r="G869" s="29"/>
      <c r="H869" s="20"/>
      <c r="I869" s="20" t="s">
        <v>84</v>
      </c>
      <c r="J869" s="20"/>
      <c r="K869" s="71"/>
      <c r="L869" s="20"/>
      <c r="M869" s="20"/>
      <c r="N869" s="20"/>
      <c r="O869" s="20"/>
      <c r="P869" s="20"/>
      <c r="Q869" s="20"/>
      <c r="R869" s="20"/>
      <c r="S869" s="20"/>
      <c r="T869" s="26"/>
      <c r="U869" s="17"/>
    </row>
    <row r="870" spans="1:21" x14ac:dyDescent="0.25">
      <c r="A870" s="2" t="str">
        <f>IFERROR(VLOOKUP(B870,Clientes!A:B,2,0),"")</f>
        <v/>
      </c>
      <c r="B870" s="20">
        <f t="shared" ref="B870:B882" si="68">B869+1</f>
        <v>765</v>
      </c>
      <c r="C870" s="52" t="s">
        <v>1263</v>
      </c>
      <c r="D870" s="55" t="s">
        <v>1264</v>
      </c>
      <c r="E870" s="2" t="s">
        <v>214</v>
      </c>
      <c r="F870" s="71">
        <v>71215</v>
      </c>
      <c r="G870" s="29" t="s">
        <v>58</v>
      </c>
      <c r="H870" s="20" t="s">
        <v>73</v>
      </c>
      <c r="I870" s="20" t="s">
        <v>84</v>
      </c>
      <c r="J870" s="20" t="s">
        <v>83</v>
      </c>
      <c r="K870" s="71"/>
      <c r="L870" s="20" t="s">
        <v>169</v>
      </c>
      <c r="M870" s="20"/>
      <c r="N870" s="20" t="s">
        <v>206</v>
      </c>
      <c r="O870" s="20"/>
      <c r="P870" s="20"/>
      <c r="Q870" s="20"/>
      <c r="R870" s="20"/>
      <c r="S870" s="20"/>
      <c r="T870" s="26"/>
      <c r="U870" s="17"/>
    </row>
    <row r="871" spans="1:21" ht="25.5" x14ac:dyDescent="0.25">
      <c r="A871" s="2" t="str">
        <f>IFERROR(VLOOKUP(B871,Clientes!A:B,2,0),"")</f>
        <v/>
      </c>
      <c r="B871" s="20">
        <f t="shared" si="68"/>
        <v>766</v>
      </c>
      <c r="C871" s="52" t="s">
        <v>800</v>
      </c>
      <c r="D871" s="55" t="s">
        <v>799</v>
      </c>
      <c r="E871" s="2" t="s">
        <v>218</v>
      </c>
      <c r="F871" s="71">
        <v>71215</v>
      </c>
      <c r="G871" s="29" t="s">
        <v>57</v>
      </c>
      <c r="H871" s="20" t="s">
        <v>1192</v>
      </c>
      <c r="I871" s="20" t="s">
        <v>84</v>
      </c>
      <c r="J871" s="20" t="s">
        <v>83</v>
      </c>
      <c r="K871" s="71"/>
      <c r="L871" s="20" t="s">
        <v>206</v>
      </c>
      <c r="M871" s="20"/>
      <c r="N871" s="20" t="s">
        <v>44</v>
      </c>
      <c r="O871" s="20"/>
      <c r="P871" s="20" t="s">
        <v>13</v>
      </c>
      <c r="Q871" s="20"/>
      <c r="R871" s="20" t="s">
        <v>163</v>
      </c>
      <c r="S871" s="20"/>
      <c r="T871" s="26" t="s">
        <v>1412</v>
      </c>
      <c r="U871" s="17"/>
    </row>
    <row r="872" spans="1:21" x14ac:dyDescent="0.25">
      <c r="A872" s="2" t="str">
        <f>IFERROR(VLOOKUP(B872,Clientes!A:B,2,0),"")</f>
        <v/>
      </c>
      <c r="B872" s="20">
        <f t="shared" si="68"/>
        <v>767</v>
      </c>
      <c r="C872" s="52" t="s">
        <v>1338</v>
      </c>
      <c r="D872" s="55" t="s">
        <v>1339</v>
      </c>
      <c r="E872" s="2" t="s">
        <v>225</v>
      </c>
      <c r="F872" s="71">
        <v>71215</v>
      </c>
      <c r="G872" s="29" t="s">
        <v>57</v>
      </c>
      <c r="H872" s="20"/>
      <c r="I872" s="20" t="s">
        <v>84</v>
      </c>
      <c r="J872" s="20" t="s">
        <v>83</v>
      </c>
      <c r="K872" s="71"/>
      <c r="L872" s="20" t="s">
        <v>160</v>
      </c>
      <c r="M872" s="20"/>
      <c r="N872" s="20"/>
      <c r="O872" s="20"/>
      <c r="P872" s="20"/>
      <c r="Q872" s="20"/>
      <c r="R872" s="20"/>
      <c r="S872" s="20"/>
      <c r="T872" s="26"/>
      <c r="U872" s="17"/>
    </row>
    <row r="873" spans="1:21" x14ac:dyDescent="0.25">
      <c r="A873" s="2" t="str">
        <f>IFERROR(VLOOKUP(B873,Clientes!A:B,2,0),"")</f>
        <v/>
      </c>
      <c r="B873" s="20">
        <f t="shared" si="68"/>
        <v>768</v>
      </c>
      <c r="C873" s="52" t="s">
        <v>969</v>
      </c>
      <c r="D873" s="55" t="s">
        <v>970</v>
      </c>
      <c r="E873" s="2" t="s">
        <v>1237</v>
      </c>
      <c r="F873" s="71">
        <v>71215</v>
      </c>
      <c r="G873" s="29" t="s">
        <v>1191</v>
      </c>
      <c r="H873" s="20"/>
      <c r="I873" s="20" t="s">
        <v>84</v>
      </c>
      <c r="J873" s="20" t="s">
        <v>83</v>
      </c>
      <c r="K873" s="71"/>
      <c r="L873" s="20"/>
      <c r="M873" s="20"/>
      <c r="N873" s="20"/>
      <c r="O873" s="20"/>
      <c r="P873" s="20"/>
      <c r="Q873" s="20"/>
      <c r="R873" s="20"/>
      <c r="S873" s="20"/>
      <c r="T873" s="26" t="s">
        <v>1414</v>
      </c>
      <c r="U873" s="17"/>
    </row>
    <row r="874" spans="1:21" x14ac:dyDescent="0.25">
      <c r="A874" s="2" t="str">
        <f>IFERROR(VLOOKUP(B874,Clientes!A:B,2,0),"")</f>
        <v/>
      </c>
      <c r="B874" s="20">
        <f t="shared" si="68"/>
        <v>769</v>
      </c>
      <c r="C874" s="52" t="s">
        <v>1415</v>
      </c>
      <c r="D874" s="55" t="s">
        <v>1416</v>
      </c>
      <c r="E874" s="2" t="s">
        <v>1233</v>
      </c>
      <c r="F874" s="71">
        <v>71215</v>
      </c>
      <c r="G874" s="29" t="s">
        <v>58</v>
      </c>
      <c r="H874" s="20"/>
      <c r="I874" s="20" t="s">
        <v>84</v>
      </c>
      <c r="J874" s="20" t="s">
        <v>81</v>
      </c>
      <c r="K874" s="71"/>
      <c r="L874" s="20" t="s">
        <v>169</v>
      </c>
      <c r="M874" s="20"/>
      <c r="N874" s="20" t="s">
        <v>22</v>
      </c>
      <c r="O874" s="20"/>
      <c r="P874" s="20"/>
      <c r="Q874" s="20"/>
      <c r="R874" s="20"/>
      <c r="S874" s="20"/>
      <c r="T874" s="26"/>
      <c r="U874" s="17"/>
    </row>
    <row r="875" spans="1:21" x14ac:dyDescent="0.25">
      <c r="A875" s="2" t="str">
        <f>IFERROR(VLOOKUP(B875,Clientes!A:B,2,0),"")</f>
        <v/>
      </c>
      <c r="B875" s="20">
        <f t="shared" si="68"/>
        <v>770</v>
      </c>
      <c r="C875" s="52"/>
      <c r="D875" s="55"/>
      <c r="E875" s="2"/>
      <c r="F875" s="71"/>
      <c r="G875" s="29"/>
      <c r="H875" s="20"/>
      <c r="I875" s="20" t="s">
        <v>84</v>
      </c>
      <c r="J875" s="20"/>
      <c r="K875" s="71"/>
      <c r="L875" s="20"/>
      <c r="M875" s="20"/>
      <c r="N875" s="20"/>
      <c r="O875" s="20"/>
      <c r="P875" s="20"/>
      <c r="Q875" s="20"/>
      <c r="R875" s="20"/>
      <c r="S875" s="20"/>
      <c r="T875" s="26"/>
      <c r="U875" s="17"/>
    </row>
    <row r="876" spans="1:21" x14ac:dyDescent="0.25">
      <c r="A876" s="2" t="str">
        <f>IFERROR(VLOOKUP(B876,Clientes!A:B,2,0),"")</f>
        <v/>
      </c>
      <c r="B876" s="20">
        <f t="shared" si="68"/>
        <v>771</v>
      </c>
      <c r="C876" s="52"/>
      <c r="D876" s="55"/>
      <c r="E876" s="2"/>
      <c r="F876" s="71"/>
      <c r="G876" s="29"/>
      <c r="H876" s="20"/>
      <c r="I876" s="20" t="s">
        <v>84</v>
      </c>
      <c r="J876" s="20"/>
      <c r="K876" s="71"/>
      <c r="L876" s="20"/>
      <c r="M876" s="20"/>
      <c r="N876" s="20"/>
      <c r="O876" s="20"/>
      <c r="P876" s="20"/>
      <c r="Q876" s="20"/>
      <c r="R876" s="20"/>
      <c r="S876" s="20"/>
      <c r="T876" s="26"/>
      <c r="U876" s="17"/>
    </row>
    <row r="877" spans="1:21" x14ac:dyDescent="0.25">
      <c r="A877" s="2" t="str">
        <f>IFERROR(VLOOKUP(B877,Clientes!A:B,2,0),"")</f>
        <v/>
      </c>
      <c r="B877" s="20">
        <f t="shared" si="68"/>
        <v>772</v>
      </c>
      <c r="C877" s="52"/>
      <c r="D877" s="55"/>
      <c r="E877" s="2"/>
      <c r="F877" s="71"/>
      <c r="G877" s="29"/>
      <c r="H877" s="20"/>
      <c r="I877" s="20" t="s">
        <v>84</v>
      </c>
      <c r="J877" s="20"/>
      <c r="K877" s="71"/>
      <c r="L877" s="20"/>
      <c r="M877" s="20"/>
      <c r="N877" s="20"/>
      <c r="O877" s="20"/>
      <c r="P877" s="20"/>
      <c r="Q877" s="20"/>
      <c r="R877" s="20"/>
      <c r="S877" s="20"/>
      <c r="T877" s="26"/>
      <c r="U877" s="17"/>
    </row>
    <row r="878" spans="1:21" x14ac:dyDescent="0.25">
      <c r="A878" s="2" t="str">
        <f>IFERROR(VLOOKUP(B878,Clientes!A:B,2,0),"")</f>
        <v/>
      </c>
      <c r="B878" s="20">
        <f t="shared" si="68"/>
        <v>773</v>
      </c>
      <c r="C878" s="52"/>
      <c r="D878" s="55"/>
      <c r="E878" s="2"/>
      <c r="F878" s="71"/>
      <c r="G878" s="29"/>
      <c r="H878" s="20"/>
      <c r="I878" s="20" t="s">
        <v>84</v>
      </c>
      <c r="J878" s="20"/>
      <c r="K878" s="71"/>
      <c r="L878" s="20"/>
      <c r="M878" s="20"/>
      <c r="N878" s="20"/>
      <c r="O878" s="20"/>
      <c r="P878" s="20"/>
      <c r="Q878" s="20"/>
      <c r="R878" s="20"/>
      <c r="S878" s="20"/>
      <c r="T878" s="26"/>
      <c r="U878" s="17"/>
    </row>
    <row r="879" spans="1:21" x14ac:dyDescent="0.25">
      <c r="A879" s="2" t="str">
        <f>IFERROR(VLOOKUP(B879,Clientes!A:B,2,0),"")</f>
        <v/>
      </c>
      <c r="B879" s="20">
        <f t="shared" si="68"/>
        <v>774</v>
      </c>
      <c r="C879" s="52"/>
      <c r="D879" s="55"/>
      <c r="E879" s="2"/>
      <c r="F879" s="71"/>
      <c r="G879" s="29"/>
      <c r="H879" s="20"/>
      <c r="I879" s="20" t="s">
        <v>84</v>
      </c>
      <c r="J879" s="20"/>
      <c r="K879" s="71"/>
      <c r="L879" s="20"/>
      <c r="M879" s="20"/>
      <c r="N879" s="20"/>
      <c r="O879" s="20"/>
      <c r="P879" s="20"/>
      <c r="Q879" s="20"/>
      <c r="R879" s="20"/>
      <c r="S879" s="20"/>
      <c r="T879" s="26"/>
      <c r="U879" s="17"/>
    </row>
    <row r="880" spans="1:21" x14ac:dyDescent="0.25">
      <c r="A880" s="2" t="str">
        <f>IFERROR(VLOOKUP(B880,Clientes!A:B,2,0),"")</f>
        <v/>
      </c>
      <c r="B880" s="20">
        <f t="shared" si="68"/>
        <v>775</v>
      </c>
      <c r="C880" s="52" t="s">
        <v>1224</v>
      </c>
      <c r="D880" s="55" t="s">
        <v>1225</v>
      </c>
      <c r="E880" s="2" t="s">
        <v>222</v>
      </c>
      <c r="F880" s="71">
        <v>81215</v>
      </c>
      <c r="G880" s="29" t="s">
        <v>58</v>
      </c>
      <c r="H880" s="20" t="s">
        <v>73</v>
      </c>
      <c r="I880" s="20" t="s">
        <v>84</v>
      </c>
      <c r="J880" s="20" t="s">
        <v>1232</v>
      </c>
      <c r="K880" s="71"/>
      <c r="L880" s="20" t="s">
        <v>157</v>
      </c>
      <c r="M880" s="20"/>
      <c r="N880" s="20" t="s">
        <v>21</v>
      </c>
      <c r="O880" s="20"/>
      <c r="P880" s="20"/>
      <c r="Q880" s="20"/>
      <c r="R880" s="20"/>
      <c r="S880" s="20"/>
      <c r="T880" s="26"/>
      <c r="U880" s="17"/>
    </row>
    <row r="881" spans="1:21" x14ac:dyDescent="0.25">
      <c r="A881" s="2" t="str">
        <f>IFERROR(VLOOKUP(B881,Clientes!A:B,2,0),"")</f>
        <v/>
      </c>
      <c r="B881" s="20">
        <f t="shared" si="68"/>
        <v>776</v>
      </c>
      <c r="C881" s="52" t="s">
        <v>1418</v>
      </c>
      <c r="D881" s="55" t="s">
        <v>1417</v>
      </c>
      <c r="E881" s="2" t="s">
        <v>1233</v>
      </c>
      <c r="F881" s="71">
        <v>81215</v>
      </c>
      <c r="G881" s="29" t="s">
        <v>58</v>
      </c>
      <c r="H881" s="20"/>
      <c r="I881" s="20" t="s">
        <v>84</v>
      </c>
      <c r="J881" s="20" t="s">
        <v>83</v>
      </c>
      <c r="K881" s="71"/>
      <c r="L881" s="20" t="s">
        <v>757</v>
      </c>
      <c r="M881" s="20"/>
      <c r="N881" s="20"/>
      <c r="O881" s="20"/>
      <c r="P881" s="20"/>
      <c r="Q881" s="20"/>
      <c r="R881" s="20"/>
      <c r="S881" s="20"/>
      <c r="T881" s="26"/>
      <c r="U881" s="17"/>
    </row>
    <row r="882" spans="1:21" x14ac:dyDescent="0.25">
      <c r="A882" s="2" t="str">
        <f>IFERROR(VLOOKUP(B882,Clientes!A:B,2,0),"")</f>
        <v/>
      </c>
      <c r="B882" s="20">
        <f t="shared" si="68"/>
        <v>777</v>
      </c>
      <c r="C882" s="52" t="s">
        <v>1182</v>
      </c>
      <c r="D882" s="55" t="s">
        <v>1183</v>
      </c>
      <c r="E882" s="2" t="s">
        <v>1233</v>
      </c>
      <c r="F882" s="71">
        <v>81215</v>
      </c>
      <c r="G882" s="29" t="s">
        <v>58</v>
      </c>
      <c r="H882" s="20" t="s">
        <v>72</v>
      </c>
      <c r="I882" s="20" t="s">
        <v>84</v>
      </c>
      <c r="J882" s="20" t="s">
        <v>83</v>
      </c>
      <c r="K882" s="71"/>
      <c r="L882" s="20" t="s">
        <v>169</v>
      </c>
      <c r="M882" s="20"/>
      <c r="N882" s="20" t="s">
        <v>22</v>
      </c>
      <c r="O882" s="20"/>
      <c r="P882" s="20"/>
      <c r="Q882" s="20"/>
      <c r="R882" s="20"/>
      <c r="S882" s="20"/>
      <c r="T882" s="26"/>
      <c r="U882" s="17"/>
    </row>
    <row r="883" spans="1:21" x14ac:dyDescent="0.25">
      <c r="A883" s="2" t="str">
        <f>IFERROR(VLOOKUP(B883,Clientes!A:B,2,0),"")</f>
        <v/>
      </c>
      <c r="B883" s="20">
        <f>B882+1</f>
        <v>778</v>
      </c>
      <c r="C883" s="52" t="s">
        <v>271</v>
      </c>
      <c r="D883" s="55" t="s">
        <v>1420</v>
      </c>
      <c r="E883" s="2" t="s">
        <v>228</v>
      </c>
      <c r="F883" s="71">
        <v>71215</v>
      </c>
      <c r="G883" s="29" t="s">
        <v>65</v>
      </c>
      <c r="H883" s="20" t="s">
        <v>72</v>
      </c>
      <c r="I883" s="20" t="s">
        <v>84</v>
      </c>
      <c r="J883" s="20" t="s">
        <v>83</v>
      </c>
      <c r="K883" s="71"/>
      <c r="L883" s="20"/>
      <c r="M883" s="20"/>
      <c r="N883" s="20"/>
      <c r="O883" s="20"/>
      <c r="P883" s="20"/>
      <c r="Q883" s="20"/>
      <c r="R883" s="20"/>
      <c r="S883" s="20"/>
      <c r="T883" s="26"/>
      <c r="U883" s="17"/>
    </row>
    <row r="884" spans="1:21" x14ac:dyDescent="0.25">
      <c r="A884" s="2"/>
      <c r="B884" s="20" t="s">
        <v>1421</v>
      </c>
      <c r="C884" s="52" t="s">
        <v>1422</v>
      </c>
      <c r="D884" s="55" t="s">
        <v>1423</v>
      </c>
      <c r="E884" s="2" t="s">
        <v>233</v>
      </c>
      <c r="F884" s="71">
        <v>91215</v>
      </c>
      <c r="G884" s="29" t="s">
        <v>57</v>
      </c>
      <c r="H884" s="20"/>
      <c r="I884" s="20" t="s">
        <v>84</v>
      </c>
      <c r="J884" s="20" t="s">
        <v>1232</v>
      </c>
      <c r="K884" s="71"/>
      <c r="L884" s="20" t="s">
        <v>35</v>
      </c>
      <c r="M884" s="20"/>
      <c r="N884" s="20"/>
      <c r="O884" s="20"/>
      <c r="P884" s="20"/>
      <c r="Q884" s="20"/>
      <c r="R884" s="20"/>
      <c r="S884" s="20"/>
      <c r="T884" s="26"/>
      <c r="U884" s="17"/>
    </row>
    <row r="885" spans="1:21" x14ac:dyDescent="0.25">
      <c r="A885" s="2" t="str">
        <f>IFERROR(VLOOKUP(B885,Clientes!A:B,2,0),"")</f>
        <v/>
      </c>
      <c r="B885" s="20">
        <f>B883+1</f>
        <v>779</v>
      </c>
      <c r="C885" s="52" t="s">
        <v>1280</v>
      </c>
      <c r="D885" s="55" t="s">
        <v>1231</v>
      </c>
      <c r="E885" s="2"/>
      <c r="F885" s="71">
        <v>71215</v>
      </c>
      <c r="G885" s="29" t="s">
        <v>1191</v>
      </c>
      <c r="H885" s="20"/>
      <c r="I885" s="20" t="s">
        <v>84</v>
      </c>
      <c r="J885" s="20" t="s">
        <v>83</v>
      </c>
      <c r="K885" s="71"/>
      <c r="L885" s="20"/>
      <c r="M885" s="20"/>
      <c r="N885" s="20"/>
      <c r="O885" s="20"/>
      <c r="P885" s="20"/>
      <c r="Q885" s="20"/>
      <c r="R885" s="20"/>
      <c r="S885" s="20"/>
      <c r="T885" s="26"/>
      <c r="U885" s="17"/>
    </row>
    <row r="886" spans="1:21" x14ac:dyDescent="0.25">
      <c r="A886" s="2"/>
      <c r="B886" s="20" t="s">
        <v>1427</v>
      </c>
      <c r="C886" s="52" t="s">
        <v>521</v>
      </c>
      <c r="D886" s="55" t="s">
        <v>522</v>
      </c>
      <c r="E886" s="2" t="s">
        <v>217</v>
      </c>
      <c r="F886" s="71">
        <v>91215</v>
      </c>
      <c r="G886" s="29" t="s">
        <v>58</v>
      </c>
      <c r="H886" s="20" t="s">
        <v>1192</v>
      </c>
      <c r="I886" s="20" t="s">
        <v>84</v>
      </c>
      <c r="J886" s="20" t="s">
        <v>83</v>
      </c>
      <c r="K886" s="71"/>
      <c r="L886" s="20" t="s">
        <v>15</v>
      </c>
      <c r="M886" s="20"/>
      <c r="N886" s="20"/>
      <c r="O886" s="20"/>
      <c r="P886" s="20"/>
      <c r="Q886" s="20"/>
      <c r="R886" s="20"/>
      <c r="S886" s="20"/>
      <c r="T886" s="26"/>
      <c r="U886" s="17"/>
    </row>
    <row r="887" spans="1:21" x14ac:dyDescent="0.25">
      <c r="A887" s="2" t="str">
        <f>IFERROR(VLOOKUP(B887,Clientes!A:B,2,0),"")</f>
        <v/>
      </c>
      <c r="B887" s="20">
        <f>B885+1</f>
        <v>780</v>
      </c>
      <c r="C887" s="52" t="s">
        <v>655</v>
      </c>
      <c r="D887" s="55" t="s">
        <v>1428</v>
      </c>
      <c r="E887" s="2" t="s">
        <v>1235</v>
      </c>
      <c r="F887" s="71">
        <v>91215</v>
      </c>
      <c r="G887" s="29" t="s">
        <v>57</v>
      </c>
      <c r="H887" s="20"/>
      <c r="I887" s="20" t="s">
        <v>84</v>
      </c>
      <c r="J887" s="20" t="s">
        <v>83</v>
      </c>
      <c r="K887" s="71"/>
      <c r="L887" s="20" t="s">
        <v>208</v>
      </c>
      <c r="M887" s="20"/>
      <c r="N887" s="20"/>
      <c r="O887" s="20"/>
      <c r="P887" s="20"/>
      <c r="Q887" s="20"/>
      <c r="R887" s="20"/>
      <c r="S887" s="20"/>
      <c r="T887" s="26"/>
      <c r="U887" s="17"/>
    </row>
    <row r="888" spans="1:21" x14ac:dyDescent="0.25">
      <c r="A888" s="2" t="str">
        <f>IFERROR(VLOOKUP(B888,Clientes!A:B,2,0),"")</f>
        <v/>
      </c>
      <c r="B888" s="20">
        <f>B887+1</f>
        <v>781</v>
      </c>
      <c r="C888" s="52" t="s">
        <v>1429</v>
      </c>
      <c r="D888" s="55" t="s">
        <v>1430</v>
      </c>
      <c r="E888" s="2" t="s">
        <v>1233</v>
      </c>
      <c r="F888" s="71">
        <v>91215</v>
      </c>
      <c r="G888" s="29" t="s">
        <v>58</v>
      </c>
      <c r="H888" s="20" t="s">
        <v>73</v>
      </c>
      <c r="I888" s="20" t="s">
        <v>84</v>
      </c>
      <c r="J888" s="20" t="s">
        <v>83</v>
      </c>
      <c r="K888" s="71"/>
      <c r="L888" s="20" t="s">
        <v>33</v>
      </c>
      <c r="M888" s="20"/>
      <c r="N888" s="20"/>
      <c r="O888" s="20"/>
      <c r="P888" s="20"/>
      <c r="Q888" s="20"/>
      <c r="R888" s="20"/>
      <c r="S888" s="20"/>
      <c r="T888" s="26"/>
      <c r="U888" s="17"/>
    </row>
    <row r="889" spans="1:21" x14ac:dyDescent="0.25">
      <c r="A889" s="2"/>
      <c r="B889" s="20" t="s">
        <v>1431</v>
      </c>
      <c r="C889" s="52"/>
      <c r="D889" s="55" t="s">
        <v>1432</v>
      </c>
      <c r="E889" s="2"/>
      <c r="F889" s="71">
        <v>91215</v>
      </c>
      <c r="G889" s="29" t="s">
        <v>56</v>
      </c>
      <c r="H889" s="20" t="s">
        <v>73</v>
      </c>
      <c r="I889" s="20" t="s">
        <v>84</v>
      </c>
      <c r="J889" s="20" t="s">
        <v>83</v>
      </c>
      <c r="K889" s="71"/>
      <c r="L889" s="20"/>
      <c r="M889" s="20"/>
      <c r="N889" s="20"/>
      <c r="O889" s="20"/>
      <c r="P889" s="20"/>
      <c r="Q889" s="20"/>
      <c r="R889" s="20"/>
      <c r="S889" s="20"/>
      <c r="T889" s="26"/>
      <c r="U889" s="17"/>
    </row>
    <row r="890" spans="1:21" x14ac:dyDescent="0.25">
      <c r="A890" s="2" t="str">
        <f>IFERROR(VLOOKUP(B890,Clientes!A:B,2,0),"")</f>
        <v/>
      </c>
      <c r="B890" s="20">
        <f>B888+1</f>
        <v>782</v>
      </c>
      <c r="C890" s="52" t="s">
        <v>1426</v>
      </c>
      <c r="D890" s="55" t="s">
        <v>1178</v>
      </c>
      <c r="E890" s="2" t="s">
        <v>1233</v>
      </c>
      <c r="F890" s="71">
        <v>91215</v>
      </c>
      <c r="G890" s="29" t="s">
        <v>56</v>
      </c>
      <c r="H890" s="20"/>
      <c r="I890" s="20" t="s">
        <v>84</v>
      </c>
      <c r="J890" s="20" t="s">
        <v>83</v>
      </c>
      <c r="K890" s="71"/>
      <c r="L890" s="20"/>
      <c r="M890" s="20"/>
      <c r="N890" s="20"/>
      <c r="O890" s="20"/>
      <c r="P890" s="20"/>
      <c r="Q890" s="20"/>
      <c r="R890" s="20"/>
      <c r="S890" s="20"/>
      <c r="T890" s="26"/>
      <c r="U890" s="17"/>
    </row>
    <row r="891" spans="1:21" x14ac:dyDescent="0.25">
      <c r="A891" s="2" t="str">
        <f>IFERROR(VLOOKUP(B891,Clientes!A:B,2,0),"")</f>
        <v/>
      </c>
      <c r="B891" s="20">
        <f>B890+1</f>
        <v>783</v>
      </c>
      <c r="C891" s="52" t="s">
        <v>1049</v>
      </c>
      <c r="D891" s="55" t="s">
        <v>1433</v>
      </c>
      <c r="E891" s="2" t="s">
        <v>233</v>
      </c>
      <c r="F891" s="71">
        <v>101215</v>
      </c>
      <c r="G891" s="29" t="s">
        <v>56</v>
      </c>
      <c r="H891" s="20" t="s">
        <v>72</v>
      </c>
      <c r="I891" s="20" t="s">
        <v>84</v>
      </c>
      <c r="J891" s="20" t="s">
        <v>83</v>
      </c>
      <c r="K891" s="71"/>
      <c r="L891" s="20"/>
      <c r="M891" s="20"/>
      <c r="N891" s="20"/>
      <c r="O891" s="20"/>
      <c r="P891" s="20"/>
      <c r="Q891" s="20"/>
      <c r="R891" s="20"/>
      <c r="S891" s="20"/>
      <c r="T891" s="26"/>
      <c r="U891" s="17"/>
    </row>
    <row r="892" spans="1:21" x14ac:dyDescent="0.25">
      <c r="A892" s="2"/>
      <c r="B892" s="20" t="s">
        <v>1434</v>
      </c>
      <c r="C892" s="52" t="s">
        <v>911</v>
      </c>
      <c r="D892" s="55" t="s">
        <v>912</v>
      </c>
      <c r="E892" s="2" t="s">
        <v>214</v>
      </c>
      <c r="F892" s="71">
        <v>101215</v>
      </c>
      <c r="G892" s="29" t="s">
        <v>58</v>
      </c>
      <c r="H892" s="20" t="s">
        <v>72</v>
      </c>
      <c r="I892" s="20" t="s">
        <v>84</v>
      </c>
      <c r="J892" s="20" t="s">
        <v>83</v>
      </c>
      <c r="K892" s="71"/>
      <c r="L892" s="20" t="s">
        <v>28</v>
      </c>
      <c r="M892" s="20"/>
      <c r="N892" s="20" t="s">
        <v>758</v>
      </c>
      <c r="O892" s="20"/>
      <c r="P892" s="20"/>
      <c r="Q892" s="20"/>
      <c r="R892" s="20"/>
      <c r="S892" s="20"/>
      <c r="T892" s="26"/>
      <c r="U892" s="17"/>
    </row>
    <row r="893" spans="1:21" x14ac:dyDescent="0.25">
      <c r="A893" s="2" t="str">
        <f>IFERROR(VLOOKUP(B893,Clientes!A:B,2,0),"")</f>
        <v/>
      </c>
      <c r="B893" s="20">
        <f>B891+1</f>
        <v>784</v>
      </c>
      <c r="C893" s="52" t="s">
        <v>523</v>
      </c>
      <c r="D893" s="55" t="s">
        <v>524</v>
      </c>
      <c r="E893" s="2" t="s">
        <v>216</v>
      </c>
      <c r="F893" s="71">
        <v>101215</v>
      </c>
      <c r="G893" s="29" t="s">
        <v>58</v>
      </c>
      <c r="H893" s="20"/>
      <c r="I893" s="20" t="s">
        <v>84</v>
      </c>
      <c r="J893" s="20" t="s">
        <v>83</v>
      </c>
      <c r="K893" s="71"/>
      <c r="L893" s="20" t="s">
        <v>163</v>
      </c>
      <c r="M893" s="20"/>
      <c r="N893" s="20"/>
      <c r="O893" s="20"/>
      <c r="P893" s="20"/>
      <c r="Q893" s="20"/>
      <c r="R893" s="20"/>
      <c r="S893" s="20"/>
      <c r="T893" s="26"/>
      <c r="U893" s="17"/>
    </row>
    <row r="894" spans="1:21" x14ac:dyDescent="0.25">
      <c r="A894" s="2"/>
      <c r="B894" s="20" t="s">
        <v>1435</v>
      </c>
      <c r="C894" s="52" t="s">
        <v>283</v>
      </c>
      <c r="D894" s="55" t="s">
        <v>284</v>
      </c>
      <c r="E894" s="2" t="s">
        <v>228</v>
      </c>
      <c r="F894" s="71">
        <v>101215</v>
      </c>
      <c r="G894" s="29" t="s">
        <v>57</v>
      </c>
      <c r="H894" s="20"/>
      <c r="I894" s="20" t="s">
        <v>84</v>
      </c>
      <c r="J894" s="20" t="s">
        <v>1232</v>
      </c>
      <c r="K894" s="71"/>
      <c r="L894" s="20" t="s">
        <v>159</v>
      </c>
      <c r="M894" s="20"/>
      <c r="N894" s="20" t="s">
        <v>153</v>
      </c>
      <c r="O894" s="20"/>
      <c r="P894" s="20"/>
      <c r="Q894" s="20"/>
      <c r="R894" s="20"/>
      <c r="S894" s="20"/>
      <c r="T894" s="26"/>
      <c r="U894" s="17"/>
    </row>
    <row r="895" spans="1:21" x14ac:dyDescent="0.25">
      <c r="A895" s="2" t="str">
        <f>IFERROR(VLOOKUP(B895,Clientes!A:B,2,0),"")</f>
        <v/>
      </c>
      <c r="B895" s="20">
        <f>B893+1</f>
        <v>785</v>
      </c>
      <c r="C895" s="52" t="s">
        <v>603</v>
      </c>
      <c r="D895" s="55" t="s">
        <v>604</v>
      </c>
      <c r="E895" s="2" t="s">
        <v>1226</v>
      </c>
      <c r="F895" s="71">
        <v>101215</v>
      </c>
      <c r="G895" s="29" t="s">
        <v>57</v>
      </c>
      <c r="H895" s="20"/>
      <c r="I895" s="20" t="s">
        <v>84</v>
      </c>
      <c r="J895" s="20" t="s">
        <v>83</v>
      </c>
      <c r="K895" s="71"/>
      <c r="L895" s="20" t="s">
        <v>757</v>
      </c>
      <c r="M895" s="20"/>
      <c r="N895" s="20" t="s">
        <v>169</v>
      </c>
      <c r="O895" s="20"/>
      <c r="P895" s="20"/>
      <c r="Q895" s="20"/>
      <c r="R895" s="20"/>
      <c r="S895" s="20"/>
      <c r="T895" s="26"/>
      <c r="U895" s="17"/>
    </row>
    <row r="896" spans="1:21" x14ac:dyDescent="0.25">
      <c r="A896" s="2"/>
      <c r="B896" s="20" t="s">
        <v>1419</v>
      </c>
      <c r="C896" s="52" t="s">
        <v>297</v>
      </c>
      <c r="D896" s="55" t="s">
        <v>298</v>
      </c>
      <c r="E896" s="2" t="s">
        <v>1226</v>
      </c>
      <c r="F896" s="71">
        <v>101215</v>
      </c>
      <c r="G896" s="29" t="s">
        <v>57</v>
      </c>
      <c r="H896" s="20" t="s">
        <v>74</v>
      </c>
      <c r="I896" s="20" t="s">
        <v>84</v>
      </c>
      <c r="J896" s="20" t="s">
        <v>83</v>
      </c>
      <c r="K896" s="71"/>
      <c r="L896" s="20" t="s">
        <v>757</v>
      </c>
      <c r="M896" s="20"/>
      <c r="N896" s="20"/>
      <c r="O896" s="20"/>
      <c r="P896" s="20"/>
      <c r="Q896" s="20"/>
      <c r="R896" s="20"/>
      <c r="S896" s="20"/>
      <c r="T896" s="26"/>
      <c r="U896" s="17"/>
    </row>
    <row r="897" spans="1:21" x14ac:dyDescent="0.25">
      <c r="A897" s="2" t="str">
        <f>IFERROR(VLOOKUP(B897,Clientes!A:B,2,0),"")</f>
        <v/>
      </c>
      <c r="B897" s="20">
        <f>B895+1</f>
        <v>786</v>
      </c>
      <c r="C897" s="52" t="s">
        <v>583</v>
      </c>
      <c r="D897" s="55" t="s">
        <v>584</v>
      </c>
      <c r="E897" s="2" t="s">
        <v>228</v>
      </c>
      <c r="F897" s="71">
        <v>111215</v>
      </c>
      <c r="G897" s="29" t="s">
        <v>58</v>
      </c>
      <c r="H897" s="20" t="s">
        <v>72</v>
      </c>
      <c r="I897" s="20" t="s">
        <v>84</v>
      </c>
      <c r="J897" s="20" t="s">
        <v>1232</v>
      </c>
      <c r="K897" s="71"/>
      <c r="L897" s="20" t="s">
        <v>159</v>
      </c>
      <c r="M897" s="20"/>
      <c r="N897" s="20"/>
      <c r="O897" s="20"/>
      <c r="P897" s="20"/>
      <c r="Q897" s="20"/>
      <c r="R897" s="20"/>
      <c r="S897" s="20"/>
      <c r="T897" s="26"/>
      <c r="U897" s="17"/>
    </row>
    <row r="898" spans="1:21" x14ac:dyDescent="0.25">
      <c r="A898" s="2" t="str">
        <f>IFERROR(VLOOKUP(B898,Clientes!A:B,2,0),"")</f>
        <v/>
      </c>
      <c r="B898" s="20">
        <f>B897+1</f>
        <v>787</v>
      </c>
      <c r="C898" s="52"/>
      <c r="D898" s="55"/>
      <c r="E898" s="2"/>
      <c r="F898" s="71"/>
      <c r="G898" s="29"/>
      <c r="H898" s="20"/>
      <c r="I898" s="20" t="s">
        <v>84</v>
      </c>
      <c r="J898" s="20"/>
      <c r="K898" s="71"/>
      <c r="L898" s="20"/>
      <c r="M898" s="20"/>
      <c r="N898" s="20"/>
      <c r="O898" s="20"/>
      <c r="P898" s="20"/>
      <c r="Q898" s="20"/>
      <c r="R898" s="20"/>
      <c r="S898" s="20"/>
      <c r="T898" s="26"/>
      <c r="U898" s="17"/>
    </row>
    <row r="899" spans="1:21" x14ac:dyDescent="0.25">
      <c r="A899" s="2" t="str">
        <f>IFERROR(VLOOKUP(B899,Clientes!A:B,2,0),"")</f>
        <v/>
      </c>
      <c r="B899" s="20">
        <f>B898+1</f>
        <v>788</v>
      </c>
      <c r="C899" s="52" t="s">
        <v>1251</v>
      </c>
      <c r="D899" s="55" t="s">
        <v>1252</v>
      </c>
      <c r="E899" s="2" t="s">
        <v>219</v>
      </c>
      <c r="F899" s="71">
        <v>111215</v>
      </c>
      <c r="G899" s="29" t="s">
        <v>58</v>
      </c>
      <c r="H899" s="20" t="s">
        <v>73</v>
      </c>
      <c r="I899" s="20" t="s">
        <v>84</v>
      </c>
      <c r="J899" s="20" t="s">
        <v>83</v>
      </c>
      <c r="K899" s="71"/>
      <c r="L899" s="20" t="s">
        <v>142</v>
      </c>
      <c r="M899" s="20"/>
      <c r="N899" s="20"/>
      <c r="O899" s="20"/>
      <c r="P899" s="20"/>
      <c r="Q899" s="20"/>
      <c r="R899" s="20"/>
      <c r="S899" s="20"/>
      <c r="T899" s="26"/>
      <c r="U899" s="17"/>
    </row>
    <row r="900" spans="1:21" x14ac:dyDescent="0.25">
      <c r="A900" s="2" t="str">
        <f>IFERROR(VLOOKUP(B900,Clientes!A:B,2,0),"")</f>
        <v/>
      </c>
      <c r="B900" s="20">
        <f>B899+1</f>
        <v>789</v>
      </c>
      <c r="C900" s="52" t="s">
        <v>1043</v>
      </c>
      <c r="D900" s="55" t="s">
        <v>1044</v>
      </c>
      <c r="E900" s="2" t="s">
        <v>215</v>
      </c>
      <c r="F900" s="71">
        <v>111215</v>
      </c>
      <c r="G900" s="29" t="s">
        <v>56</v>
      </c>
      <c r="H900" s="20" t="s">
        <v>72</v>
      </c>
      <c r="I900" s="20" t="s">
        <v>84</v>
      </c>
      <c r="J900" s="20" t="s">
        <v>83</v>
      </c>
      <c r="K900" s="71"/>
      <c r="L900" s="20"/>
      <c r="M900" s="20"/>
      <c r="N900" s="20"/>
      <c r="O900" s="20"/>
      <c r="P900" s="20"/>
      <c r="Q900" s="20"/>
      <c r="R900" s="20"/>
      <c r="S900" s="20"/>
      <c r="T900" s="26"/>
      <c r="U900" s="17"/>
    </row>
    <row r="901" spans="1:21" x14ac:dyDescent="0.25">
      <c r="A901" s="2" t="str">
        <f>IFERROR(VLOOKUP(B901,Clientes!A:B,2,0),"")</f>
        <v/>
      </c>
      <c r="B901" s="20">
        <f>B900+1</f>
        <v>790</v>
      </c>
      <c r="C901" s="52" t="s">
        <v>1195</v>
      </c>
      <c r="D901" s="55" t="s">
        <v>675</v>
      </c>
      <c r="E901" s="2" t="s">
        <v>1233</v>
      </c>
      <c r="F901" s="71">
        <v>111215</v>
      </c>
      <c r="G901" s="29" t="s">
        <v>58</v>
      </c>
      <c r="H901" s="20" t="s">
        <v>1192</v>
      </c>
      <c r="I901" s="20" t="s">
        <v>84</v>
      </c>
      <c r="J901" s="20" t="s">
        <v>83</v>
      </c>
      <c r="K901" s="71"/>
      <c r="L901" s="20" t="s">
        <v>757</v>
      </c>
      <c r="M901" s="20"/>
      <c r="N901" s="20"/>
      <c r="O901" s="20"/>
      <c r="P901" s="20"/>
      <c r="Q901" s="20"/>
      <c r="R901" s="20"/>
      <c r="S901" s="20"/>
      <c r="T901" s="26"/>
      <c r="U901" s="17"/>
    </row>
    <row r="902" spans="1:21" x14ac:dyDescent="0.25">
      <c r="A902" s="2"/>
      <c r="B902" s="20" t="s">
        <v>1424</v>
      </c>
      <c r="C902" s="52" t="s">
        <v>985</v>
      </c>
      <c r="D902" s="55" t="s">
        <v>1425</v>
      </c>
      <c r="E902" s="2" t="s">
        <v>233</v>
      </c>
      <c r="F902" s="71">
        <v>141215</v>
      </c>
      <c r="G902" s="29" t="s">
        <v>57</v>
      </c>
      <c r="H902" s="20" t="s">
        <v>1192</v>
      </c>
      <c r="I902" s="20" t="s">
        <v>84</v>
      </c>
      <c r="J902" s="20" t="s">
        <v>81</v>
      </c>
      <c r="K902" s="71"/>
      <c r="L902" s="20" t="s">
        <v>35</v>
      </c>
      <c r="M902" s="20"/>
      <c r="N902" s="20" t="s">
        <v>760</v>
      </c>
      <c r="O902" s="20"/>
      <c r="P902" s="20" t="s">
        <v>139</v>
      </c>
      <c r="Q902" s="20"/>
      <c r="R902" s="20" t="s">
        <v>153</v>
      </c>
      <c r="S902" s="20"/>
      <c r="T902" s="26"/>
      <c r="U902" s="17"/>
    </row>
    <row r="903" spans="1:21" x14ac:dyDescent="0.25">
      <c r="A903" s="2" t="str">
        <f>IFERROR(VLOOKUP(B903,Clientes!A:B,2,0),"")</f>
        <v/>
      </c>
      <c r="B903" s="20">
        <f>B901+1</f>
        <v>791</v>
      </c>
      <c r="C903" s="52"/>
      <c r="D903" s="55"/>
      <c r="E903" s="2"/>
      <c r="F903" s="71"/>
      <c r="G903" s="29"/>
      <c r="H903" s="20"/>
      <c r="I903" s="20" t="s">
        <v>84</v>
      </c>
      <c r="J903" s="20"/>
      <c r="K903" s="71"/>
      <c r="L903" s="20"/>
      <c r="M903" s="20"/>
      <c r="N903" s="20"/>
      <c r="O903" s="20"/>
      <c r="P903" s="20"/>
      <c r="Q903" s="20"/>
      <c r="R903" s="20"/>
      <c r="S903" s="20"/>
      <c r="T903" s="26"/>
      <c r="U903" s="17"/>
    </row>
    <row r="904" spans="1:21" x14ac:dyDescent="0.25">
      <c r="A904" s="2" t="str">
        <f>IFERROR(VLOOKUP(B904,Clientes!A:B,2,0),"")</f>
        <v/>
      </c>
      <c r="B904" s="20">
        <f>B903+1</f>
        <v>792</v>
      </c>
      <c r="C904" s="52"/>
      <c r="D904" s="55"/>
      <c r="E904" s="2"/>
      <c r="F904" s="71"/>
      <c r="G904" s="29"/>
      <c r="H904" s="20"/>
      <c r="I904" s="20" t="s">
        <v>84</v>
      </c>
      <c r="J904" s="20"/>
      <c r="K904" s="71"/>
      <c r="L904" s="20"/>
      <c r="M904" s="20"/>
      <c r="N904" s="20"/>
      <c r="O904" s="20"/>
      <c r="P904" s="20"/>
      <c r="Q904" s="20"/>
      <c r="R904" s="20"/>
      <c r="S904" s="20"/>
      <c r="T904" s="26"/>
      <c r="U904" s="17"/>
    </row>
    <row r="905" spans="1:21" x14ac:dyDescent="0.25">
      <c r="A905" s="2" t="str">
        <f>IFERROR(VLOOKUP(B905,Clientes!A:B,2,0),"")</f>
        <v/>
      </c>
      <c r="B905" s="20">
        <f>B904+1</f>
        <v>793</v>
      </c>
      <c r="C905" s="52"/>
      <c r="D905" s="55" t="s">
        <v>1436</v>
      </c>
      <c r="E905" s="2"/>
      <c r="F905" s="71">
        <v>141215</v>
      </c>
      <c r="G905" s="29" t="s">
        <v>65</v>
      </c>
      <c r="H905" s="20" t="s">
        <v>72</v>
      </c>
      <c r="I905" s="20" t="s">
        <v>84</v>
      </c>
      <c r="J905" s="20" t="s">
        <v>81</v>
      </c>
      <c r="K905" s="71"/>
      <c r="L905" s="20"/>
      <c r="M905" s="20"/>
      <c r="N905" s="20"/>
      <c r="O905" s="20"/>
      <c r="P905" s="20"/>
      <c r="Q905" s="20"/>
      <c r="R905" s="20"/>
      <c r="S905" s="20"/>
      <c r="T905" s="26"/>
      <c r="U905" s="17"/>
    </row>
    <row r="906" spans="1:21" x14ac:dyDescent="0.25">
      <c r="A906" s="2" t="str">
        <f>IFERROR(VLOOKUP(B906,Clientes!A:B,2,0),"")</f>
        <v/>
      </c>
      <c r="B906" s="20">
        <f>B905+1</f>
        <v>794</v>
      </c>
      <c r="C906" s="52" t="s">
        <v>1437</v>
      </c>
      <c r="D906" s="55" t="s">
        <v>1438</v>
      </c>
      <c r="E906" s="2" t="s">
        <v>1237</v>
      </c>
      <c r="F906" s="71">
        <v>150215</v>
      </c>
      <c r="G906" s="29" t="s">
        <v>1191</v>
      </c>
      <c r="H906" s="20"/>
      <c r="I906" s="20" t="s">
        <v>84</v>
      </c>
      <c r="J906" s="20" t="s">
        <v>81</v>
      </c>
      <c r="K906" s="71"/>
      <c r="L906" s="20"/>
      <c r="M906" s="20"/>
      <c r="N906" s="20"/>
      <c r="O906" s="20"/>
      <c r="P906" s="20"/>
      <c r="Q906" s="20"/>
      <c r="R906" s="20"/>
      <c r="S906" s="20"/>
      <c r="T906" s="26"/>
      <c r="U906" s="17"/>
    </row>
    <row r="907" spans="1:21" x14ac:dyDescent="0.25">
      <c r="A907" s="2"/>
      <c r="B907" s="20" t="s">
        <v>1463</v>
      </c>
      <c r="C907" s="52" t="s">
        <v>753</v>
      </c>
      <c r="D907" s="55" t="s">
        <v>754</v>
      </c>
      <c r="E907" s="2" t="s">
        <v>1241</v>
      </c>
      <c r="F907" s="71">
        <v>141215</v>
      </c>
      <c r="G907" s="29" t="s">
        <v>1191</v>
      </c>
      <c r="H907" s="20"/>
      <c r="I907" s="20" t="s">
        <v>84</v>
      </c>
      <c r="J907" s="20" t="s">
        <v>81</v>
      </c>
      <c r="K907" s="71"/>
      <c r="L907" s="20"/>
      <c r="M907" s="20"/>
      <c r="N907" s="76"/>
      <c r="O907" s="20"/>
      <c r="P907" s="20"/>
      <c r="Q907" s="20"/>
      <c r="R907" s="20"/>
      <c r="S907" s="20"/>
      <c r="T907" s="26"/>
      <c r="U907" s="17"/>
    </row>
    <row r="908" spans="1:21" x14ac:dyDescent="0.25">
      <c r="A908" s="2" t="str">
        <f>IFERROR(VLOOKUP(B908,Clientes!A:B,2,0),"")</f>
        <v/>
      </c>
      <c r="B908" s="20">
        <f>B906+1</f>
        <v>795</v>
      </c>
      <c r="C908" s="52" t="s">
        <v>1439</v>
      </c>
      <c r="D908" s="55" t="s">
        <v>1440</v>
      </c>
      <c r="E908" s="2" t="s">
        <v>232</v>
      </c>
      <c r="F908" s="71">
        <v>151215</v>
      </c>
      <c r="G908" s="29" t="s">
        <v>57</v>
      </c>
      <c r="H908" s="20"/>
      <c r="I908" s="20" t="s">
        <v>84</v>
      </c>
      <c r="J908" s="20" t="s">
        <v>1232</v>
      </c>
      <c r="K908" s="71"/>
      <c r="L908" s="20" t="s">
        <v>146</v>
      </c>
      <c r="M908" s="20"/>
      <c r="N908" s="55" t="s">
        <v>1441</v>
      </c>
      <c r="O908" s="20"/>
      <c r="P908" s="20"/>
      <c r="Q908" s="20"/>
      <c r="R908" s="20"/>
      <c r="S908" s="20"/>
      <c r="T908" s="26"/>
      <c r="U908" s="17"/>
    </row>
    <row r="909" spans="1:21" x14ac:dyDescent="0.25">
      <c r="A909" s="2"/>
      <c r="B909" s="20" t="s">
        <v>1442</v>
      </c>
      <c r="C909" s="52" t="s">
        <v>1443</v>
      </c>
      <c r="D909" s="55" t="s">
        <v>1444</v>
      </c>
      <c r="E909" s="2" t="s">
        <v>1238</v>
      </c>
      <c r="F909" s="71">
        <v>151215</v>
      </c>
      <c r="G909" s="29" t="s">
        <v>66</v>
      </c>
      <c r="H909" s="20" t="s">
        <v>77</v>
      </c>
      <c r="I909" s="20" t="s">
        <v>84</v>
      </c>
      <c r="J909" s="20" t="s">
        <v>83</v>
      </c>
      <c r="K909" s="71"/>
      <c r="L909" s="20"/>
      <c r="M909" s="20"/>
      <c r="N909" s="55"/>
      <c r="O909" s="20"/>
      <c r="P909" s="20"/>
      <c r="Q909" s="20"/>
      <c r="R909" s="20"/>
      <c r="S909" s="20"/>
      <c r="T909" s="26"/>
      <c r="U909" s="17"/>
    </row>
    <row r="910" spans="1:21" x14ac:dyDescent="0.25">
      <c r="A910" s="2" t="str">
        <f>IFERROR(VLOOKUP(B910,Clientes!A:B,2,0),"")</f>
        <v/>
      </c>
      <c r="B910" s="20">
        <f>B908+1</f>
        <v>796</v>
      </c>
      <c r="C910" s="52"/>
      <c r="D910" s="55"/>
      <c r="E910" s="2"/>
      <c r="F910" s="71"/>
      <c r="G910" s="29"/>
      <c r="H910" s="20"/>
      <c r="I910" s="20" t="s">
        <v>84</v>
      </c>
      <c r="J910" s="20"/>
      <c r="K910" s="71"/>
      <c r="L910" s="20"/>
      <c r="M910" s="20"/>
      <c r="N910" s="20"/>
      <c r="O910" s="20"/>
      <c r="P910" s="20"/>
      <c r="Q910" s="20"/>
      <c r="R910" s="20"/>
      <c r="S910" s="20"/>
      <c r="T910" s="26"/>
      <c r="U910" s="17"/>
    </row>
    <row r="911" spans="1:21" x14ac:dyDescent="0.25">
      <c r="A911" s="2" t="str">
        <f>IFERROR(VLOOKUP(B911,Clientes!A:B,2,0),"")</f>
        <v/>
      </c>
      <c r="B911" s="20">
        <f t="shared" ref="B911:B916" si="69">B910+1</f>
        <v>797</v>
      </c>
      <c r="C911" s="52" t="s">
        <v>1445</v>
      </c>
      <c r="D911" s="55" t="s">
        <v>1446</v>
      </c>
      <c r="E911" s="2" t="s">
        <v>217</v>
      </c>
      <c r="F911" s="71">
        <v>161215</v>
      </c>
      <c r="G911" s="29" t="s">
        <v>58</v>
      </c>
      <c r="H911" s="20" t="s">
        <v>72</v>
      </c>
      <c r="I911" s="20" t="s">
        <v>84</v>
      </c>
      <c r="J911" s="20" t="s">
        <v>83</v>
      </c>
      <c r="K911" s="71"/>
      <c r="L911" s="20" t="s">
        <v>134</v>
      </c>
      <c r="M911" s="20"/>
      <c r="N911" s="20"/>
      <c r="O911" s="20"/>
      <c r="P911" s="20"/>
      <c r="Q911" s="20"/>
      <c r="R911" s="20"/>
      <c r="S911" s="20"/>
      <c r="T911" s="26"/>
      <c r="U911" s="17"/>
    </row>
    <row r="912" spans="1:21" x14ac:dyDescent="0.25">
      <c r="A912" s="2" t="str">
        <f>IFERROR(VLOOKUP(B912,Clientes!A:B,2,0),"")</f>
        <v/>
      </c>
      <c r="B912" s="20">
        <f t="shared" si="69"/>
        <v>798</v>
      </c>
      <c r="C912" s="52" t="s">
        <v>1447</v>
      </c>
      <c r="D912" s="55" t="s">
        <v>1448</v>
      </c>
      <c r="E912" s="2" t="s">
        <v>217</v>
      </c>
      <c r="F912" s="71">
        <v>161215</v>
      </c>
      <c r="G912" s="29" t="s">
        <v>58</v>
      </c>
      <c r="H912" s="20" t="s">
        <v>72</v>
      </c>
      <c r="I912" s="20" t="s">
        <v>84</v>
      </c>
      <c r="J912" s="20" t="s">
        <v>83</v>
      </c>
      <c r="K912" s="71"/>
      <c r="L912" s="20" t="s">
        <v>134</v>
      </c>
      <c r="M912" s="20"/>
      <c r="N912" s="20" t="s">
        <v>159</v>
      </c>
      <c r="O912" s="20"/>
      <c r="P912" s="20"/>
      <c r="Q912" s="20"/>
      <c r="R912" s="20"/>
      <c r="S912" s="20"/>
      <c r="T912" s="26"/>
      <c r="U912" s="17"/>
    </row>
    <row r="913" spans="1:21" x14ac:dyDescent="0.25">
      <c r="A913" s="2" t="str">
        <f>IFERROR(VLOOKUP(B913,Clientes!A:B,2,0),"")</f>
        <v/>
      </c>
      <c r="B913" s="20">
        <f t="shared" si="69"/>
        <v>799</v>
      </c>
      <c r="C913" s="52" t="s">
        <v>521</v>
      </c>
      <c r="D913" s="55" t="s">
        <v>522</v>
      </c>
      <c r="E913" s="2" t="s">
        <v>217</v>
      </c>
      <c r="F913" s="71">
        <v>181215</v>
      </c>
      <c r="G913" s="29" t="s">
        <v>58</v>
      </c>
      <c r="H913" s="20" t="s">
        <v>72</v>
      </c>
      <c r="I913" s="20" t="s">
        <v>84</v>
      </c>
      <c r="J913" s="20" t="s">
        <v>83</v>
      </c>
      <c r="K913" s="71"/>
      <c r="L913" s="20" t="s">
        <v>159</v>
      </c>
      <c r="M913" s="20"/>
      <c r="N913" s="20" t="s">
        <v>134</v>
      </c>
      <c r="O913" s="20"/>
      <c r="P913" s="20" t="s">
        <v>22</v>
      </c>
      <c r="Q913" s="20"/>
      <c r="R913" s="20" t="s">
        <v>148</v>
      </c>
      <c r="S913" s="20"/>
      <c r="T913" s="26"/>
      <c r="U913" s="17"/>
    </row>
    <row r="914" spans="1:21" x14ac:dyDescent="0.25">
      <c r="A914" s="2" t="str">
        <f>IFERROR(VLOOKUP(B914,Clientes!A:B,2,0),"")</f>
        <v/>
      </c>
      <c r="B914" s="20">
        <f t="shared" si="69"/>
        <v>800</v>
      </c>
      <c r="C914" s="52" t="s">
        <v>1449</v>
      </c>
      <c r="D914" s="55" t="s">
        <v>1450</v>
      </c>
      <c r="E914" s="2" t="s">
        <v>231</v>
      </c>
      <c r="F914" s="71">
        <v>181215</v>
      </c>
      <c r="G914" s="29" t="s">
        <v>58</v>
      </c>
      <c r="H914" s="20" t="s">
        <v>72</v>
      </c>
      <c r="I914" s="20" t="s">
        <v>84</v>
      </c>
      <c r="J914" s="20" t="s">
        <v>81</v>
      </c>
      <c r="K914" s="71"/>
      <c r="L914" s="20" t="s">
        <v>44</v>
      </c>
      <c r="M914" s="20"/>
      <c r="N914" s="20" t="s">
        <v>158</v>
      </c>
      <c r="O914" s="20"/>
      <c r="P914" s="20"/>
      <c r="Q914" s="20"/>
      <c r="R914" s="20"/>
      <c r="S914" s="20"/>
      <c r="T914" s="26"/>
      <c r="U914" s="17"/>
    </row>
    <row r="915" spans="1:21" x14ac:dyDescent="0.25">
      <c r="A915" s="2" t="str">
        <f>IFERROR(VLOOKUP(B915,Clientes!A:B,2,0),"")</f>
        <v/>
      </c>
      <c r="B915" s="20">
        <f t="shared" si="69"/>
        <v>801</v>
      </c>
      <c r="C915" s="52" t="s">
        <v>464</v>
      </c>
      <c r="D915" s="55" t="s">
        <v>465</v>
      </c>
      <c r="E915" s="2" t="s">
        <v>218</v>
      </c>
      <c r="F915" s="71">
        <v>211215</v>
      </c>
      <c r="G915" s="29" t="s">
        <v>58</v>
      </c>
      <c r="H915" s="20" t="s">
        <v>72</v>
      </c>
      <c r="I915" s="20" t="s">
        <v>84</v>
      </c>
      <c r="J915" s="20" t="s">
        <v>83</v>
      </c>
      <c r="K915" s="71"/>
      <c r="L915" s="20" t="s">
        <v>157</v>
      </c>
      <c r="M915" s="20"/>
      <c r="N915" s="20" t="s">
        <v>28</v>
      </c>
      <c r="O915" s="20"/>
      <c r="P915" s="20"/>
      <c r="Q915" s="20"/>
      <c r="R915" s="20"/>
      <c r="S915" s="20"/>
      <c r="T915" s="26"/>
      <c r="U915" s="17"/>
    </row>
    <row r="916" spans="1:21" x14ac:dyDescent="0.25">
      <c r="A916" s="2" t="str">
        <f>IFERROR(VLOOKUP(B916,Clientes!A:B,2,0),"")</f>
        <v/>
      </c>
      <c r="B916" s="20">
        <f t="shared" si="69"/>
        <v>802</v>
      </c>
      <c r="C916" s="52" t="s">
        <v>1451</v>
      </c>
      <c r="D916" s="55" t="s">
        <v>1452</v>
      </c>
      <c r="E916" s="2" t="s">
        <v>227</v>
      </c>
      <c r="F916" s="71">
        <v>221215</v>
      </c>
      <c r="G916" s="29" t="s">
        <v>58</v>
      </c>
      <c r="H916" s="20" t="s">
        <v>72</v>
      </c>
      <c r="I916" s="20" t="s">
        <v>84</v>
      </c>
      <c r="J916" s="20" t="s">
        <v>1232</v>
      </c>
      <c r="K916" s="71"/>
      <c r="L916" s="20" t="s">
        <v>160</v>
      </c>
      <c r="M916" s="20"/>
      <c r="N916" s="20"/>
      <c r="O916" s="20"/>
      <c r="P916" s="20"/>
      <c r="Q916" s="20"/>
      <c r="R916" s="20"/>
      <c r="S916" s="20"/>
      <c r="T916" s="26"/>
      <c r="U916" s="17"/>
    </row>
    <row r="917" spans="1:21" x14ac:dyDescent="0.25">
      <c r="A917" s="2"/>
      <c r="B917" s="20" t="s">
        <v>1466</v>
      </c>
      <c r="C917" s="52" t="s">
        <v>794</v>
      </c>
      <c r="D917" s="55" t="s">
        <v>795</v>
      </c>
      <c r="E917" s="2" t="s">
        <v>1237</v>
      </c>
      <c r="F917" s="71">
        <v>211215</v>
      </c>
      <c r="G917" s="29" t="s">
        <v>57</v>
      </c>
      <c r="H917" s="20"/>
      <c r="I917" s="20" t="s">
        <v>84</v>
      </c>
      <c r="J917" s="20" t="s">
        <v>1232</v>
      </c>
      <c r="K917" s="71"/>
      <c r="L917" s="20"/>
      <c r="M917" s="20"/>
      <c r="N917" s="20"/>
      <c r="O917" s="20"/>
      <c r="P917" s="20"/>
      <c r="Q917" s="20"/>
      <c r="R917" s="20"/>
      <c r="S917" s="20"/>
      <c r="T917" s="26"/>
      <c r="U917" s="17"/>
    </row>
    <row r="918" spans="1:21" x14ac:dyDescent="0.25">
      <c r="A918" s="2" t="str">
        <f>IFERROR(VLOOKUP(B918,Clientes!A:B,2,0),"")</f>
        <v/>
      </c>
      <c r="B918" s="20">
        <f>B916+1</f>
        <v>803</v>
      </c>
      <c r="C918" s="52" t="s">
        <v>1079</v>
      </c>
      <c r="D918" s="55" t="s">
        <v>1080</v>
      </c>
      <c r="E918" s="2"/>
      <c r="F918" s="71">
        <v>211215</v>
      </c>
      <c r="G918" s="29" t="s">
        <v>57</v>
      </c>
      <c r="H918" s="20"/>
      <c r="I918" s="20" t="s">
        <v>84</v>
      </c>
      <c r="J918" s="20" t="s">
        <v>1232</v>
      </c>
      <c r="K918" s="71"/>
      <c r="L918" s="20"/>
      <c r="M918" s="20"/>
      <c r="N918" s="20"/>
      <c r="O918" s="20"/>
      <c r="P918" s="20"/>
      <c r="Q918" s="20"/>
      <c r="R918" s="20"/>
      <c r="S918" s="20"/>
      <c r="T918" s="26"/>
      <c r="U918" s="17"/>
    </row>
    <row r="919" spans="1:21" x14ac:dyDescent="0.25">
      <c r="A919" s="2" t="str">
        <f>IFERROR(VLOOKUP(B919,Clientes!A:B,2,0),"")</f>
        <v/>
      </c>
      <c r="B919" s="20">
        <f t="shared" ref="B919:B924" si="70">B918+1</f>
        <v>804</v>
      </c>
      <c r="C919" s="52" t="s">
        <v>880</v>
      </c>
      <c r="D919" s="55" t="s">
        <v>881</v>
      </c>
      <c r="E919" s="2" t="s">
        <v>1237</v>
      </c>
      <c r="F919" s="71">
        <v>211215</v>
      </c>
      <c r="G919" s="29" t="s">
        <v>58</v>
      </c>
      <c r="H919" s="20" t="s">
        <v>72</v>
      </c>
      <c r="I919" s="20" t="s">
        <v>84</v>
      </c>
      <c r="J919" s="20" t="s">
        <v>81</v>
      </c>
      <c r="K919" s="71"/>
      <c r="L919" s="20"/>
      <c r="M919" s="20"/>
      <c r="N919" s="20"/>
      <c r="O919" s="20"/>
      <c r="P919" s="20"/>
      <c r="Q919" s="20"/>
      <c r="R919" s="20"/>
      <c r="S919" s="20"/>
      <c r="T919" s="26"/>
      <c r="U919" s="17"/>
    </row>
    <row r="920" spans="1:21" x14ac:dyDescent="0.25">
      <c r="A920" s="2" t="str">
        <f>IFERROR(VLOOKUP(B920,Clientes!A:B,2,0),"")</f>
        <v/>
      </c>
      <c r="B920" s="20">
        <f t="shared" si="70"/>
        <v>805</v>
      </c>
      <c r="C920" s="52"/>
      <c r="D920" s="55"/>
      <c r="E920" s="2"/>
      <c r="F920" s="71"/>
      <c r="G920" s="29"/>
      <c r="H920" s="20"/>
      <c r="I920" s="20" t="s">
        <v>84</v>
      </c>
      <c r="J920" s="20"/>
      <c r="K920" s="71"/>
      <c r="L920" s="20"/>
      <c r="M920" s="20"/>
      <c r="N920" s="20"/>
      <c r="O920" s="20"/>
      <c r="P920" s="20"/>
      <c r="Q920" s="20"/>
      <c r="R920" s="20"/>
      <c r="S920" s="20"/>
      <c r="T920" s="26"/>
      <c r="U920" s="17"/>
    </row>
    <row r="921" spans="1:21" x14ac:dyDescent="0.25">
      <c r="A921" s="2" t="str">
        <f>IFERROR(VLOOKUP(B921,Clientes!A:B,2,0),"")</f>
        <v/>
      </c>
      <c r="B921" s="20">
        <f t="shared" si="70"/>
        <v>806</v>
      </c>
      <c r="C921" s="52"/>
      <c r="D921" s="55"/>
      <c r="E921" s="2"/>
      <c r="F921" s="71"/>
      <c r="G921" s="29"/>
      <c r="H921" s="20"/>
      <c r="I921" s="20" t="s">
        <v>84</v>
      </c>
      <c r="J921" s="20"/>
      <c r="K921" s="71"/>
      <c r="L921" s="20"/>
      <c r="M921" s="20"/>
      <c r="N921" s="20"/>
      <c r="O921" s="20"/>
      <c r="P921" s="20"/>
      <c r="Q921" s="20"/>
      <c r="R921" s="20"/>
      <c r="S921" s="20"/>
      <c r="T921" s="26"/>
      <c r="U921" s="17"/>
    </row>
    <row r="922" spans="1:21" x14ac:dyDescent="0.25">
      <c r="A922" s="2" t="str">
        <f>IFERROR(VLOOKUP(B922,Clientes!A:B,2,0),"")</f>
        <v/>
      </c>
      <c r="B922" s="20">
        <f t="shared" si="70"/>
        <v>807</v>
      </c>
      <c r="C922" s="52" t="s">
        <v>347</v>
      </c>
      <c r="D922" s="55" t="s">
        <v>1453</v>
      </c>
      <c r="E922" s="2" t="s">
        <v>1237</v>
      </c>
      <c r="F922" s="71">
        <v>211215</v>
      </c>
      <c r="G922" s="29" t="s">
        <v>1191</v>
      </c>
      <c r="H922" s="20"/>
      <c r="I922" s="20" t="s">
        <v>84</v>
      </c>
      <c r="J922" s="20" t="s">
        <v>81</v>
      </c>
      <c r="K922" s="71"/>
      <c r="L922" s="20"/>
      <c r="M922" s="20"/>
      <c r="N922" s="20"/>
      <c r="O922" s="20"/>
      <c r="P922" s="20"/>
      <c r="Q922" s="20"/>
      <c r="R922" s="20"/>
      <c r="S922" s="20"/>
      <c r="T922" s="26"/>
      <c r="U922" s="17"/>
    </row>
    <row r="923" spans="1:21" x14ac:dyDescent="0.25">
      <c r="A923" s="2" t="str">
        <f>IFERROR(VLOOKUP(B923,Clientes!A:B,2,0),"")</f>
        <v/>
      </c>
      <c r="B923" s="20">
        <f t="shared" si="70"/>
        <v>808</v>
      </c>
      <c r="C923" s="52"/>
      <c r="D923" s="55"/>
      <c r="E923" s="2"/>
      <c r="F923" s="71"/>
      <c r="G923" s="29"/>
      <c r="H923" s="20"/>
      <c r="I923" s="20" t="s">
        <v>84</v>
      </c>
      <c r="J923" s="20"/>
      <c r="K923" s="71"/>
      <c r="L923" s="20"/>
      <c r="M923" s="20"/>
      <c r="N923" s="20"/>
      <c r="O923" s="20"/>
      <c r="P923" s="20"/>
      <c r="Q923" s="20"/>
      <c r="R923" s="20"/>
      <c r="S923" s="20"/>
      <c r="T923" s="26"/>
      <c r="U923" s="17"/>
    </row>
    <row r="924" spans="1:21" x14ac:dyDescent="0.25">
      <c r="A924" s="2" t="str">
        <f>IFERROR(VLOOKUP(B924,Clientes!A:B,2,0),"")</f>
        <v/>
      </c>
      <c r="B924" s="20">
        <f t="shared" si="70"/>
        <v>809</v>
      </c>
      <c r="C924" s="52" t="s">
        <v>672</v>
      </c>
      <c r="D924" s="55" t="s">
        <v>673</v>
      </c>
      <c r="E924" s="2" t="s">
        <v>1239</v>
      </c>
      <c r="F924" s="71">
        <v>211215</v>
      </c>
      <c r="G924" s="29" t="s">
        <v>57</v>
      </c>
      <c r="H924" s="20"/>
      <c r="I924" s="20" t="s">
        <v>84</v>
      </c>
      <c r="J924" s="20" t="s">
        <v>83</v>
      </c>
      <c r="K924" s="71"/>
      <c r="L924" s="20" t="s">
        <v>134</v>
      </c>
      <c r="M924" s="20"/>
      <c r="N924" s="20"/>
      <c r="O924" s="20"/>
      <c r="P924" s="20"/>
      <c r="Q924" s="20"/>
      <c r="R924" s="20"/>
      <c r="S924" s="20"/>
      <c r="T924" s="26"/>
      <c r="U924" s="17"/>
    </row>
    <row r="925" spans="1:21" x14ac:dyDescent="0.25">
      <c r="A925" s="2" t="str">
        <f>IFERROR(VLOOKUP(B925,Clientes!A:B,2,0),"")</f>
        <v/>
      </c>
      <c r="B925" s="20">
        <f t="shared" ref="B925:B934" si="71">B924+1</f>
        <v>810</v>
      </c>
      <c r="C925" s="52" t="s">
        <v>714</v>
      </c>
      <c r="D925" s="55" t="s">
        <v>1455</v>
      </c>
      <c r="E925" s="2" t="s">
        <v>231</v>
      </c>
      <c r="F925" s="71">
        <v>231115</v>
      </c>
      <c r="G925" s="29" t="s">
        <v>57</v>
      </c>
      <c r="H925" s="20"/>
      <c r="I925" s="20" t="s">
        <v>84</v>
      </c>
      <c r="J925" s="20" t="s">
        <v>1232</v>
      </c>
      <c r="K925" s="71"/>
      <c r="L925" s="20" t="s">
        <v>151</v>
      </c>
      <c r="M925" s="20"/>
      <c r="N925" s="20"/>
      <c r="O925" s="20"/>
      <c r="P925" s="20"/>
      <c r="Q925" s="20"/>
      <c r="R925" s="20"/>
      <c r="S925" s="20"/>
      <c r="T925" s="26"/>
      <c r="U925" s="17"/>
    </row>
    <row r="926" spans="1:21" x14ac:dyDescent="0.25">
      <c r="A926" s="2" t="str">
        <f>IFERROR(VLOOKUP(B926,Clientes!A:B,2,0),"")</f>
        <v/>
      </c>
      <c r="B926" s="20">
        <f t="shared" si="71"/>
        <v>811</v>
      </c>
      <c r="C926" s="52" t="s">
        <v>930</v>
      </c>
      <c r="D926" s="55" t="s">
        <v>931</v>
      </c>
      <c r="E926" s="2"/>
      <c r="F926" s="71">
        <v>101215</v>
      </c>
      <c r="G926" s="29" t="s">
        <v>58</v>
      </c>
      <c r="H926" s="20" t="s">
        <v>72</v>
      </c>
      <c r="I926" s="20" t="s">
        <v>84</v>
      </c>
      <c r="J926" s="20" t="s">
        <v>83</v>
      </c>
      <c r="K926" s="71"/>
      <c r="L926" s="20" t="s">
        <v>143</v>
      </c>
      <c r="M926" s="20"/>
      <c r="N926" s="20"/>
      <c r="O926" s="20"/>
      <c r="P926" s="20"/>
      <c r="Q926" s="20"/>
      <c r="R926" s="20"/>
      <c r="S926" s="20"/>
      <c r="T926" s="26"/>
      <c r="U926" s="17"/>
    </row>
    <row r="927" spans="1:21" x14ac:dyDescent="0.25">
      <c r="A927" s="2"/>
      <c r="B927" s="20" t="s">
        <v>1464</v>
      </c>
      <c r="C927" s="52" t="s">
        <v>1280</v>
      </c>
      <c r="D927" s="55" t="s">
        <v>1465</v>
      </c>
      <c r="E927" s="2"/>
      <c r="F927" s="71">
        <v>231215</v>
      </c>
      <c r="G927" s="29" t="s">
        <v>1191</v>
      </c>
      <c r="H927" s="20"/>
      <c r="I927" s="20" t="s">
        <v>84</v>
      </c>
      <c r="J927" s="20" t="s">
        <v>81</v>
      </c>
      <c r="K927" s="71"/>
      <c r="L927" s="20"/>
      <c r="M927" s="20"/>
      <c r="N927" s="20"/>
      <c r="O927" s="20"/>
      <c r="P927" s="20"/>
      <c r="Q927" s="20"/>
      <c r="R927" s="20"/>
      <c r="S927" s="20"/>
      <c r="T927" s="26"/>
      <c r="U927" s="17"/>
    </row>
    <row r="928" spans="1:21" x14ac:dyDescent="0.25">
      <c r="A928" s="2" t="str">
        <f>IFERROR(VLOOKUP(B928,Clientes!A:B,2,0),"")</f>
        <v/>
      </c>
      <c r="B928" s="20">
        <f>B926+1</f>
        <v>812</v>
      </c>
      <c r="C928" s="52" t="s">
        <v>1027</v>
      </c>
      <c r="D928" s="55" t="s">
        <v>1028</v>
      </c>
      <c r="E928" s="2" t="s">
        <v>220</v>
      </c>
      <c r="F928" s="71">
        <v>231215</v>
      </c>
      <c r="G928" s="29" t="s">
        <v>57</v>
      </c>
      <c r="H928" s="20" t="s">
        <v>72</v>
      </c>
      <c r="I928" s="20" t="s">
        <v>84</v>
      </c>
      <c r="J928" s="20" t="s">
        <v>83</v>
      </c>
      <c r="K928" s="71"/>
      <c r="L928" s="20"/>
      <c r="M928" s="20"/>
      <c r="N928" s="20"/>
      <c r="O928" s="20"/>
      <c r="P928" s="20"/>
      <c r="Q928" s="20"/>
      <c r="R928" s="20"/>
      <c r="S928" s="20"/>
      <c r="T928" s="26"/>
      <c r="U928" s="17"/>
    </row>
    <row r="929" spans="1:21" x14ac:dyDescent="0.25">
      <c r="A929" s="2" t="str">
        <f>IFERROR(VLOOKUP(B929,Clientes!A:B,2,0),"")</f>
        <v/>
      </c>
      <c r="B929" s="20">
        <f t="shared" si="71"/>
        <v>813</v>
      </c>
      <c r="C929" s="52" t="s">
        <v>1005</v>
      </c>
      <c r="D929" s="55" t="s">
        <v>1323</v>
      </c>
      <c r="E929" s="2" t="s">
        <v>220</v>
      </c>
      <c r="F929" s="71">
        <v>231215</v>
      </c>
      <c r="G929" s="29" t="s">
        <v>58</v>
      </c>
      <c r="H929" s="20" t="s">
        <v>72</v>
      </c>
      <c r="I929" s="20" t="s">
        <v>84</v>
      </c>
      <c r="J929" s="20" t="s">
        <v>83</v>
      </c>
      <c r="K929" s="71"/>
      <c r="L929" s="20"/>
      <c r="M929" s="20"/>
      <c r="N929" s="20"/>
      <c r="O929" s="20"/>
      <c r="P929" s="20"/>
      <c r="Q929" s="20"/>
      <c r="R929" s="20"/>
      <c r="S929" s="20"/>
      <c r="T929" s="26"/>
      <c r="U929" s="17"/>
    </row>
    <row r="930" spans="1:21" x14ac:dyDescent="0.25">
      <c r="A930" s="2"/>
      <c r="B930" s="20" t="s">
        <v>1462</v>
      </c>
      <c r="C930" s="52" t="s">
        <v>1263</v>
      </c>
      <c r="D930" s="55" t="s">
        <v>1264</v>
      </c>
      <c r="E930" s="2" t="s">
        <v>214</v>
      </c>
      <c r="F930" s="71">
        <v>231215</v>
      </c>
      <c r="G930" s="29" t="s">
        <v>58</v>
      </c>
      <c r="H930" s="20" t="s">
        <v>72</v>
      </c>
      <c r="I930" s="20" t="s">
        <v>84</v>
      </c>
      <c r="J930" s="20" t="s">
        <v>83</v>
      </c>
      <c r="K930" s="71"/>
      <c r="L930" s="20"/>
      <c r="M930" s="20"/>
      <c r="N930" s="20"/>
      <c r="O930" s="20"/>
      <c r="P930" s="20"/>
      <c r="Q930" s="20"/>
      <c r="R930" s="20"/>
      <c r="S930" s="20"/>
      <c r="T930" s="26"/>
      <c r="U930" s="17"/>
    </row>
    <row r="931" spans="1:21" x14ac:dyDescent="0.25">
      <c r="A931" s="2" t="str">
        <f>IFERROR(VLOOKUP(B931,Clientes!A:B,2,0),"")</f>
        <v/>
      </c>
      <c r="B931" s="20">
        <f>B929+1</f>
        <v>814</v>
      </c>
      <c r="C931" s="52" t="s">
        <v>460</v>
      </c>
      <c r="D931" s="55" t="s">
        <v>461</v>
      </c>
      <c r="E931" s="2" t="s">
        <v>1240</v>
      </c>
      <c r="F931" s="71">
        <v>231215</v>
      </c>
      <c r="G931" s="29" t="s">
        <v>56</v>
      </c>
      <c r="H931" s="20" t="s">
        <v>74</v>
      </c>
      <c r="I931" s="20" t="s">
        <v>84</v>
      </c>
      <c r="J931" s="20" t="s">
        <v>83</v>
      </c>
      <c r="K931" s="71"/>
      <c r="L931" s="20"/>
      <c r="M931" s="20"/>
      <c r="N931" s="20"/>
      <c r="O931" s="20"/>
      <c r="P931" s="20"/>
      <c r="Q931" s="20"/>
      <c r="R931" s="20"/>
      <c r="S931" s="20"/>
      <c r="T931" s="26"/>
      <c r="U931" s="17"/>
    </row>
    <row r="932" spans="1:21" x14ac:dyDescent="0.25">
      <c r="A932" s="2" t="str">
        <f>IFERROR(VLOOKUP(B932,Clientes!A:B,2,0),"")</f>
        <v/>
      </c>
      <c r="B932" s="20">
        <f t="shared" si="71"/>
        <v>815</v>
      </c>
      <c r="C932" s="52" t="s">
        <v>680</v>
      </c>
      <c r="D932" s="55" t="s">
        <v>683</v>
      </c>
      <c r="E932" s="2" t="s">
        <v>229</v>
      </c>
      <c r="F932" s="71">
        <v>291215</v>
      </c>
      <c r="G932" s="29" t="s">
        <v>58</v>
      </c>
      <c r="H932" s="20" t="s">
        <v>72</v>
      </c>
      <c r="I932" s="20" t="s">
        <v>84</v>
      </c>
      <c r="J932" s="20" t="s">
        <v>83</v>
      </c>
      <c r="K932" s="71"/>
      <c r="L932" s="20" t="s">
        <v>13</v>
      </c>
      <c r="M932" s="20"/>
      <c r="N932" s="20" t="s">
        <v>40</v>
      </c>
      <c r="O932" s="20"/>
      <c r="P932" s="20" t="s">
        <v>22</v>
      </c>
      <c r="Q932" s="20"/>
      <c r="R932" s="20" t="s">
        <v>160</v>
      </c>
      <c r="S932" s="20"/>
      <c r="T932" s="26"/>
      <c r="U932" s="17"/>
    </row>
    <row r="933" spans="1:21" x14ac:dyDescent="0.25">
      <c r="A933" s="2" t="str">
        <f>IFERROR(VLOOKUP(B933,Clientes!A:B,2,0),"")</f>
        <v/>
      </c>
      <c r="B933" s="20">
        <f t="shared" si="71"/>
        <v>816</v>
      </c>
      <c r="C933" s="52" t="s">
        <v>1460</v>
      </c>
      <c r="D933" s="55" t="s">
        <v>1461</v>
      </c>
      <c r="E933" s="2" t="s">
        <v>217</v>
      </c>
      <c r="F933" s="71">
        <v>40115</v>
      </c>
      <c r="G933" s="29" t="s">
        <v>66</v>
      </c>
      <c r="H933" s="20" t="s">
        <v>77</v>
      </c>
      <c r="I933" s="20" t="s">
        <v>84</v>
      </c>
      <c r="J933" s="20" t="s">
        <v>81</v>
      </c>
      <c r="K933" s="71"/>
      <c r="L933" s="20"/>
      <c r="M933" s="20"/>
      <c r="N933" s="20"/>
      <c r="O933" s="20"/>
      <c r="P933" s="20"/>
      <c r="Q933" s="20"/>
      <c r="R933" s="20"/>
      <c r="S933" s="20"/>
      <c r="T933" s="26"/>
      <c r="U933" s="17"/>
    </row>
    <row r="934" spans="1:21" x14ac:dyDescent="0.25">
      <c r="A934" s="2" t="str">
        <f>IFERROR(VLOOKUP(B934,Clientes!A:B,2,0),"")</f>
        <v/>
      </c>
      <c r="B934" s="20">
        <f t="shared" si="71"/>
        <v>817</v>
      </c>
      <c r="C934" s="52" t="s">
        <v>1216</v>
      </c>
      <c r="D934" s="55" t="s">
        <v>1456</v>
      </c>
      <c r="E934" s="2" t="s">
        <v>228</v>
      </c>
      <c r="F934" s="71">
        <v>50116</v>
      </c>
      <c r="G934" s="29" t="s">
        <v>60</v>
      </c>
      <c r="H934" s="20"/>
      <c r="I934" s="20" t="s">
        <v>84</v>
      </c>
      <c r="J934" s="20" t="s">
        <v>83</v>
      </c>
      <c r="K934" s="71"/>
      <c r="L934" s="20"/>
      <c r="M934" s="20"/>
      <c r="N934" s="20"/>
      <c r="O934" s="20"/>
      <c r="P934" s="20"/>
      <c r="Q934" s="20"/>
      <c r="R934" s="20"/>
      <c r="S934" s="20"/>
      <c r="T934" s="26" t="s">
        <v>1457</v>
      </c>
      <c r="U934" s="17"/>
    </row>
    <row r="935" spans="1:21" x14ac:dyDescent="0.25">
      <c r="A935" s="2" t="str">
        <f>IFERROR(VLOOKUP(B935,Clientes!A:B,2,0),"")</f>
        <v/>
      </c>
      <c r="B935" s="20">
        <f>B934+1</f>
        <v>818</v>
      </c>
      <c r="C935" s="52" t="s">
        <v>1458</v>
      </c>
      <c r="D935" s="55" t="s">
        <v>1459</v>
      </c>
      <c r="E935" s="2" t="s">
        <v>225</v>
      </c>
      <c r="F935" s="71">
        <v>60115</v>
      </c>
      <c r="G935" s="29" t="s">
        <v>66</v>
      </c>
      <c r="H935" s="20" t="s">
        <v>77</v>
      </c>
      <c r="I935" s="20" t="s">
        <v>84</v>
      </c>
      <c r="J935" s="20" t="s">
        <v>83</v>
      </c>
      <c r="K935" s="71"/>
      <c r="L935" s="20"/>
      <c r="M935" s="20"/>
      <c r="N935" s="20"/>
      <c r="O935" s="20"/>
      <c r="P935" s="20"/>
      <c r="Q935" s="20"/>
      <c r="R935" s="20"/>
      <c r="S935" s="20"/>
      <c r="T935" s="26"/>
      <c r="U935" s="17"/>
    </row>
  </sheetData>
  <autoFilter ref="A3:U300"/>
  <dataConsolidate/>
  <mergeCells count="1">
    <mergeCell ref="C1:D1"/>
  </mergeCells>
  <conditionalFormatting sqref="J4 J936:J1048576">
    <cfRule type="cellIs" dxfId="18085" priority="32677" operator="equal">
      <formula>"Tramitando"</formula>
    </cfRule>
    <cfRule type="cellIs" dxfId="18084" priority="32678" operator="equal">
      <formula>"Deferido"</formula>
    </cfRule>
    <cfRule type="cellIs" dxfId="18083" priority="32679" operator="equal">
      <formula>"Indeferido"</formula>
    </cfRule>
  </conditionalFormatting>
  <conditionalFormatting sqref="J2:J4 J936:J1048576">
    <cfRule type="containsText" dxfId="18082" priority="32157" operator="containsText" text="Cancelado">
      <formula>NOT(ISERROR(SEARCH("Cancelado",J2)))</formula>
    </cfRule>
  </conditionalFormatting>
  <conditionalFormatting sqref="M4">
    <cfRule type="cellIs" dxfId="18081" priority="31102" operator="equal">
      <formula>"Tramitando"</formula>
    </cfRule>
    <cfRule type="cellIs" dxfId="18080" priority="31103" operator="equal">
      <formula>"Deferido"</formula>
    </cfRule>
    <cfRule type="cellIs" dxfId="18079" priority="31104" operator="equal">
      <formula>"Indeferido"</formula>
    </cfRule>
  </conditionalFormatting>
  <conditionalFormatting sqref="M3:M4">
    <cfRule type="containsText" dxfId="18078" priority="31101" operator="containsText" text="Cancelado">
      <formula>NOT(ISERROR(SEARCH("Cancelado",M3)))</formula>
    </cfRule>
  </conditionalFormatting>
  <conditionalFormatting sqref="O4">
    <cfRule type="cellIs" dxfId="18077" priority="30834" operator="equal">
      <formula>"Tramitando"</formula>
    </cfRule>
    <cfRule type="cellIs" dxfId="18076" priority="30835" operator="equal">
      <formula>"Deferido"</formula>
    </cfRule>
    <cfRule type="cellIs" dxfId="18075" priority="30836" operator="equal">
      <formula>"Indeferido"</formula>
    </cfRule>
  </conditionalFormatting>
  <conditionalFormatting sqref="O3:O4">
    <cfRule type="containsText" dxfId="18074" priority="30833" operator="containsText" text="Cancelado">
      <formula>NOT(ISERROR(SEARCH("Cancelado",O3)))</formula>
    </cfRule>
  </conditionalFormatting>
  <conditionalFormatting sqref="Q4">
    <cfRule type="cellIs" dxfId="18073" priority="30566" operator="equal">
      <formula>"Tramitando"</formula>
    </cfRule>
    <cfRule type="cellIs" dxfId="18072" priority="30567" operator="equal">
      <formula>"Deferido"</formula>
    </cfRule>
    <cfRule type="cellIs" dxfId="18071" priority="30568" operator="equal">
      <formula>"Indeferido"</formula>
    </cfRule>
  </conditionalFormatting>
  <conditionalFormatting sqref="Q3:Q4">
    <cfRule type="containsText" dxfId="18070" priority="30565" operator="containsText" text="Cancelado">
      <formula>NOT(ISERROR(SEARCH("Cancelado",Q3)))</formula>
    </cfRule>
  </conditionalFormatting>
  <conditionalFormatting sqref="S4">
    <cfRule type="cellIs" dxfId="18069" priority="30298" operator="equal">
      <formula>"Tramitando"</formula>
    </cfRule>
    <cfRule type="cellIs" dxfId="18068" priority="30299" operator="equal">
      <formula>"Deferido"</formula>
    </cfRule>
    <cfRule type="cellIs" dxfId="18067" priority="30300" operator="equal">
      <formula>"Indeferido"</formula>
    </cfRule>
  </conditionalFormatting>
  <conditionalFormatting sqref="S3:S4">
    <cfRule type="containsText" dxfId="18066" priority="30297" operator="containsText" text="Cancelado">
      <formula>NOT(ISERROR(SEARCH("Cancelado",S3)))</formula>
    </cfRule>
  </conditionalFormatting>
  <conditionalFormatting sqref="J5">
    <cfRule type="cellIs" dxfId="18065" priority="17079" operator="equal">
      <formula>"Tramitando"</formula>
    </cfRule>
    <cfRule type="cellIs" dxfId="18064" priority="17080" operator="equal">
      <formula>"Deferido"</formula>
    </cfRule>
    <cfRule type="cellIs" dxfId="18063" priority="17081" operator="equal">
      <formula>"Indeferido"</formula>
    </cfRule>
  </conditionalFormatting>
  <conditionalFormatting sqref="J5">
    <cfRule type="containsText" dxfId="18062" priority="17078" operator="containsText" text="Cancelado">
      <formula>NOT(ISERROR(SEARCH("Cancelado",J5)))</formula>
    </cfRule>
  </conditionalFormatting>
  <conditionalFormatting sqref="M5">
    <cfRule type="cellIs" dxfId="18061" priority="17075" operator="equal">
      <formula>"Tramitando"</formula>
    </cfRule>
    <cfRule type="cellIs" dxfId="18060" priority="17076" operator="equal">
      <formula>"Deferido"</formula>
    </cfRule>
    <cfRule type="cellIs" dxfId="18059" priority="17077" operator="equal">
      <formula>"Indeferido"</formula>
    </cfRule>
  </conditionalFormatting>
  <conditionalFormatting sqref="M5">
    <cfRule type="containsText" dxfId="18058" priority="17074" operator="containsText" text="Cancelado">
      <formula>NOT(ISERROR(SEARCH("Cancelado",M5)))</formula>
    </cfRule>
  </conditionalFormatting>
  <conditionalFormatting sqref="O5">
    <cfRule type="cellIs" dxfId="18057" priority="17071" operator="equal">
      <formula>"Tramitando"</formula>
    </cfRule>
    <cfRule type="cellIs" dxfId="18056" priority="17072" operator="equal">
      <formula>"Deferido"</formula>
    </cfRule>
    <cfRule type="cellIs" dxfId="18055" priority="17073" operator="equal">
      <formula>"Indeferido"</formula>
    </cfRule>
  </conditionalFormatting>
  <conditionalFormatting sqref="O5">
    <cfRule type="containsText" dxfId="18054" priority="17070" operator="containsText" text="Cancelado">
      <formula>NOT(ISERROR(SEARCH("Cancelado",O5)))</formula>
    </cfRule>
  </conditionalFormatting>
  <conditionalFormatting sqref="Q5">
    <cfRule type="cellIs" dxfId="18053" priority="17067" operator="equal">
      <formula>"Tramitando"</formula>
    </cfRule>
    <cfRule type="cellIs" dxfId="18052" priority="17068" operator="equal">
      <formula>"Deferido"</formula>
    </cfRule>
    <cfRule type="cellIs" dxfId="18051" priority="17069" operator="equal">
      <formula>"Indeferido"</formula>
    </cfRule>
  </conditionalFormatting>
  <conditionalFormatting sqref="Q5">
    <cfRule type="containsText" dxfId="18050" priority="17066" operator="containsText" text="Cancelado">
      <formula>NOT(ISERROR(SEARCH("Cancelado",Q5)))</formula>
    </cfRule>
  </conditionalFormatting>
  <conditionalFormatting sqref="S5">
    <cfRule type="cellIs" dxfId="18049" priority="17063" operator="equal">
      <formula>"Tramitando"</formula>
    </cfRule>
    <cfRule type="cellIs" dxfId="18048" priority="17064" operator="equal">
      <formula>"Deferido"</formula>
    </cfRule>
    <cfRule type="cellIs" dxfId="18047" priority="17065" operator="equal">
      <formula>"Indeferido"</formula>
    </cfRule>
  </conditionalFormatting>
  <conditionalFormatting sqref="S5">
    <cfRule type="containsText" dxfId="18046" priority="17062" operator="containsText" text="Cancelado">
      <formula>NOT(ISERROR(SEARCH("Cancelado",S5)))</formula>
    </cfRule>
  </conditionalFormatting>
  <conditionalFormatting sqref="J6:J7">
    <cfRule type="cellIs" dxfId="18045" priority="17058" operator="equal">
      <formula>"Tramitando"</formula>
    </cfRule>
    <cfRule type="cellIs" dxfId="18044" priority="17059" operator="equal">
      <formula>"Deferido"</formula>
    </cfRule>
    <cfRule type="cellIs" dxfId="18043" priority="17060" operator="equal">
      <formula>"Indeferido"</formula>
    </cfRule>
  </conditionalFormatting>
  <conditionalFormatting sqref="J6:J7">
    <cfRule type="containsText" dxfId="18042" priority="17057" operator="containsText" text="Cancelado">
      <formula>NOT(ISERROR(SEARCH("Cancelado",J6)))</formula>
    </cfRule>
  </conditionalFormatting>
  <conditionalFormatting sqref="M6:M7">
    <cfRule type="cellIs" dxfId="18041" priority="17054" operator="equal">
      <formula>"Tramitando"</formula>
    </cfRule>
    <cfRule type="cellIs" dxfId="18040" priority="17055" operator="equal">
      <formula>"Deferido"</formula>
    </cfRule>
    <cfRule type="cellIs" dxfId="18039" priority="17056" operator="equal">
      <formula>"Indeferido"</formula>
    </cfRule>
  </conditionalFormatting>
  <conditionalFormatting sqref="M6:M7">
    <cfRule type="containsText" dxfId="18038" priority="17053" operator="containsText" text="Cancelado">
      <formula>NOT(ISERROR(SEARCH("Cancelado",M6)))</formula>
    </cfRule>
  </conditionalFormatting>
  <conditionalFormatting sqref="O6:O7">
    <cfRule type="cellIs" dxfId="18037" priority="17050" operator="equal">
      <formula>"Tramitando"</formula>
    </cfRule>
    <cfRule type="cellIs" dxfId="18036" priority="17051" operator="equal">
      <formula>"Deferido"</formula>
    </cfRule>
    <cfRule type="cellIs" dxfId="18035" priority="17052" operator="equal">
      <formula>"Indeferido"</formula>
    </cfRule>
  </conditionalFormatting>
  <conditionalFormatting sqref="O6:O7">
    <cfRule type="containsText" dxfId="18034" priority="17049" operator="containsText" text="Cancelado">
      <formula>NOT(ISERROR(SEARCH("Cancelado",O6)))</formula>
    </cfRule>
  </conditionalFormatting>
  <conditionalFormatting sqref="Q6:Q7">
    <cfRule type="cellIs" dxfId="18033" priority="17046" operator="equal">
      <formula>"Tramitando"</formula>
    </cfRule>
    <cfRule type="cellIs" dxfId="18032" priority="17047" operator="equal">
      <formula>"Deferido"</formula>
    </cfRule>
    <cfRule type="cellIs" dxfId="18031" priority="17048" operator="equal">
      <formula>"Indeferido"</formula>
    </cfRule>
  </conditionalFormatting>
  <conditionalFormatting sqref="Q6:Q7">
    <cfRule type="containsText" dxfId="18030" priority="17045" operator="containsText" text="Cancelado">
      <formula>NOT(ISERROR(SEARCH("Cancelado",Q6)))</formula>
    </cfRule>
  </conditionalFormatting>
  <conditionalFormatting sqref="S6:S7">
    <cfRule type="cellIs" dxfId="18029" priority="17042" operator="equal">
      <formula>"Tramitando"</formula>
    </cfRule>
    <cfRule type="cellIs" dxfId="18028" priority="17043" operator="equal">
      <formula>"Deferido"</formula>
    </cfRule>
    <cfRule type="cellIs" dxfId="18027" priority="17044" operator="equal">
      <formula>"Indeferido"</formula>
    </cfRule>
  </conditionalFormatting>
  <conditionalFormatting sqref="S6:S7">
    <cfRule type="containsText" dxfId="18026" priority="17041" operator="containsText" text="Cancelado">
      <formula>NOT(ISERROR(SEARCH("Cancelado",S6)))</formula>
    </cfRule>
  </conditionalFormatting>
  <conditionalFormatting sqref="J8">
    <cfRule type="cellIs" dxfId="18025" priority="16995" operator="equal">
      <formula>"Tramitando"</formula>
    </cfRule>
    <cfRule type="cellIs" dxfId="18024" priority="16996" operator="equal">
      <formula>"Deferido"</formula>
    </cfRule>
    <cfRule type="cellIs" dxfId="18023" priority="16997" operator="equal">
      <formula>"Indeferido"</formula>
    </cfRule>
  </conditionalFormatting>
  <conditionalFormatting sqref="J8">
    <cfRule type="containsText" dxfId="18022" priority="16994" operator="containsText" text="Cancelado">
      <formula>NOT(ISERROR(SEARCH("Cancelado",J8)))</formula>
    </cfRule>
  </conditionalFormatting>
  <conditionalFormatting sqref="M8">
    <cfRule type="cellIs" dxfId="18021" priority="16991" operator="equal">
      <formula>"Tramitando"</formula>
    </cfRule>
    <cfRule type="cellIs" dxfId="18020" priority="16992" operator="equal">
      <formula>"Deferido"</formula>
    </cfRule>
    <cfRule type="cellIs" dxfId="18019" priority="16993" operator="equal">
      <formula>"Indeferido"</formula>
    </cfRule>
  </conditionalFormatting>
  <conditionalFormatting sqref="M8">
    <cfRule type="containsText" dxfId="18018" priority="16990" operator="containsText" text="Cancelado">
      <formula>NOT(ISERROR(SEARCH("Cancelado",M8)))</formula>
    </cfRule>
  </conditionalFormatting>
  <conditionalFormatting sqref="O8">
    <cfRule type="cellIs" dxfId="18017" priority="16987" operator="equal">
      <formula>"Tramitando"</formula>
    </cfRule>
    <cfRule type="cellIs" dxfId="18016" priority="16988" operator="equal">
      <formula>"Deferido"</formula>
    </cfRule>
    <cfRule type="cellIs" dxfId="18015" priority="16989" operator="equal">
      <formula>"Indeferido"</formula>
    </cfRule>
  </conditionalFormatting>
  <conditionalFormatting sqref="O8">
    <cfRule type="containsText" dxfId="18014" priority="16986" operator="containsText" text="Cancelado">
      <formula>NOT(ISERROR(SEARCH("Cancelado",O8)))</formula>
    </cfRule>
  </conditionalFormatting>
  <conditionalFormatting sqref="Q8">
    <cfRule type="cellIs" dxfId="18013" priority="16983" operator="equal">
      <formula>"Tramitando"</formula>
    </cfRule>
    <cfRule type="cellIs" dxfId="18012" priority="16984" operator="equal">
      <formula>"Deferido"</formula>
    </cfRule>
    <cfRule type="cellIs" dxfId="18011" priority="16985" operator="equal">
      <formula>"Indeferido"</formula>
    </cfRule>
  </conditionalFormatting>
  <conditionalFormatting sqref="Q8">
    <cfRule type="containsText" dxfId="18010" priority="16982" operator="containsText" text="Cancelado">
      <formula>NOT(ISERROR(SEARCH("Cancelado",Q8)))</formula>
    </cfRule>
  </conditionalFormatting>
  <conditionalFormatting sqref="S8">
    <cfRule type="cellIs" dxfId="18009" priority="16979" operator="equal">
      <formula>"Tramitando"</formula>
    </cfRule>
    <cfRule type="cellIs" dxfId="18008" priority="16980" operator="equal">
      <formula>"Deferido"</formula>
    </cfRule>
    <cfRule type="cellIs" dxfId="18007" priority="16981" operator="equal">
      <formula>"Indeferido"</formula>
    </cfRule>
  </conditionalFormatting>
  <conditionalFormatting sqref="S8">
    <cfRule type="containsText" dxfId="18006" priority="16978" operator="containsText" text="Cancelado">
      <formula>NOT(ISERROR(SEARCH("Cancelado",S8)))</formula>
    </cfRule>
  </conditionalFormatting>
  <conditionalFormatting sqref="J9:J10">
    <cfRule type="cellIs" dxfId="18005" priority="16974" operator="equal">
      <formula>"Tramitando"</formula>
    </cfRule>
    <cfRule type="cellIs" dxfId="18004" priority="16975" operator="equal">
      <formula>"Deferido"</formula>
    </cfRule>
    <cfRule type="cellIs" dxfId="18003" priority="16976" operator="equal">
      <formula>"Indeferido"</formula>
    </cfRule>
  </conditionalFormatting>
  <conditionalFormatting sqref="J9:J10">
    <cfRule type="containsText" dxfId="18002" priority="16973" operator="containsText" text="Cancelado">
      <formula>NOT(ISERROR(SEARCH("Cancelado",J9)))</formula>
    </cfRule>
  </conditionalFormatting>
  <conditionalFormatting sqref="M9:M10">
    <cfRule type="cellIs" dxfId="18001" priority="16970" operator="equal">
      <formula>"Tramitando"</formula>
    </cfRule>
    <cfRule type="cellIs" dxfId="18000" priority="16971" operator="equal">
      <formula>"Deferido"</formula>
    </cfRule>
    <cfRule type="cellIs" dxfId="17999" priority="16972" operator="equal">
      <formula>"Indeferido"</formula>
    </cfRule>
  </conditionalFormatting>
  <conditionalFormatting sqref="M9:M10">
    <cfRule type="containsText" dxfId="17998" priority="16969" operator="containsText" text="Cancelado">
      <formula>NOT(ISERROR(SEARCH("Cancelado",M9)))</formula>
    </cfRule>
  </conditionalFormatting>
  <conditionalFormatting sqref="O9:O10">
    <cfRule type="cellIs" dxfId="17997" priority="16966" operator="equal">
      <formula>"Tramitando"</formula>
    </cfRule>
    <cfRule type="cellIs" dxfId="17996" priority="16967" operator="equal">
      <formula>"Deferido"</formula>
    </cfRule>
    <cfRule type="cellIs" dxfId="17995" priority="16968" operator="equal">
      <formula>"Indeferido"</formula>
    </cfRule>
  </conditionalFormatting>
  <conditionalFormatting sqref="O9:O10">
    <cfRule type="containsText" dxfId="17994" priority="16965" operator="containsText" text="Cancelado">
      <formula>NOT(ISERROR(SEARCH("Cancelado",O9)))</formula>
    </cfRule>
  </conditionalFormatting>
  <conditionalFormatting sqref="Q9:Q10">
    <cfRule type="cellIs" dxfId="17993" priority="16962" operator="equal">
      <formula>"Tramitando"</formula>
    </cfRule>
    <cfRule type="cellIs" dxfId="17992" priority="16963" operator="equal">
      <formula>"Deferido"</formula>
    </cfRule>
    <cfRule type="cellIs" dxfId="17991" priority="16964" operator="equal">
      <formula>"Indeferido"</formula>
    </cfRule>
  </conditionalFormatting>
  <conditionalFormatting sqref="Q9:Q10">
    <cfRule type="containsText" dxfId="17990" priority="16961" operator="containsText" text="Cancelado">
      <formula>NOT(ISERROR(SEARCH("Cancelado",Q9)))</formula>
    </cfRule>
  </conditionalFormatting>
  <conditionalFormatting sqref="S9:S10">
    <cfRule type="cellIs" dxfId="17989" priority="16958" operator="equal">
      <formula>"Tramitando"</formula>
    </cfRule>
    <cfRule type="cellIs" dxfId="17988" priority="16959" operator="equal">
      <formula>"Deferido"</formula>
    </cfRule>
    <cfRule type="cellIs" dxfId="17987" priority="16960" operator="equal">
      <formula>"Indeferido"</formula>
    </cfRule>
  </conditionalFormatting>
  <conditionalFormatting sqref="S9:S10">
    <cfRule type="containsText" dxfId="17986" priority="16957" operator="containsText" text="Cancelado">
      <formula>NOT(ISERROR(SEARCH("Cancelado",S9)))</formula>
    </cfRule>
  </conditionalFormatting>
  <conditionalFormatting sqref="J11">
    <cfRule type="cellIs" dxfId="17985" priority="16953" operator="equal">
      <formula>"Tramitando"</formula>
    </cfRule>
    <cfRule type="cellIs" dxfId="17984" priority="16954" operator="equal">
      <formula>"Deferido"</formula>
    </cfRule>
    <cfRule type="cellIs" dxfId="17983" priority="16955" operator="equal">
      <formula>"Indeferido"</formula>
    </cfRule>
  </conditionalFormatting>
  <conditionalFormatting sqref="J11">
    <cfRule type="containsText" dxfId="17982" priority="16952" operator="containsText" text="Cancelado">
      <formula>NOT(ISERROR(SEARCH("Cancelado",J11)))</formula>
    </cfRule>
  </conditionalFormatting>
  <conditionalFormatting sqref="M11">
    <cfRule type="cellIs" dxfId="17981" priority="16949" operator="equal">
      <formula>"Tramitando"</formula>
    </cfRule>
    <cfRule type="cellIs" dxfId="17980" priority="16950" operator="equal">
      <formula>"Deferido"</formula>
    </cfRule>
    <cfRule type="cellIs" dxfId="17979" priority="16951" operator="equal">
      <formula>"Indeferido"</formula>
    </cfRule>
  </conditionalFormatting>
  <conditionalFormatting sqref="M11">
    <cfRule type="containsText" dxfId="17978" priority="16948" operator="containsText" text="Cancelado">
      <formula>NOT(ISERROR(SEARCH("Cancelado",M11)))</formula>
    </cfRule>
  </conditionalFormatting>
  <conditionalFormatting sqref="O11">
    <cfRule type="cellIs" dxfId="17977" priority="16945" operator="equal">
      <formula>"Tramitando"</formula>
    </cfRule>
    <cfRule type="cellIs" dxfId="17976" priority="16946" operator="equal">
      <formula>"Deferido"</formula>
    </cfRule>
    <cfRule type="cellIs" dxfId="17975" priority="16947" operator="equal">
      <formula>"Indeferido"</formula>
    </cfRule>
  </conditionalFormatting>
  <conditionalFormatting sqref="O11">
    <cfRule type="containsText" dxfId="17974" priority="16944" operator="containsText" text="Cancelado">
      <formula>NOT(ISERROR(SEARCH("Cancelado",O11)))</formula>
    </cfRule>
  </conditionalFormatting>
  <conditionalFormatting sqref="Q11">
    <cfRule type="cellIs" dxfId="17973" priority="16941" operator="equal">
      <formula>"Tramitando"</formula>
    </cfRule>
    <cfRule type="cellIs" dxfId="17972" priority="16942" operator="equal">
      <formula>"Deferido"</formula>
    </cfRule>
    <cfRule type="cellIs" dxfId="17971" priority="16943" operator="equal">
      <formula>"Indeferido"</formula>
    </cfRule>
  </conditionalFormatting>
  <conditionalFormatting sqref="Q11">
    <cfRule type="containsText" dxfId="17970" priority="16940" operator="containsText" text="Cancelado">
      <formula>NOT(ISERROR(SEARCH("Cancelado",Q11)))</formula>
    </cfRule>
  </conditionalFormatting>
  <conditionalFormatting sqref="S11">
    <cfRule type="cellIs" dxfId="17969" priority="16937" operator="equal">
      <formula>"Tramitando"</formula>
    </cfRule>
    <cfRule type="cellIs" dxfId="17968" priority="16938" operator="equal">
      <formula>"Deferido"</formula>
    </cfRule>
    <cfRule type="cellIs" dxfId="17967" priority="16939" operator="equal">
      <formula>"Indeferido"</formula>
    </cfRule>
  </conditionalFormatting>
  <conditionalFormatting sqref="S11">
    <cfRule type="containsText" dxfId="17966" priority="16936" operator="containsText" text="Cancelado">
      <formula>NOT(ISERROR(SEARCH("Cancelado",S11)))</formula>
    </cfRule>
  </conditionalFormatting>
  <conditionalFormatting sqref="J12:J14">
    <cfRule type="cellIs" dxfId="17965" priority="16932" operator="equal">
      <formula>"Tramitando"</formula>
    </cfRule>
    <cfRule type="cellIs" dxfId="17964" priority="16933" operator="equal">
      <formula>"Deferido"</formula>
    </cfRule>
    <cfRule type="cellIs" dxfId="17963" priority="16934" operator="equal">
      <formula>"Indeferido"</formula>
    </cfRule>
  </conditionalFormatting>
  <conditionalFormatting sqref="J12:J14">
    <cfRule type="containsText" dxfId="17962" priority="16931" operator="containsText" text="Cancelado">
      <formula>NOT(ISERROR(SEARCH("Cancelado",J12)))</formula>
    </cfRule>
  </conditionalFormatting>
  <conditionalFormatting sqref="M12:M14">
    <cfRule type="cellIs" dxfId="17961" priority="16928" operator="equal">
      <formula>"Tramitando"</formula>
    </cfRule>
    <cfRule type="cellIs" dxfId="17960" priority="16929" operator="equal">
      <formula>"Deferido"</formula>
    </cfRule>
    <cfRule type="cellIs" dxfId="17959" priority="16930" operator="equal">
      <formula>"Indeferido"</formula>
    </cfRule>
  </conditionalFormatting>
  <conditionalFormatting sqref="M12:M14">
    <cfRule type="containsText" dxfId="17958" priority="16927" operator="containsText" text="Cancelado">
      <formula>NOT(ISERROR(SEARCH("Cancelado",M12)))</formula>
    </cfRule>
  </conditionalFormatting>
  <conditionalFormatting sqref="O12:O14">
    <cfRule type="cellIs" dxfId="17957" priority="16924" operator="equal">
      <formula>"Tramitando"</formula>
    </cfRule>
    <cfRule type="cellIs" dxfId="17956" priority="16925" operator="equal">
      <formula>"Deferido"</formula>
    </cfRule>
    <cfRule type="cellIs" dxfId="17955" priority="16926" operator="equal">
      <formula>"Indeferido"</formula>
    </cfRule>
  </conditionalFormatting>
  <conditionalFormatting sqref="O12:O14">
    <cfRule type="containsText" dxfId="17954" priority="16923" operator="containsText" text="Cancelado">
      <formula>NOT(ISERROR(SEARCH("Cancelado",O12)))</formula>
    </cfRule>
  </conditionalFormatting>
  <conditionalFormatting sqref="Q12:Q14">
    <cfRule type="cellIs" dxfId="17953" priority="16920" operator="equal">
      <formula>"Tramitando"</formula>
    </cfRule>
    <cfRule type="cellIs" dxfId="17952" priority="16921" operator="equal">
      <formula>"Deferido"</formula>
    </cfRule>
    <cfRule type="cellIs" dxfId="17951" priority="16922" operator="equal">
      <formula>"Indeferido"</formula>
    </cfRule>
  </conditionalFormatting>
  <conditionalFormatting sqref="Q12:Q14">
    <cfRule type="containsText" dxfId="17950" priority="16919" operator="containsText" text="Cancelado">
      <formula>NOT(ISERROR(SEARCH("Cancelado",Q12)))</formula>
    </cfRule>
  </conditionalFormatting>
  <conditionalFormatting sqref="S12:S14">
    <cfRule type="cellIs" dxfId="17949" priority="16916" operator="equal">
      <formula>"Tramitando"</formula>
    </cfRule>
    <cfRule type="cellIs" dxfId="17948" priority="16917" operator="equal">
      <formula>"Deferido"</formula>
    </cfRule>
    <cfRule type="cellIs" dxfId="17947" priority="16918" operator="equal">
      <formula>"Indeferido"</formula>
    </cfRule>
  </conditionalFormatting>
  <conditionalFormatting sqref="S12:S14">
    <cfRule type="containsText" dxfId="17946" priority="16915" operator="containsText" text="Cancelado">
      <formula>NOT(ISERROR(SEARCH("Cancelado",S12)))</formula>
    </cfRule>
  </conditionalFormatting>
  <conditionalFormatting sqref="J15">
    <cfRule type="cellIs" dxfId="17945" priority="16911" operator="equal">
      <formula>"Tramitando"</formula>
    </cfRule>
    <cfRule type="cellIs" dxfId="17944" priority="16912" operator="equal">
      <formula>"Deferido"</formula>
    </cfRule>
    <cfRule type="cellIs" dxfId="17943" priority="16913" operator="equal">
      <formula>"Indeferido"</formula>
    </cfRule>
  </conditionalFormatting>
  <conditionalFormatting sqref="J15">
    <cfRule type="containsText" dxfId="17942" priority="16910" operator="containsText" text="Cancelado">
      <formula>NOT(ISERROR(SEARCH("Cancelado",J15)))</formula>
    </cfRule>
  </conditionalFormatting>
  <conditionalFormatting sqref="M15">
    <cfRule type="cellIs" dxfId="17941" priority="16907" operator="equal">
      <formula>"Tramitando"</formula>
    </cfRule>
    <cfRule type="cellIs" dxfId="17940" priority="16908" operator="equal">
      <formula>"Deferido"</formula>
    </cfRule>
    <cfRule type="cellIs" dxfId="17939" priority="16909" operator="equal">
      <formula>"Indeferido"</formula>
    </cfRule>
  </conditionalFormatting>
  <conditionalFormatting sqref="M15">
    <cfRule type="containsText" dxfId="17938" priority="16906" operator="containsText" text="Cancelado">
      <formula>NOT(ISERROR(SEARCH("Cancelado",M15)))</formula>
    </cfRule>
  </conditionalFormatting>
  <conditionalFormatting sqref="O15">
    <cfRule type="cellIs" dxfId="17937" priority="16903" operator="equal">
      <formula>"Tramitando"</formula>
    </cfRule>
    <cfRule type="cellIs" dxfId="17936" priority="16904" operator="equal">
      <formula>"Deferido"</formula>
    </cfRule>
    <cfRule type="cellIs" dxfId="17935" priority="16905" operator="equal">
      <formula>"Indeferido"</formula>
    </cfRule>
  </conditionalFormatting>
  <conditionalFormatting sqref="O15">
    <cfRule type="containsText" dxfId="17934" priority="16902" operator="containsText" text="Cancelado">
      <formula>NOT(ISERROR(SEARCH("Cancelado",O15)))</formula>
    </cfRule>
  </conditionalFormatting>
  <conditionalFormatting sqref="Q15">
    <cfRule type="cellIs" dxfId="17933" priority="16899" operator="equal">
      <formula>"Tramitando"</formula>
    </cfRule>
    <cfRule type="cellIs" dxfId="17932" priority="16900" operator="equal">
      <formula>"Deferido"</formula>
    </cfRule>
    <cfRule type="cellIs" dxfId="17931" priority="16901" operator="equal">
      <formula>"Indeferido"</formula>
    </cfRule>
  </conditionalFormatting>
  <conditionalFormatting sqref="Q15">
    <cfRule type="containsText" dxfId="17930" priority="16898" operator="containsText" text="Cancelado">
      <formula>NOT(ISERROR(SEARCH("Cancelado",Q15)))</formula>
    </cfRule>
  </conditionalFormatting>
  <conditionalFormatting sqref="S15">
    <cfRule type="cellIs" dxfId="17929" priority="16895" operator="equal">
      <formula>"Tramitando"</formula>
    </cfRule>
    <cfRule type="cellIs" dxfId="17928" priority="16896" operator="equal">
      <formula>"Deferido"</formula>
    </cfRule>
    <cfRule type="cellIs" dxfId="17927" priority="16897" operator="equal">
      <formula>"Indeferido"</formula>
    </cfRule>
  </conditionalFormatting>
  <conditionalFormatting sqref="S15">
    <cfRule type="containsText" dxfId="17926" priority="16894" operator="containsText" text="Cancelado">
      <formula>NOT(ISERROR(SEARCH("Cancelado",S15)))</formula>
    </cfRule>
  </conditionalFormatting>
  <conditionalFormatting sqref="J16">
    <cfRule type="cellIs" dxfId="17925" priority="16890" operator="equal">
      <formula>"Tramitando"</formula>
    </cfRule>
    <cfRule type="cellIs" dxfId="17924" priority="16891" operator="equal">
      <formula>"Deferido"</formula>
    </cfRule>
    <cfRule type="cellIs" dxfId="17923" priority="16892" operator="equal">
      <formula>"Indeferido"</formula>
    </cfRule>
  </conditionalFormatting>
  <conditionalFormatting sqref="J16">
    <cfRule type="containsText" dxfId="17922" priority="16889" operator="containsText" text="Cancelado">
      <formula>NOT(ISERROR(SEARCH("Cancelado",J16)))</formula>
    </cfRule>
  </conditionalFormatting>
  <conditionalFormatting sqref="M16">
    <cfRule type="cellIs" dxfId="17921" priority="16886" operator="equal">
      <formula>"Tramitando"</formula>
    </cfRule>
    <cfRule type="cellIs" dxfId="17920" priority="16887" operator="equal">
      <formula>"Deferido"</formula>
    </cfRule>
    <cfRule type="cellIs" dxfId="17919" priority="16888" operator="equal">
      <formula>"Indeferido"</formula>
    </cfRule>
  </conditionalFormatting>
  <conditionalFormatting sqref="M16">
    <cfRule type="containsText" dxfId="17918" priority="16885" operator="containsText" text="Cancelado">
      <formula>NOT(ISERROR(SEARCH("Cancelado",M16)))</formula>
    </cfRule>
  </conditionalFormatting>
  <conditionalFormatting sqref="O16">
    <cfRule type="cellIs" dxfId="17917" priority="16882" operator="equal">
      <formula>"Tramitando"</formula>
    </cfRule>
    <cfRule type="cellIs" dxfId="17916" priority="16883" operator="equal">
      <formula>"Deferido"</formula>
    </cfRule>
    <cfRule type="cellIs" dxfId="17915" priority="16884" operator="equal">
      <formula>"Indeferido"</formula>
    </cfRule>
  </conditionalFormatting>
  <conditionalFormatting sqref="O16">
    <cfRule type="containsText" dxfId="17914" priority="16881" operator="containsText" text="Cancelado">
      <formula>NOT(ISERROR(SEARCH("Cancelado",O16)))</formula>
    </cfRule>
  </conditionalFormatting>
  <conditionalFormatting sqref="Q16">
    <cfRule type="cellIs" dxfId="17913" priority="16878" operator="equal">
      <formula>"Tramitando"</formula>
    </cfRule>
    <cfRule type="cellIs" dxfId="17912" priority="16879" operator="equal">
      <formula>"Deferido"</formula>
    </cfRule>
    <cfRule type="cellIs" dxfId="17911" priority="16880" operator="equal">
      <formula>"Indeferido"</formula>
    </cfRule>
  </conditionalFormatting>
  <conditionalFormatting sqref="Q16">
    <cfRule type="containsText" dxfId="17910" priority="16877" operator="containsText" text="Cancelado">
      <formula>NOT(ISERROR(SEARCH("Cancelado",Q16)))</formula>
    </cfRule>
  </conditionalFormatting>
  <conditionalFormatting sqref="S16">
    <cfRule type="cellIs" dxfId="17909" priority="16874" operator="equal">
      <formula>"Tramitando"</formula>
    </cfRule>
    <cfRule type="cellIs" dxfId="17908" priority="16875" operator="equal">
      <formula>"Deferido"</formula>
    </cfRule>
    <cfRule type="cellIs" dxfId="17907" priority="16876" operator="equal">
      <formula>"Indeferido"</formula>
    </cfRule>
  </conditionalFormatting>
  <conditionalFormatting sqref="S16">
    <cfRule type="containsText" dxfId="17906" priority="16873" operator="containsText" text="Cancelado">
      <formula>NOT(ISERROR(SEARCH("Cancelado",S16)))</formula>
    </cfRule>
  </conditionalFormatting>
  <conditionalFormatting sqref="J17">
    <cfRule type="cellIs" dxfId="17905" priority="16869" operator="equal">
      <formula>"Tramitando"</formula>
    </cfRule>
    <cfRule type="cellIs" dxfId="17904" priority="16870" operator="equal">
      <formula>"Deferido"</formula>
    </cfRule>
    <cfRule type="cellIs" dxfId="17903" priority="16871" operator="equal">
      <formula>"Indeferido"</formula>
    </cfRule>
  </conditionalFormatting>
  <conditionalFormatting sqref="J17">
    <cfRule type="containsText" dxfId="17902" priority="16868" operator="containsText" text="Cancelado">
      <formula>NOT(ISERROR(SEARCH("Cancelado",J17)))</formula>
    </cfRule>
  </conditionalFormatting>
  <conditionalFormatting sqref="M17">
    <cfRule type="cellIs" dxfId="17901" priority="16865" operator="equal">
      <formula>"Tramitando"</formula>
    </cfRule>
    <cfRule type="cellIs" dxfId="17900" priority="16866" operator="equal">
      <formula>"Deferido"</formula>
    </cfRule>
    <cfRule type="cellIs" dxfId="17899" priority="16867" operator="equal">
      <formula>"Indeferido"</formula>
    </cfRule>
  </conditionalFormatting>
  <conditionalFormatting sqref="M17">
    <cfRule type="containsText" dxfId="17898" priority="16864" operator="containsText" text="Cancelado">
      <formula>NOT(ISERROR(SEARCH("Cancelado",M17)))</formula>
    </cfRule>
  </conditionalFormatting>
  <conditionalFormatting sqref="O17">
    <cfRule type="cellIs" dxfId="17897" priority="16861" operator="equal">
      <formula>"Tramitando"</formula>
    </cfRule>
    <cfRule type="cellIs" dxfId="17896" priority="16862" operator="equal">
      <formula>"Deferido"</formula>
    </cfRule>
    <cfRule type="cellIs" dxfId="17895" priority="16863" operator="equal">
      <formula>"Indeferido"</formula>
    </cfRule>
  </conditionalFormatting>
  <conditionalFormatting sqref="O17">
    <cfRule type="containsText" dxfId="17894" priority="16860" operator="containsText" text="Cancelado">
      <formula>NOT(ISERROR(SEARCH("Cancelado",O17)))</formula>
    </cfRule>
  </conditionalFormatting>
  <conditionalFormatting sqref="Q17">
    <cfRule type="cellIs" dxfId="17893" priority="16857" operator="equal">
      <formula>"Tramitando"</formula>
    </cfRule>
    <cfRule type="cellIs" dxfId="17892" priority="16858" operator="equal">
      <formula>"Deferido"</formula>
    </cfRule>
    <cfRule type="cellIs" dxfId="17891" priority="16859" operator="equal">
      <formula>"Indeferido"</formula>
    </cfRule>
  </conditionalFormatting>
  <conditionalFormatting sqref="Q17">
    <cfRule type="containsText" dxfId="17890" priority="16856" operator="containsText" text="Cancelado">
      <formula>NOT(ISERROR(SEARCH("Cancelado",Q17)))</formula>
    </cfRule>
  </conditionalFormatting>
  <conditionalFormatting sqref="S17">
    <cfRule type="cellIs" dxfId="17889" priority="16853" operator="equal">
      <formula>"Tramitando"</formula>
    </cfRule>
    <cfRule type="cellIs" dxfId="17888" priority="16854" operator="equal">
      <formula>"Deferido"</formula>
    </cfRule>
    <cfRule type="cellIs" dxfId="17887" priority="16855" operator="equal">
      <formula>"Indeferido"</formula>
    </cfRule>
  </conditionalFormatting>
  <conditionalFormatting sqref="S17">
    <cfRule type="containsText" dxfId="17886" priority="16852" operator="containsText" text="Cancelado">
      <formula>NOT(ISERROR(SEARCH("Cancelado",S17)))</formula>
    </cfRule>
  </conditionalFormatting>
  <conditionalFormatting sqref="J18">
    <cfRule type="cellIs" dxfId="17885" priority="16848" operator="equal">
      <formula>"Tramitando"</formula>
    </cfRule>
    <cfRule type="cellIs" dxfId="17884" priority="16849" operator="equal">
      <formula>"Deferido"</formula>
    </cfRule>
    <cfRule type="cellIs" dxfId="17883" priority="16850" operator="equal">
      <formula>"Indeferido"</formula>
    </cfRule>
  </conditionalFormatting>
  <conditionalFormatting sqref="J18">
    <cfRule type="containsText" dxfId="17882" priority="16847" operator="containsText" text="Cancelado">
      <formula>NOT(ISERROR(SEARCH("Cancelado",J18)))</formula>
    </cfRule>
  </conditionalFormatting>
  <conditionalFormatting sqref="M18">
    <cfRule type="cellIs" dxfId="17881" priority="16844" operator="equal">
      <formula>"Tramitando"</formula>
    </cfRule>
    <cfRule type="cellIs" dxfId="17880" priority="16845" operator="equal">
      <formula>"Deferido"</formula>
    </cfRule>
    <cfRule type="cellIs" dxfId="17879" priority="16846" operator="equal">
      <formula>"Indeferido"</formula>
    </cfRule>
  </conditionalFormatting>
  <conditionalFormatting sqref="M18">
    <cfRule type="containsText" dxfId="17878" priority="16843" operator="containsText" text="Cancelado">
      <formula>NOT(ISERROR(SEARCH("Cancelado",M18)))</formula>
    </cfRule>
  </conditionalFormatting>
  <conditionalFormatting sqref="O18">
    <cfRule type="cellIs" dxfId="17877" priority="16840" operator="equal">
      <formula>"Tramitando"</formula>
    </cfRule>
    <cfRule type="cellIs" dxfId="17876" priority="16841" operator="equal">
      <formula>"Deferido"</formula>
    </cfRule>
    <cfRule type="cellIs" dxfId="17875" priority="16842" operator="equal">
      <formula>"Indeferido"</formula>
    </cfRule>
  </conditionalFormatting>
  <conditionalFormatting sqref="O18">
    <cfRule type="containsText" dxfId="17874" priority="16839" operator="containsText" text="Cancelado">
      <formula>NOT(ISERROR(SEARCH("Cancelado",O18)))</formula>
    </cfRule>
  </conditionalFormatting>
  <conditionalFormatting sqref="Q18">
    <cfRule type="cellIs" dxfId="17873" priority="16836" operator="equal">
      <formula>"Tramitando"</formula>
    </cfRule>
    <cfRule type="cellIs" dxfId="17872" priority="16837" operator="equal">
      <formula>"Deferido"</formula>
    </cfRule>
    <cfRule type="cellIs" dxfId="17871" priority="16838" operator="equal">
      <formula>"Indeferido"</formula>
    </cfRule>
  </conditionalFormatting>
  <conditionalFormatting sqref="Q18">
    <cfRule type="containsText" dxfId="17870" priority="16835" operator="containsText" text="Cancelado">
      <formula>NOT(ISERROR(SEARCH("Cancelado",Q18)))</formula>
    </cfRule>
  </conditionalFormatting>
  <conditionalFormatting sqref="S18">
    <cfRule type="cellIs" dxfId="17869" priority="16832" operator="equal">
      <formula>"Tramitando"</formula>
    </cfRule>
    <cfRule type="cellIs" dxfId="17868" priority="16833" operator="equal">
      <formula>"Deferido"</formula>
    </cfRule>
    <cfRule type="cellIs" dxfId="17867" priority="16834" operator="equal">
      <formula>"Indeferido"</formula>
    </cfRule>
  </conditionalFormatting>
  <conditionalFormatting sqref="S18">
    <cfRule type="containsText" dxfId="17866" priority="16831" operator="containsText" text="Cancelado">
      <formula>NOT(ISERROR(SEARCH("Cancelado",S18)))</formula>
    </cfRule>
  </conditionalFormatting>
  <conditionalFormatting sqref="J19">
    <cfRule type="cellIs" dxfId="17865" priority="16827" operator="equal">
      <formula>"Tramitando"</formula>
    </cfRule>
    <cfRule type="cellIs" dxfId="17864" priority="16828" operator="equal">
      <formula>"Deferido"</formula>
    </cfRule>
    <cfRule type="cellIs" dxfId="17863" priority="16829" operator="equal">
      <formula>"Indeferido"</formula>
    </cfRule>
  </conditionalFormatting>
  <conditionalFormatting sqref="J19">
    <cfRule type="containsText" dxfId="17862" priority="16826" operator="containsText" text="Cancelado">
      <formula>NOT(ISERROR(SEARCH("Cancelado",J19)))</formula>
    </cfRule>
  </conditionalFormatting>
  <conditionalFormatting sqref="M19">
    <cfRule type="cellIs" dxfId="17861" priority="16823" operator="equal">
      <formula>"Tramitando"</formula>
    </cfRule>
    <cfRule type="cellIs" dxfId="17860" priority="16824" operator="equal">
      <formula>"Deferido"</formula>
    </cfRule>
    <cfRule type="cellIs" dxfId="17859" priority="16825" operator="equal">
      <formula>"Indeferido"</formula>
    </cfRule>
  </conditionalFormatting>
  <conditionalFormatting sqref="M19">
    <cfRule type="containsText" dxfId="17858" priority="16822" operator="containsText" text="Cancelado">
      <formula>NOT(ISERROR(SEARCH("Cancelado",M19)))</formula>
    </cfRule>
  </conditionalFormatting>
  <conditionalFormatting sqref="O19">
    <cfRule type="cellIs" dxfId="17857" priority="16819" operator="equal">
      <formula>"Tramitando"</formula>
    </cfRule>
    <cfRule type="cellIs" dxfId="17856" priority="16820" operator="equal">
      <formula>"Deferido"</formula>
    </cfRule>
    <cfRule type="cellIs" dxfId="17855" priority="16821" operator="equal">
      <formula>"Indeferido"</formula>
    </cfRule>
  </conditionalFormatting>
  <conditionalFormatting sqref="O19">
    <cfRule type="containsText" dxfId="17854" priority="16818" operator="containsText" text="Cancelado">
      <formula>NOT(ISERROR(SEARCH("Cancelado",O19)))</formula>
    </cfRule>
  </conditionalFormatting>
  <conditionalFormatting sqref="Q19">
    <cfRule type="cellIs" dxfId="17853" priority="16815" operator="equal">
      <formula>"Tramitando"</formula>
    </cfRule>
    <cfRule type="cellIs" dxfId="17852" priority="16816" operator="equal">
      <formula>"Deferido"</formula>
    </cfRule>
    <cfRule type="cellIs" dxfId="17851" priority="16817" operator="equal">
      <formula>"Indeferido"</formula>
    </cfRule>
  </conditionalFormatting>
  <conditionalFormatting sqref="Q19">
    <cfRule type="containsText" dxfId="17850" priority="16814" operator="containsText" text="Cancelado">
      <formula>NOT(ISERROR(SEARCH("Cancelado",Q19)))</formula>
    </cfRule>
  </conditionalFormatting>
  <conditionalFormatting sqref="S19">
    <cfRule type="cellIs" dxfId="17849" priority="16811" operator="equal">
      <formula>"Tramitando"</formula>
    </cfRule>
    <cfRule type="cellIs" dxfId="17848" priority="16812" operator="equal">
      <formula>"Deferido"</formula>
    </cfRule>
    <cfRule type="cellIs" dxfId="17847" priority="16813" operator="equal">
      <formula>"Indeferido"</formula>
    </cfRule>
  </conditionalFormatting>
  <conditionalFormatting sqref="S19">
    <cfRule type="containsText" dxfId="17846" priority="16810" operator="containsText" text="Cancelado">
      <formula>NOT(ISERROR(SEARCH("Cancelado",S19)))</formula>
    </cfRule>
  </conditionalFormatting>
  <conditionalFormatting sqref="J20">
    <cfRule type="cellIs" dxfId="17845" priority="16806" operator="equal">
      <formula>"Tramitando"</formula>
    </cfRule>
    <cfRule type="cellIs" dxfId="17844" priority="16807" operator="equal">
      <formula>"Deferido"</formula>
    </cfRule>
    <cfRule type="cellIs" dxfId="17843" priority="16808" operator="equal">
      <formula>"Indeferido"</formula>
    </cfRule>
  </conditionalFormatting>
  <conditionalFormatting sqref="J20">
    <cfRule type="containsText" dxfId="17842" priority="16805" operator="containsText" text="Cancelado">
      <formula>NOT(ISERROR(SEARCH("Cancelado",J20)))</formula>
    </cfRule>
  </conditionalFormatting>
  <conditionalFormatting sqref="M20">
    <cfRule type="cellIs" dxfId="17841" priority="16802" operator="equal">
      <formula>"Tramitando"</formula>
    </cfRule>
    <cfRule type="cellIs" dxfId="17840" priority="16803" operator="equal">
      <formula>"Deferido"</formula>
    </cfRule>
    <cfRule type="cellIs" dxfId="17839" priority="16804" operator="equal">
      <formula>"Indeferido"</formula>
    </cfRule>
  </conditionalFormatting>
  <conditionalFormatting sqref="M20">
    <cfRule type="containsText" dxfId="17838" priority="16801" operator="containsText" text="Cancelado">
      <formula>NOT(ISERROR(SEARCH("Cancelado",M20)))</formula>
    </cfRule>
  </conditionalFormatting>
  <conditionalFormatting sqref="O20">
    <cfRule type="cellIs" dxfId="17837" priority="16798" operator="equal">
      <formula>"Tramitando"</formula>
    </cfRule>
    <cfRule type="cellIs" dxfId="17836" priority="16799" operator="equal">
      <formula>"Deferido"</formula>
    </cfRule>
    <cfRule type="cellIs" dxfId="17835" priority="16800" operator="equal">
      <formula>"Indeferido"</formula>
    </cfRule>
  </conditionalFormatting>
  <conditionalFormatting sqref="O20">
    <cfRule type="containsText" dxfId="17834" priority="16797" operator="containsText" text="Cancelado">
      <formula>NOT(ISERROR(SEARCH("Cancelado",O20)))</formula>
    </cfRule>
  </conditionalFormatting>
  <conditionalFormatting sqref="Q20">
    <cfRule type="cellIs" dxfId="17833" priority="16794" operator="equal">
      <formula>"Tramitando"</formula>
    </cfRule>
    <cfRule type="cellIs" dxfId="17832" priority="16795" operator="equal">
      <formula>"Deferido"</formula>
    </cfRule>
    <cfRule type="cellIs" dxfId="17831" priority="16796" operator="equal">
      <formula>"Indeferido"</formula>
    </cfRule>
  </conditionalFormatting>
  <conditionalFormatting sqref="Q20">
    <cfRule type="containsText" dxfId="17830" priority="16793" operator="containsText" text="Cancelado">
      <formula>NOT(ISERROR(SEARCH("Cancelado",Q20)))</formula>
    </cfRule>
  </conditionalFormatting>
  <conditionalFormatting sqref="S20">
    <cfRule type="cellIs" dxfId="17829" priority="16790" operator="equal">
      <formula>"Tramitando"</formula>
    </cfRule>
    <cfRule type="cellIs" dxfId="17828" priority="16791" operator="equal">
      <formula>"Deferido"</formula>
    </cfRule>
    <cfRule type="cellIs" dxfId="17827" priority="16792" operator="equal">
      <formula>"Indeferido"</formula>
    </cfRule>
  </conditionalFormatting>
  <conditionalFormatting sqref="S20">
    <cfRule type="containsText" dxfId="17826" priority="16789" operator="containsText" text="Cancelado">
      <formula>NOT(ISERROR(SEARCH("Cancelado",S20)))</formula>
    </cfRule>
  </conditionalFormatting>
  <conditionalFormatting sqref="J21">
    <cfRule type="cellIs" dxfId="17825" priority="16785" operator="equal">
      <formula>"Tramitando"</formula>
    </cfRule>
    <cfRule type="cellIs" dxfId="17824" priority="16786" operator="equal">
      <formula>"Deferido"</formula>
    </cfRule>
    <cfRule type="cellIs" dxfId="17823" priority="16787" operator="equal">
      <formula>"Indeferido"</formula>
    </cfRule>
  </conditionalFormatting>
  <conditionalFormatting sqref="J21">
    <cfRule type="containsText" dxfId="17822" priority="16784" operator="containsText" text="Cancelado">
      <formula>NOT(ISERROR(SEARCH("Cancelado",J21)))</formula>
    </cfRule>
  </conditionalFormatting>
  <conditionalFormatting sqref="M21">
    <cfRule type="cellIs" dxfId="17821" priority="16781" operator="equal">
      <formula>"Tramitando"</formula>
    </cfRule>
    <cfRule type="cellIs" dxfId="17820" priority="16782" operator="equal">
      <formula>"Deferido"</formula>
    </cfRule>
    <cfRule type="cellIs" dxfId="17819" priority="16783" operator="equal">
      <formula>"Indeferido"</formula>
    </cfRule>
  </conditionalFormatting>
  <conditionalFormatting sqref="M21">
    <cfRule type="containsText" dxfId="17818" priority="16780" operator="containsText" text="Cancelado">
      <formula>NOT(ISERROR(SEARCH("Cancelado",M21)))</formula>
    </cfRule>
  </conditionalFormatting>
  <conditionalFormatting sqref="O21">
    <cfRule type="cellIs" dxfId="17817" priority="16777" operator="equal">
      <formula>"Tramitando"</formula>
    </cfRule>
    <cfRule type="cellIs" dxfId="17816" priority="16778" operator="equal">
      <formula>"Deferido"</formula>
    </cfRule>
    <cfRule type="cellIs" dxfId="17815" priority="16779" operator="equal">
      <formula>"Indeferido"</formula>
    </cfRule>
  </conditionalFormatting>
  <conditionalFormatting sqref="O21">
    <cfRule type="containsText" dxfId="17814" priority="16776" operator="containsText" text="Cancelado">
      <formula>NOT(ISERROR(SEARCH("Cancelado",O21)))</formula>
    </cfRule>
  </conditionalFormatting>
  <conditionalFormatting sqref="Q21">
    <cfRule type="cellIs" dxfId="17813" priority="16773" operator="equal">
      <formula>"Tramitando"</formula>
    </cfRule>
    <cfRule type="cellIs" dxfId="17812" priority="16774" operator="equal">
      <formula>"Deferido"</formula>
    </cfRule>
    <cfRule type="cellIs" dxfId="17811" priority="16775" operator="equal">
      <formula>"Indeferido"</formula>
    </cfRule>
  </conditionalFormatting>
  <conditionalFormatting sqref="Q21">
    <cfRule type="containsText" dxfId="17810" priority="16772" operator="containsText" text="Cancelado">
      <formula>NOT(ISERROR(SEARCH("Cancelado",Q21)))</formula>
    </cfRule>
  </conditionalFormatting>
  <conditionalFormatting sqref="S21">
    <cfRule type="cellIs" dxfId="17809" priority="16769" operator="equal">
      <formula>"Tramitando"</formula>
    </cfRule>
    <cfRule type="cellIs" dxfId="17808" priority="16770" operator="equal">
      <formula>"Deferido"</formula>
    </cfRule>
    <cfRule type="cellIs" dxfId="17807" priority="16771" operator="equal">
      <formula>"Indeferido"</formula>
    </cfRule>
  </conditionalFormatting>
  <conditionalFormatting sqref="S21">
    <cfRule type="containsText" dxfId="17806" priority="16768" operator="containsText" text="Cancelado">
      <formula>NOT(ISERROR(SEARCH("Cancelado",S21)))</formula>
    </cfRule>
  </conditionalFormatting>
  <conditionalFormatting sqref="J22">
    <cfRule type="cellIs" dxfId="17805" priority="16764" operator="equal">
      <formula>"Tramitando"</formula>
    </cfRule>
    <cfRule type="cellIs" dxfId="17804" priority="16765" operator="equal">
      <formula>"Deferido"</formula>
    </cfRule>
    <cfRule type="cellIs" dxfId="17803" priority="16766" operator="equal">
      <formula>"Indeferido"</formula>
    </cfRule>
  </conditionalFormatting>
  <conditionalFormatting sqref="J22">
    <cfRule type="containsText" dxfId="17802" priority="16763" operator="containsText" text="Cancelado">
      <formula>NOT(ISERROR(SEARCH("Cancelado",J22)))</formula>
    </cfRule>
  </conditionalFormatting>
  <conditionalFormatting sqref="M22">
    <cfRule type="cellIs" dxfId="17801" priority="16760" operator="equal">
      <formula>"Tramitando"</formula>
    </cfRule>
    <cfRule type="cellIs" dxfId="17800" priority="16761" operator="equal">
      <formula>"Deferido"</formula>
    </cfRule>
    <cfRule type="cellIs" dxfId="17799" priority="16762" operator="equal">
      <formula>"Indeferido"</formula>
    </cfRule>
  </conditionalFormatting>
  <conditionalFormatting sqref="M22">
    <cfRule type="containsText" dxfId="17798" priority="16759" operator="containsText" text="Cancelado">
      <formula>NOT(ISERROR(SEARCH("Cancelado",M22)))</formula>
    </cfRule>
  </conditionalFormatting>
  <conditionalFormatting sqref="O22">
    <cfRule type="cellIs" dxfId="17797" priority="16756" operator="equal">
      <formula>"Tramitando"</formula>
    </cfRule>
    <cfRule type="cellIs" dxfId="17796" priority="16757" operator="equal">
      <formula>"Deferido"</formula>
    </cfRule>
    <cfRule type="cellIs" dxfId="17795" priority="16758" operator="equal">
      <formula>"Indeferido"</formula>
    </cfRule>
  </conditionalFormatting>
  <conditionalFormatting sqref="O22">
    <cfRule type="containsText" dxfId="17794" priority="16755" operator="containsText" text="Cancelado">
      <formula>NOT(ISERROR(SEARCH("Cancelado",O22)))</formula>
    </cfRule>
  </conditionalFormatting>
  <conditionalFormatting sqref="Q22">
    <cfRule type="cellIs" dxfId="17793" priority="16752" operator="equal">
      <formula>"Tramitando"</formula>
    </cfRule>
    <cfRule type="cellIs" dxfId="17792" priority="16753" operator="equal">
      <formula>"Deferido"</formula>
    </cfRule>
    <cfRule type="cellIs" dxfId="17791" priority="16754" operator="equal">
      <formula>"Indeferido"</formula>
    </cfRule>
  </conditionalFormatting>
  <conditionalFormatting sqref="Q22">
    <cfRule type="containsText" dxfId="17790" priority="16751" operator="containsText" text="Cancelado">
      <formula>NOT(ISERROR(SEARCH("Cancelado",Q22)))</formula>
    </cfRule>
  </conditionalFormatting>
  <conditionalFormatting sqref="S22">
    <cfRule type="cellIs" dxfId="17789" priority="16748" operator="equal">
      <formula>"Tramitando"</formula>
    </cfRule>
    <cfRule type="cellIs" dxfId="17788" priority="16749" operator="equal">
      <formula>"Deferido"</formula>
    </cfRule>
    <cfRule type="cellIs" dxfId="17787" priority="16750" operator="equal">
      <formula>"Indeferido"</formula>
    </cfRule>
  </conditionalFormatting>
  <conditionalFormatting sqref="S22">
    <cfRule type="containsText" dxfId="17786" priority="16747" operator="containsText" text="Cancelado">
      <formula>NOT(ISERROR(SEARCH("Cancelado",S22)))</formula>
    </cfRule>
  </conditionalFormatting>
  <conditionalFormatting sqref="J23">
    <cfRule type="cellIs" dxfId="17785" priority="16743" operator="equal">
      <formula>"Tramitando"</formula>
    </cfRule>
    <cfRule type="cellIs" dxfId="17784" priority="16744" operator="equal">
      <formula>"Deferido"</formula>
    </cfRule>
    <cfRule type="cellIs" dxfId="17783" priority="16745" operator="equal">
      <formula>"Indeferido"</formula>
    </cfRule>
  </conditionalFormatting>
  <conditionalFormatting sqref="J23">
    <cfRule type="containsText" dxfId="17782" priority="16742" operator="containsText" text="Cancelado">
      <formula>NOT(ISERROR(SEARCH("Cancelado",J23)))</formula>
    </cfRule>
  </conditionalFormatting>
  <conditionalFormatting sqref="M23">
    <cfRule type="cellIs" dxfId="17781" priority="16739" operator="equal">
      <formula>"Tramitando"</formula>
    </cfRule>
    <cfRule type="cellIs" dxfId="17780" priority="16740" operator="equal">
      <formula>"Deferido"</formula>
    </cfRule>
    <cfRule type="cellIs" dxfId="17779" priority="16741" operator="equal">
      <formula>"Indeferido"</formula>
    </cfRule>
  </conditionalFormatting>
  <conditionalFormatting sqref="M23">
    <cfRule type="containsText" dxfId="17778" priority="16738" operator="containsText" text="Cancelado">
      <formula>NOT(ISERROR(SEARCH("Cancelado",M23)))</formula>
    </cfRule>
  </conditionalFormatting>
  <conditionalFormatting sqref="O23">
    <cfRule type="cellIs" dxfId="17777" priority="16735" operator="equal">
      <formula>"Tramitando"</formula>
    </cfRule>
    <cfRule type="cellIs" dxfId="17776" priority="16736" operator="equal">
      <formula>"Deferido"</formula>
    </cfRule>
    <cfRule type="cellIs" dxfId="17775" priority="16737" operator="equal">
      <formula>"Indeferido"</formula>
    </cfRule>
  </conditionalFormatting>
  <conditionalFormatting sqref="O23">
    <cfRule type="containsText" dxfId="17774" priority="16734" operator="containsText" text="Cancelado">
      <formula>NOT(ISERROR(SEARCH("Cancelado",O23)))</formula>
    </cfRule>
  </conditionalFormatting>
  <conditionalFormatting sqref="Q23">
    <cfRule type="cellIs" dxfId="17773" priority="16731" operator="equal">
      <formula>"Tramitando"</formula>
    </cfRule>
    <cfRule type="cellIs" dxfId="17772" priority="16732" operator="equal">
      <formula>"Deferido"</formula>
    </cfRule>
    <cfRule type="cellIs" dxfId="17771" priority="16733" operator="equal">
      <formula>"Indeferido"</formula>
    </cfRule>
  </conditionalFormatting>
  <conditionalFormatting sqref="Q23">
    <cfRule type="containsText" dxfId="17770" priority="16730" operator="containsText" text="Cancelado">
      <formula>NOT(ISERROR(SEARCH("Cancelado",Q23)))</formula>
    </cfRule>
  </conditionalFormatting>
  <conditionalFormatting sqref="S23">
    <cfRule type="cellIs" dxfId="17769" priority="16727" operator="equal">
      <formula>"Tramitando"</formula>
    </cfRule>
    <cfRule type="cellIs" dxfId="17768" priority="16728" operator="equal">
      <formula>"Deferido"</formula>
    </cfRule>
    <cfRule type="cellIs" dxfId="17767" priority="16729" operator="equal">
      <formula>"Indeferido"</formula>
    </cfRule>
  </conditionalFormatting>
  <conditionalFormatting sqref="S23">
    <cfRule type="containsText" dxfId="17766" priority="16726" operator="containsText" text="Cancelado">
      <formula>NOT(ISERROR(SEARCH("Cancelado",S23)))</formula>
    </cfRule>
  </conditionalFormatting>
  <conditionalFormatting sqref="J24">
    <cfRule type="cellIs" dxfId="17765" priority="16722" operator="equal">
      <formula>"Tramitando"</formula>
    </cfRule>
    <cfRule type="cellIs" dxfId="17764" priority="16723" operator="equal">
      <formula>"Deferido"</formula>
    </cfRule>
    <cfRule type="cellIs" dxfId="17763" priority="16724" operator="equal">
      <formula>"Indeferido"</formula>
    </cfRule>
  </conditionalFormatting>
  <conditionalFormatting sqref="J24">
    <cfRule type="containsText" dxfId="17762" priority="16721" operator="containsText" text="Cancelado">
      <formula>NOT(ISERROR(SEARCH("Cancelado",J24)))</formula>
    </cfRule>
  </conditionalFormatting>
  <conditionalFormatting sqref="M24">
    <cfRule type="cellIs" dxfId="17761" priority="16718" operator="equal">
      <formula>"Tramitando"</formula>
    </cfRule>
    <cfRule type="cellIs" dxfId="17760" priority="16719" operator="equal">
      <formula>"Deferido"</formula>
    </cfRule>
    <cfRule type="cellIs" dxfId="17759" priority="16720" operator="equal">
      <formula>"Indeferido"</formula>
    </cfRule>
  </conditionalFormatting>
  <conditionalFormatting sqref="M24">
    <cfRule type="containsText" dxfId="17758" priority="16717" operator="containsText" text="Cancelado">
      <formula>NOT(ISERROR(SEARCH("Cancelado",M24)))</formula>
    </cfRule>
  </conditionalFormatting>
  <conditionalFormatting sqref="O24">
    <cfRule type="cellIs" dxfId="17757" priority="16714" operator="equal">
      <formula>"Tramitando"</formula>
    </cfRule>
    <cfRule type="cellIs" dxfId="17756" priority="16715" operator="equal">
      <formula>"Deferido"</formula>
    </cfRule>
    <cfRule type="cellIs" dxfId="17755" priority="16716" operator="equal">
      <formula>"Indeferido"</formula>
    </cfRule>
  </conditionalFormatting>
  <conditionalFormatting sqref="O24">
    <cfRule type="containsText" dxfId="17754" priority="16713" operator="containsText" text="Cancelado">
      <formula>NOT(ISERROR(SEARCH("Cancelado",O24)))</formula>
    </cfRule>
  </conditionalFormatting>
  <conditionalFormatting sqref="Q24">
    <cfRule type="cellIs" dxfId="17753" priority="16710" operator="equal">
      <formula>"Tramitando"</formula>
    </cfRule>
    <cfRule type="cellIs" dxfId="17752" priority="16711" operator="equal">
      <formula>"Deferido"</formula>
    </cfRule>
    <cfRule type="cellIs" dxfId="17751" priority="16712" operator="equal">
      <formula>"Indeferido"</formula>
    </cfRule>
  </conditionalFormatting>
  <conditionalFormatting sqref="Q24">
    <cfRule type="containsText" dxfId="17750" priority="16709" operator="containsText" text="Cancelado">
      <formula>NOT(ISERROR(SEARCH("Cancelado",Q24)))</formula>
    </cfRule>
  </conditionalFormatting>
  <conditionalFormatting sqref="S24">
    <cfRule type="cellIs" dxfId="17749" priority="16706" operator="equal">
      <formula>"Tramitando"</formula>
    </cfRule>
    <cfRule type="cellIs" dxfId="17748" priority="16707" operator="equal">
      <formula>"Deferido"</formula>
    </cfRule>
    <cfRule type="cellIs" dxfId="17747" priority="16708" operator="equal">
      <formula>"Indeferido"</formula>
    </cfRule>
  </conditionalFormatting>
  <conditionalFormatting sqref="S24">
    <cfRule type="containsText" dxfId="17746" priority="16705" operator="containsText" text="Cancelado">
      <formula>NOT(ISERROR(SEARCH("Cancelado",S24)))</formula>
    </cfRule>
  </conditionalFormatting>
  <conditionalFormatting sqref="J25">
    <cfRule type="cellIs" dxfId="17745" priority="16701" operator="equal">
      <formula>"Tramitando"</formula>
    </cfRule>
    <cfRule type="cellIs" dxfId="17744" priority="16702" operator="equal">
      <formula>"Deferido"</formula>
    </cfRule>
    <cfRule type="cellIs" dxfId="17743" priority="16703" operator="equal">
      <formula>"Indeferido"</formula>
    </cfRule>
  </conditionalFormatting>
  <conditionalFormatting sqref="J25">
    <cfRule type="containsText" dxfId="17742" priority="16700" operator="containsText" text="Cancelado">
      <formula>NOT(ISERROR(SEARCH("Cancelado",J25)))</formula>
    </cfRule>
  </conditionalFormatting>
  <conditionalFormatting sqref="M25">
    <cfRule type="cellIs" dxfId="17741" priority="16697" operator="equal">
      <formula>"Tramitando"</formula>
    </cfRule>
    <cfRule type="cellIs" dxfId="17740" priority="16698" operator="equal">
      <formula>"Deferido"</formula>
    </cfRule>
    <cfRule type="cellIs" dxfId="17739" priority="16699" operator="equal">
      <formula>"Indeferido"</formula>
    </cfRule>
  </conditionalFormatting>
  <conditionalFormatting sqref="M25">
    <cfRule type="containsText" dxfId="17738" priority="16696" operator="containsText" text="Cancelado">
      <formula>NOT(ISERROR(SEARCH("Cancelado",M25)))</formula>
    </cfRule>
  </conditionalFormatting>
  <conditionalFormatting sqref="O25">
    <cfRule type="cellIs" dxfId="17737" priority="16693" operator="equal">
      <formula>"Tramitando"</formula>
    </cfRule>
    <cfRule type="cellIs" dxfId="17736" priority="16694" operator="equal">
      <formula>"Deferido"</formula>
    </cfRule>
    <cfRule type="cellIs" dxfId="17735" priority="16695" operator="equal">
      <formula>"Indeferido"</formula>
    </cfRule>
  </conditionalFormatting>
  <conditionalFormatting sqref="O25">
    <cfRule type="containsText" dxfId="17734" priority="16692" operator="containsText" text="Cancelado">
      <formula>NOT(ISERROR(SEARCH("Cancelado",O25)))</formula>
    </cfRule>
  </conditionalFormatting>
  <conditionalFormatting sqref="Q25">
    <cfRule type="cellIs" dxfId="17733" priority="16689" operator="equal">
      <formula>"Tramitando"</formula>
    </cfRule>
    <cfRule type="cellIs" dxfId="17732" priority="16690" operator="equal">
      <formula>"Deferido"</formula>
    </cfRule>
    <cfRule type="cellIs" dxfId="17731" priority="16691" operator="equal">
      <formula>"Indeferido"</formula>
    </cfRule>
  </conditionalFormatting>
  <conditionalFormatting sqref="Q25">
    <cfRule type="containsText" dxfId="17730" priority="16688" operator="containsText" text="Cancelado">
      <formula>NOT(ISERROR(SEARCH("Cancelado",Q25)))</formula>
    </cfRule>
  </conditionalFormatting>
  <conditionalFormatting sqref="S25">
    <cfRule type="cellIs" dxfId="17729" priority="16685" operator="equal">
      <formula>"Tramitando"</formula>
    </cfRule>
    <cfRule type="cellIs" dxfId="17728" priority="16686" operator="equal">
      <formula>"Deferido"</formula>
    </cfRule>
    <cfRule type="cellIs" dxfId="17727" priority="16687" operator="equal">
      <formula>"Indeferido"</formula>
    </cfRule>
  </conditionalFormatting>
  <conditionalFormatting sqref="S25">
    <cfRule type="containsText" dxfId="17726" priority="16684" operator="containsText" text="Cancelado">
      <formula>NOT(ISERROR(SEARCH("Cancelado",S25)))</formula>
    </cfRule>
  </conditionalFormatting>
  <conditionalFormatting sqref="J26">
    <cfRule type="cellIs" dxfId="17725" priority="16680" operator="equal">
      <formula>"Tramitando"</formula>
    </cfRule>
    <cfRule type="cellIs" dxfId="17724" priority="16681" operator="equal">
      <formula>"Deferido"</formula>
    </cfRule>
    <cfRule type="cellIs" dxfId="17723" priority="16682" operator="equal">
      <formula>"Indeferido"</formula>
    </cfRule>
  </conditionalFormatting>
  <conditionalFormatting sqref="J26">
    <cfRule type="containsText" dxfId="17722" priority="16679" operator="containsText" text="Cancelado">
      <formula>NOT(ISERROR(SEARCH("Cancelado",J26)))</formula>
    </cfRule>
  </conditionalFormatting>
  <conditionalFormatting sqref="M26">
    <cfRule type="cellIs" dxfId="17721" priority="16676" operator="equal">
      <formula>"Tramitando"</formula>
    </cfRule>
    <cfRule type="cellIs" dxfId="17720" priority="16677" operator="equal">
      <formula>"Deferido"</formula>
    </cfRule>
    <cfRule type="cellIs" dxfId="17719" priority="16678" operator="equal">
      <formula>"Indeferido"</formula>
    </cfRule>
  </conditionalFormatting>
  <conditionalFormatting sqref="M26">
    <cfRule type="containsText" dxfId="17718" priority="16675" operator="containsText" text="Cancelado">
      <formula>NOT(ISERROR(SEARCH("Cancelado",M26)))</formula>
    </cfRule>
  </conditionalFormatting>
  <conditionalFormatting sqref="O26">
    <cfRule type="cellIs" dxfId="17717" priority="16672" operator="equal">
      <formula>"Tramitando"</formula>
    </cfRule>
    <cfRule type="cellIs" dxfId="17716" priority="16673" operator="equal">
      <formula>"Deferido"</formula>
    </cfRule>
    <cfRule type="cellIs" dxfId="17715" priority="16674" operator="equal">
      <formula>"Indeferido"</formula>
    </cfRule>
  </conditionalFormatting>
  <conditionalFormatting sqref="O26">
    <cfRule type="containsText" dxfId="17714" priority="16671" operator="containsText" text="Cancelado">
      <formula>NOT(ISERROR(SEARCH("Cancelado",O26)))</formula>
    </cfRule>
  </conditionalFormatting>
  <conditionalFormatting sqref="Q26">
    <cfRule type="cellIs" dxfId="17713" priority="16668" operator="equal">
      <formula>"Tramitando"</formula>
    </cfRule>
    <cfRule type="cellIs" dxfId="17712" priority="16669" operator="equal">
      <formula>"Deferido"</formula>
    </cfRule>
    <cfRule type="cellIs" dxfId="17711" priority="16670" operator="equal">
      <formula>"Indeferido"</formula>
    </cfRule>
  </conditionalFormatting>
  <conditionalFormatting sqref="Q26">
    <cfRule type="containsText" dxfId="17710" priority="16667" operator="containsText" text="Cancelado">
      <formula>NOT(ISERROR(SEARCH("Cancelado",Q26)))</formula>
    </cfRule>
  </conditionalFormatting>
  <conditionalFormatting sqref="S26">
    <cfRule type="cellIs" dxfId="17709" priority="16664" operator="equal">
      <formula>"Tramitando"</formula>
    </cfRule>
    <cfRule type="cellIs" dxfId="17708" priority="16665" operator="equal">
      <formula>"Deferido"</formula>
    </cfRule>
    <cfRule type="cellIs" dxfId="17707" priority="16666" operator="equal">
      <formula>"Indeferido"</formula>
    </cfRule>
  </conditionalFormatting>
  <conditionalFormatting sqref="S26">
    <cfRule type="containsText" dxfId="17706" priority="16663" operator="containsText" text="Cancelado">
      <formula>NOT(ISERROR(SEARCH("Cancelado",S26)))</formula>
    </cfRule>
  </conditionalFormatting>
  <conditionalFormatting sqref="J27">
    <cfRule type="cellIs" dxfId="17705" priority="16659" operator="equal">
      <formula>"Tramitando"</formula>
    </cfRule>
    <cfRule type="cellIs" dxfId="17704" priority="16660" operator="equal">
      <formula>"Deferido"</formula>
    </cfRule>
    <cfRule type="cellIs" dxfId="17703" priority="16661" operator="equal">
      <formula>"Indeferido"</formula>
    </cfRule>
  </conditionalFormatting>
  <conditionalFormatting sqref="J27">
    <cfRule type="containsText" dxfId="17702" priority="16658" operator="containsText" text="Cancelado">
      <formula>NOT(ISERROR(SEARCH("Cancelado",J27)))</formula>
    </cfRule>
  </conditionalFormatting>
  <conditionalFormatting sqref="M27">
    <cfRule type="cellIs" dxfId="17701" priority="16655" operator="equal">
      <formula>"Tramitando"</formula>
    </cfRule>
    <cfRule type="cellIs" dxfId="17700" priority="16656" operator="equal">
      <formula>"Deferido"</formula>
    </cfRule>
    <cfRule type="cellIs" dxfId="17699" priority="16657" operator="equal">
      <formula>"Indeferido"</formula>
    </cfRule>
  </conditionalFormatting>
  <conditionalFormatting sqref="M27">
    <cfRule type="containsText" dxfId="17698" priority="16654" operator="containsText" text="Cancelado">
      <formula>NOT(ISERROR(SEARCH("Cancelado",M27)))</formula>
    </cfRule>
  </conditionalFormatting>
  <conditionalFormatting sqref="O27">
    <cfRule type="cellIs" dxfId="17697" priority="16651" operator="equal">
      <formula>"Tramitando"</formula>
    </cfRule>
    <cfRule type="cellIs" dxfId="17696" priority="16652" operator="equal">
      <formula>"Deferido"</formula>
    </cfRule>
    <cfRule type="cellIs" dxfId="17695" priority="16653" operator="equal">
      <formula>"Indeferido"</formula>
    </cfRule>
  </conditionalFormatting>
  <conditionalFormatting sqref="O27">
    <cfRule type="containsText" dxfId="17694" priority="16650" operator="containsText" text="Cancelado">
      <formula>NOT(ISERROR(SEARCH("Cancelado",O27)))</formula>
    </cfRule>
  </conditionalFormatting>
  <conditionalFormatting sqref="Q27">
    <cfRule type="cellIs" dxfId="17693" priority="16647" operator="equal">
      <formula>"Tramitando"</formula>
    </cfRule>
    <cfRule type="cellIs" dxfId="17692" priority="16648" operator="equal">
      <formula>"Deferido"</formula>
    </cfRule>
    <cfRule type="cellIs" dxfId="17691" priority="16649" operator="equal">
      <formula>"Indeferido"</formula>
    </cfRule>
  </conditionalFormatting>
  <conditionalFormatting sqref="Q27">
    <cfRule type="containsText" dxfId="17690" priority="16646" operator="containsText" text="Cancelado">
      <formula>NOT(ISERROR(SEARCH("Cancelado",Q27)))</formula>
    </cfRule>
  </conditionalFormatting>
  <conditionalFormatting sqref="S27">
    <cfRule type="cellIs" dxfId="17689" priority="16643" operator="equal">
      <formula>"Tramitando"</formula>
    </cfRule>
    <cfRule type="cellIs" dxfId="17688" priority="16644" operator="equal">
      <formula>"Deferido"</formula>
    </cfRule>
    <cfRule type="cellIs" dxfId="17687" priority="16645" operator="equal">
      <formula>"Indeferido"</formula>
    </cfRule>
  </conditionalFormatting>
  <conditionalFormatting sqref="S27">
    <cfRule type="containsText" dxfId="17686" priority="16642" operator="containsText" text="Cancelado">
      <formula>NOT(ISERROR(SEARCH("Cancelado",S27)))</formula>
    </cfRule>
  </conditionalFormatting>
  <conditionalFormatting sqref="J28">
    <cfRule type="cellIs" dxfId="17685" priority="16638" operator="equal">
      <formula>"Tramitando"</formula>
    </cfRule>
    <cfRule type="cellIs" dxfId="17684" priority="16639" operator="equal">
      <formula>"Deferido"</formula>
    </cfRule>
    <cfRule type="cellIs" dxfId="17683" priority="16640" operator="equal">
      <formula>"Indeferido"</formula>
    </cfRule>
  </conditionalFormatting>
  <conditionalFormatting sqref="J28">
    <cfRule type="containsText" dxfId="17682" priority="16637" operator="containsText" text="Cancelado">
      <formula>NOT(ISERROR(SEARCH("Cancelado",J28)))</formula>
    </cfRule>
  </conditionalFormatting>
  <conditionalFormatting sqref="M28">
    <cfRule type="cellIs" dxfId="17681" priority="16634" operator="equal">
      <formula>"Tramitando"</formula>
    </cfRule>
    <cfRule type="cellIs" dxfId="17680" priority="16635" operator="equal">
      <formula>"Deferido"</formula>
    </cfRule>
    <cfRule type="cellIs" dxfId="17679" priority="16636" operator="equal">
      <formula>"Indeferido"</formula>
    </cfRule>
  </conditionalFormatting>
  <conditionalFormatting sqref="M28">
    <cfRule type="containsText" dxfId="17678" priority="16633" operator="containsText" text="Cancelado">
      <formula>NOT(ISERROR(SEARCH("Cancelado",M28)))</formula>
    </cfRule>
  </conditionalFormatting>
  <conditionalFormatting sqref="O28">
    <cfRule type="cellIs" dxfId="17677" priority="16630" operator="equal">
      <formula>"Tramitando"</formula>
    </cfRule>
    <cfRule type="cellIs" dxfId="17676" priority="16631" operator="equal">
      <formula>"Deferido"</formula>
    </cfRule>
    <cfRule type="cellIs" dxfId="17675" priority="16632" operator="equal">
      <formula>"Indeferido"</formula>
    </cfRule>
  </conditionalFormatting>
  <conditionalFormatting sqref="O28">
    <cfRule type="containsText" dxfId="17674" priority="16629" operator="containsText" text="Cancelado">
      <formula>NOT(ISERROR(SEARCH("Cancelado",O28)))</formula>
    </cfRule>
  </conditionalFormatting>
  <conditionalFormatting sqref="Q28">
    <cfRule type="cellIs" dxfId="17673" priority="16626" operator="equal">
      <formula>"Tramitando"</formula>
    </cfRule>
    <cfRule type="cellIs" dxfId="17672" priority="16627" operator="equal">
      <formula>"Deferido"</formula>
    </cfRule>
    <cfRule type="cellIs" dxfId="17671" priority="16628" operator="equal">
      <formula>"Indeferido"</formula>
    </cfRule>
  </conditionalFormatting>
  <conditionalFormatting sqref="Q28">
    <cfRule type="containsText" dxfId="17670" priority="16625" operator="containsText" text="Cancelado">
      <formula>NOT(ISERROR(SEARCH("Cancelado",Q28)))</formula>
    </cfRule>
  </conditionalFormatting>
  <conditionalFormatting sqref="S28">
    <cfRule type="cellIs" dxfId="17669" priority="16622" operator="equal">
      <formula>"Tramitando"</formula>
    </cfRule>
    <cfRule type="cellIs" dxfId="17668" priority="16623" operator="equal">
      <formula>"Deferido"</formula>
    </cfRule>
    <cfRule type="cellIs" dxfId="17667" priority="16624" operator="equal">
      <formula>"Indeferido"</formula>
    </cfRule>
  </conditionalFormatting>
  <conditionalFormatting sqref="S28">
    <cfRule type="containsText" dxfId="17666" priority="16621" operator="containsText" text="Cancelado">
      <formula>NOT(ISERROR(SEARCH("Cancelado",S28)))</formula>
    </cfRule>
  </conditionalFormatting>
  <conditionalFormatting sqref="J29">
    <cfRule type="cellIs" dxfId="17665" priority="16617" operator="equal">
      <formula>"Tramitando"</formula>
    </cfRule>
    <cfRule type="cellIs" dxfId="17664" priority="16618" operator="equal">
      <formula>"Deferido"</formula>
    </cfRule>
    <cfRule type="cellIs" dxfId="17663" priority="16619" operator="equal">
      <formula>"Indeferido"</formula>
    </cfRule>
  </conditionalFormatting>
  <conditionalFormatting sqref="J29">
    <cfRule type="containsText" dxfId="17662" priority="16616" operator="containsText" text="Cancelado">
      <formula>NOT(ISERROR(SEARCH("Cancelado",J29)))</formula>
    </cfRule>
  </conditionalFormatting>
  <conditionalFormatting sqref="M29">
    <cfRule type="cellIs" dxfId="17661" priority="16613" operator="equal">
      <formula>"Tramitando"</formula>
    </cfRule>
    <cfRule type="cellIs" dxfId="17660" priority="16614" operator="equal">
      <formula>"Deferido"</formula>
    </cfRule>
    <cfRule type="cellIs" dxfId="17659" priority="16615" operator="equal">
      <formula>"Indeferido"</formula>
    </cfRule>
  </conditionalFormatting>
  <conditionalFormatting sqref="M29">
    <cfRule type="containsText" dxfId="17658" priority="16612" operator="containsText" text="Cancelado">
      <formula>NOT(ISERROR(SEARCH("Cancelado",M29)))</formula>
    </cfRule>
  </conditionalFormatting>
  <conditionalFormatting sqref="O29">
    <cfRule type="cellIs" dxfId="17657" priority="16609" operator="equal">
      <formula>"Tramitando"</formula>
    </cfRule>
    <cfRule type="cellIs" dxfId="17656" priority="16610" operator="equal">
      <formula>"Deferido"</formula>
    </cfRule>
    <cfRule type="cellIs" dxfId="17655" priority="16611" operator="equal">
      <formula>"Indeferido"</formula>
    </cfRule>
  </conditionalFormatting>
  <conditionalFormatting sqref="O29">
    <cfRule type="containsText" dxfId="17654" priority="16608" operator="containsText" text="Cancelado">
      <formula>NOT(ISERROR(SEARCH("Cancelado",O29)))</formula>
    </cfRule>
  </conditionalFormatting>
  <conditionalFormatting sqref="Q29">
    <cfRule type="cellIs" dxfId="17653" priority="16605" operator="equal">
      <formula>"Tramitando"</formula>
    </cfRule>
    <cfRule type="cellIs" dxfId="17652" priority="16606" operator="equal">
      <formula>"Deferido"</formula>
    </cfRule>
    <cfRule type="cellIs" dxfId="17651" priority="16607" operator="equal">
      <formula>"Indeferido"</formula>
    </cfRule>
  </conditionalFormatting>
  <conditionalFormatting sqref="Q29">
    <cfRule type="containsText" dxfId="17650" priority="16604" operator="containsText" text="Cancelado">
      <formula>NOT(ISERROR(SEARCH("Cancelado",Q29)))</formula>
    </cfRule>
  </conditionalFormatting>
  <conditionalFormatting sqref="S29">
    <cfRule type="cellIs" dxfId="17649" priority="16601" operator="equal">
      <formula>"Tramitando"</formula>
    </cfRule>
    <cfRule type="cellIs" dxfId="17648" priority="16602" operator="equal">
      <formula>"Deferido"</formula>
    </cfRule>
    <cfRule type="cellIs" dxfId="17647" priority="16603" operator="equal">
      <formula>"Indeferido"</formula>
    </cfRule>
  </conditionalFormatting>
  <conditionalFormatting sqref="S29">
    <cfRule type="containsText" dxfId="17646" priority="16600" operator="containsText" text="Cancelado">
      <formula>NOT(ISERROR(SEARCH("Cancelado",S29)))</formula>
    </cfRule>
  </conditionalFormatting>
  <conditionalFormatting sqref="J30">
    <cfRule type="cellIs" dxfId="17645" priority="16596" operator="equal">
      <formula>"Tramitando"</formula>
    </cfRule>
    <cfRule type="cellIs" dxfId="17644" priority="16597" operator="equal">
      <formula>"Deferido"</formula>
    </cfRule>
    <cfRule type="cellIs" dxfId="17643" priority="16598" operator="equal">
      <formula>"Indeferido"</formula>
    </cfRule>
  </conditionalFormatting>
  <conditionalFormatting sqref="J30">
    <cfRule type="containsText" dxfId="17642" priority="16595" operator="containsText" text="Cancelado">
      <formula>NOT(ISERROR(SEARCH("Cancelado",J30)))</formula>
    </cfRule>
  </conditionalFormatting>
  <conditionalFormatting sqref="M30">
    <cfRule type="cellIs" dxfId="17641" priority="16592" operator="equal">
      <formula>"Tramitando"</formula>
    </cfRule>
    <cfRule type="cellIs" dxfId="17640" priority="16593" operator="equal">
      <formula>"Deferido"</formula>
    </cfRule>
    <cfRule type="cellIs" dxfId="17639" priority="16594" operator="equal">
      <formula>"Indeferido"</formula>
    </cfRule>
  </conditionalFormatting>
  <conditionalFormatting sqref="M30">
    <cfRule type="containsText" dxfId="17638" priority="16591" operator="containsText" text="Cancelado">
      <formula>NOT(ISERROR(SEARCH("Cancelado",M30)))</formula>
    </cfRule>
  </conditionalFormatting>
  <conditionalFormatting sqref="O30">
    <cfRule type="cellIs" dxfId="17637" priority="16588" operator="equal">
      <formula>"Tramitando"</formula>
    </cfRule>
    <cfRule type="cellIs" dxfId="17636" priority="16589" operator="equal">
      <formula>"Deferido"</formula>
    </cfRule>
    <cfRule type="cellIs" dxfId="17635" priority="16590" operator="equal">
      <formula>"Indeferido"</formula>
    </cfRule>
  </conditionalFormatting>
  <conditionalFormatting sqref="O30">
    <cfRule type="containsText" dxfId="17634" priority="16587" operator="containsText" text="Cancelado">
      <formula>NOT(ISERROR(SEARCH("Cancelado",O30)))</formula>
    </cfRule>
  </conditionalFormatting>
  <conditionalFormatting sqref="Q30">
    <cfRule type="cellIs" dxfId="17633" priority="16584" operator="equal">
      <formula>"Tramitando"</formula>
    </cfRule>
    <cfRule type="cellIs" dxfId="17632" priority="16585" operator="equal">
      <formula>"Deferido"</formula>
    </cfRule>
    <cfRule type="cellIs" dxfId="17631" priority="16586" operator="equal">
      <formula>"Indeferido"</formula>
    </cfRule>
  </conditionalFormatting>
  <conditionalFormatting sqref="Q30">
    <cfRule type="containsText" dxfId="17630" priority="16583" operator="containsText" text="Cancelado">
      <formula>NOT(ISERROR(SEARCH("Cancelado",Q30)))</formula>
    </cfRule>
  </conditionalFormatting>
  <conditionalFormatting sqref="S30">
    <cfRule type="cellIs" dxfId="17629" priority="16580" operator="equal">
      <formula>"Tramitando"</formula>
    </cfRule>
    <cfRule type="cellIs" dxfId="17628" priority="16581" operator="equal">
      <formula>"Deferido"</formula>
    </cfRule>
    <cfRule type="cellIs" dxfId="17627" priority="16582" operator="equal">
      <formula>"Indeferido"</formula>
    </cfRule>
  </conditionalFormatting>
  <conditionalFormatting sqref="S30">
    <cfRule type="containsText" dxfId="17626" priority="16579" operator="containsText" text="Cancelado">
      <formula>NOT(ISERROR(SEARCH("Cancelado",S30)))</formula>
    </cfRule>
  </conditionalFormatting>
  <conditionalFormatting sqref="J31:J32">
    <cfRule type="cellIs" dxfId="17625" priority="16575" operator="equal">
      <formula>"Tramitando"</formula>
    </cfRule>
    <cfRule type="cellIs" dxfId="17624" priority="16576" operator="equal">
      <formula>"Deferido"</formula>
    </cfRule>
    <cfRule type="cellIs" dxfId="17623" priority="16577" operator="equal">
      <formula>"Indeferido"</formula>
    </cfRule>
  </conditionalFormatting>
  <conditionalFormatting sqref="J31:J32">
    <cfRule type="containsText" dxfId="17622" priority="16574" operator="containsText" text="Cancelado">
      <formula>NOT(ISERROR(SEARCH("Cancelado",J31)))</formula>
    </cfRule>
  </conditionalFormatting>
  <conditionalFormatting sqref="M31:M32">
    <cfRule type="cellIs" dxfId="17621" priority="16571" operator="equal">
      <formula>"Tramitando"</formula>
    </cfRule>
    <cfRule type="cellIs" dxfId="17620" priority="16572" operator="equal">
      <formula>"Deferido"</formula>
    </cfRule>
    <cfRule type="cellIs" dxfId="17619" priority="16573" operator="equal">
      <formula>"Indeferido"</formula>
    </cfRule>
  </conditionalFormatting>
  <conditionalFormatting sqref="M31:M32">
    <cfRule type="containsText" dxfId="17618" priority="16570" operator="containsText" text="Cancelado">
      <formula>NOT(ISERROR(SEARCH("Cancelado",M31)))</formula>
    </cfRule>
  </conditionalFormatting>
  <conditionalFormatting sqref="O31:O32">
    <cfRule type="cellIs" dxfId="17617" priority="16567" operator="equal">
      <formula>"Tramitando"</formula>
    </cfRule>
    <cfRule type="cellIs" dxfId="17616" priority="16568" operator="equal">
      <formula>"Deferido"</formula>
    </cfRule>
    <cfRule type="cellIs" dxfId="17615" priority="16569" operator="equal">
      <formula>"Indeferido"</formula>
    </cfRule>
  </conditionalFormatting>
  <conditionalFormatting sqref="O31:O32">
    <cfRule type="containsText" dxfId="17614" priority="16566" operator="containsText" text="Cancelado">
      <formula>NOT(ISERROR(SEARCH("Cancelado",O31)))</formula>
    </cfRule>
  </conditionalFormatting>
  <conditionalFormatting sqref="Q31:Q32">
    <cfRule type="cellIs" dxfId="17613" priority="16563" operator="equal">
      <formula>"Tramitando"</formula>
    </cfRule>
    <cfRule type="cellIs" dxfId="17612" priority="16564" operator="equal">
      <formula>"Deferido"</formula>
    </cfRule>
    <cfRule type="cellIs" dxfId="17611" priority="16565" operator="equal">
      <formula>"Indeferido"</formula>
    </cfRule>
  </conditionalFormatting>
  <conditionalFormatting sqref="Q31:Q32">
    <cfRule type="containsText" dxfId="17610" priority="16562" operator="containsText" text="Cancelado">
      <formula>NOT(ISERROR(SEARCH("Cancelado",Q31)))</formula>
    </cfRule>
  </conditionalFormatting>
  <conditionalFormatting sqref="S31:S32">
    <cfRule type="cellIs" dxfId="17609" priority="16559" operator="equal">
      <formula>"Tramitando"</formula>
    </cfRule>
    <cfRule type="cellIs" dxfId="17608" priority="16560" operator="equal">
      <formula>"Deferido"</formula>
    </cfRule>
    <cfRule type="cellIs" dxfId="17607" priority="16561" operator="equal">
      <formula>"Indeferido"</formula>
    </cfRule>
  </conditionalFormatting>
  <conditionalFormatting sqref="S31:S32">
    <cfRule type="containsText" dxfId="17606" priority="16558" operator="containsText" text="Cancelado">
      <formula>NOT(ISERROR(SEARCH("Cancelado",S31)))</formula>
    </cfRule>
  </conditionalFormatting>
  <conditionalFormatting sqref="J33:J34">
    <cfRule type="cellIs" dxfId="17605" priority="16554" operator="equal">
      <formula>"Tramitando"</formula>
    </cfRule>
    <cfRule type="cellIs" dxfId="17604" priority="16555" operator="equal">
      <formula>"Deferido"</formula>
    </cfRule>
    <cfRule type="cellIs" dxfId="17603" priority="16556" operator="equal">
      <formula>"Indeferido"</formula>
    </cfRule>
  </conditionalFormatting>
  <conditionalFormatting sqref="J33:J34">
    <cfRule type="containsText" dxfId="17602" priority="16553" operator="containsText" text="Cancelado">
      <formula>NOT(ISERROR(SEARCH("Cancelado",J33)))</formula>
    </cfRule>
  </conditionalFormatting>
  <conditionalFormatting sqref="M33:M34">
    <cfRule type="cellIs" dxfId="17601" priority="16550" operator="equal">
      <formula>"Tramitando"</formula>
    </cfRule>
    <cfRule type="cellIs" dxfId="17600" priority="16551" operator="equal">
      <formula>"Deferido"</formula>
    </cfRule>
    <cfRule type="cellIs" dxfId="17599" priority="16552" operator="equal">
      <formula>"Indeferido"</formula>
    </cfRule>
  </conditionalFormatting>
  <conditionalFormatting sqref="M33:M34">
    <cfRule type="containsText" dxfId="17598" priority="16549" operator="containsText" text="Cancelado">
      <formula>NOT(ISERROR(SEARCH("Cancelado",M33)))</formula>
    </cfRule>
  </conditionalFormatting>
  <conditionalFormatting sqref="O33:O34">
    <cfRule type="cellIs" dxfId="17597" priority="16546" operator="equal">
      <formula>"Tramitando"</formula>
    </cfRule>
    <cfRule type="cellIs" dxfId="17596" priority="16547" operator="equal">
      <formula>"Deferido"</formula>
    </cfRule>
    <cfRule type="cellIs" dxfId="17595" priority="16548" operator="equal">
      <formula>"Indeferido"</formula>
    </cfRule>
  </conditionalFormatting>
  <conditionalFormatting sqref="O33:O34">
    <cfRule type="containsText" dxfId="17594" priority="16545" operator="containsText" text="Cancelado">
      <formula>NOT(ISERROR(SEARCH("Cancelado",O33)))</formula>
    </cfRule>
  </conditionalFormatting>
  <conditionalFormatting sqref="Q33:Q34">
    <cfRule type="cellIs" dxfId="17593" priority="16542" operator="equal">
      <formula>"Tramitando"</formula>
    </cfRule>
    <cfRule type="cellIs" dxfId="17592" priority="16543" operator="equal">
      <formula>"Deferido"</formula>
    </cfRule>
    <cfRule type="cellIs" dxfId="17591" priority="16544" operator="equal">
      <formula>"Indeferido"</formula>
    </cfRule>
  </conditionalFormatting>
  <conditionalFormatting sqref="Q33:Q34">
    <cfRule type="containsText" dxfId="17590" priority="16541" operator="containsText" text="Cancelado">
      <formula>NOT(ISERROR(SEARCH("Cancelado",Q33)))</formula>
    </cfRule>
  </conditionalFormatting>
  <conditionalFormatting sqref="S33:S34">
    <cfRule type="cellIs" dxfId="17589" priority="16538" operator="equal">
      <formula>"Tramitando"</formula>
    </cfRule>
    <cfRule type="cellIs" dxfId="17588" priority="16539" operator="equal">
      <formula>"Deferido"</formula>
    </cfRule>
    <cfRule type="cellIs" dxfId="17587" priority="16540" operator="equal">
      <formula>"Indeferido"</formula>
    </cfRule>
  </conditionalFormatting>
  <conditionalFormatting sqref="S33:S34">
    <cfRule type="containsText" dxfId="17586" priority="16537" operator="containsText" text="Cancelado">
      <formula>NOT(ISERROR(SEARCH("Cancelado",S33)))</formula>
    </cfRule>
  </conditionalFormatting>
  <conditionalFormatting sqref="J35">
    <cfRule type="cellIs" dxfId="17585" priority="16533" operator="equal">
      <formula>"Tramitando"</formula>
    </cfRule>
    <cfRule type="cellIs" dxfId="17584" priority="16534" operator="equal">
      <formula>"Deferido"</formula>
    </cfRule>
    <cfRule type="cellIs" dxfId="17583" priority="16535" operator="equal">
      <formula>"Indeferido"</formula>
    </cfRule>
  </conditionalFormatting>
  <conditionalFormatting sqref="J35">
    <cfRule type="containsText" dxfId="17582" priority="16532" operator="containsText" text="Cancelado">
      <formula>NOT(ISERROR(SEARCH("Cancelado",J35)))</formula>
    </cfRule>
  </conditionalFormatting>
  <conditionalFormatting sqref="M35">
    <cfRule type="cellIs" dxfId="17581" priority="16529" operator="equal">
      <formula>"Tramitando"</formula>
    </cfRule>
    <cfRule type="cellIs" dxfId="17580" priority="16530" operator="equal">
      <formula>"Deferido"</formula>
    </cfRule>
    <cfRule type="cellIs" dxfId="17579" priority="16531" operator="equal">
      <formula>"Indeferido"</formula>
    </cfRule>
  </conditionalFormatting>
  <conditionalFormatting sqref="M35">
    <cfRule type="containsText" dxfId="17578" priority="16528" operator="containsText" text="Cancelado">
      <formula>NOT(ISERROR(SEARCH("Cancelado",M35)))</formula>
    </cfRule>
  </conditionalFormatting>
  <conditionalFormatting sqref="O35">
    <cfRule type="cellIs" dxfId="17577" priority="16525" operator="equal">
      <formula>"Tramitando"</formula>
    </cfRule>
    <cfRule type="cellIs" dxfId="17576" priority="16526" operator="equal">
      <formula>"Deferido"</formula>
    </cfRule>
    <cfRule type="cellIs" dxfId="17575" priority="16527" operator="equal">
      <formula>"Indeferido"</formula>
    </cfRule>
  </conditionalFormatting>
  <conditionalFormatting sqref="O35">
    <cfRule type="containsText" dxfId="17574" priority="16524" operator="containsText" text="Cancelado">
      <formula>NOT(ISERROR(SEARCH("Cancelado",O35)))</formula>
    </cfRule>
  </conditionalFormatting>
  <conditionalFormatting sqref="Q35">
    <cfRule type="cellIs" dxfId="17573" priority="16521" operator="equal">
      <formula>"Tramitando"</formula>
    </cfRule>
    <cfRule type="cellIs" dxfId="17572" priority="16522" operator="equal">
      <formula>"Deferido"</formula>
    </cfRule>
    <cfRule type="cellIs" dxfId="17571" priority="16523" operator="equal">
      <formula>"Indeferido"</formula>
    </cfRule>
  </conditionalFormatting>
  <conditionalFormatting sqref="Q35">
    <cfRule type="containsText" dxfId="17570" priority="16520" operator="containsText" text="Cancelado">
      <formula>NOT(ISERROR(SEARCH("Cancelado",Q35)))</formula>
    </cfRule>
  </conditionalFormatting>
  <conditionalFormatting sqref="S35">
    <cfRule type="cellIs" dxfId="17569" priority="16517" operator="equal">
      <formula>"Tramitando"</formula>
    </cfRule>
    <cfRule type="cellIs" dxfId="17568" priority="16518" operator="equal">
      <formula>"Deferido"</formula>
    </cfRule>
    <cfRule type="cellIs" dxfId="17567" priority="16519" operator="equal">
      <formula>"Indeferido"</formula>
    </cfRule>
  </conditionalFormatting>
  <conditionalFormatting sqref="S35">
    <cfRule type="containsText" dxfId="17566" priority="16516" operator="containsText" text="Cancelado">
      <formula>NOT(ISERROR(SEARCH("Cancelado",S35)))</formula>
    </cfRule>
  </conditionalFormatting>
  <conditionalFormatting sqref="J36">
    <cfRule type="cellIs" dxfId="17565" priority="16512" operator="equal">
      <formula>"Tramitando"</formula>
    </cfRule>
    <cfRule type="cellIs" dxfId="17564" priority="16513" operator="equal">
      <formula>"Deferido"</formula>
    </cfRule>
    <cfRule type="cellIs" dxfId="17563" priority="16514" operator="equal">
      <formula>"Indeferido"</formula>
    </cfRule>
  </conditionalFormatting>
  <conditionalFormatting sqref="J36">
    <cfRule type="containsText" dxfId="17562" priority="16511" operator="containsText" text="Cancelado">
      <formula>NOT(ISERROR(SEARCH("Cancelado",J36)))</formula>
    </cfRule>
  </conditionalFormatting>
  <conditionalFormatting sqref="M36">
    <cfRule type="cellIs" dxfId="17561" priority="16508" operator="equal">
      <formula>"Tramitando"</formula>
    </cfRule>
    <cfRule type="cellIs" dxfId="17560" priority="16509" operator="equal">
      <formula>"Deferido"</formula>
    </cfRule>
    <cfRule type="cellIs" dxfId="17559" priority="16510" operator="equal">
      <formula>"Indeferido"</formula>
    </cfRule>
  </conditionalFormatting>
  <conditionalFormatting sqref="M36">
    <cfRule type="containsText" dxfId="17558" priority="16507" operator="containsText" text="Cancelado">
      <formula>NOT(ISERROR(SEARCH("Cancelado",M36)))</formula>
    </cfRule>
  </conditionalFormatting>
  <conditionalFormatting sqref="O36">
    <cfRule type="cellIs" dxfId="17557" priority="16504" operator="equal">
      <formula>"Tramitando"</formula>
    </cfRule>
    <cfRule type="cellIs" dxfId="17556" priority="16505" operator="equal">
      <formula>"Deferido"</formula>
    </cfRule>
    <cfRule type="cellIs" dxfId="17555" priority="16506" operator="equal">
      <formula>"Indeferido"</formula>
    </cfRule>
  </conditionalFormatting>
  <conditionalFormatting sqref="O36">
    <cfRule type="containsText" dxfId="17554" priority="16503" operator="containsText" text="Cancelado">
      <formula>NOT(ISERROR(SEARCH("Cancelado",O36)))</formula>
    </cfRule>
  </conditionalFormatting>
  <conditionalFormatting sqref="Q36">
    <cfRule type="cellIs" dxfId="17553" priority="16500" operator="equal">
      <formula>"Tramitando"</formula>
    </cfRule>
    <cfRule type="cellIs" dxfId="17552" priority="16501" operator="equal">
      <formula>"Deferido"</formula>
    </cfRule>
    <cfRule type="cellIs" dxfId="17551" priority="16502" operator="equal">
      <formula>"Indeferido"</formula>
    </cfRule>
  </conditionalFormatting>
  <conditionalFormatting sqref="Q36">
    <cfRule type="containsText" dxfId="17550" priority="16499" operator="containsText" text="Cancelado">
      <formula>NOT(ISERROR(SEARCH("Cancelado",Q36)))</formula>
    </cfRule>
  </conditionalFormatting>
  <conditionalFormatting sqref="S36">
    <cfRule type="cellIs" dxfId="17549" priority="16496" operator="equal">
      <formula>"Tramitando"</formula>
    </cfRule>
    <cfRule type="cellIs" dxfId="17548" priority="16497" operator="equal">
      <formula>"Deferido"</formula>
    </cfRule>
    <cfRule type="cellIs" dxfId="17547" priority="16498" operator="equal">
      <formula>"Indeferido"</formula>
    </cfRule>
  </conditionalFormatting>
  <conditionalFormatting sqref="S36">
    <cfRule type="containsText" dxfId="17546" priority="16495" operator="containsText" text="Cancelado">
      <formula>NOT(ISERROR(SEARCH("Cancelado",S36)))</formula>
    </cfRule>
  </conditionalFormatting>
  <conditionalFormatting sqref="J37">
    <cfRule type="cellIs" dxfId="17545" priority="16491" operator="equal">
      <formula>"Tramitando"</formula>
    </cfRule>
    <cfRule type="cellIs" dxfId="17544" priority="16492" operator="equal">
      <formula>"Deferido"</formula>
    </cfRule>
    <cfRule type="cellIs" dxfId="17543" priority="16493" operator="equal">
      <formula>"Indeferido"</formula>
    </cfRule>
  </conditionalFormatting>
  <conditionalFormatting sqref="J37">
    <cfRule type="containsText" dxfId="17542" priority="16490" operator="containsText" text="Cancelado">
      <formula>NOT(ISERROR(SEARCH("Cancelado",J37)))</formula>
    </cfRule>
  </conditionalFormatting>
  <conditionalFormatting sqref="M37">
    <cfRule type="cellIs" dxfId="17541" priority="16487" operator="equal">
      <formula>"Tramitando"</formula>
    </cfRule>
    <cfRule type="cellIs" dxfId="17540" priority="16488" operator="equal">
      <formula>"Deferido"</formula>
    </cfRule>
    <cfRule type="cellIs" dxfId="17539" priority="16489" operator="equal">
      <formula>"Indeferido"</formula>
    </cfRule>
  </conditionalFormatting>
  <conditionalFormatting sqref="M37">
    <cfRule type="containsText" dxfId="17538" priority="16486" operator="containsText" text="Cancelado">
      <formula>NOT(ISERROR(SEARCH("Cancelado",M37)))</formula>
    </cfRule>
  </conditionalFormatting>
  <conditionalFormatting sqref="O37">
    <cfRule type="cellIs" dxfId="17537" priority="16483" operator="equal">
      <formula>"Tramitando"</formula>
    </cfRule>
    <cfRule type="cellIs" dxfId="17536" priority="16484" operator="equal">
      <formula>"Deferido"</formula>
    </cfRule>
    <cfRule type="cellIs" dxfId="17535" priority="16485" operator="equal">
      <formula>"Indeferido"</formula>
    </cfRule>
  </conditionalFormatting>
  <conditionalFormatting sqref="O37">
    <cfRule type="containsText" dxfId="17534" priority="16482" operator="containsText" text="Cancelado">
      <formula>NOT(ISERROR(SEARCH("Cancelado",O37)))</formula>
    </cfRule>
  </conditionalFormatting>
  <conditionalFormatting sqref="Q37">
    <cfRule type="cellIs" dxfId="17533" priority="16479" operator="equal">
      <formula>"Tramitando"</formula>
    </cfRule>
    <cfRule type="cellIs" dxfId="17532" priority="16480" operator="equal">
      <formula>"Deferido"</formula>
    </cfRule>
    <cfRule type="cellIs" dxfId="17531" priority="16481" operator="equal">
      <formula>"Indeferido"</formula>
    </cfRule>
  </conditionalFormatting>
  <conditionalFormatting sqref="Q37">
    <cfRule type="containsText" dxfId="17530" priority="16478" operator="containsText" text="Cancelado">
      <formula>NOT(ISERROR(SEARCH("Cancelado",Q37)))</formula>
    </cfRule>
  </conditionalFormatting>
  <conditionalFormatting sqref="S37">
    <cfRule type="cellIs" dxfId="17529" priority="16475" operator="equal">
      <formula>"Tramitando"</formula>
    </cfRule>
    <cfRule type="cellIs" dxfId="17528" priority="16476" operator="equal">
      <formula>"Deferido"</formula>
    </cfRule>
    <cfRule type="cellIs" dxfId="17527" priority="16477" operator="equal">
      <formula>"Indeferido"</formula>
    </cfRule>
  </conditionalFormatting>
  <conditionalFormatting sqref="S37">
    <cfRule type="containsText" dxfId="17526" priority="16474" operator="containsText" text="Cancelado">
      <formula>NOT(ISERROR(SEARCH("Cancelado",S37)))</formula>
    </cfRule>
  </conditionalFormatting>
  <conditionalFormatting sqref="J38">
    <cfRule type="cellIs" dxfId="17525" priority="16470" operator="equal">
      <formula>"Tramitando"</formula>
    </cfRule>
    <cfRule type="cellIs" dxfId="17524" priority="16471" operator="equal">
      <formula>"Deferido"</formula>
    </cfRule>
    <cfRule type="cellIs" dxfId="17523" priority="16472" operator="equal">
      <formula>"Indeferido"</formula>
    </cfRule>
  </conditionalFormatting>
  <conditionalFormatting sqref="J38">
    <cfRule type="containsText" dxfId="17522" priority="16469" operator="containsText" text="Cancelado">
      <formula>NOT(ISERROR(SEARCH("Cancelado",J38)))</formula>
    </cfRule>
  </conditionalFormatting>
  <conditionalFormatting sqref="M38">
    <cfRule type="cellIs" dxfId="17521" priority="16466" operator="equal">
      <formula>"Tramitando"</formula>
    </cfRule>
    <cfRule type="cellIs" dxfId="17520" priority="16467" operator="equal">
      <formula>"Deferido"</formula>
    </cfRule>
    <cfRule type="cellIs" dxfId="17519" priority="16468" operator="equal">
      <formula>"Indeferido"</formula>
    </cfRule>
  </conditionalFormatting>
  <conditionalFormatting sqref="M38">
    <cfRule type="containsText" dxfId="17518" priority="16465" operator="containsText" text="Cancelado">
      <formula>NOT(ISERROR(SEARCH("Cancelado",M38)))</formula>
    </cfRule>
  </conditionalFormatting>
  <conditionalFormatting sqref="O38">
    <cfRule type="cellIs" dxfId="17517" priority="16462" operator="equal">
      <formula>"Tramitando"</formula>
    </cfRule>
    <cfRule type="cellIs" dxfId="17516" priority="16463" operator="equal">
      <formula>"Deferido"</formula>
    </cfRule>
    <cfRule type="cellIs" dxfId="17515" priority="16464" operator="equal">
      <formula>"Indeferido"</formula>
    </cfRule>
  </conditionalFormatting>
  <conditionalFormatting sqref="O38">
    <cfRule type="containsText" dxfId="17514" priority="16461" operator="containsText" text="Cancelado">
      <formula>NOT(ISERROR(SEARCH("Cancelado",O38)))</formula>
    </cfRule>
  </conditionalFormatting>
  <conditionalFormatting sqref="Q38">
    <cfRule type="cellIs" dxfId="17513" priority="16458" operator="equal">
      <formula>"Tramitando"</formula>
    </cfRule>
    <cfRule type="cellIs" dxfId="17512" priority="16459" operator="equal">
      <formula>"Deferido"</formula>
    </cfRule>
    <cfRule type="cellIs" dxfId="17511" priority="16460" operator="equal">
      <formula>"Indeferido"</formula>
    </cfRule>
  </conditionalFormatting>
  <conditionalFormatting sqref="Q38">
    <cfRule type="containsText" dxfId="17510" priority="16457" operator="containsText" text="Cancelado">
      <formula>NOT(ISERROR(SEARCH("Cancelado",Q38)))</formula>
    </cfRule>
  </conditionalFormatting>
  <conditionalFormatting sqref="S38">
    <cfRule type="cellIs" dxfId="17509" priority="16454" operator="equal">
      <formula>"Tramitando"</formula>
    </cfRule>
    <cfRule type="cellIs" dxfId="17508" priority="16455" operator="equal">
      <formula>"Deferido"</formula>
    </cfRule>
    <cfRule type="cellIs" dxfId="17507" priority="16456" operator="equal">
      <formula>"Indeferido"</formula>
    </cfRule>
  </conditionalFormatting>
  <conditionalFormatting sqref="S38">
    <cfRule type="containsText" dxfId="17506" priority="16453" operator="containsText" text="Cancelado">
      <formula>NOT(ISERROR(SEARCH("Cancelado",S38)))</formula>
    </cfRule>
  </conditionalFormatting>
  <conditionalFormatting sqref="J39">
    <cfRule type="cellIs" dxfId="17505" priority="16449" operator="equal">
      <formula>"Tramitando"</formula>
    </cfRule>
    <cfRule type="cellIs" dxfId="17504" priority="16450" operator="equal">
      <formula>"Deferido"</formula>
    </cfRule>
    <cfRule type="cellIs" dxfId="17503" priority="16451" operator="equal">
      <formula>"Indeferido"</formula>
    </cfRule>
  </conditionalFormatting>
  <conditionalFormatting sqref="J39">
    <cfRule type="containsText" dxfId="17502" priority="16448" operator="containsText" text="Cancelado">
      <formula>NOT(ISERROR(SEARCH("Cancelado",J39)))</formula>
    </cfRule>
  </conditionalFormatting>
  <conditionalFormatting sqref="M39">
    <cfRule type="cellIs" dxfId="17501" priority="16445" operator="equal">
      <formula>"Tramitando"</formula>
    </cfRule>
    <cfRule type="cellIs" dxfId="17500" priority="16446" operator="equal">
      <formula>"Deferido"</formula>
    </cfRule>
    <cfRule type="cellIs" dxfId="17499" priority="16447" operator="equal">
      <formula>"Indeferido"</formula>
    </cfRule>
  </conditionalFormatting>
  <conditionalFormatting sqref="M39">
    <cfRule type="containsText" dxfId="17498" priority="16444" operator="containsText" text="Cancelado">
      <formula>NOT(ISERROR(SEARCH("Cancelado",M39)))</formula>
    </cfRule>
  </conditionalFormatting>
  <conditionalFormatting sqref="O39">
    <cfRule type="cellIs" dxfId="17497" priority="16441" operator="equal">
      <formula>"Tramitando"</formula>
    </cfRule>
    <cfRule type="cellIs" dxfId="17496" priority="16442" operator="equal">
      <formula>"Deferido"</formula>
    </cfRule>
    <cfRule type="cellIs" dxfId="17495" priority="16443" operator="equal">
      <formula>"Indeferido"</formula>
    </cfRule>
  </conditionalFormatting>
  <conditionalFormatting sqref="O39">
    <cfRule type="containsText" dxfId="17494" priority="16440" operator="containsText" text="Cancelado">
      <formula>NOT(ISERROR(SEARCH("Cancelado",O39)))</formula>
    </cfRule>
  </conditionalFormatting>
  <conditionalFormatting sqref="Q39">
    <cfRule type="cellIs" dxfId="17493" priority="16437" operator="equal">
      <formula>"Tramitando"</formula>
    </cfRule>
    <cfRule type="cellIs" dxfId="17492" priority="16438" operator="equal">
      <formula>"Deferido"</formula>
    </cfRule>
    <cfRule type="cellIs" dxfId="17491" priority="16439" operator="equal">
      <formula>"Indeferido"</formula>
    </cfRule>
  </conditionalFormatting>
  <conditionalFormatting sqref="Q39">
    <cfRule type="containsText" dxfId="17490" priority="16436" operator="containsText" text="Cancelado">
      <formula>NOT(ISERROR(SEARCH("Cancelado",Q39)))</formula>
    </cfRule>
  </conditionalFormatting>
  <conditionalFormatting sqref="S39">
    <cfRule type="cellIs" dxfId="17489" priority="16433" operator="equal">
      <formula>"Tramitando"</formula>
    </cfRule>
    <cfRule type="cellIs" dxfId="17488" priority="16434" operator="equal">
      <formula>"Deferido"</formula>
    </cfRule>
    <cfRule type="cellIs" dxfId="17487" priority="16435" operator="equal">
      <formula>"Indeferido"</formula>
    </cfRule>
  </conditionalFormatting>
  <conditionalFormatting sqref="S39">
    <cfRule type="containsText" dxfId="17486" priority="16432" operator="containsText" text="Cancelado">
      <formula>NOT(ISERROR(SEARCH("Cancelado",S39)))</formula>
    </cfRule>
  </conditionalFormatting>
  <conditionalFormatting sqref="J40">
    <cfRule type="cellIs" dxfId="17485" priority="16428" operator="equal">
      <formula>"Tramitando"</formula>
    </cfRule>
    <cfRule type="cellIs" dxfId="17484" priority="16429" operator="equal">
      <formula>"Deferido"</formula>
    </cfRule>
    <cfRule type="cellIs" dxfId="17483" priority="16430" operator="equal">
      <formula>"Indeferido"</formula>
    </cfRule>
  </conditionalFormatting>
  <conditionalFormatting sqref="J40">
    <cfRule type="containsText" dxfId="17482" priority="16427" operator="containsText" text="Cancelado">
      <formula>NOT(ISERROR(SEARCH("Cancelado",J40)))</formula>
    </cfRule>
  </conditionalFormatting>
  <conditionalFormatting sqref="M40">
    <cfRule type="cellIs" dxfId="17481" priority="16424" operator="equal">
      <formula>"Tramitando"</formula>
    </cfRule>
    <cfRule type="cellIs" dxfId="17480" priority="16425" operator="equal">
      <formula>"Deferido"</formula>
    </cfRule>
    <cfRule type="cellIs" dxfId="17479" priority="16426" operator="equal">
      <formula>"Indeferido"</formula>
    </cfRule>
  </conditionalFormatting>
  <conditionalFormatting sqref="M40">
    <cfRule type="containsText" dxfId="17478" priority="16423" operator="containsText" text="Cancelado">
      <formula>NOT(ISERROR(SEARCH("Cancelado",M40)))</formula>
    </cfRule>
  </conditionalFormatting>
  <conditionalFormatting sqref="O40">
    <cfRule type="cellIs" dxfId="17477" priority="16420" operator="equal">
      <formula>"Tramitando"</formula>
    </cfRule>
    <cfRule type="cellIs" dxfId="17476" priority="16421" operator="equal">
      <formula>"Deferido"</formula>
    </cfRule>
    <cfRule type="cellIs" dxfId="17475" priority="16422" operator="equal">
      <formula>"Indeferido"</formula>
    </cfRule>
  </conditionalFormatting>
  <conditionalFormatting sqref="O40">
    <cfRule type="containsText" dxfId="17474" priority="16419" operator="containsText" text="Cancelado">
      <formula>NOT(ISERROR(SEARCH("Cancelado",O40)))</formula>
    </cfRule>
  </conditionalFormatting>
  <conditionalFormatting sqref="Q40">
    <cfRule type="cellIs" dxfId="17473" priority="16416" operator="equal">
      <formula>"Tramitando"</formula>
    </cfRule>
    <cfRule type="cellIs" dxfId="17472" priority="16417" operator="equal">
      <formula>"Deferido"</formula>
    </cfRule>
    <cfRule type="cellIs" dxfId="17471" priority="16418" operator="equal">
      <formula>"Indeferido"</formula>
    </cfRule>
  </conditionalFormatting>
  <conditionalFormatting sqref="Q40">
    <cfRule type="containsText" dxfId="17470" priority="16415" operator="containsText" text="Cancelado">
      <formula>NOT(ISERROR(SEARCH("Cancelado",Q40)))</formula>
    </cfRule>
  </conditionalFormatting>
  <conditionalFormatting sqref="S40">
    <cfRule type="cellIs" dxfId="17469" priority="16412" operator="equal">
      <formula>"Tramitando"</formula>
    </cfRule>
    <cfRule type="cellIs" dxfId="17468" priority="16413" operator="equal">
      <formula>"Deferido"</formula>
    </cfRule>
    <cfRule type="cellIs" dxfId="17467" priority="16414" operator="equal">
      <formula>"Indeferido"</formula>
    </cfRule>
  </conditionalFormatting>
  <conditionalFormatting sqref="S40">
    <cfRule type="containsText" dxfId="17466" priority="16411" operator="containsText" text="Cancelado">
      <formula>NOT(ISERROR(SEARCH("Cancelado",S40)))</formula>
    </cfRule>
  </conditionalFormatting>
  <conditionalFormatting sqref="J41:J42">
    <cfRule type="cellIs" dxfId="17465" priority="16407" operator="equal">
      <formula>"Tramitando"</formula>
    </cfRule>
    <cfRule type="cellIs" dxfId="17464" priority="16408" operator="equal">
      <formula>"Deferido"</formula>
    </cfRule>
    <cfRule type="cellIs" dxfId="17463" priority="16409" operator="equal">
      <formula>"Indeferido"</formula>
    </cfRule>
  </conditionalFormatting>
  <conditionalFormatting sqref="J41:J42">
    <cfRule type="containsText" dxfId="17462" priority="16406" operator="containsText" text="Cancelado">
      <formula>NOT(ISERROR(SEARCH("Cancelado",J41)))</formula>
    </cfRule>
  </conditionalFormatting>
  <conditionalFormatting sqref="M41:M42">
    <cfRule type="cellIs" dxfId="17461" priority="16403" operator="equal">
      <formula>"Tramitando"</formula>
    </cfRule>
    <cfRule type="cellIs" dxfId="17460" priority="16404" operator="equal">
      <formula>"Deferido"</formula>
    </cfRule>
    <cfRule type="cellIs" dxfId="17459" priority="16405" operator="equal">
      <formula>"Indeferido"</formula>
    </cfRule>
  </conditionalFormatting>
  <conditionalFormatting sqref="M41:M42">
    <cfRule type="containsText" dxfId="17458" priority="16402" operator="containsText" text="Cancelado">
      <formula>NOT(ISERROR(SEARCH("Cancelado",M41)))</formula>
    </cfRule>
  </conditionalFormatting>
  <conditionalFormatting sqref="O41:O42">
    <cfRule type="cellIs" dxfId="17457" priority="16399" operator="equal">
      <formula>"Tramitando"</formula>
    </cfRule>
    <cfRule type="cellIs" dxfId="17456" priority="16400" operator="equal">
      <formula>"Deferido"</formula>
    </cfRule>
    <cfRule type="cellIs" dxfId="17455" priority="16401" operator="equal">
      <formula>"Indeferido"</formula>
    </cfRule>
  </conditionalFormatting>
  <conditionalFormatting sqref="O41:O42">
    <cfRule type="containsText" dxfId="17454" priority="16398" operator="containsText" text="Cancelado">
      <formula>NOT(ISERROR(SEARCH("Cancelado",O41)))</formula>
    </cfRule>
  </conditionalFormatting>
  <conditionalFormatting sqref="Q41:Q42">
    <cfRule type="cellIs" dxfId="17453" priority="16395" operator="equal">
      <formula>"Tramitando"</formula>
    </cfRule>
    <cfRule type="cellIs" dxfId="17452" priority="16396" operator="equal">
      <formula>"Deferido"</formula>
    </cfRule>
    <cfRule type="cellIs" dxfId="17451" priority="16397" operator="equal">
      <formula>"Indeferido"</formula>
    </cfRule>
  </conditionalFormatting>
  <conditionalFormatting sqref="Q41:Q42">
    <cfRule type="containsText" dxfId="17450" priority="16394" operator="containsText" text="Cancelado">
      <formula>NOT(ISERROR(SEARCH("Cancelado",Q41)))</formula>
    </cfRule>
  </conditionalFormatting>
  <conditionalFormatting sqref="S41:S42">
    <cfRule type="cellIs" dxfId="17449" priority="16391" operator="equal">
      <formula>"Tramitando"</formula>
    </cfRule>
    <cfRule type="cellIs" dxfId="17448" priority="16392" operator="equal">
      <formula>"Deferido"</formula>
    </cfRule>
    <cfRule type="cellIs" dxfId="17447" priority="16393" operator="equal">
      <formula>"Indeferido"</formula>
    </cfRule>
  </conditionalFormatting>
  <conditionalFormatting sqref="S41:S42">
    <cfRule type="containsText" dxfId="17446" priority="16390" operator="containsText" text="Cancelado">
      <formula>NOT(ISERROR(SEARCH("Cancelado",S41)))</formula>
    </cfRule>
  </conditionalFormatting>
  <conditionalFormatting sqref="J43:J44">
    <cfRule type="cellIs" dxfId="17445" priority="16386" operator="equal">
      <formula>"Tramitando"</formula>
    </cfRule>
    <cfRule type="cellIs" dxfId="17444" priority="16387" operator="equal">
      <formula>"Deferido"</formula>
    </cfRule>
    <cfRule type="cellIs" dxfId="17443" priority="16388" operator="equal">
      <formula>"Indeferido"</formula>
    </cfRule>
  </conditionalFormatting>
  <conditionalFormatting sqref="J43:J44">
    <cfRule type="containsText" dxfId="17442" priority="16385" operator="containsText" text="Cancelado">
      <formula>NOT(ISERROR(SEARCH("Cancelado",J43)))</formula>
    </cfRule>
  </conditionalFormatting>
  <conditionalFormatting sqref="M43:M44">
    <cfRule type="cellIs" dxfId="17441" priority="16382" operator="equal">
      <formula>"Tramitando"</formula>
    </cfRule>
    <cfRule type="cellIs" dxfId="17440" priority="16383" operator="equal">
      <formula>"Deferido"</formula>
    </cfRule>
    <cfRule type="cellIs" dxfId="17439" priority="16384" operator="equal">
      <formula>"Indeferido"</formula>
    </cfRule>
  </conditionalFormatting>
  <conditionalFormatting sqref="M43:M44">
    <cfRule type="containsText" dxfId="17438" priority="16381" operator="containsText" text="Cancelado">
      <formula>NOT(ISERROR(SEARCH("Cancelado",M43)))</formula>
    </cfRule>
  </conditionalFormatting>
  <conditionalFormatting sqref="O43:O44">
    <cfRule type="cellIs" dxfId="17437" priority="16378" operator="equal">
      <formula>"Tramitando"</formula>
    </cfRule>
    <cfRule type="cellIs" dxfId="17436" priority="16379" operator="equal">
      <formula>"Deferido"</formula>
    </cfRule>
    <cfRule type="cellIs" dxfId="17435" priority="16380" operator="equal">
      <formula>"Indeferido"</formula>
    </cfRule>
  </conditionalFormatting>
  <conditionalFormatting sqref="O43:O44">
    <cfRule type="containsText" dxfId="17434" priority="16377" operator="containsText" text="Cancelado">
      <formula>NOT(ISERROR(SEARCH("Cancelado",O43)))</formula>
    </cfRule>
  </conditionalFormatting>
  <conditionalFormatting sqref="Q43:Q44">
    <cfRule type="cellIs" dxfId="17433" priority="16374" operator="equal">
      <formula>"Tramitando"</formula>
    </cfRule>
    <cfRule type="cellIs" dxfId="17432" priority="16375" operator="equal">
      <formula>"Deferido"</formula>
    </cfRule>
    <cfRule type="cellIs" dxfId="17431" priority="16376" operator="equal">
      <formula>"Indeferido"</formula>
    </cfRule>
  </conditionalFormatting>
  <conditionalFormatting sqref="Q43:Q44">
    <cfRule type="containsText" dxfId="17430" priority="16373" operator="containsText" text="Cancelado">
      <formula>NOT(ISERROR(SEARCH("Cancelado",Q43)))</formula>
    </cfRule>
  </conditionalFormatting>
  <conditionalFormatting sqref="S43:S44">
    <cfRule type="cellIs" dxfId="17429" priority="16370" operator="equal">
      <formula>"Tramitando"</formula>
    </cfRule>
    <cfRule type="cellIs" dxfId="17428" priority="16371" operator="equal">
      <formula>"Deferido"</formula>
    </cfRule>
    <cfRule type="cellIs" dxfId="17427" priority="16372" operator="equal">
      <formula>"Indeferido"</formula>
    </cfRule>
  </conditionalFormatting>
  <conditionalFormatting sqref="S43:S44">
    <cfRule type="containsText" dxfId="17426" priority="16369" operator="containsText" text="Cancelado">
      <formula>NOT(ISERROR(SEARCH("Cancelado",S43)))</formula>
    </cfRule>
  </conditionalFormatting>
  <conditionalFormatting sqref="J45">
    <cfRule type="cellIs" dxfId="17425" priority="16365" operator="equal">
      <formula>"Tramitando"</formula>
    </cfRule>
    <cfRule type="cellIs" dxfId="17424" priority="16366" operator="equal">
      <formula>"Deferido"</formula>
    </cfRule>
    <cfRule type="cellIs" dxfId="17423" priority="16367" operator="equal">
      <formula>"Indeferido"</formula>
    </cfRule>
  </conditionalFormatting>
  <conditionalFormatting sqref="J45">
    <cfRule type="containsText" dxfId="17422" priority="16364" operator="containsText" text="Cancelado">
      <formula>NOT(ISERROR(SEARCH("Cancelado",J45)))</formula>
    </cfRule>
  </conditionalFormatting>
  <conditionalFormatting sqref="M45">
    <cfRule type="cellIs" dxfId="17421" priority="16361" operator="equal">
      <formula>"Tramitando"</formula>
    </cfRule>
    <cfRule type="cellIs" dxfId="17420" priority="16362" operator="equal">
      <formula>"Deferido"</formula>
    </cfRule>
    <cfRule type="cellIs" dxfId="17419" priority="16363" operator="equal">
      <formula>"Indeferido"</formula>
    </cfRule>
  </conditionalFormatting>
  <conditionalFormatting sqref="M45">
    <cfRule type="containsText" dxfId="17418" priority="16360" operator="containsText" text="Cancelado">
      <formula>NOT(ISERROR(SEARCH("Cancelado",M45)))</formula>
    </cfRule>
  </conditionalFormatting>
  <conditionalFormatting sqref="O45">
    <cfRule type="cellIs" dxfId="17417" priority="16357" operator="equal">
      <formula>"Tramitando"</formula>
    </cfRule>
    <cfRule type="cellIs" dxfId="17416" priority="16358" operator="equal">
      <formula>"Deferido"</formula>
    </cfRule>
    <cfRule type="cellIs" dxfId="17415" priority="16359" operator="equal">
      <formula>"Indeferido"</formula>
    </cfRule>
  </conditionalFormatting>
  <conditionalFormatting sqref="O45">
    <cfRule type="containsText" dxfId="17414" priority="16356" operator="containsText" text="Cancelado">
      <formula>NOT(ISERROR(SEARCH("Cancelado",O45)))</formula>
    </cfRule>
  </conditionalFormatting>
  <conditionalFormatting sqref="Q45">
    <cfRule type="cellIs" dxfId="17413" priority="16353" operator="equal">
      <formula>"Tramitando"</formula>
    </cfRule>
    <cfRule type="cellIs" dxfId="17412" priority="16354" operator="equal">
      <formula>"Deferido"</formula>
    </cfRule>
    <cfRule type="cellIs" dxfId="17411" priority="16355" operator="equal">
      <formula>"Indeferido"</formula>
    </cfRule>
  </conditionalFormatting>
  <conditionalFormatting sqref="Q45">
    <cfRule type="containsText" dxfId="17410" priority="16352" operator="containsText" text="Cancelado">
      <formula>NOT(ISERROR(SEARCH("Cancelado",Q45)))</formula>
    </cfRule>
  </conditionalFormatting>
  <conditionalFormatting sqref="S45">
    <cfRule type="cellIs" dxfId="17409" priority="16349" operator="equal">
      <formula>"Tramitando"</formula>
    </cfRule>
    <cfRule type="cellIs" dxfId="17408" priority="16350" operator="equal">
      <formula>"Deferido"</formula>
    </cfRule>
    <cfRule type="cellIs" dxfId="17407" priority="16351" operator="equal">
      <formula>"Indeferido"</formula>
    </cfRule>
  </conditionalFormatting>
  <conditionalFormatting sqref="S45">
    <cfRule type="containsText" dxfId="17406" priority="16348" operator="containsText" text="Cancelado">
      <formula>NOT(ISERROR(SEARCH("Cancelado",S45)))</formula>
    </cfRule>
  </conditionalFormatting>
  <conditionalFormatting sqref="J46">
    <cfRule type="cellIs" dxfId="17405" priority="16344" operator="equal">
      <formula>"Tramitando"</formula>
    </cfRule>
    <cfRule type="cellIs" dxfId="17404" priority="16345" operator="equal">
      <formula>"Deferido"</formula>
    </cfRule>
    <cfRule type="cellIs" dxfId="17403" priority="16346" operator="equal">
      <formula>"Indeferido"</formula>
    </cfRule>
  </conditionalFormatting>
  <conditionalFormatting sqref="J46">
    <cfRule type="containsText" dxfId="17402" priority="16343" operator="containsText" text="Cancelado">
      <formula>NOT(ISERROR(SEARCH("Cancelado",J46)))</formula>
    </cfRule>
  </conditionalFormatting>
  <conditionalFormatting sqref="M46">
    <cfRule type="cellIs" dxfId="17401" priority="16340" operator="equal">
      <formula>"Tramitando"</formula>
    </cfRule>
    <cfRule type="cellIs" dxfId="17400" priority="16341" operator="equal">
      <formula>"Deferido"</formula>
    </cfRule>
    <cfRule type="cellIs" dxfId="17399" priority="16342" operator="equal">
      <formula>"Indeferido"</formula>
    </cfRule>
  </conditionalFormatting>
  <conditionalFormatting sqref="M46">
    <cfRule type="containsText" dxfId="17398" priority="16339" operator="containsText" text="Cancelado">
      <formula>NOT(ISERROR(SEARCH("Cancelado",M46)))</formula>
    </cfRule>
  </conditionalFormatting>
  <conditionalFormatting sqref="O46">
    <cfRule type="cellIs" dxfId="17397" priority="16336" operator="equal">
      <formula>"Tramitando"</formula>
    </cfRule>
    <cfRule type="cellIs" dxfId="17396" priority="16337" operator="equal">
      <formula>"Deferido"</formula>
    </cfRule>
    <cfRule type="cellIs" dxfId="17395" priority="16338" operator="equal">
      <formula>"Indeferido"</formula>
    </cfRule>
  </conditionalFormatting>
  <conditionalFormatting sqref="O46">
    <cfRule type="containsText" dxfId="17394" priority="16335" operator="containsText" text="Cancelado">
      <formula>NOT(ISERROR(SEARCH("Cancelado",O46)))</formula>
    </cfRule>
  </conditionalFormatting>
  <conditionalFormatting sqref="Q46">
    <cfRule type="cellIs" dxfId="17393" priority="16332" operator="equal">
      <formula>"Tramitando"</formula>
    </cfRule>
    <cfRule type="cellIs" dxfId="17392" priority="16333" operator="equal">
      <formula>"Deferido"</formula>
    </cfRule>
    <cfRule type="cellIs" dxfId="17391" priority="16334" operator="equal">
      <formula>"Indeferido"</formula>
    </cfRule>
  </conditionalFormatting>
  <conditionalFormatting sqref="Q46">
    <cfRule type="containsText" dxfId="17390" priority="16331" operator="containsText" text="Cancelado">
      <formula>NOT(ISERROR(SEARCH("Cancelado",Q46)))</formula>
    </cfRule>
  </conditionalFormatting>
  <conditionalFormatting sqref="S46">
    <cfRule type="cellIs" dxfId="17389" priority="16328" operator="equal">
      <formula>"Tramitando"</formula>
    </cfRule>
    <cfRule type="cellIs" dxfId="17388" priority="16329" operator="equal">
      <formula>"Deferido"</formula>
    </cfRule>
    <cfRule type="cellIs" dxfId="17387" priority="16330" operator="equal">
      <formula>"Indeferido"</formula>
    </cfRule>
  </conditionalFormatting>
  <conditionalFormatting sqref="S46">
    <cfRule type="containsText" dxfId="17386" priority="16327" operator="containsText" text="Cancelado">
      <formula>NOT(ISERROR(SEARCH("Cancelado",S46)))</formula>
    </cfRule>
  </conditionalFormatting>
  <conditionalFormatting sqref="J47">
    <cfRule type="cellIs" dxfId="17385" priority="16323" operator="equal">
      <formula>"Tramitando"</formula>
    </cfRule>
    <cfRule type="cellIs" dxfId="17384" priority="16324" operator="equal">
      <formula>"Deferido"</formula>
    </cfRule>
    <cfRule type="cellIs" dxfId="17383" priority="16325" operator="equal">
      <formula>"Indeferido"</formula>
    </cfRule>
  </conditionalFormatting>
  <conditionalFormatting sqref="J47">
    <cfRule type="containsText" dxfId="17382" priority="16322" operator="containsText" text="Cancelado">
      <formula>NOT(ISERROR(SEARCH("Cancelado",J47)))</formula>
    </cfRule>
  </conditionalFormatting>
  <conditionalFormatting sqref="M47">
    <cfRule type="cellIs" dxfId="17381" priority="16319" operator="equal">
      <formula>"Tramitando"</formula>
    </cfRule>
    <cfRule type="cellIs" dxfId="17380" priority="16320" operator="equal">
      <formula>"Deferido"</formula>
    </cfRule>
    <cfRule type="cellIs" dxfId="17379" priority="16321" operator="equal">
      <formula>"Indeferido"</formula>
    </cfRule>
  </conditionalFormatting>
  <conditionalFormatting sqref="M47">
    <cfRule type="containsText" dxfId="17378" priority="16318" operator="containsText" text="Cancelado">
      <formula>NOT(ISERROR(SEARCH("Cancelado",M47)))</formula>
    </cfRule>
  </conditionalFormatting>
  <conditionalFormatting sqref="O47">
    <cfRule type="cellIs" dxfId="17377" priority="16315" operator="equal">
      <formula>"Tramitando"</formula>
    </cfRule>
    <cfRule type="cellIs" dxfId="17376" priority="16316" operator="equal">
      <formula>"Deferido"</formula>
    </cfRule>
    <cfRule type="cellIs" dxfId="17375" priority="16317" operator="equal">
      <formula>"Indeferido"</formula>
    </cfRule>
  </conditionalFormatting>
  <conditionalFormatting sqref="O47">
    <cfRule type="containsText" dxfId="17374" priority="16314" operator="containsText" text="Cancelado">
      <formula>NOT(ISERROR(SEARCH("Cancelado",O47)))</formula>
    </cfRule>
  </conditionalFormatting>
  <conditionalFormatting sqref="Q47">
    <cfRule type="cellIs" dxfId="17373" priority="16311" operator="equal">
      <formula>"Tramitando"</formula>
    </cfRule>
    <cfRule type="cellIs" dxfId="17372" priority="16312" operator="equal">
      <formula>"Deferido"</formula>
    </cfRule>
    <cfRule type="cellIs" dxfId="17371" priority="16313" operator="equal">
      <formula>"Indeferido"</formula>
    </cfRule>
  </conditionalFormatting>
  <conditionalFormatting sqref="Q47">
    <cfRule type="containsText" dxfId="17370" priority="16310" operator="containsText" text="Cancelado">
      <formula>NOT(ISERROR(SEARCH("Cancelado",Q47)))</formula>
    </cfRule>
  </conditionalFormatting>
  <conditionalFormatting sqref="S47">
    <cfRule type="cellIs" dxfId="17369" priority="16307" operator="equal">
      <formula>"Tramitando"</formula>
    </cfRule>
    <cfRule type="cellIs" dxfId="17368" priority="16308" operator="equal">
      <formula>"Deferido"</formula>
    </cfRule>
    <cfRule type="cellIs" dxfId="17367" priority="16309" operator="equal">
      <formula>"Indeferido"</formula>
    </cfRule>
  </conditionalFormatting>
  <conditionalFormatting sqref="S47">
    <cfRule type="containsText" dxfId="17366" priority="16306" operator="containsText" text="Cancelado">
      <formula>NOT(ISERROR(SEARCH("Cancelado",S47)))</formula>
    </cfRule>
  </conditionalFormatting>
  <conditionalFormatting sqref="J48">
    <cfRule type="cellIs" dxfId="17365" priority="16302" operator="equal">
      <formula>"Tramitando"</formula>
    </cfRule>
    <cfRule type="cellIs" dxfId="17364" priority="16303" operator="equal">
      <formula>"Deferido"</formula>
    </cfRule>
    <cfRule type="cellIs" dxfId="17363" priority="16304" operator="equal">
      <formula>"Indeferido"</formula>
    </cfRule>
  </conditionalFormatting>
  <conditionalFormatting sqref="J48">
    <cfRule type="containsText" dxfId="17362" priority="16301" operator="containsText" text="Cancelado">
      <formula>NOT(ISERROR(SEARCH("Cancelado",J48)))</formula>
    </cfRule>
  </conditionalFormatting>
  <conditionalFormatting sqref="M48">
    <cfRule type="cellIs" dxfId="17361" priority="16298" operator="equal">
      <formula>"Tramitando"</formula>
    </cfRule>
    <cfRule type="cellIs" dxfId="17360" priority="16299" operator="equal">
      <formula>"Deferido"</formula>
    </cfRule>
    <cfRule type="cellIs" dxfId="17359" priority="16300" operator="equal">
      <formula>"Indeferido"</formula>
    </cfRule>
  </conditionalFormatting>
  <conditionalFormatting sqref="M48">
    <cfRule type="containsText" dxfId="17358" priority="16297" operator="containsText" text="Cancelado">
      <formula>NOT(ISERROR(SEARCH("Cancelado",M48)))</formula>
    </cfRule>
  </conditionalFormatting>
  <conditionalFormatting sqref="O48">
    <cfRule type="cellIs" dxfId="17357" priority="16294" operator="equal">
      <formula>"Tramitando"</formula>
    </cfRule>
    <cfRule type="cellIs" dxfId="17356" priority="16295" operator="equal">
      <formula>"Deferido"</formula>
    </cfRule>
    <cfRule type="cellIs" dxfId="17355" priority="16296" operator="equal">
      <formula>"Indeferido"</formula>
    </cfRule>
  </conditionalFormatting>
  <conditionalFormatting sqref="O48">
    <cfRule type="containsText" dxfId="17354" priority="16293" operator="containsText" text="Cancelado">
      <formula>NOT(ISERROR(SEARCH("Cancelado",O48)))</formula>
    </cfRule>
  </conditionalFormatting>
  <conditionalFormatting sqref="Q48">
    <cfRule type="cellIs" dxfId="17353" priority="16290" operator="equal">
      <formula>"Tramitando"</formula>
    </cfRule>
    <cfRule type="cellIs" dxfId="17352" priority="16291" operator="equal">
      <formula>"Deferido"</formula>
    </cfRule>
    <cfRule type="cellIs" dxfId="17351" priority="16292" operator="equal">
      <formula>"Indeferido"</formula>
    </cfRule>
  </conditionalFormatting>
  <conditionalFormatting sqref="Q48">
    <cfRule type="containsText" dxfId="17350" priority="16289" operator="containsText" text="Cancelado">
      <formula>NOT(ISERROR(SEARCH("Cancelado",Q48)))</formula>
    </cfRule>
  </conditionalFormatting>
  <conditionalFormatting sqref="S48">
    <cfRule type="cellIs" dxfId="17349" priority="16286" operator="equal">
      <formula>"Tramitando"</formula>
    </cfRule>
    <cfRule type="cellIs" dxfId="17348" priority="16287" operator="equal">
      <formula>"Deferido"</formula>
    </cfRule>
    <cfRule type="cellIs" dxfId="17347" priority="16288" operator="equal">
      <formula>"Indeferido"</formula>
    </cfRule>
  </conditionalFormatting>
  <conditionalFormatting sqref="S48">
    <cfRule type="containsText" dxfId="17346" priority="16285" operator="containsText" text="Cancelado">
      <formula>NOT(ISERROR(SEARCH("Cancelado",S48)))</formula>
    </cfRule>
  </conditionalFormatting>
  <conditionalFormatting sqref="J49">
    <cfRule type="cellIs" dxfId="17345" priority="16281" operator="equal">
      <formula>"Tramitando"</formula>
    </cfRule>
    <cfRule type="cellIs" dxfId="17344" priority="16282" operator="equal">
      <formula>"Deferido"</formula>
    </cfRule>
    <cfRule type="cellIs" dxfId="17343" priority="16283" operator="equal">
      <formula>"Indeferido"</formula>
    </cfRule>
  </conditionalFormatting>
  <conditionalFormatting sqref="J49">
    <cfRule type="containsText" dxfId="17342" priority="16280" operator="containsText" text="Cancelado">
      <formula>NOT(ISERROR(SEARCH("Cancelado",J49)))</formula>
    </cfRule>
  </conditionalFormatting>
  <conditionalFormatting sqref="M49">
    <cfRule type="cellIs" dxfId="17341" priority="16277" operator="equal">
      <formula>"Tramitando"</formula>
    </cfRule>
    <cfRule type="cellIs" dxfId="17340" priority="16278" operator="equal">
      <formula>"Deferido"</formula>
    </cfRule>
    <cfRule type="cellIs" dxfId="17339" priority="16279" operator="equal">
      <formula>"Indeferido"</formula>
    </cfRule>
  </conditionalFormatting>
  <conditionalFormatting sqref="M49">
    <cfRule type="containsText" dxfId="17338" priority="16276" operator="containsText" text="Cancelado">
      <formula>NOT(ISERROR(SEARCH("Cancelado",M49)))</formula>
    </cfRule>
  </conditionalFormatting>
  <conditionalFormatting sqref="O49">
    <cfRule type="cellIs" dxfId="17337" priority="16273" operator="equal">
      <formula>"Tramitando"</formula>
    </cfRule>
    <cfRule type="cellIs" dxfId="17336" priority="16274" operator="equal">
      <formula>"Deferido"</formula>
    </cfRule>
    <cfRule type="cellIs" dxfId="17335" priority="16275" operator="equal">
      <formula>"Indeferido"</formula>
    </cfRule>
  </conditionalFormatting>
  <conditionalFormatting sqref="O49">
    <cfRule type="containsText" dxfId="17334" priority="16272" operator="containsText" text="Cancelado">
      <formula>NOT(ISERROR(SEARCH("Cancelado",O49)))</formula>
    </cfRule>
  </conditionalFormatting>
  <conditionalFormatting sqref="Q49">
    <cfRule type="cellIs" dxfId="17333" priority="16269" operator="equal">
      <formula>"Tramitando"</formula>
    </cfRule>
    <cfRule type="cellIs" dxfId="17332" priority="16270" operator="equal">
      <formula>"Deferido"</formula>
    </cfRule>
    <cfRule type="cellIs" dxfId="17331" priority="16271" operator="equal">
      <formula>"Indeferido"</formula>
    </cfRule>
  </conditionalFormatting>
  <conditionalFormatting sqref="Q49">
    <cfRule type="containsText" dxfId="17330" priority="16268" operator="containsText" text="Cancelado">
      <formula>NOT(ISERROR(SEARCH("Cancelado",Q49)))</formula>
    </cfRule>
  </conditionalFormatting>
  <conditionalFormatting sqref="S49">
    <cfRule type="cellIs" dxfId="17329" priority="16265" operator="equal">
      <formula>"Tramitando"</formula>
    </cfRule>
    <cfRule type="cellIs" dxfId="17328" priority="16266" operator="equal">
      <formula>"Deferido"</formula>
    </cfRule>
    <cfRule type="cellIs" dxfId="17327" priority="16267" operator="equal">
      <formula>"Indeferido"</formula>
    </cfRule>
  </conditionalFormatting>
  <conditionalFormatting sqref="S49">
    <cfRule type="containsText" dxfId="17326" priority="16264" operator="containsText" text="Cancelado">
      <formula>NOT(ISERROR(SEARCH("Cancelado",S49)))</formula>
    </cfRule>
  </conditionalFormatting>
  <conditionalFormatting sqref="J50">
    <cfRule type="cellIs" dxfId="17325" priority="16260" operator="equal">
      <formula>"Tramitando"</formula>
    </cfRule>
    <cfRule type="cellIs" dxfId="17324" priority="16261" operator="equal">
      <formula>"Deferido"</formula>
    </cfRule>
    <cfRule type="cellIs" dxfId="17323" priority="16262" operator="equal">
      <formula>"Indeferido"</formula>
    </cfRule>
  </conditionalFormatting>
  <conditionalFormatting sqref="J50">
    <cfRule type="containsText" dxfId="17322" priority="16259" operator="containsText" text="Cancelado">
      <formula>NOT(ISERROR(SEARCH("Cancelado",J50)))</formula>
    </cfRule>
  </conditionalFormatting>
  <conditionalFormatting sqref="M50">
    <cfRule type="cellIs" dxfId="17321" priority="16256" operator="equal">
      <formula>"Tramitando"</formula>
    </cfRule>
    <cfRule type="cellIs" dxfId="17320" priority="16257" operator="equal">
      <formula>"Deferido"</formula>
    </cfRule>
    <cfRule type="cellIs" dxfId="17319" priority="16258" operator="equal">
      <formula>"Indeferido"</formula>
    </cfRule>
  </conditionalFormatting>
  <conditionalFormatting sqref="M50">
    <cfRule type="containsText" dxfId="17318" priority="16255" operator="containsText" text="Cancelado">
      <formula>NOT(ISERROR(SEARCH("Cancelado",M50)))</formula>
    </cfRule>
  </conditionalFormatting>
  <conditionalFormatting sqref="O50">
    <cfRule type="cellIs" dxfId="17317" priority="16252" operator="equal">
      <formula>"Tramitando"</formula>
    </cfRule>
    <cfRule type="cellIs" dxfId="17316" priority="16253" operator="equal">
      <formula>"Deferido"</formula>
    </cfRule>
    <cfRule type="cellIs" dxfId="17315" priority="16254" operator="equal">
      <formula>"Indeferido"</formula>
    </cfRule>
  </conditionalFormatting>
  <conditionalFormatting sqref="O50">
    <cfRule type="containsText" dxfId="17314" priority="16251" operator="containsText" text="Cancelado">
      <formula>NOT(ISERROR(SEARCH("Cancelado",O50)))</formula>
    </cfRule>
  </conditionalFormatting>
  <conditionalFormatting sqref="Q50">
    <cfRule type="cellIs" dxfId="17313" priority="16248" operator="equal">
      <formula>"Tramitando"</formula>
    </cfRule>
    <cfRule type="cellIs" dxfId="17312" priority="16249" operator="equal">
      <formula>"Deferido"</formula>
    </cfRule>
    <cfRule type="cellIs" dxfId="17311" priority="16250" operator="equal">
      <formula>"Indeferido"</formula>
    </cfRule>
  </conditionalFormatting>
  <conditionalFormatting sqref="Q50">
    <cfRule type="containsText" dxfId="17310" priority="16247" operator="containsText" text="Cancelado">
      <formula>NOT(ISERROR(SEARCH("Cancelado",Q50)))</formula>
    </cfRule>
  </conditionalFormatting>
  <conditionalFormatting sqref="S50">
    <cfRule type="cellIs" dxfId="17309" priority="16244" operator="equal">
      <formula>"Tramitando"</formula>
    </cfRule>
    <cfRule type="cellIs" dxfId="17308" priority="16245" operator="equal">
      <formula>"Deferido"</formula>
    </cfRule>
    <cfRule type="cellIs" dxfId="17307" priority="16246" operator="equal">
      <formula>"Indeferido"</formula>
    </cfRule>
  </conditionalFormatting>
  <conditionalFormatting sqref="S50">
    <cfRule type="containsText" dxfId="17306" priority="16243" operator="containsText" text="Cancelado">
      <formula>NOT(ISERROR(SEARCH("Cancelado",S50)))</formula>
    </cfRule>
  </conditionalFormatting>
  <conditionalFormatting sqref="J51">
    <cfRule type="cellIs" dxfId="17305" priority="16239" operator="equal">
      <formula>"Tramitando"</formula>
    </cfRule>
    <cfRule type="cellIs" dxfId="17304" priority="16240" operator="equal">
      <formula>"Deferido"</formula>
    </cfRule>
    <cfRule type="cellIs" dxfId="17303" priority="16241" operator="equal">
      <formula>"Indeferido"</formula>
    </cfRule>
  </conditionalFormatting>
  <conditionalFormatting sqref="J51">
    <cfRule type="containsText" dxfId="17302" priority="16238" operator="containsText" text="Cancelado">
      <formula>NOT(ISERROR(SEARCH("Cancelado",J51)))</formula>
    </cfRule>
  </conditionalFormatting>
  <conditionalFormatting sqref="M51">
    <cfRule type="cellIs" dxfId="17301" priority="16235" operator="equal">
      <formula>"Tramitando"</formula>
    </cfRule>
    <cfRule type="cellIs" dxfId="17300" priority="16236" operator="equal">
      <formula>"Deferido"</formula>
    </cfRule>
    <cfRule type="cellIs" dxfId="17299" priority="16237" operator="equal">
      <formula>"Indeferido"</formula>
    </cfRule>
  </conditionalFormatting>
  <conditionalFormatting sqref="M51">
    <cfRule type="containsText" dxfId="17298" priority="16234" operator="containsText" text="Cancelado">
      <formula>NOT(ISERROR(SEARCH("Cancelado",M51)))</formula>
    </cfRule>
  </conditionalFormatting>
  <conditionalFormatting sqref="O51">
    <cfRule type="cellIs" dxfId="17297" priority="16231" operator="equal">
      <formula>"Tramitando"</formula>
    </cfRule>
    <cfRule type="cellIs" dxfId="17296" priority="16232" operator="equal">
      <formula>"Deferido"</formula>
    </cfRule>
    <cfRule type="cellIs" dxfId="17295" priority="16233" operator="equal">
      <formula>"Indeferido"</formula>
    </cfRule>
  </conditionalFormatting>
  <conditionalFormatting sqref="O51">
    <cfRule type="containsText" dxfId="17294" priority="16230" operator="containsText" text="Cancelado">
      <formula>NOT(ISERROR(SEARCH("Cancelado",O51)))</formula>
    </cfRule>
  </conditionalFormatting>
  <conditionalFormatting sqref="Q51">
    <cfRule type="cellIs" dxfId="17293" priority="16227" operator="equal">
      <formula>"Tramitando"</formula>
    </cfRule>
    <cfRule type="cellIs" dxfId="17292" priority="16228" operator="equal">
      <formula>"Deferido"</formula>
    </cfRule>
    <cfRule type="cellIs" dxfId="17291" priority="16229" operator="equal">
      <formula>"Indeferido"</formula>
    </cfRule>
  </conditionalFormatting>
  <conditionalFormatting sqref="Q51">
    <cfRule type="containsText" dxfId="17290" priority="16226" operator="containsText" text="Cancelado">
      <formula>NOT(ISERROR(SEARCH("Cancelado",Q51)))</formula>
    </cfRule>
  </conditionalFormatting>
  <conditionalFormatting sqref="S51">
    <cfRule type="cellIs" dxfId="17289" priority="16223" operator="equal">
      <formula>"Tramitando"</formula>
    </cfRule>
    <cfRule type="cellIs" dxfId="17288" priority="16224" operator="equal">
      <formula>"Deferido"</formula>
    </cfRule>
    <cfRule type="cellIs" dxfId="17287" priority="16225" operator="equal">
      <formula>"Indeferido"</formula>
    </cfRule>
  </conditionalFormatting>
  <conditionalFormatting sqref="S51">
    <cfRule type="containsText" dxfId="17286" priority="16222" operator="containsText" text="Cancelado">
      <formula>NOT(ISERROR(SEARCH("Cancelado",S51)))</formula>
    </cfRule>
  </conditionalFormatting>
  <conditionalFormatting sqref="J52:J53">
    <cfRule type="cellIs" dxfId="17285" priority="16218" operator="equal">
      <formula>"Tramitando"</formula>
    </cfRule>
    <cfRule type="cellIs" dxfId="17284" priority="16219" operator="equal">
      <formula>"Deferido"</formula>
    </cfRule>
    <cfRule type="cellIs" dxfId="17283" priority="16220" operator="equal">
      <formula>"Indeferido"</formula>
    </cfRule>
  </conditionalFormatting>
  <conditionalFormatting sqref="J52:J53">
    <cfRule type="containsText" dxfId="17282" priority="16217" operator="containsText" text="Cancelado">
      <formula>NOT(ISERROR(SEARCH("Cancelado",J52)))</formula>
    </cfRule>
  </conditionalFormatting>
  <conditionalFormatting sqref="M52:M53">
    <cfRule type="cellIs" dxfId="17281" priority="16214" operator="equal">
      <formula>"Tramitando"</formula>
    </cfRule>
    <cfRule type="cellIs" dxfId="17280" priority="16215" operator="equal">
      <formula>"Deferido"</formula>
    </cfRule>
    <cfRule type="cellIs" dxfId="17279" priority="16216" operator="equal">
      <formula>"Indeferido"</formula>
    </cfRule>
  </conditionalFormatting>
  <conditionalFormatting sqref="M52:M53">
    <cfRule type="containsText" dxfId="17278" priority="16213" operator="containsText" text="Cancelado">
      <formula>NOT(ISERROR(SEARCH("Cancelado",M52)))</formula>
    </cfRule>
  </conditionalFormatting>
  <conditionalFormatting sqref="O52:O53">
    <cfRule type="cellIs" dxfId="17277" priority="16210" operator="equal">
      <formula>"Tramitando"</formula>
    </cfRule>
    <cfRule type="cellIs" dxfId="17276" priority="16211" operator="equal">
      <formula>"Deferido"</formula>
    </cfRule>
    <cfRule type="cellIs" dxfId="17275" priority="16212" operator="equal">
      <formula>"Indeferido"</formula>
    </cfRule>
  </conditionalFormatting>
  <conditionalFormatting sqref="O52:O53">
    <cfRule type="containsText" dxfId="17274" priority="16209" operator="containsText" text="Cancelado">
      <formula>NOT(ISERROR(SEARCH("Cancelado",O52)))</formula>
    </cfRule>
  </conditionalFormatting>
  <conditionalFormatting sqref="Q52:Q53">
    <cfRule type="cellIs" dxfId="17273" priority="16206" operator="equal">
      <formula>"Tramitando"</formula>
    </cfRule>
    <cfRule type="cellIs" dxfId="17272" priority="16207" operator="equal">
      <formula>"Deferido"</formula>
    </cfRule>
    <cfRule type="cellIs" dxfId="17271" priority="16208" operator="equal">
      <formula>"Indeferido"</formula>
    </cfRule>
  </conditionalFormatting>
  <conditionalFormatting sqref="Q52:Q53">
    <cfRule type="containsText" dxfId="17270" priority="16205" operator="containsText" text="Cancelado">
      <formula>NOT(ISERROR(SEARCH("Cancelado",Q52)))</formula>
    </cfRule>
  </conditionalFormatting>
  <conditionalFormatting sqref="S52:S53">
    <cfRule type="cellIs" dxfId="17269" priority="16202" operator="equal">
      <formula>"Tramitando"</formula>
    </cfRule>
    <cfRule type="cellIs" dxfId="17268" priority="16203" operator="equal">
      <formula>"Deferido"</formula>
    </cfRule>
    <cfRule type="cellIs" dxfId="17267" priority="16204" operator="equal">
      <formula>"Indeferido"</formula>
    </cfRule>
  </conditionalFormatting>
  <conditionalFormatting sqref="S52:S53">
    <cfRule type="containsText" dxfId="17266" priority="16201" operator="containsText" text="Cancelado">
      <formula>NOT(ISERROR(SEARCH("Cancelado",S52)))</formula>
    </cfRule>
  </conditionalFormatting>
  <conditionalFormatting sqref="J54">
    <cfRule type="cellIs" dxfId="17265" priority="16197" operator="equal">
      <formula>"Tramitando"</formula>
    </cfRule>
    <cfRule type="cellIs" dxfId="17264" priority="16198" operator="equal">
      <formula>"Deferido"</formula>
    </cfRule>
    <cfRule type="cellIs" dxfId="17263" priority="16199" operator="equal">
      <formula>"Indeferido"</formula>
    </cfRule>
  </conditionalFormatting>
  <conditionalFormatting sqref="J54">
    <cfRule type="containsText" dxfId="17262" priority="16196" operator="containsText" text="Cancelado">
      <formula>NOT(ISERROR(SEARCH("Cancelado",J54)))</formula>
    </cfRule>
  </conditionalFormatting>
  <conditionalFormatting sqref="M54">
    <cfRule type="cellIs" dxfId="17261" priority="16193" operator="equal">
      <formula>"Tramitando"</formula>
    </cfRule>
    <cfRule type="cellIs" dxfId="17260" priority="16194" operator="equal">
      <formula>"Deferido"</formula>
    </cfRule>
    <cfRule type="cellIs" dxfId="17259" priority="16195" operator="equal">
      <formula>"Indeferido"</formula>
    </cfRule>
  </conditionalFormatting>
  <conditionalFormatting sqref="M54">
    <cfRule type="containsText" dxfId="17258" priority="16192" operator="containsText" text="Cancelado">
      <formula>NOT(ISERROR(SEARCH("Cancelado",M54)))</formula>
    </cfRule>
  </conditionalFormatting>
  <conditionalFormatting sqref="O54">
    <cfRule type="cellIs" dxfId="17257" priority="16189" operator="equal">
      <formula>"Tramitando"</formula>
    </cfRule>
    <cfRule type="cellIs" dxfId="17256" priority="16190" operator="equal">
      <formula>"Deferido"</formula>
    </cfRule>
    <cfRule type="cellIs" dxfId="17255" priority="16191" operator="equal">
      <formula>"Indeferido"</formula>
    </cfRule>
  </conditionalFormatting>
  <conditionalFormatting sqref="O54">
    <cfRule type="containsText" dxfId="17254" priority="16188" operator="containsText" text="Cancelado">
      <formula>NOT(ISERROR(SEARCH("Cancelado",O54)))</formula>
    </cfRule>
  </conditionalFormatting>
  <conditionalFormatting sqref="Q54">
    <cfRule type="cellIs" dxfId="17253" priority="16185" operator="equal">
      <formula>"Tramitando"</formula>
    </cfRule>
    <cfRule type="cellIs" dxfId="17252" priority="16186" operator="equal">
      <formula>"Deferido"</formula>
    </cfRule>
    <cfRule type="cellIs" dxfId="17251" priority="16187" operator="equal">
      <formula>"Indeferido"</formula>
    </cfRule>
  </conditionalFormatting>
  <conditionalFormatting sqref="Q54">
    <cfRule type="containsText" dxfId="17250" priority="16184" operator="containsText" text="Cancelado">
      <formula>NOT(ISERROR(SEARCH("Cancelado",Q54)))</formula>
    </cfRule>
  </conditionalFormatting>
  <conditionalFormatting sqref="S54">
    <cfRule type="cellIs" dxfId="17249" priority="16181" operator="equal">
      <formula>"Tramitando"</formula>
    </cfRule>
    <cfRule type="cellIs" dxfId="17248" priority="16182" operator="equal">
      <formula>"Deferido"</formula>
    </cfRule>
    <cfRule type="cellIs" dxfId="17247" priority="16183" operator="equal">
      <formula>"Indeferido"</formula>
    </cfRule>
  </conditionalFormatting>
  <conditionalFormatting sqref="S54">
    <cfRule type="containsText" dxfId="17246" priority="16180" operator="containsText" text="Cancelado">
      <formula>NOT(ISERROR(SEARCH("Cancelado",S54)))</formula>
    </cfRule>
  </conditionalFormatting>
  <conditionalFormatting sqref="J55">
    <cfRule type="cellIs" dxfId="17245" priority="16176" operator="equal">
      <formula>"Tramitando"</formula>
    </cfRule>
    <cfRule type="cellIs" dxfId="17244" priority="16177" operator="equal">
      <formula>"Deferido"</formula>
    </cfRule>
    <cfRule type="cellIs" dxfId="17243" priority="16178" operator="equal">
      <formula>"Indeferido"</formula>
    </cfRule>
  </conditionalFormatting>
  <conditionalFormatting sqref="J55">
    <cfRule type="containsText" dxfId="17242" priority="16175" operator="containsText" text="Cancelado">
      <formula>NOT(ISERROR(SEARCH("Cancelado",J55)))</formula>
    </cfRule>
  </conditionalFormatting>
  <conditionalFormatting sqref="M55">
    <cfRule type="cellIs" dxfId="17241" priority="16172" operator="equal">
      <formula>"Tramitando"</formula>
    </cfRule>
    <cfRule type="cellIs" dxfId="17240" priority="16173" operator="equal">
      <formula>"Deferido"</formula>
    </cfRule>
    <cfRule type="cellIs" dxfId="17239" priority="16174" operator="equal">
      <formula>"Indeferido"</formula>
    </cfRule>
  </conditionalFormatting>
  <conditionalFormatting sqref="M55">
    <cfRule type="containsText" dxfId="17238" priority="16171" operator="containsText" text="Cancelado">
      <formula>NOT(ISERROR(SEARCH("Cancelado",M55)))</formula>
    </cfRule>
  </conditionalFormatting>
  <conditionalFormatting sqref="O55">
    <cfRule type="cellIs" dxfId="17237" priority="16168" operator="equal">
      <formula>"Tramitando"</formula>
    </cfRule>
    <cfRule type="cellIs" dxfId="17236" priority="16169" operator="equal">
      <formula>"Deferido"</formula>
    </cfRule>
    <cfRule type="cellIs" dxfId="17235" priority="16170" operator="equal">
      <formula>"Indeferido"</formula>
    </cfRule>
  </conditionalFormatting>
  <conditionalFormatting sqref="O55">
    <cfRule type="containsText" dxfId="17234" priority="16167" operator="containsText" text="Cancelado">
      <formula>NOT(ISERROR(SEARCH("Cancelado",O55)))</formula>
    </cfRule>
  </conditionalFormatting>
  <conditionalFormatting sqref="Q55">
    <cfRule type="cellIs" dxfId="17233" priority="16164" operator="equal">
      <formula>"Tramitando"</formula>
    </cfRule>
    <cfRule type="cellIs" dxfId="17232" priority="16165" operator="equal">
      <formula>"Deferido"</formula>
    </cfRule>
    <cfRule type="cellIs" dxfId="17231" priority="16166" operator="equal">
      <formula>"Indeferido"</formula>
    </cfRule>
  </conditionalFormatting>
  <conditionalFormatting sqref="Q55">
    <cfRule type="containsText" dxfId="17230" priority="16163" operator="containsText" text="Cancelado">
      <formula>NOT(ISERROR(SEARCH("Cancelado",Q55)))</formula>
    </cfRule>
  </conditionalFormatting>
  <conditionalFormatting sqref="S55">
    <cfRule type="cellIs" dxfId="17229" priority="16160" operator="equal">
      <formula>"Tramitando"</formula>
    </cfRule>
    <cfRule type="cellIs" dxfId="17228" priority="16161" operator="equal">
      <formula>"Deferido"</formula>
    </cfRule>
    <cfRule type="cellIs" dxfId="17227" priority="16162" operator="equal">
      <formula>"Indeferido"</formula>
    </cfRule>
  </conditionalFormatting>
  <conditionalFormatting sqref="S55">
    <cfRule type="containsText" dxfId="17226" priority="16159" operator="containsText" text="Cancelado">
      <formula>NOT(ISERROR(SEARCH("Cancelado",S55)))</formula>
    </cfRule>
  </conditionalFormatting>
  <conditionalFormatting sqref="J56">
    <cfRule type="cellIs" dxfId="17225" priority="16155" operator="equal">
      <formula>"Tramitando"</formula>
    </cfRule>
    <cfRule type="cellIs" dxfId="17224" priority="16156" operator="equal">
      <formula>"Deferido"</formula>
    </cfRule>
    <cfRule type="cellIs" dxfId="17223" priority="16157" operator="equal">
      <formula>"Indeferido"</formula>
    </cfRule>
  </conditionalFormatting>
  <conditionalFormatting sqref="J56">
    <cfRule type="containsText" dxfId="17222" priority="16154" operator="containsText" text="Cancelado">
      <formula>NOT(ISERROR(SEARCH("Cancelado",J56)))</formula>
    </cfRule>
  </conditionalFormatting>
  <conditionalFormatting sqref="M56">
    <cfRule type="cellIs" dxfId="17221" priority="16151" operator="equal">
      <formula>"Tramitando"</formula>
    </cfRule>
    <cfRule type="cellIs" dxfId="17220" priority="16152" operator="equal">
      <formula>"Deferido"</formula>
    </cfRule>
    <cfRule type="cellIs" dxfId="17219" priority="16153" operator="equal">
      <formula>"Indeferido"</formula>
    </cfRule>
  </conditionalFormatting>
  <conditionalFormatting sqref="M56">
    <cfRule type="containsText" dxfId="17218" priority="16150" operator="containsText" text="Cancelado">
      <formula>NOT(ISERROR(SEARCH("Cancelado",M56)))</formula>
    </cfRule>
  </conditionalFormatting>
  <conditionalFormatting sqref="O56">
    <cfRule type="cellIs" dxfId="17217" priority="16147" operator="equal">
      <formula>"Tramitando"</formula>
    </cfRule>
    <cfRule type="cellIs" dxfId="17216" priority="16148" operator="equal">
      <formula>"Deferido"</formula>
    </cfRule>
    <cfRule type="cellIs" dxfId="17215" priority="16149" operator="equal">
      <formula>"Indeferido"</formula>
    </cfRule>
  </conditionalFormatting>
  <conditionalFormatting sqref="O56">
    <cfRule type="containsText" dxfId="17214" priority="16146" operator="containsText" text="Cancelado">
      <formula>NOT(ISERROR(SEARCH("Cancelado",O56)))</formula>
    </cfRule>
  </conditionalFormatting>
  <conditionalFormatting sqref="Q56">
    <cfRule type="cellIs" dxfId="17213" priority="16143" operator="equal">
      <formula>"Tramitando"</formula>
    </cfRule>
    <cfRule type="cellIs" dxfId="17212" priority="16144" operator="equal">
      <formula>"Deferido"</formula>
    </cfRule>
    <cfRule type="cellIs" dxfId="17211" priority="16145" operator="equal">
      <formula>"Indeferido"</formula>
    </cfRule>
  </conditionalFormatting>
  <conditionalFormatting sqref="Q56">
    <cfRule type="containsText" dxfId="17210" priority="16142" operator="containsText" text="Cancelado">
      <formula>NOT(ISERROR(SEARCH("Cancelado",Q56)))</formula>
    </cfRule>
  </conditionalFormatting>
  <conditionalFormatting sqref="S56">
    <cfRule type="cellIs" dxfId="17209" priority="16139" operator="equal">
      <formula>"Tramitando"</formula>
    </cfRule>
    <cfRule type="cellIs" dxfId="17208" priority="16140" operator="equal">
      <formula>"Deferido"</formula>
    </cfRule>
    <cfRule type="cellIs" dxfId="17207" priority="16141" operator="equal">
      <formula>"Indeferido"</formula>
    </cfRule>
  </conditionalFormatting>
  <conditionalFormatting sqref="S56">
    <cfRule type="containsText" dxfId="17206" priority="16138" operator="containsText" text="Cancelado">
      <formula>NOT(ISERROR(SEARCH("Cancelado",S56)))</formula>
    </cfRule>
  </conditionalFormatting>
  <conditionalFormatting sqref="J57">
    <cfRule type="cellIs" dxfId="17205" priority="16134" operator="equal">
      <formula>"Tramitando"</formula>
    </cfRule>
    <cfRule type="cellIs" dxfId="17204" priority="16135" operator="equal">
      <formula>"Deferido"</formula>
    </cfRule>
    <cfRule type="cellIs" dxfId="17203" priority="16136" operator="equal">
      <formula>"Indeferido"</formula>
    </cfRule>
  </conditionalFormatting>
  <conditionalFormatting sqref="J57">
    <cfRule type="containsText" dxfId="17202" priority="16133" operator="containsText" text="Cancelado">
      <formula>NOT(ISERROR(SEARCH("Cancelado",J57)))</formula>
    </cfRule>
  </conditionalFormatting>
  <conditionalFormatting sqref="M57">
    <cfRule type="cellIs" dxfId="17201" priority="16130" operator="equal">
      <formula>"Tramitando"</formula>
    </cfRule>
    <cfRule type="cellIs" dxfId="17200" priority="16131" operator="equal">
      <formula>"Deferido"</formula>
    </cfRule>
    <cfRule type="cellIs" dxfId="17199" priority="16132" operator="equal">
      <formula>"Indeferido"</formula>
    </cfRule>
  </conditionalFormatting>
  <conditionalFormatting sqref="M57">
    <cfRule type="containsText" dxfId="17198" priority="16129" operator="containsText" text="Cancelado">
      <formula>NOT(ISERROR(SEARCH("Cancelado",M57)))</formula>
    </cfRule>
  </conditionalFormatting>
  <conditionalFormatting sqref="O57">
    <cfRule type="cellIs" dxfId="17197" priority="16126" operator="equal">
      <formula>"Tramitando"</formula>
    </cfRule>
    <cfRule type="cellIs" dxfId="17196" priority="16127" operator="equal">
      <formula>"Deferido"</formula>
    </cfRule>
    <cfRule type="cellIs" dxfId="17195" priority="16128" operator="equal">
      <formula>"Indeferido"</formula>
    </cfRule>
  </conditionalFormatting>
  <conditionalFormatting sqref="O57">
    <cfRule type="containsText" dxfId="17194" priority="16125" operator="containsText" text="Cancelado">
      <formula>NOT(ISERROR(SEARCH("Cancelado",O57)))</formula>
    </cfRule>
  </conditionalFormatting>
  <conditionalFormatting sqref="Q57">
    <cfRule type="cellIs" dxfId="17193" priority="16122" operator="equal">
      <formula>"Tramitando"</formula>
    </cfRule>
    <cfRule type="cellIs" dxfId="17192" priority="16123" operator="equal">
      <formula>"Deferido"</formula>
    </cfRule>
    <cfRule type="cellIs" dxfId="17191" priority="16124" operator="equal">
      <formula>"Indeferido"</formula>
    </cfRule>
  </conditionalFormatting>
  <conditionalFormatting sqref="Q57">
    <cfRule type="containsText" dxfId="17190" priority="16121" operator="containsText" text="Cancelado">
      <formula>NOT(ISERROR(SEARCH("Cancelado",Q57)))</formula>
    </cfRule>
  </conditionalFormatting>
  <conditionalFormatting sqref="S57">
    <cfRule type="cellIs" dxfId="17189" priority="16118" operator="equal">
      <formula>"Tramitando"</formula>
    </cfRule>
    <cfRule type="cellIs" dxfId="17188" priority="16119" operator="equal">
      <formula>"Deferido"</formula>
    </cfRule>
    <cfRule type="cellIs" dxfId="17187" priority="16120" operator="equal">
      <formula>"Indeferido"</formula>
    </cfRule>
  </conditionalFormatting>
  <conditionalFormatting sqref="S57">
    <cfRule type="containsText" dxfId="17186" priority="16117" operator="containsText" text="Cancelado">
      <formula>NOT(ISERROR(SEARCH("Cancelado",S57)))</formula>
    </cfRule>
  </conditionalFormatting>
  <conditionalFormatting sqref="J58">
    <cfRule type="cellIs" dxfId="17185" priority="16113" operator="equal">
      <formula>"Tramitando"</formula>
    </cfRule>
    <cfRule type="cellIs" dxfId="17184" priority="16114" operator="equal">
      <formula>"Deferido"</formula>
    </cfRule>
    <cfRule type="cellIs" dxfId="17183" priority="16115" operator="equal">
      <formula>"Indeferido"</formula>
    </cfRule>
  </conditionalFormatting>
  <conditionalFormatting sqref="J58">
    <cfRule type="containsText" dxfId="17182" priority="16112" operator="containsText" text="Cancelado">
      <formula>NOT(ISERROR(SEARCH("Cancelado",J58)))</formula>
    </cfRule>
  </conditionalFormatting>
  <conditionalFormatting sqref="M58">
    <cfRule type="cellIs" dxfId="17181" priority="16109" operator="equal">
      <formula>"Tramitando"</formula>
    </cfRule>
    <cfRule type="cellIs" dxfId="17180" priority="16110" operator="equal">
      <formula>"Deferido"</formula>
    </cfRule>
    <cfRule type="cellIs" dxfId="17179" priority="16111" operator="equal">
      <formula>"Indeferido"</formula>
    </cfRule>
  </conditionalFormatting>
  <conditionalFormatting sqref="M58">
    <cfRule type="containsText" dxfId="17178" priority="16108" operator="containsText" text="Cancelado">
      <formula>NOT(ISERROR(SEARCH("Cancelado",M58)))</formula>
    </cfRule>
  </conditionalFormatting>
  <conditionalFormatting sqref="O58">
    <cfRule type="cellIs" dxfId="17177" priority="16105" operator="equal">
      <formula>"Tramitando"</formula>
    </cfRule>
    <cfRule type="cellIs" dxfId="17176" priority="16106" operator="equal">
      <formula>"Deferido"</formula>
    </cfRule>
    <cfRule type="cellIs" dxfId="17175" priority="16107" operator="equal">
      <formula>"Indeferido"</formula>
    </cfRule>
  </conditionalFormatting>
  <conditionalFormatting sqref="O58">
    <cfRule type="containsText" dxfId="17174" priority="16104" operator="containsText" text="Cancelado">
      <formula>NOT(ISERROR(SEARCH("Cancelado",O58)))</formula>
    </cfRule>
  </conditionalFormatting>
  <conditionalFormatting sqref="Q58">
    <cfRule type="cellIs" dxfId="17173" priority="16101" operator="equal">
      <formula>"Tramitando"</formula>
    </cfRule>
    <cfRule type="cellIs" dxfId="17172" priority="16102" operator="equal">
      <formula>"Deferido"</formula>
    </cfRule>
    <cfRule type="cellIs" dxfId="17171" priority="16103" operator="equal">
      <formula>"Indeferido"</formula>
    </cfRule>
  </conditionalFormatting>
  <conditionalFormatting sqref="Q58">
    <cfRule type="containsText" dxfId="17170" priority="16100" operator="containsText" text="Cancelado">
      <formula>NOT(ISERROR(SEARCH("Cancelado",Q58)))</formula>
    </cfRule>
  </conditionalFormatting>
  <conditionalFormatting sqref="S58">
    <cfRule type="cellIs" dxfId="17169" priority="16097" operator="equal">
      <formula>"Tramitando"</formula>
    </cfRule>
    <cfRule type="cellIs" dxfId="17168" priority="16098" operator="equal">
      <formula>"Deferido"</formula>
    </cfRule>
    <cfRule type="cellIs" dxfId="17167" priority="16099" operator="equal">
      <formula>"Indeferido"</formula>
    </cfRule>
  </conditionalFormatting>
  <conditionalFormatting sqref="S58">
    <cfRule type="containsText" dxfId="17166" priority="16096" operator="containsText" text="Cancelado">
      <formula>NOT(ISERROR(SEARCH("Cancelado",S58)))</formula>
    </cfRule>
  </conditionalFormatting>
  <conditionalFormatting sqref="J59">
    <cfRule type="cellIs" dxfId="17165" priority="16092" operator="equal">
      <formula>"Tramitando"</formula>
    </cfRule>
    <cfRule type="cellIs" dxfId="17164" priority="16093" operator="equal">
      <formula>"Deferido"</formula>
    </cfRule>
    <cfRule type="cellIs" dxfId="17163" priority="16094" operator="equal">
      <formula>"Indeferido"</formula>
    </cfRule>
  </conditionalFormatting>
  <conditionalFormatting sqref="J59">
    <cfRule type="containsText" dxfId="17162" priority="16091" operator="containsText" text="Cancelado">
      <formula>NOT(ISERROR(SEARCH("Cancelado",J59)))</formula>
    </cfRule>
  </conditionalFormatting>
  <conditionalFormatting sqref="M59">
    <cfRule type="cellIs" dxfId="17161" priority="16088" operator="equal">
      <formula>"Tramitando"</formula>
    </cfRule>
    <cfRule type="cellIs" dxfId="17160" priority="16089" operator="equal">
      <formula>"Deferido"</formula>
    </cfRule>
    <cfRule type="cellIs" dxfId="17159" priority="16090" operator="equal">
      <formula>"Indeferido"</formula>
    </cfRule>
  </conditionalFormatting>
  <conditionalFormatting sqref="M59">
    <cfRule type="containsText" dxfId="17158" priority="16087" operator="containsText" text="Cancelado">
      <formula>NOT(ISERROR(SEARCH("Cancelado",M59)))</formula>
    </cfRule>
  </conditionalFormatting>
  <conditionalFormatting sqref="O59">
    <cfRule type="cellIs" dxfId="17157" priority="16084" operator="equal">
      <formula>"Tramitando"</formula>
    </cfRule>
    <cfRule type="cellIs" dxfId="17156" priority="16085" operator="equal">
      <formula>"Deferido"</formula>
    </cfRule>
    <cfRule type="cellIs" dxfId="17155" priority="16086" operator="equal">
      <formula>"Indeferido"</formula>
    </cfRule>
  </conditionalFormatting>
  <conditionalFormatting sqref="O59">
    <cfRule type="containsText" dxfId="17154" priority="16083" operator="containsText" text="Cancelado">
      <formula>NOT(ISERROR(SEARCH("Cancelado",O59)))</formula>
    </cfRule>
  </conditionalFormatting>
  <conditionalFormatting sqref="Q59">
    <cfRule type="cellIs" dxfId="17153" priority="16080" operator="equal">
      <formula>"Tramitando"</formula>
    </cfRule>
    <cfRule type="cellIs" dxfId="17152" priority="16081" operator="equal">
      <formula>"Deferido"</formula>
    </cfRule>
    <cfRule type="cellIs" dxfId="17151" priority="16082" operator="equal">
      <formula>"Indeferido"</formula>
    </cfRule>
  </conditionalFormatting>
  <conditionalFormatting sqref="Q59">
    <cfRule type="containsText" dxfId="17150" priority="16079" operator="containsText" text="Cancelado">
      <formula>NOT(ISERROR(SEARCH("Cancelado",Q59)))</formula>
    </cfRule>
  </conditionalFormatting>
  <conditionalFormatting sqref="S59">
    <cfRule type="cellIs" dxfId="17149" priority="16076" operator="equal">
      <formula>"Tramitando"</formula>
    </cfRule>
    <cfRule type="cellIs" dxfId="17148" priority="16077" operator="equal">
      <formula>"Deferido"</formula>
    </cfRule>
    <cfRule type="cellIs" dxfId="17147" priority="16078" operator="equal">
      <formula>"Indeferido"</formula>
    </cfRule>
  </conditionalFormatting>
  <conditionalFormatting sqref="S59">
    <cfRule type="containsText" dxfId="17146" priority="16075" operator="containsText" text="Cancelado">
      <formula>NOT(ISERROR(SEARCH("Cancelado",S59)))</formula>
    </cfRule>
  </conditionalFormatting>
  <conditionalFormatting sqref="J60">
    <cfRule type="cellIs" dxfId="17145" priority="16071" operator="equal">
      <formula>"Tramitando"</formula>
    </cfRule>
    <cfRule type="cellIs" dxfId="17144" priority="16072" operator="equal">
      <formula>"Deferido"</formula>
    </cfRule>
    <cfRule type="cellIs" dxfId="17143" priority="16073" operator="equal">
      <formula>"Indeferido"</formula>
    </cfRule>
  </conditionalFormatting>
  <conditionalFormatting sqref="J60">
    <cfRule type="containsText" dxfId="17142" priority="16070" operator="containsText" text="Cancelado">
      <formula>NOT(ISERROR(SEARCH("Cancelado",J60)))</formula>
    </cfRule>
  </conditionalFormatting>
  <conditionalFormatting sqref="M60">
    <cfRule type="cellIs" dxfId="17141" priority="16067" operator="equal">
      <formula>"Tramitando"</formula>
    </cfRule>
    <cfRule type="cellIs" dxfId="17140" priority="16068" operator="equal">
      <formula>"Deferido"</formula>
    </cfRule>
    <cfRule type="cellIs" dxfId="17139" priority="16069" operator="equal">
      <formula>"Indeferido"</formula>
    </cfRule>
  </conditionalFormatting>
  <conditionalFormatting sqref="M60">
    <cfRule type="containsText" dxfId="17138" priority="16066" operator="containsText" text="Cancelado">
      <formula>NOT(ISERROR(SEARCH("Cancelado",M60)))</formula>
    </cfRule>
  </conditionalFormatting>
  <conditionalFormatting sqref="O60">
    <cfRule type="cellIs" dxfId="17137" priority="16063" operator="equal">
      <formula>"Tramitando"</formula>
    </cfRule>
    <cfRule type="cellIs" dxfId="17136" priority="16064" operator="equal">
      <formula>"Deferido"</formula>
    </cfRule>
    <cfRule type="cellIs" dxfId="17135" priority="16065" operator="equal">
      <formula>"Indeferido"</formula>
    </cfRule>
  </conditionalFormatting>
  <conditionalFormatting sqref="O60">
    <cfRule type="containsText" dxfId="17134" priority="16062" operator="containsText" text="Cancelado">
      <formula>NOT(ISERROR(SEARCH("Cancelado",O60)))</formula>
    </cfRule>
  </conditionalFormatting>
  <conditionalFormatting sqref="Q60">
    <cfRule type="cellIs" dxfId="17133" priority="16059" operator="equal">
      <formula>"Tramitando"</formula>
    </cfRule>
    <cfRule type="cellIs" dxfId="17132" priority="16060" operator="equal">
      <formula>"Deferido"</formula>
    </cfRule>
    <cfRule type="cellIs" dxfId="17131" priority="16061" operator="equal">
      <formula>"Indeferido"</formula>
    </cfRule>
  </conditionalFormatting>
  <conditionalFormatting sqref="Q60">
    <cfRule type="containsText" dxfId="17130" priority="16058" operator="containsText" text="Cancelado">
      <formula>NOT(ISERROR(SEARCH("Cancelado",Q60)))</formula>
    </cfRule>
  </conditionalFormatting>
  <conditionalFormatting sqref="S60">
    <cfRule type="cellIs" dxfId="17129" priority="16055" operator="equal">
      <formula>"Tramitando"</formula>
    </cfRule>
    <cfRule type="cellIs" dxfId="17128" priority="16056" operator="equal">
      <formula>"Deferido"</formula>
    </cfRule>
    <cfRule type="cellIs" dxfId="17127" priority="16057" operator="equal">
      <formula>"Indeferido"</formula>
    </cfRule>
  </conditionalFormatting>
  <conditionalFormatting sqref="S60">
    <cfRule type="containsText" dxfId="17126" priority="16054" operator="containsText" text="Cancelado">
      <formula>NOT(ISERROR(SEARCH("Cancelado",S60)))</formula>
    </cfRule>
  </conditionalFormatting>
  <conditionalFormatting sqref="J61">
    <cfRule type="cellIs" dxfId="17125" priority="16050" operator="equal">
      <formula>"Tramitando"</formula>
    </cfRule>
    <cfRule type="cellIs" dxfId="17124" priority="16051" operator="equal">
      <formula>"Deferido"</formula>
    </cfRule>
    <cfRule type="cellIs" dxfId="17123" priority="16052" operator="equal">
      <formula>"Indeferido"</formula>
    </cfRule>
  </conditionalFormatting>
  <conditionalFormatting sqref="J61">
    <cfRule type="containsText" dxfId="17122" priority="16049" operator="containsText" text="Cancelado">
      <formula>NOT(ISERROR(SEARCH("Cancelado",J61)))</formula>
    </cfRule>
  </conditionalFormatting>
  <conditionalFormatting sqref="M61">
    <cfRule type="cellIs" dxfId="17121" priority="16046" operator="equal">
      <formula>"Tramitando"</formula>
    </cfRule>
    <cfRule type="cellIs" dxfId="17120" priority="16047" operator="equal">
      <formula>"Deferido"</formula>
    </cfRule>
    <cfRule type="cellIs" dxfId="17119" priority="16048" operator="equal">
      <formula>"Indeferido"</formula>
    </cfRule>
  </conditionalFormatting>
  <conditionalFormatting sqref="M61">
    <cfRule type="containsText" dxfId="17118" priority="16045" operator="containsText" text="Cancelado">
      <formula>NOT(ISERROR(SEARCH("Cancelado",M61)))</formula>
    </cfRule>
  </conditionalFormatting>
  <conditionalFormatting sqref="O61">
    <cfRule type="cellIs" dxfId="17117" priority="16042" operator="equal">
      <formula>"Tramitando"</formula>
    </cfRule>
    <cfRule type="cellIs" dxfId="17116" priority="16043" operator="equal">
      <formula>"Deferido"</formula>
    </cfRule>
    <cfRule type="cellIs" dxfId="17115" priority="16044" operator="equal">
      <formula>"Indeferido"</formula>
    </cfRule>
  </conditionalFormatting>
  <conditionalFormatting sqref="O61">
    <cfRule type="containsText" dxfId="17114" priority="16041" operator="containsText" text="Cancelado">
      <formula>NOT(ISERROR(SEARCH("Cancelado",O61)))</formula>
    </cfRule>
  </conditionalFormatting>
  <conditionalFormatting sqref="Q61">
    <cfRule type="cellIs" dxfId="17113" priority="16038" operator="equal">
      <formula>"Tramitando"</formula>
    </cfRule>
    <cfRule type="cellIs" dxfId="17112" priority="16039" operator="equal">
      <formula>"Deferido"</formula>
    </cfRule>
    <cfRule type="cellIs" dxfId="17111" priority="16040" operator="equal">
      <formula>"Indeferido"</formula>
    </cfRule>
  </conditionalFormatting>
  <conditionalFormatting sqref="Q61">
    <cfRule type="containsText" dxfId="17110" priority="16037" operator="containsText" text="Cancelado">
      <formula>NOT(ISERROR(SEARCH("Cancelado",Q61)))</formula>
    </cfRule>
  </conditionalFormatting>
  <conditionalFormatting sqref="S61">
    <cfRule type="cellIs" dxfId="17109" priority="16034" operator="equal">
      <formula>"Tramitando"</formula>
    </cfRule>
    <cfRule type="cellIs" dxfId="17108" priority="16035" operator="equal">
      <formula>"Deferido"</formula>
    </cfRule>
    <cfRule type="cellIs" dxfId="17107" priority="16036" operator="equal">
      <formula>"Indeferido"</formula>
    </cfRule>
  </conditionalFormatting>
  <conditionalFormatting sqref="S61">
    <cfRule type="containsText" dxfId="17106" priority="16033" operator="containsText" text="Cancelado">
      <formula>NOT(ISERROR(SEARCH("Cancelado",S61)))</formula>
    </cfRule>
  </conditionalFormatting>
  <conditionalFormatting sqref="J62">
    <cfRule type="cellIs" dxfId="17105" priority="16029" operator="equal">
      <formula>"Tramitando"</formula>
    </cfRule>
    <cfRule type="cellIs" dxfId="17104" priority="16030" operator="equal">
      <formula>"Deferido"</formula>
    </cfRule>
    <cfRule type="cellIs" dxfId="17103" priority="16031" operator="equal">
      <formula>"Indeferido"</formula>
    </cfRule>
  </conditionalFormatting>
  <conditionalFormatting sqref="J62">
    <cfRule type="containsText" dxfId="17102" priority="16028" operator="containsText" text="Cancelado">
      <formula>NOT(ISERROR(SEARCH("Cancelado",J62)))</formula>
    </cfRule>
  </conditionalFormatting>
  <conditionalFormatting sqref="M62">
    <cfRule type="cellIs" dxfId="17101" priority="16025" operator="equal">
      <formula>"Tramitando"</formula>
    </cfRule>
    <cfRule type="cellIs" dxfId="17100" priority="16026" operator="equal">
      <formula>"Deferido"</formula>
    </cfRule>
    <cfRule type="cellIs" dxfId="17099" priority="16027" operator="equal">
      <formula>"Indeferido"</formula>
    </cfRule>
  </conditionalFormatting>
  <conditionalFormatting sqref="M62">
    <cfRule type="containsText" dxfId="17098" priority="16024" operator="containsText" text="Cancelado">
      <formula>NOT(ISERROR(SEARCH("Cancelado",M62)))</formula>
    </cfRule>
  </conditionalFormatting>
  <conditionalFormatting sqref="O62">
    <cfRule type="cellIs" dxfId="17097" priority="16021" operator="equal">
      <formula>"Tramitando"</formula>
    </cfRule>
    <cfRule type="cellIs" dxfId="17096" priority="16022" operator="equal">
      <formula>"Deferido"</formula>
    </cfRule>
    <cfRule type="cellIs" dxfId="17095" priority="16023" operator="equal">
      <formula>"Indeferido"</formula>
    </cfRule>
  </conditionalFormatting>
  <conditionalFormatting sqref="O62">
    <cfRule type="containsText" dxfId="17094" priority="16020" operator="containsText" text="Cancelado">
      <formula>NOT(ISERROR(SEARCH("Cancelado",O62)))</formula>
    </cfRule>
  </conditionalFormatting>
  <conditionalFormatting sqref="Q62">
    <cfRule type="cellIs" dxfId="17093" priority="16017" operator="equal">
      <formula>"Tramitando"</formula>
    </cfRule>
    <cfRule type="cellIs" dxfId="17092" priority="16018" operator="equal">
      <formula>"Deferido"</formula>
    </cfRule>
    <cfRule type="cellIs" dxfId="17091" priority="16019" operator="equal">
      <formula>"Indeferido"</formula>
    </cfRule>
  </conditionalFormatting>
  <conditionalFormatting sqref="Q62">
    <cfRule type="containsText" dxfId="17090" priority="16016" operator="containsText" text="Cancelado">
      <formula>NOT(ISERROR(SEARCH("Cancelado",Q62)))</formula>
    </cfRule>
  </conditionalFormatting>
  <conditionalFormatting sqref="S62">
    <cfRule type="cellIs" dxfId="17089" priority="16013" operator="equal">
      <formula>"Tramitando"</formula>
    </cfRule>
    <cfRule type="cellIs" dxfId="17088" priority="16014" operator="equal">
      <formula>"Deferido"</formula>
    </cfRule>
    <cfRule type="cellIs" dxfId="17087" priority="16015" operator="equal">
      <formula>"Indeferido"</formula>
    </cfRule>
  </conditionalFormatting>
  <conditionalFormatting sqref="S62">
    <cfRule type="containsText" dxfId="17086" priority="16012" operator="containsText" text="Cancelado">
      <formula>NOT(ISERROR(SEARCH("Cancelado",S62)))</formula>
    </cfRule>
  </conditionalFormatting>
  <conditionalFormatting sqref="J63">
    <cfRule type="cellIs" dxfId="17085" priority="16008" operator="equal">
      <formula>"Tramitando"</formula>
    </cfRule>
    <cfRule type="cellIs" dxfId="17084" priority="16009" operator="equal">
      <formula>"Deferido"</formula>
    </cfRule>
    <cfRule type="cellIs" dxfId="17083" priority="16010" operator="equal">
      <formula>"Indeferido"</formula>
    </cfRule>
  </conditionalFormatting>
  <conditionalFormatting sqref="J63">
    <cfRule type="containsText" dxfId="17082" priority="16007" operator="containsText" text="Cancelado">
      <formula>NOT(ISERROR(SEARCH("Cancelado",J63)))</formula>
    </cfRule>
  </conditionalFormatting>
  <conditionalFormatting sqref="M63">
    <cfRule type="cellIs" dxfId="17081" priority="16004" operator="equal">
      <formula>"Tramitando"</formula>
    </cfRule>
    <cfRule type="cellIs" dxfId="17080" priority="16005" operator="equal">
      <formula>"Deferido"</formula>
    </cfRule>
    <cfRule type="cellIs" dxfId="17079" priority="16006" operator="equal">
      <formula>"Indeferido"</formula>
    </cfRule>
  </conditionalFormatting>
  <conditionalFormatting sqref="M63">
    <cfRule type="containsText" dxfId="17078" priority="16003" operator="containsText" text="Cancelado">
      <formula>NOT(ISERROR(SEARCH("Cancelado",M63)))</formula>
    </cfRule>
  </conditionalFormatting>
  <conditionalFormatting sqref="O63">
    <cfRule type="cellIs" dxfId="17077" priority="16000" operator="equal">
      <formula>"Tramitando"</formula>
    </cfRule>
    <cfRule type="cellIs" dxfId="17076" priority="16001" operator="equal">
      <formula>"Deferido"</formula>
    </cfRule>
    <cfRule type="cellIs" dxfId="17075" priority="16002" operator="equal">
      <formula>"Indeferido"</formula>
    </cfRule>
  </conditionalFormatting>
  <conditionalFormatting sqref="O63">
    <cfRule type="containsText" dxfId="17074" priority="15999" operator="containsText" text="Cancelado">
      <formula>NOT(ISERROR(SEARCH("Cancelado",O63)))</formula>
    </cfRule>
  </conditionalFormatting>
  <conditionalFormatting sqref="Q63">
    <cfRule type="cellIs" dxfId="17073" priority="15996" operator="equal">
      <formula>"Tramitando"</formula>
    </cfRule>
    <cfRule type="cellIs" dxfId="17072" priority="15997" operator="equal">
      <formula>"Deferido"</formula>
    </cfRule>
    <cfRule type="cellIs" dxfId="17071" priority="15998" operator="equal">
      <formula>"Indeferido"</formula>
    </cfRule>
  </conditionalFormatting>
  <conditionalFormatting sqref="Q63">
    <cfRule type="containsText" dxfId="17070" priority="15995" operator="containsText" text="Cancelado">
      <formula>NOT(ISERROR(SEARCH("Cancelado",Q63)))</formula>
    </cfRule>
  </conditionalFormatting>
  <conditionalFormatting sqref="S63">
    <cfRule type="cellIs" dxfId="17069" priority="15992" operator="equal">
      <formula>"Tramitando"</formula>
    </cfRule>
    <cfRule type="cellIs" dxfId="17068" priority="15993" operator="equal">
      <formula>"Deferido"</formula>
    </cfRule>
    <cfRule type="cellIs" dxfId="17067" priority="15994" operator="equal">
      <formula>"Indeferido"</formula>
    </cfRule>
  </conditionalFormatting>
  <conditionalFormatting sqref="S63">
    <cfRule type="containsText" dxfId="17066" priority="15991" operator="containsText" text="Cancelado">
      <formula>NOT(ISERROR(SEARCH("Cancelado",S63)))</formula>
    </cfRule>
  </conditionalFormatting>
  <conditionalFormatting sqref="J64">
    <cfRule type="cellIs" dxfId="17065" priority="15987" operator="equal">
      <formula>"Tramitando"</formula>
    </cfRule>
    <cfRule type="cellIs" dxfId="17064" priority="15988" operator="equal">
      <formula>"Deferido"</formula>
    </cfRule>
    <cfRule type="cellIs" dxfId="17063" priority="15989" operator="equal">
      <formula>"Indeferido"</formula>
    </cfRule>
  </conditionalFormatting>
  <conditionalFormatting sqref="J64">
    <cfRule type="containsText" dxfId="17062" priority="15986" operator="containsText" text="Cancelado">
      <formula>NOT(ISERROR(SEARCH("Cancelado",J64)))</formula>
    </cfRule>
  </conditionalFormatting>
  <conditionalFormatting sqref="M64">
    <cfRule type="cellIs" dxfId="17061" priority="15983" operator="equal">
      <formula>"Tramitando"</formula>
    </cfRule>
    <cfRule type="cellIs" dxfId="17060" priority="15984" operator="equal">
      <formula>"Deferido"</formula>
    </cfRule>
    <cfRule type="cellIs" dxfId="17059" priority="15985" operator="equal">
      <formula>"Indeferido"</formula>
    </cfRule>
  </conditionalFormatting>
  <conditionalFormatting sqref="M64">
    <cfRule type="containsText" dxfId="17058" priority="15982" operator="containsText" text="Cancelado">
      <formula>NOT(ISERROR(SEARCH("Cancelado",M64)))</formula>
    </cfRule>
  </conditionalFormatting>
  <conditionalFormatting sqref="O64">
    <cfRule type="cellIs" dxfId="17057" priority="15979" operator="equal">
      <formula>"Tramitando"</formula>
    </cfRule>
    <cfRule type="cellIs" dxfId="17056" priority="15980" operator="equal">
      <formula>"Deferido"</formula>
    </cfRule>
    <cfRule type="cellIs" dxfId="17055" priority="15981" operator="equal">
      <formula>"Indeferido"</formula>
    </cfRule>
  </conditionalFormatting>
  <conditionalFormatting sqref="O64">
    <cfRule type="containsText" dxfId="17054" priority="15978" operator="containsText" text="Cancelado">
      <formula>NOT(ISERROR(SEARCH("Cancelado",O64)))</formula>
    </cfRule>
  </conditionalFormatting>
  <conditionalFormatting sqref="Q64">
    <cfRule type="cellIs" dxfId="17053" priority="15975" operator="equal">
      <formula>"Tramitando"</formula>
    </cfRule>
    <cfRule type="cellIs" dxfId="17052" priority="15976" operator="equal">
      <formula>"Deferido"</formula>
    </cfRule>
    <cfRule type="cellIs" dxfId="17051" priority="15977" operator="equal">
      <formula>"Indeferido"</formula>
    </cfRule>
  </conditionalFormatting>
  <conditionalFormatting sqref="Q64">
    <cfRule type="containsText" dxfId="17050" priority="15974" operator="containsText" text="Cancelado">
      <formula>NOT(ISERROR(SEARCH("Cancelado",Q64)))</formula>
    </cfRule>
  </conditionalFormatting>
  <conditionalFormatting sqref="S64">
    <cfRule type="cellIs" dxfId="17049" priority="15971" operator="equal">
      <formula>"Tramitando"</formula>
    </cfRule>
    <cfRule type="cellIs" dxfId="17048" priority="15972" operator="equal">
      <formula>"Deferido"</formula>
    </cfRule>
    <cfRule type="cellIs" dxfId="17047" priority="15973" operator="equal">
      <formula>"Indeferido"</formula>
    </cfRule>
  </conditionalFormatting>
  <conditionalFormatting sqref="S64">
    <cfRule type="containsText" dxfId="17046" priority="15970" operator="containsText" text="Cancelado">
      <formula>NOT(ISERROR(SEARCH("Cancelado",S64)))</formula>
    </cfRule>
  </conditionalFormatting>
  <conditionalFormatting sqref="J65">
    <cfRule type="cellIs" dxfId="17045" priority="15966" operator="equal">
      <formula>"Tramitando"</formula>
    </cfRule>
    <cfRule type="cellIs" dxfId="17044" priority="15967" operator="equal">
      <formula>"Deferido"</formula>
    </cfRule>
    <cfRule type="cellIs" dxfId="17043" priority="15968" operator="equal">
      <formula>"Indeferido"</formula>
    </cfRule>
  </conditionalFormatting>
  <conditionalFormatting sqref="J65">
    <cfRule type="containsText" dxfId="17042" priority="15965" operator="containsText" text="Cancelado">
      <formula>NOT(ISERROR(SEARCH("Cancelado",J65)))</formula>
    </cfRule>
  </conditionalFormatting>
  <conditionalFormatting sqref="M65">
    <cfRule type="cellIs" dxfId="17041" priority="15962" operator="equal">
      <formula>"Tramitando"</formula>
    </cfRule>
    <cfRule type="cellIs" dxfId="17040" priority="15963" operator="equal">
      <formula>"Deferido"</formula>
    </cfRule>
    <cfRule type="cellIs" dxfId="17039" priority="15964" operator="equal">
      <formula>"Indeferido"</formula>
    </cfRule>
  </conditionalFormatting>
  <conditionalFormatting sqref="M65">
    <cfRule type="containsText" dxfId="17038" priority="15961" operator="containsText" text="Cancelado">
      <formula>NOT(ISERROR(SEARCH("Cancelado",M65)))</formula>
    </cfRule>
  </conditionalFormatting>
  <conditionalFormatting sqref="O65">
    <cfRule type="cellIs" dxfId="17037" priority="15958" operator="equal">
      <formula>"Tramitando"</formula>
    </cfRule>
    <cfRule type="cellIs" dxfId="17036" priority="15959" operator="equal">
      <formula>"Deferido"</formula>
    </cfRule>
    <cfRule type="cellIs" dxfId="17035" priority="15960" operator="equal">
      <formula>"Indeferido"</formula>
    </cfRule>
  </conditionalFormatting>
  <conditionalFormatting sqref="O65">
    <cfRule type="containsText" dxfId="17034" priority="15957" operator="containsText" text="Cancelado">
      <formula>NOT(ISERROR(SEARCH("Cancelado",O65)))</formula>
    </cfRule>
  </conditionalFormatting>
  <conditionalFormatting sqref="Q65">
    <cfRule type="cellIs" dxfId="17033" priority="15954" operator="equal">
      <formula>"Tramitando"</formula>
    </cfRule>
    <cfRule type="cellIs" dxfId="17032" priority="15955" operator="equal">
      <formula>"Deferido"</formula>
    </cfRule>
    <cfRule type="cellIs" dxfId="17031" priority="15956" operator="equal">
      <formula>"Indeferido"</formula>
    </cfRule>
  </conditionalFormatting>
  <conditionalFormatting sqref="Q65">
    <cfRule type="containsText" dxfId="17030" priority="15953" operator="containsText" text="Cancelado">
      <formula>NOT(ISERROR(SEARCH("Cancelado",Q65)))</formula>
    </cfRule>
  </conditionalFormatting>
  <conditionalFormatting sqref="S65">
    <cfRule type="cellIs" dxfId="17029" priority="15950" operator="equal">
      <formula>"Tramitando"</formula>
    </cfRule>
    <cfRule type="cellIs" dxfId="17028" priority="15951" operator="equal">
      <formula>"Deferido"</formula>
    </cfRule>
    <cfRule type="cellIs" dxfId="17027" priority="15952" operator="equal">
      <formula>"Indeferido"</formula>
    </cfRule>
  </conditionalFormatting>
  <conditionalFormatting sqref="S65">
    <cfRule type="containsText" dxfId="17026" priority="15949" operator="containsText" text="Cancelado">
      <formula>NOT(ISERROR(SEARCH("Cancelado",S65)))</formula>
    </cfRule>
  </conditionalFormatting>
  <conditionalFormatting sqref="J66">
    <cfRule type="cellIs" dxfId="17025" priority="15945" operator="equal">
      <formula>"Tramitando"</formula>
    </cfRule>
    <cfRule type="cellIs" dxfId="17024" priority="15946" operator="equal">
      <formula>"Deferido"</formula>
    </cfRule>
    <cfRule type="cellIs" dxfId="17023" priority="15947" operator="equal">
      <formula>"Indeferido"</formula>
    </cfRule>
  </conditionalFormatting>
  <conditionalFormatting sqref="J66">
    <cfRule type="containsText" dxfId="17022" priority="15944" operator="containsText" text="Cancelado">
      <formula>NOT(ISERROR(SEARCH("Cancelado",J66)))</formula>
    </cfRule>
  </conditionalFormatting>
  <conditionalFormatting sqref="M66">
    <cfRule type="cellIs" dxfId="17021" priority="15941" operator="equal">
      <formula>"Tramitando"</formula>
    </cfRule>
    <cfRule type="cellIs" dxfId="17020" priority="15942" operator="equal">
      <formula>"Deferido"</formula>
    </cfRule>
    <cfRule type="cellIs" dxfId="17019" priority="15943" operator="equal">
      <formula>"Indeferido"</formula>
    </cfRule>
  </conditionalFormatting>
  <conditionalFormatting sqref="M66">
    <cfRule type="containsText" dxfId="17018" priority="15940" operator="containsText" text="Cancelado">
      <formula>NOT(ISERROR(SEARCH("Cancelado",M66)))</formula>
    </cfRule>
  </conditionalFormatting>
  <conditionalFormatting sqref="O66">
    <cfRule type="cellIs" dxfId="17017" priority="15937" operator="equal">
      <formula>"Tramitando"</formula>
    </cfRule>
    <cfRule type="cellIs" dxfId="17016" priority="15938" operator="equal">
      <formula>"Deferido"</formula>
    </cfRule>
    <cfRule type="cellIs" dxfId="17015" priority="15939" operator="equal">
      <formula>"Indeferido"</formula>
    </cfRule>
  </conditionalFormatting>
  <conditionalFormatting sqref="O66">
    <cfRule type="containsText" dxfId="17014" priority="15936" operator="containsText" text="Cancelado">
      <formula>NOT(ISERROR(SEARCH("Cancelado",O66)))</formula>
    </cfRule>
  </conditionalFormatting>
  <conditionalFormatting sqref="Q66">
    <cfRule type="cellIs" dxfId="17013" priority="15933" operator="equal">
      <formula>"Tramitando"</formula>
    </cfRule>
    <cfRule type="cellIs" dxfId="17012" priority="15934" operator="equal">
      <formula>"Deferido"</formula>
    </cfRule>
    <cfRule type="cellIs" dxfId="17011" priority="15935" operator="equal">
      <formula>"Indeferido"</formula>
    </cfRule>
  </conditionalFormatting>
  <conditionalFormatting sqref="Q66">
    <cfRule type="containsText" dxfId="17010" priority="15932" operator="containsText" text="Cancelado">
      <formula>NOT(ISERROR(SEARCH("Cancelado",Q66)))</formula>
    </cfRule>
  </conditionalFormatting>
  <conditionalFormatting sqref="S66">
    <cfRule type="cellIs" dxfId="17009" priority="15929" operator="equal">
      <formula>"Tramitando"</formula>
    </cfRule>
    <cfRule type="cellIs" dxfId="17008" priority="15930" operator="equal">
      <formula>"Deferido"</formula>
    </cfRule>
    <cfRule type="cellIs" dxfId="17007" priority="15931" operator="equal">
      <formula>"Indeferido"</formula>
    </cfRule>
  </conditionalFormatting>
  <conditionalFormatting sqref="S66">
    <cfRule type="containsText" dxfId="17006" priority="15928" operator="containsText" text="Cancelado">
      <formula>NOT(ISERROR(SEARCH("Cancelado",S66)))</formula>
    </cfRule>
  </conditionalFormatting>
  <conditionalFormatting sqref="J67">
    <cfRule type="cellIs" dxfId="17005" priority="15924" operator="equal">
      <formula>"Tramitando"</formula>
    </cfRule>
    <cfRule type="cellIs" dxfId="17004" priority="15925" operator="equal">
      <formula>"Deferido"</formula>
    </cfRule>
    <cfRule type="cellIs" dxfId="17003" priority="15926" operator="equal">
      <formula>"Indeferido"</formula>
    </cfRule>
  </conditionalFormatting>
  <conditionalFormatting sqref="J67">
    <cfRule type="containsText" dxfId="17002" priority="15923" operator="containsText" text="Cancelado">
      <formula>NOT(ISERROR(SEARCH("Cancelado",J67)))</formula>
    </cfRule>
  </conditionalFormatting>
  <conditionalFormatting sqref="M67">
    <cfRule type="cellIs" dxfId="17001" priority="15920" operator="equal">
      <formula>"Tramitando"</formula>
    </cfRule>
    <cfRule type="cellIs" dxfId="17000" priority="15921" operator="equal">
      <formula>"Deferido"</formula>
    </cfRule>
    <cfRule type="cellIs" dxfId="16999" priority="15922" operator="equal">
      <formula>"Indeferido"</formula>
    </cfRule>
  </conditionalFormatting>
  <conditionalFormatting sqref="M67">
    <cfRule type="containsText" dxfId="16998" priority="15919" operator="containsText" text="Cancelado">
      <formula>NOT(ISERROR(SEARCH("Cancelado",M67)))</formula>
    </cfRule>
  </conditionalFormatting>
  <conditionalFormatting sqref="O67">
    <cfRule type="cellIs" dxfId="16997" priority="15916" operator="equal">
      <formula>"Tramitando"</formula>
    </cfRule>
    <cfRule type="cellIs" dxfId="16996" priority="15917" operator="equal">
      <formula>"Deferido"</formula>
    </cfRule>
    <cfRule type="cellIs" dxfId="16995" priority="15918" operator="equal">
      <formula>"Indeferido"</formula>
    </cfRule>
  </conditionalFormatting>
  <conditionalFormatting sqref="O67">
    <cfRule type="containsText" dxfId="16994" priority="15915" operator="containsText" text="Cancelado">
      <formula>NOT(ISERROR(SEARCH("Cancelado",O67)))</formula>
    </cfRule>
  </conditionalFormatting>
  <conditionalFormatting sqref="Q67">
    <cfRule type="cellIs" dxfId="16993" priority="15912" operator="equal">
      <formula>"Tramitando"</formula>
    </cfRule>
    <cfRule type="cellIs" dxfId="16992" priority="15913" operator="equal">
      <formula>"Deferido"</formula>
    </cfRule>
    <cfRule type="cellIs" dxfId="16991" priority="15914" operator="equal">
      <formula>"Indeferido"</formula>
    </cfRule>
  </conditionalFormatting>
  <conditionalFormatting sqref="Q67">
    <cfRule type="containsText" dxfId="16990" priority="15911" operator="containsText" text="Cancelado">
      <formula>NOT(ISERROR(SEARCH("Cancelado",Q67)))</formula>
    </cfRule>
  </conditionalFormatting>
  <conditionalFormatting sqref="S67">
    <cfRule type="cellIs" dxfId="16989" priority="15908" operator="equal">
      <formula>"Tramitando"</formula>
    </cfRule>
    <cfRule type="cellIs" dxfId="16988" priority="15909" operator="equal">
      <formula>"Deferido"</formula>
    </cfRule>
    <cfRule type="cellIs" dxfId="16987" priority="15910" operator="equal">
      <formula>"Indeferido"</formula>
    </cfRule>
  </conditionalFormatting>
  <conditionalFormatting sqref="S67">
    <cfRule type="containsText" dxfId="16986" priority="15907" operator="containsText" text="Cancelado">
      <formula>NOT(ISERROR(SEARCH("Cancelado",S67)))</formula>
    </cfRule>
  </conditionalFormatting>
  <conditionalFormatting sqref="J68">
    <cfRule type="cellIs" dxfId="16985" priority="15903" operator="equal">
      <formula>"Tramitando"</formula>
    </cfRule>
    <cfRule type="cellIs" dxfId="16984" priority="15904" operator="equal">
      <formula>"Deferido"</formula>
    </cfRule>
    <cfRule type="cellIs" dxfId="16983" priority="15905" operator="equal">
      <formula>"Indeferido"</formula>
    </cfRule>
  </conditionalFormatting>
  <conditionalFormatting sqref="J68">
    <cfRule type="containsText" dxfId="16982" priority="15902" operator="containsText" text="Cancelado">
      <formula>NOT(ISERROR(SEARCH("Cancelado",J68)))</formula>
    </cfRule>
  </conditionalFormatting>
  <conditionalFormatting sqref="M68">
    <cfRule type="cellIs" dxfId="16981" priority="15899" operator="equal">
      <formula>"Tramitando"</formula>
    </cfRule>
    <cfRule type="cellIs" dxfId="16980" priority="15900" operator="equal">
      <formula>"Deferido"</formula>
    </cfRule>
    <cfRule type="cellIs" dxfId="16979" priority="15901" operator="equal">
      <formula>"Indeferido"</formula>
    </cfRule>
  </conditionalFormatting>
  <conditionalFormatting sqref="M68">
    <cfRule type="containsText" dxfId="16978" priority="15898" operator="containsText" text="Cancelado">
      <formula>NOT(ISERROR(SEARCH("Cancelado",M68)))</formula>
    </cfRule>
  </conditionalFormatting>
  <conditionalFormatting sqref="O68">
    <cfRule type="cellIs" dxfId="16977" priority="15895" operator="equal">
      <formula>"Tramitando"</formula>
    </cfRule>
    <cfRule type="cellIs" dxfId="16976" priority="15896" operator="equal">
      <formula>"Deferido"</formula>
    </cfRule>
    <cfRule type="cellIs" dxfId="16975" priority="15897" operator="equal">
      <formula>"Indeferido"</formula>
    </cfRule>
  </conditionalFormatting>
  <conditionalFormatting sqref="O68">
    <cfRule type="containsText" dxfId="16974" priority="15894" operator="containsText" text="Cancelado">
      <formula>NOT(ISERROR(SEARCH("Cancelado",O68)))</formula>
    </cfRule>
  </conditionalFormatting>
  <conditionalFormatting sqref="Q68">
    <cfRule type="cellIs" dxfId="16973" priority="15891" operator="equal">
      <formula>"Tramitando"</formula>
    </cfRule>
    <cfRule type="cellIs" dxfId="16972" priority="15892" operator="equal">
      <formula>"Deferido"</formula>
    </cfRule>
    <cfRule type="cellIs" dxfId="16971" priority="15893" operator="equal">
      <formula>"Indeferido"</formula>
    </cfRule>
  </conditionalFormatting>
  <conditionalFormatting sqref="Q68">
    <cfRule type="containsText" dxfId="16970" priority="15890" operator="containsText" text="Cancelado">
      <formula>NOT(ISERROR(SEARCH("Cancelado",Q68)))</formula>
    </cfRule>
  </conditionalFormatting>
  <conditionalFormatting sqref="S68">
    <cfRule type="cellIs" dxfId="16969" priority="15887" operator="equal">
      <formula>"Tramitando"</formula>
    </cfRule>
    <cfRule type="cellIs" dxfId="16968" priority="15888" operator="equal">
      <formula>"Deferido"</formula>
    </cfRule>
    <cfRule type="cellIs" dxfId="16967" priority="15889" operator="equal">
      <formula>"Indeferido"</formula>
    </cfRule>
  </conditionalFormatting>
  <conditionalFormatting sqref="S68">
    <cfRule type="containsText" dxfId="16966" priority="15886" operator="containsText" text="Cancelado">
      <formula>NOT(ISERROR(SEARCH("Cancelado",S68)))</formula>
    </cfRule>
  </conditionalFormatting>
  <conditionalFormatting sqref="J69">
    <cfRule type="cellIs" dxfId="16965" priority="15882" operator="equal">
      <formula>"Tramitando"</formula>
    </cfRule>
    <cfRule type="cellIs" dxfId="16964" priority="15883" operator="equal">
      <formula>"Deferido"</formula>
    </cfRule>
    <cfRule type="cellIs" dxfId="16963" priority="15884" operator="equal">
      <formula>"Indeferido"</formula>
    </cfRule>
  </conditionalFormatting>
  <conditionalFormatting sqref="J69">
    <cfRule type="containsText" dxfId="16962" priority="15881" operator="containsText" text="Cancelado">
      <formula>NOT(ISERROR(SEARCH("Cancelado",J69)))</formula>
    </cfRule>
  </conditionalFormatting>
  <conditionalFormatting sqref="M69">
    <cfRule type="cellIs" dxfId="16961" priority="15878" operator="equal">
      <formula>"Tramitando"</formula>
    </cfRule>
    <cfRule type="cellIs" dxfId="16960" priority="15879" operator="equal">
      <formula>"Deferido"</formula>
    </cfRule>
    <cfRule type="cellIs" dxfId="16959" priority="15880" operator="equal">
      <formula>"Indeferido"</formula>
    </cfRule>
  </conditionalFormatting>
  <conditionalFormatting sqref="M69">
    <cfRule type="containsText" dxfId="16958" priority="15877" operator="containsText" text="Cancelado">
      <formula>NOT(ISERROR(SEARCH("Cancelado",M69)))</formula>
    </cfRule>
  </conditionalFormatting>
  <conditionalFormatting sqref="O69">
    <cfRule type="cellIs" dxfId="16957" priority="15874" operator="equal">
      <formula>"Tramitando"</formula>
    </cfRule>
    <cfRule type="cellIs" dxfId="16956" priority="15875" operator="equal">
      <formula>"Deferido"</formula>
    </cfRule>
    <cfRule type="cellIs" dxfId="16955" priority="15876" operator="equal">
      <formula>"Indeferido"</formula>
    </cfRule>
  </conditionalFormatting>
  <conditionalFormatting sqref="O69">
    <cfRule type="containsText" dxfId="16954" priority="15873" operator="containsText" text="Cancelado">
      <formula>NOT(ISERROR(SEARCH("Cancelado",O69)))</formula>
    </cfRule>
  </conditionalFormatting>
  <conditionalFormatting sqref="Q69">
    <cfRule type="cellIs" dxfId="16953" priority="15870" operator="equal">
      <formula>"Tramitando"</formula>
    </cfRule>
    <cfRule type="cellIs" dxfId="16952" priority="15871" operator="equal">
      <formula>"Deferido"</formula>
    </cfRule>
    <cfRule type="cellIs" dxfId="16951" priority="15872" operator="equal">
      <formula>"Indeferido"</formula>
    </cfRule>
  </conditionalFormatting>
  <conditionalFormatting sqref="Q69">
    <cfRule type="containsText" dxfId="16950" priority="15869" operator="containsText" text="Cancelado">
      <formula>NOT(ISERROR(SEARCH("Cancelado",Q69)))</formula>
    </cfRule>
  </conditionalFormatting>
  <conditionalFormatting sqref="S69">
    <cfRule type="cellIs" dxfId="16949" priority="15866" operator="equal">
      <formula>"Tramitando"</formula>
    </cfRule>
    <cfRule type="cellIs" dxfId="16948" priority="15867" operator="equal">
      <formula>"Deferido"</formula>
    </cfRule>
    <cfRule type="cellIs" dxfId="16947" priority="15868" operator="equal">
      <formula>"Indeferido"</formula>
    </cfRule>
  </conditionalFormatting>
  <conditionalFormatting sqref="S69">
    <cfRule type="containsText" dxfId="16946" priority="15865" operator="containsText" text="Cancelado">
      <formula>NOT(ISERROR(SEARCH("Cancelado",S69)))</formula>
    </cfRule>
  </conditionalFormatting>
  <conditionalFormatting sqref="J70">
    <cfRule type="cellIs" dxfId="16945" priority="15861" operator="equal">
      <formula>"Tramitando"</formula>
    </cfRule>
    <cfRule type="cellIs" dxfId="16944" priority="15862" operator="equal">
      <formula>"Deferido"</formula>
    </cfRule>
    <cfRule type="cellIs" dxfId="16943" priority="15863" operator="equal">
      <formula>"Indeferido"</formula>
    </cfRule>
  </conditionalFormatting>
  <conditionalFormatting sqref="J70">
    <cfRule type="containsText" dxfId="16942" priority="15860" operator="containsText" text="Cancelado">
      <formula>NOT(ISERROR(SEARCH("Cancelado",J70)))</formula>
    </cfRule>
  </conditionalFormatting>
  <conditionalFormatting sqref="M70">
    <cfRule type="cellIs" dxfId="16941" priority="15857" operator="equal">
      <formula>"Tramitando"</formula>
    </cfRule>
    <cfRule type="cellIs" dxfId="16940" priority="15858" operator="equal">
      <formula>"Deferido"</formula>
    </cfRule>
    <cfRule type="cellIs" dxfId="16939" priority="15859" operator="equal">
      <formula>"Indeferido"</formula>
    </cfRule>
  </conditionalFormatting>
  <conditionalFormatting sqref="M70">
    <cfRule type="containsText" dxfId="16938" priority="15856" operator="containsText" text="Cancelado">
      <formula>NOT(ISERROR(SEARCH("Cancelado",M70)))</formula>
    </cfRule>
  </conditionalFormatting>
  <conditionalFormatting sqref="O70">
    <cfRule type="cellIs" dxfId="16937" priority="15853" operator="equal">
      <formula>"Tramitando"</formula>
    </cfRule>
    <cfRule type="cellIs" dxfId="16936" priority="15854" operator="equal">
      <formula>"Deferido"</formula>
    </cfRule>
    <cfRule type="cellIs" dxfId="16935" priority="15855" operator="equal">
      <formula>"Indeferido"</formula>
    </cfRule>
  </conditionalFormatting>
  <conditionalFormatting sqref="O70">
    <cfRule type="containsText" dxfId="16934" priority="15852" operator="containsText" text="Cancelado">
      <formula>NOT(ISERROR(SEARCH("Cancelado",O70)))</formula>
    </cfRule>
  </conditionalFormatting>
  <conditionalFormatting sqref="Q70">
    <cfRule type="cellIs" dxfId="16933" priority="15849" operator="equal">
      <formula>"Tramitando"</formula>
    </cfRule>
    <cfRule type="cellIs" dxfId="16932" priority="15850" operator="equal">
      <formula>"Deferido"</formula>
    </cfRule>
    <cfRule type="cellIs" dxfId="16931" priority="15851" operator="equal">
      <formula>"Indeferido"</formula>
    </cfRule>
  </conditionalFormatting>
  <conditionalFormatting sqref="Q70">
    <cfRule type="containsText" dxfId="16930" priority="15848" operator="containsText" text="Cancelado">
      <formula>NOT(ISERROR(SEARCH("Cancelado",Q70)))</formula>
    </cfRule>
  </conditionalFormatting>
  <conditionalFormatting sqref="S70">
    <cfRule type="cellIs" dxfId="16929" priority="15845" operator="equal">
      <formula>"Tramitando"</formula>
    </cfRule>
    <cfRule type="cellIs" dxfId="16928" priority="15846" operator="equal">
      <formula>"Deferido"</formula>
    </cfRule>
    <cfRule type="cellIs" dxfId="16927" priority="15847" operator="equal">
      <formula>"Indeferido"</formula>
    </cfRule>
  </conditionalFormatting>
  <conditionalFormatting sqref="S70">
    <cfRule type="containsText" dxfId="16926" priority="15844" operator="containsText" text="Cancelado">
      <formula>NOT(ISERROR(SEARCH("Cancelado",S70)))</formula>
    </cfRule>
  </conditionalFormatting>
  <conditionalFormatting sqref="J71">
    <cfRule type="cellIs" dxfId="16925" priority="15840" operator="equal">
      <formula>"Tramitando"</formula>
    </cfRule>
    <cfRule type="cellIs" dxfId="16924" priority="15841" operator="equal">
      <formula>"Deferido"</formula>
    </cfRule>
    <cfRule type="cellIs" dxfId="16923" priority="15842" operator="equal">
      <formula>"Indeferido"</formula>
    </cfRule>
  </conditionalFormatting>
  <conditionalFormatting sqref="J71">
    <cfRule type="containsText" dxfId="16922" priority="15839" operator="containsText" text="Cancelado">
      <formula>NOT(ISERROR(SEARCH("Cancelado",J71)))</formula>
    </cfRule>
  </conditionalFormatting>
  <conditionalFormatting sqref="M71">
    <cfRule type="cellIs" dxfId="16921" priority="15836" operator="equal">
      <formula>"Tramitando"</formula>
    </cfRule>
    <cfRule type="cellIs" dxfId="16920" priority="15837" operator="equal">
      <formula>"Deferido"</formula>
    </cfRule>
    <cfRule type="cellIs" dxfId="16919" priority="15838" operator="equal">
      <formula>"Indeferido"</formula>
    </cfRule>
  </conditionalFormatting>
  <conditionalFormatting sqref="M71">
    <cfRule type="containsText" dxfId="16918" priority="15835" operator="containsText" text="Cancelado">
      <formula>NOT(ISERROR(SEARCH("Cancelado",M71)))</formula>
    </cfRule>
  </conditionalFormatting>
  <conditionalFormatting sqref="O71">
    <cfRule type="cellIs" dxfId="16917" priority="15832" operator="equal">
      <formula>"Tramitando"</formula>
    </cfRule>
    <cfRule type="cellIs" dxfId="16916" priority="15833" operator="equal">
      <formula>"Deferido"</formula>
    </cfRule>
    <cfRule type="cellIs" dxfId="16915" priority="15834" operator="equal">
      <formula>"Indeferido"</formula>
    </cfRule>
  </conditionalFormatting>
  <conditionalFormatting sqref="O71">
    <cfRule type="containsText" dxfId="16914" priority="15831" operator="containsText" text="Cancelado">
      <formula>NOT(ISERROR(SEARCH("Cancelado",O71)))</formula>
    </cfRule>
  </conditionalFormatting>
  <conditionalFormatting sqref="Q71">
    <cfRule type="cellIs" dxfId="16913" priority="15828" operator="equal">
      <formula>"Tramitando"</formula>
    </cfRule>
    <cfRule type="cellIs" dxfId="16912" priority="15829" operator="equal">
      <formula>"Deferido"</formula>
    </cfRule>
    <cfRule type="cellIs" dxfId="16911" priority="15830" operator="equal">
      <formula>"Indeferido"</formula>
    </cfRule>
  </conditionalFormatting>
  <conditionalFormatting sqref="Q71">
    <cfRule type="containsText" dxfId="16910" priority="15827" operator="containsText" text="Cancelado">
      <formula>NOT(ISERROR(SEARCH("Cancelado",Q71)))</formula>
    </cfRule>
  </conditionalFormatting>
  <conditionalFormatting sqref="S71">
    <cfRule type="cellIs" dxfId="16909" priority="15824" operator="equal">
      <formula>"Tramitando"</formula>
    </cfRule>
    <cfRule type="cellIs" dxfId="16908" priority="15825" operator="equal">
      <formula>"Deferido"</formula>
    </cfRule>
    <cfRule type="cellIs" dxfId="16907" priority="15826" operator="equal">
      <formula>"Indeferido"</formula>
    </cfRule>
  </conditionalFormatting>
  <conditionalFormatting sqref="S71">
    <cfRule type="containsText" dxfId="16906" priority="15823" operator="containsText" text="Cancelado">
      <formula>NOT(ISERROR(SEARCH("Cancelado",S71)))</formula>
    </cfRule>
  </conditionalFormatting>
  <conditionalFormatting sqref="J72">
    <cfRule type="cellIs" dxfId="16905" priority="15819" operator="equal">
      <formula>"Tramitando"</formula>
    </cfRule>
    <cfRule type="cellIs" dxfId="16904" priority="15820" operator="equal">
      <formula>"Deferido"</formula>
    </cfRule>
    <cfRule type="cellIs" dxfId="16903" priority="15821" operator="equal">
      <formula>"Indeferido"</formula>
    </cfRule>
  </conditionalFormatting>
  <conditionalFormatting sqref="J72">
    <cfRule type="containsText" dxfId="16902" priority="15818" operator="containsText" text="Cancelado">
      <formula>NOT(ISERROR(SEARCH("Cancelado",J72)))</formula>
    </cfRule>
  </conditionalFormatting>
  <conditionalFormatting sqref="M72">
    <cfRule type="cellIs" dxfId="16901" priority="15815" operator="equal">
      <formula>"Tramitando"</formula>
    </cfRule>
    <cfRule type="cellIs" dxfId="16900" priority="15816" operator="equal">
      <formula>"Deferido"</formula>
    </cfRule>
    <cfRule type="cellIs" dxfId="16899" priority="15817" operator="equal">
      <formula>"Indeferido"</formula>
    </cfRule>
  </conditionalFormatting>
  <conditionalFormatting sqref="M72">
    <cfRule type="containsText" dxfId="16898" priority="15814" operator="containsText" text="Cancelado">
      <formula>NOT(ISERROR(SEARCH("Cancelado",M72)))</formula>
    </cfRule>
  </conditionalFormatting>
  <conditionalFormatting sqref="O72">
    <cfRule type="cellIs" dxfId="16897" priority="15811" operator="equal">
      <formula>"Tramitando"</formula>
    </cfRule>
    <cfRule type="cellIs" dxfId="16896" priority="15812" operator="equal">
      <formula>"Deferido"</formula>
    </cfRule>
    <cfRule type="cellIs" dxfId="16895" priority="15813" operator="equal">
      <formula>"Indeferido"</formula>
    </cfRule>
  </conditionalFormatting>
  <conditionalFormatting sqref="O72">
    <cfRule type="containsText" dxfId="16894" priority="15810" operator="containsText" text="Cancelado">
      <formula>NOT(ISERROR(SEARCH("Cancelado",O72)))</formula>
    </cfRule>
  </conditionalFormatting>
  <conditionalFormatting sqref="Q72">
    <cfRule type="cellIs" dxfId="16893" priority="15807" operator="equal">
      <formula>"Tramitando"</formula>
    </cfRule>
    <cfRule type="cellIs" dxfId="16892" priority="15808" operator="equal">
      <formula>"Deferido"</formula>
    </cfRule>
    <cfRule type="cellIs" dxfId="16891" priority="15809" operator="equal">
      <formula>"Indeferido"</formula>
    </cfRule>
  </conditionalFormatting>
  <conditionalFormatting sqref="Q72">
    <cfRule type="containsText" dxfId="16890" priority="15806" operator="containsText" text="Cancelado">
      <formula>NOT(ISERROR(SEARCH("Cancelado",Q72)))</formula>
    </cfRule>
  </conditionalFormatting>
  <conditionalFormatting sqref="S72">
    <cfRule type="cellIs" dxfId="16889" priority="15803" operator="equal">
      <formula>"Tramitando"</formula>
    </cfRule>
    <cfRule type="cellIs" dxfId="16888" priority="15804" operator="equal">
      <formula>"Deferido"</formula>
    </cfRule>
    <cfRule type="cellIs" dxfId="16887" priority="15805" operator="equal">
      <formula>"Indeferido"</formula>
    </cfRule>
  </conditionalFormatting>
  <conditionalFormatting sqref="S72">
    <cfRule type="containsText" dxfId="16886" priority="15802" operator="containsText" text="Cancelado">
      <formula>NOT(ISERROR(SEARCH("Cancelado",S72)))</formula>
    </cfRule>
  </conditionalFormatting>
  <conditionalFormatting sqref="J73">
    <cfRule type="cellIs" dxfId="16885" priority="15798" operator="equal">
      <formula>"Tramitando"</formula>
    </cfRule>
    <cfRule type="cellIs" dxfId="16884" priority="15799" operator="equal">
      <formula>"Deferido"</formula>
    </cfRule>
    <cfRule type="cellIs" dxfId="16883" priority="15800" operator="equal">
      <formula>"Indeferido"</formula>
    </cfRule>
  </conditionalFormatting>
  <conditionalFormatting sqref="J73">
    <cfRule type="containsText" dxfId="16882" priority="15797" operator="containsText" text="Cancelado">
      <formula>NOT(ISERROR(SEARCH("Cancelado",J73)))</formula>
    </cfRule>
  </conditionalFormatting>
  <conditionalFormatting sqref="M73">
    <cfRule type="cellIs" dxfId="16881" priority="15794" operator="equal">
      <formula>"Tramitando"</formula>
    </cfRule>
    <cfRule type="cellIs" dxfId="16880" priority="15795" operator="equal">
      <formula>"Deferido"</formula>
    </cfRule>
    <cfRule type="cellIs" dxfId="16879" priority="15796" operator="equal">
      <formula>"Indeferido"</formula>
    </cfRule>
  </conditionalFormatting>
  <conditionalFormatting sqref="M73">
    <cfRule type="containsText" dxfId="16878" priority="15793" operator="containsText" text="Cancelado">
      <formula>NOT(ISERROR(SEARCH("Cancelado",M73)))</formula>
    </cfRule>
  </conditionalFormatting>
  <conditionalFormatting sqref="O73">
    <cfRule type="cellIs" dxfId="16877" priority="15790" operator="equal">
      <formula>"Tramitando"</formula>
    </cfRule>
    <cfRule type="cellIs" dxfId="16876" priority="15791" operator="equal">
      <formula>"Deferido"</formula>
    </cfRule>
    <cfRule type="cellIs" dxfId="16875" priority="15792" operator="equal">
      <formula>"Indeferido"</formula>
    </cfRule>
  </conditionalFormatting>
  <conditionalFormatting sqref="O73">
    <cfRule type="containsText" dxfId="16874" priority="15789" operator="containsText" text="Cancelado">
      <formula>NOT(ISERROR(SEARCH("Cancelado",O73)))</formula>
    </cfRule>
  </conditionalFormatting>
  <conditionalFormatting sqref="Q73">
    <cfRule type="cellIs" dxfId="16873" priority="15786" operator="equal">
      <formula>"Tramitando"</formula>
    </cfRule>
    <cfRule type="cellIs" dxfId="16872" priority="15787" operator="equal">
      <formula>"Deferido"</formula>
    </cfRule>
    <cfRule type="cellIs" dxfId="16871" priority="15788" operator="equal">
      <formula>"Indeferido"</formula>
    </cfRule>
  </conditionalFormatting>
  <conditionalFormatting sqref="Q73">
    <cfRule type="containsText" dxfId="16870" priority="15785" operator="containsText" text="Cancelado">
      <formula>NOT(ISERROR(SEARCH("Cancelado",Q73)))</formula>
    </cfRule>
  </conditionalFormatting>
  <conditionalFormatting sqref="S73">
    <cfRule type="cellIs" dxfId="16869" priority="15782" operator="equal">
      <formula>"Tramitando"</formula>
    </cfRule>
    <cfRule type="cellIs" dxfId="16868" priority="15783" operator="equal">
      <formula>"Deferido"</formula>
    </cfRule>
    <cfRule type="cellIs" dxfId="16867" priority="15784" operator="equal">
      <formula>"Indeferido"</formula>
    </cfRule>
  </conditionalFormatting>
  <conditionalFormatting sqref="S73">
    <cfRule type="containsText" dxfId="16866" priority="15781" operator="containsText" text="Cancelado">
      <formula>NOT(ISERROR(SEARCH("Cancelado",S73)))</formula>
    </cfRule>
  </conditionalFormatting>
  <conditionalFormatting sqref="J74">
    <cfRule type="cellIs" dxfId="16865" priority="15777" operator="equal">
      <formula>"Tramitando"</formula>
    </cfRule>
    <cfRule type="cellIs" dxfId="16864" priority="15778" operator="equal">
      <formula>"Deferido"</formula>
    </cfRule>
    <cfRule type="cellIs" dxfId="16863" priority="15779" operator="equal">
      <formula>"Indeferido"</formula>
    </cfRule>
  </conditionalFormatting>
  <conditionalFormatting sqref="J74">
    <cfRule type="containsText" dxfId="16862" priority="15776" operator="containsText" text="Cancelado">
      <formula>NOT(ISERROR(SEARCH("Cancelado",J74)))</formula>
    </cfRule>
  </conditionalFormatting>
  <conditionalFormatting sqref="M74">
    <cfRule type="cellIs" dxfId="16861" priority="15773" operator="equal">
      <formula>"Tramitando"</formula>
    </cfRule>
    <cfRule type="cellIs" dxfId="16860" priority="15774" operator="equal">
      <formula>"Deferido"</formula>
    </cfRule>
    <cfRule type="cellIs" dxfId="16859" priority="15775" operator="equal">
      <formula>"Indeferido"</formula>
    </cfRule>
  </conditionalFormatting>
  <conditionalFormatting sqref="M74">
    <cfRule type="containsText" dxfId="16858" priority="15772" operator="containsText" text="Cancelado">
      <formula>NOT(ISERROR(SEARCH("Cancelado",M74)))</formula>
    </cfRule>
  </conditionalFormatting>
  <conditionalFormatting sqref="O74">
    <cfRule type="cellIs" dxfId="16857" priority="15769" operator="equal">
      <formula>"Tramitando"</formula>
    </cfRule>
    <cfRule type="cellIs" dxfId="16856" priority="15770" operator="equal">
      <formula>"Deferido"</formula>
    </cfRule>
    <cfRule type="cellIs" dxfId="16855" priority="15771" operator="equal">
      <formula>"Indeferido"</formula>
    </cfRule>
  </conditionalFormatting>
  <conditionalFormatting sqref="O74">
    <cfRule type="containsText" dxfId="16854" priority="15768" operator="containsText" text="Cancelado">
      <formula>NOT(ISERROR(SEARCH("Cancelado",O74)))</formula>
    </cfRule>
  </conditionalFormatting>
  <conditionalFormatting sqref="Q74">
    <cfRule type="cellIs" dxfId="16853" priority="15765" operator="equal">
      <formula>"Tramitando"</formula>
    </cfRule>
    <cfRule type="cellIs" dxfId="16852" priority="15766" operator="equal">
      <formula>"Deferido"</formula>
    </cfRule>
    <cfRule type="cellIs" dxfId="16851" priority="15767" operator="equal">
      <formula>"Indeferido"</formula>
    </cfRule>
  </conditionalFormatting>
  <conditionalFormatting sqref="Q74">
    <cfRule type="containsText" dxfId="16850" priority="15764" operator="containsText" text="Cancelado">
      <formula>NOT(ISERROR(SEARCH("Cancelado",Q74)))</formula>
    </cfRule>
  </conditionalFormatting>
  <conditionalFormatting sqref="S74">
    <cfRule type="cellIs" dxfId="16849" priority="15761" operator="equal">
      <formula>"Tramitando"</formula>
    </cfRule>
    <cfRule type="cellIs" dxfId="16848" priority="15762" operator="equal">
      <formula>"Deferido"</formula>
    </cfRule>
    <cfRule type="cellIs" dxfId="16847" priority="15763" operator="equal">
      <formula>"Indeferido"</formula>
    </cfRule>
  </conditionalFormatting>
  <conditionalFormatting sqref="S74">
    <cfRule type="containsText" dxfId="16846" priority="15760" operator="containsText" text="Cancelado">
      <formula>NOT(ISERROR(SEARCH("Cancelado",S74)))</formula>
    </cfRule>
  </conditionalFormatting>
  <conditionalFormatting sqref="J75:J76">
    <cfRule type="cellIs" dxfId="16845" priority="15756" operator="equal">
      <formula>"Tramitando"</formula>
    </cfRule>
    <cfRule type="cellIs" dxfId="16844" priority="15757" operator="equal">
      <formula>"Deferido"</formula>
    </cfRule>
    <cfRule type="cellIs" dxfId="16843" priority="15758" operator="equal">
      <formula>"Indeferido"</formula>
    </cfRule>
  </conditionalFormatting>
  <conditionalFormatting sqref="J75:J76">
    <cfRule type="containsText" dxfId="16842" priority="15755" operator="containsText" text="Cancelado">
      <formula>NOT(ISERROR(SEARCH("Cancelado",J75)))</formula>
    </cfRule>
  </conditionalFormatting>
  <conditionalFormatting sqref="M75:M76">
    <cfRule type="cellIs" dxfId="16841" priority="15752" operator="equal">
      <formula>"Tramitando"</formula>
    </cfRule>
    <cfRule type="cellIs" dxfId="16840" priority="15753" operator="equal">
      <formula>"Deferido"</formula>
    </cfRule>
    <cfRule type="cellIs" dxfId="16839" priority="15754" operator="equal">
      <formula>"Indeferido"</formula>
    </cfRule>
  </conditionalFormatting>
  <conditionalFormatting sqref="M75:M76">
    <cfRule type="containsText" dxfId="16838" priority="15751" operator="containsText" text="Cancelado">
      <formula>NOT(ISERROR(SEARCH("Cancelado",M75)))</formula>
    </cfRule>
  </conditionalFormatting>
  <conditionalFormatting sqref="O75:O76">
    <cfRule type="cellIs" dxfId="16837" priority="15748" operator="equal">
      <formula>"Tramitando"</formula>
    </cfRule>
    <cfRule type="cellIs" dxfId="16836" priority="15749" operator="equal">
      <formula>"Deferido"</formula>
    </cfRule>
    <cfRule type="cellIs" dxfId="16835" priority="15750" operator="equal">
      <formula>"Indeferido"</formula>
    </cfRule>
  </conditionalFormatting>
  <conditionalFormatting sqref="O75:O76">
    <cfRule type="containsText" dxfId="16834" priority="15747" operator="containsText" text="Cancelado">
      <formula>NOT(ISERROR(SEARCH("Cancelado",O75)))</formula>
    </cfRule>
  </conditionalFormatting>
  <conditionalFormatting sqref="Q75:Q76">
    <cfRule type="cellIs" dxfId="16833" priority="15744" operator="equal">
      <formula>"Tramitando"</formula>
    </cfRule>
    <cfRule type="cellIs" dxfId="16832" priority="15745" operator="equal">
      <formula>"Deferido"</formula>
    </cfRule>
    <cfRule type="cellIs" dxfId="16831" priority="15746" operator="equal">
      <formula>"Indeferido"</formula>
    </cfRule>
  </conditionalFormatting>
  <conditionalFormatting sqref="Q75:Q76">
    <cfRule type="containsText" dxfId="16830" priority="15743" operator="containsText" text="Cancelado">
      <formula>NOT(ISERROR(SEARCH("Cancelado",Q75)))</formula>
    </cfRule>
  </conditionalFormatting>
  <conditionalFormatting sqref="S75:S76">
    <cfRule type="cellIs" dxfId="16829" priority="15740" operator="equal">
      <formula>"Tramitando"</formula>
    </cfRule>
    <cfRule type="cellIs" dxfId="16828" priority="15741" operator="equal">
      <formula>"Deferido"</formula>
    </cfRule>
    <cfRule type="cellIs" dxfId="16827" priority="15742" operator="equal">
      <formula>"Indeferido"</formula>
    </cfRule>
  </conditionalFormatting>
  <conditionalFormatting sqref="S75:S76">
    <cfRule type="containsText" dxfId="16826" priority="15739" operator="containsText" text="Cancelado">
      <formula>NOT(ISERROR(SEARCH("Cancelado",S75)))</formula>
    </cfRule>
  </conditionalFormatting>
  <conditionalFormatting sqref="J77:J78">
    <cfRule type="cellIs" dxfId="16825" priority="15735" operator="equal">
      <formula>"Tramitando"</formula>
    </cfRule>
    <cfRule type="cellIs" dxfId="16824" priority="15736" operator="equal">
      <formula>"Deferido"</formula>
    </cfRule>
    <cfRule type="cellIs" dxfId="16823" priority="15737" operator="equal">
      <formula>"Indeferido"</formula>
    </cfRule>
  </conditionalFormatting>
  <conditionalFormatting sqref="J77:J78">
    <cfRule type="containsText" dxfId="16822" priority="15734" operator="containsText" text="Cancelado">
      <formula>NOT(ISERROR(SEARCH("Cancelado",J77)))</formula>
    </cfRule>
  </conditionalFormatting>
  <conditionalFormatting sqref="M77:M78">
    <cfRule type="cellIs" dxfId="16821" priority="15731" operator="equal">
      <formula>"Tramitando"</formula>
    </cfRule>
    <cfRule type="cellIs" dxfId="16820" priority="15732" operator="equal">
      <formula>"Deferido"</formula>
    </cfRule>
    <cfRule type="cellIs" dxfId="16819" priority="15733" operator="equal">
      <formula>"Indeferido"</formula>
    </cfRule>
  </conditionalFormatting>
  <conditionalFormatting sqref="M77:M78">
    <cfRule type="containsText" dxfId="16818" priority="15730" operator="containsText" text="Cancelado">
      <formula>NOT(ISERROR(SEARCH("Cancelado",M77)))</formula>
    </cfRule>
  </conditionalFormatting>
  <conditionalFormatting sqref="O77:O78">
    <cfRule type="cellIs" dxfId="16817" priority="15727" operator="equal">
      <formula>"Tramitando"</formula>
    </cfRule>
    <cfRule type="cellIs" dxfId="16816" priority="15728" operator="equal">
      <formula>"Deferido"</formula>
    </cfRule>
    <cfRule type="cellIs" dxfId="16815" priority="15729" operator="equal">
      <formula>"Indeferido"</formula>
    </cfRule>
  </conditionalFormatting>
  <conditionalFormatting sqref="O77:O78">
    <cfRule type="containsText" dxfId="16814" priority="15726" operator="containsText" text="Cancelado">
      <formula>NOT(ISERROR(SEARCH("Cancelado",O77)))</formula>
    </cfRule>
  </conditionalFormatting>
  <conditionalFormatting sqref="Q77:Q78">
    <cfRule type="cellIs" dxfId="16813" priority="15723" operator="equal">
      <formula>"Tramitando"</formula>
    </cfRule>
    <cfRule type="cellIs" dxfId="16812" priority="15724" operator="equal">
      <formula>"Deferido"</formula>
    </cfRule>
    <cfRule type="cellIs" dxfId="16811" priority="15725" operator="equal">
      <formula>"Indeferido"</formula>
    </cfRule>
  </conditionalFormatting>
  <conditionalFormatting sqref="Q77:Q78">
    <cfRule type="containsText" dxfId="16810" priority="15722" operator="containsText" text="Cancelado">
      <formula>NOT(ISERROR(SEARCH("Cancelado",Q77)))</formula>
    </cfRule>
  </conditionalFormatting>
  <conditionalFormatting sqref="S77:S78">
    <cfRule type="cellIs" dxfId="16809" priority="15719" operator="equal">
      <formula>"Tramitando"</formula>
    </cfRule>
    <cfRule type="cellIs" dxfId="16808" priority="15720" operator="equal">
      <formula>"Deferido"</formula>
    </cfRule>
    <cfRule type="cellIs" dxfId="16807" priority="15721" operator="equal">
      <formula>"Indeferido"</formula>
    </cfRule>
  </conditionalFormatting>
  <conditionalFormatting sqref="S77:S78">
    <cfRule type="containsText" dxfId="16806" priority="15718" operator="containsText" text="Cancelado">
      <formula>NOT(ISERROR(SEARCH("Cancelado",S77)))</formula>
    </cfRule>
  </conditionalFormatting>
  <conditionalFormatting sqref="J79">
    <cfRule type="cellIs" dxfId="16805" priority="15714" operator="equal">
      <formula>"Tramitando"</formula>
    </cfRule>
    <cfRule type="cellIs" dxfId="16804" priority="15715" operator="equal">
      <formula>"Deferido"</formula>
    </cfRule>
    <cfRule type="cellIs" dxfId="16803" priority="15716" operator="equal">
      <formula>"Indeferido"</formula>
    </cfRule>
  </conditionalFormatting>
  <conditionalFormatting sqref="J79">
    <cfRule type="containsText" dxfId="16802" priority="15713" operator="containsText" text="Cancelado">
      <formula>NOT(ISERROR(SEARCH("Cancelado",J79)))</formula>
    </cfRule>
  </conditionalFormatting>
  <conditionalFormatting sqref="M79">
    <cfRule type="cellIs" dxfId="16801" priority="15710" operator="equal">
      <formula>"Tramitando"</formula>
    </cfRule>
    <cfRule type="cellIs" dxfId="16800" priority="15711" operator="equal">
      <formula>"Deferido"</formula>
    </cfRule>
    <cfRule type="cellIs" dxfId="16799" priority="15712" operator="equal">
      <formula>"Indeferido"</formula>
    </cfRule>
  </conditionalFormatting>
  <conditionalFormatting sqref="M79">
    <cfRule type="containsText" dxfId="16798" priority="15709" operator="containsText" text="Cancelado">
      <formula>NOT(ISERROR(SEARCH("Cancelado",M79)))</formula>
    </cfRule>
  </conditionalFormatting>
  <conditionalFormatting sqref="O79">
    <cfRule type="cellIs" dxfId="16797" priority="15706" operator="equal">
      <formula>"Tramitando"</formula>
    </cfRule>
    <cfRule type="cellIs" dxfId="16796" priority="15707" operator="equal">
      <formula>"Deferido"</formula>
    </cfRule>
    <cfRule type="cellIs" dxfId="16795" priority="15708" operator="equal">
      <formula>"Indeferido"</formula>
    </cfRule>
  </conditionalFormatting>
  <conditionalFormatting sqref="O79">
    <cfRule type="containsText" dxfId="16794" priority="15705" operator="containsText" text="Cancelado">
      <formula>NOT(ISERROR(SEARCH("Cancelado",O79)))</formula>
    </cfRule>
  </conditionalFormatting>
  <conditionalFormatting sqref="Q79">
    <cfRule type="cellIs" dxfId="16793" priority="15702" operator="equal">
      <formula>"Tramitando"</formula>
    </cfRule>
    <cfRule type="cellIs" dxfId="16792" priority="15703" operator="equal">
      <formula>"Deferido"</formula>
    </cfRule>
    <cfRule type="cellIs" dxfId="16791" priority="15704" operator="equal">
      <formula>"Indeferido"</formula>
    </cfRule>
  </conditionalFormatting>
  <conditionalFormatting sqref="Q79">
    <cfRule type="containsText" dxfId="16790" priority="15701" operator="containsText" text="Cancelado">
      <formula>NOT(ISERROR(SEARCH("Cancelado",Q79)))</formula>
    </cfRule>
  </conditionalFormatting>
  <conditionalFormatting sqref="S79">
    <cfRule type="cellIs" dxfId="16789" priority="15698" operator="equal">
      <formula>"Tramitando"</formula>
    </cfRule>
    <cfRule type="cellIs" dxfId="16788" priority="15699" operator="equal">
      <formula>"Deferido"</formula>
    </cfRule>
    <cfRule type="cellIs" dxfId="16787" priority="15700" operator="equal">
      <formula>"Indeferido"</formula>
    </cfRule>
  </conditionalFormatting>
  <conditionalFormatting sqref="S79">
    <cfRule type="containsText" dxfId="16786" priority="15697" operator="containsText" text="Cancelado">
      <formula>NOT(ISERROR(SEARCH("Cancelado",S79)))</formula>
    </cfRule>
  </conditionalFormatting>
  <conditionalFormatting sqref="J80">
    <cfRule type="cellIs" dxfId="16785" priority="15693" operator="equal">
      <formula>"Tramitando"</formula>
    </cfRule>
    <cfRule type="cellIs" dxfId="16784" priority="15694" operator="equal">
      <formula>"Deferido"</formula>
    </cfRule>
    <cfRule type="cellIs" dxfId="16783" priority="15695" operator="equal">
      <formula>"Indeferido"</formula>
    </cfRule>
  </conditionalFormatting>
  <conditionalFormatting sqref="J80">
    <cfRule type="containsText" dxfId="16782" priority="15692" operator="containsText" text="Cancelado">
      <formula>NOT(ISERROR(SEARCH("Cancelado",J80)))</formula>
    </cfRule>
  </conditionalFormatting>
  <conditionalFormatting sqref="M80">
    <cfRule type="cellIs" dxfId="16781" priority="15689" operator="equal">
      <formula>"Tramitando"</formula>
    </cfRule>
    <cfRule type="cellIs" dxfId="16780" priority="15690" operator="equal">
      <formula>"Deferido"</formula>
    </cfRule>
    <cfRule type="cellIs" dxfId="16779" priority="15691" operator="equal">
      <formula>"Indeferido"</formula>
    </cfRule>
  </conditionalFormatting>
  <conditionalFormatting sqref="M80">
    <cfRule type="containsText" dxfId="16778" priority="15688" operator="containsText" text="Cancelado">
      <formula>NOT(ISERROR(SEARCH("Cancelado",M80)))</formula>
    </cfRule>
  </conditionalFormatting>
  <conditionalFormatting sqref="O80">
    <cfRule type="cellIs" dxfId="16777" priority="15685" operator="equal">
      <formula>"Tramitando"</formula>
    </cfRule>
    <cfRule type="cellIs" dxfId="16776" priority="15686" operator="equal">
      <formula>"Deferido"</formula>
    </cfRule>
    <cfRule type="cellIs" dxfId="16775" priority="15687" operator="equal">
      <formula>"Indeferido"</formula>
    </cfRule>
  </conditionalFormatting>
  <conditionalFormatting sqref="O80">
    <cfRule type="containsText" dxfId="16774" priority="15684" operator="containsText" text="Cancelado">
      <formula>NOT(ISERROR(SEARCH("Cancelado",O80)))</formula>
    </cfRule>
  </conditionalFormatting>
  <conditionalFormatting sqref="Q80">
    <cfRule type="cellIs" dxfId="16773" priority="15681" operator="equal">
      <formula>"Tramitando"</formula>
    </cfRule>
    <cfRule type="cellIs" dxfId="16772" priority="15682" operator="equal">
      <formula>"Deferido"</formula>
    </cfRule>
    <cfRule type="cellIs" dxfId="16771" priority="15683" operator="equal">
      <formula>"Indeferido"</formula>
    </cfRule>
  </conditionalFormatting>
  <conditionalFormatting sqref="Q80">
    <cfRule type="containsText" dxfId="16770" priority="15680" operator="containsText" text="Cancelado">
      <formula>NOT(ISERROR(SEARCH("Cancelado",Q80)))</formula>
    </cfRule>
  </conditionalFormatting>
  <conditionalFormatting sqref="S80">
    <cfRule type="cellIs" dxfId="16769" priority="15677" operator="equal">
      <formula>"Tramitando"</formula>
    </cfRule>
    <cfRule type="cellIs" dxfId="16768" priority="15678" operator="equal">
      <formula>"Deferido"</formula>
    </cfRule>
    <cfRule type="cellIs" dxfId="16767" priority="15679" operator="equal">
      <formula>"Indeferido"</formula>
    </cfRule>
  </conditionalFormatting>
  <conditionalFormatting sqref="S80">
    <cfRule type="containsText" dxfId="16766" priority="15676" operator="containsText" text="Cancelado">
      <formula>NOT(ISERROR(SEARCH("Cancelado",S80)))</formula>
    </cfRule>
  </conditionalFormatting>
  <conditionalFormatting sqref="J81">
    <cfRule type="cellIs" dxfId="16765" priority="15672" operator="equal">
      <formula>"Tramitando"</formula>
    </cfRule>
    <cfRule type="cellIs" dxfId="16764" priority="15673" operator="equal">
      <formula>"Deferido"</formula>
    </cfRule>
    <cfRule type="cellIs" dxfId="16763" priority="15674" operator="equal">
      <formula>"Indeferido"</formula>
    </cfRule>
  </conditionalFormatting>
  <conditionalFormatting sqref="J81">
    <cfRule type="containsText" dxfId="16762" priority="15671" operator="containsText" text="Cancelado">
      <formula>NOT(ISERROR(SEARCH("Cancelado",J81)))</formula>
    </cfRule>
  </conditionalFormatting>
  <conditionalFormatting sqref="M81">
    <cfRule type="cellIs" dxfId="16761" priority="15668" operator="equal">
      <formula>"Tramitando"</formula>
    </cfRule>
    <cfRule type="cellIs" dxfId="16760" priority="15669" operator="equal">
      <formula>"Deferido"</formula>
    </cfRule>
    <cfRule type="cellIs" dxfId="16759" priority="15670" operator="equal">
      <formula>"Indeferido"</formula>
    </cfRule>
  </conditionalFormatting>
  <conditionalFormatting sqref="M81">
    <cfRule type="containsText" dxfId="16758" priority="15667" operator="containsText" text="Cancelado">
      <formula>NOT(ISERROR(SEARCH("Cancelado",M81)))</formula>
    </cfRule>
  </conditionalFormatting>
  <conditionalFormatting sqref="O81">
    <cfRule type="cellIs" dxfId="16757" priority="15664" operator="equal">
      <formula>"Tramitando"</formula>
    </cfRule>
    <cfRule type="cellIs" dxfId="16756" priority="15665" operator="equal">
      <formula>"Deferido"</formula>
    </cfRule>
    <cfRule type="cellIs" dxfId="16755" priority="15666" operator="equal">
      <formula>"Indeferido"</formula>
    </cfRule>
  </conditionalFormatting>
  <conditionalFormatting sqref="O81">
    <cfRule type="containsText" dxfId="16754" priority="15663" operator="containsText" text="Cancelado">
      <formula>NOT(ISERROR(SEARCH("Cancelado",O81)))</formula>
    </cfRule>
  </conditionalFormatting>
  <conditionalFormatting sqref="Q81">
    <cfRule type="cellIs" dxfId="16753" priority="15660" operator="equal">
      <formula>"Tramitando"</formula>
    </cfRule>
    <cfRule type="cellIs" dxfId="16752" priority="15661" operator="equal">
      <formula>"Deferido"</formula>
    </cfRule>
    <cfRule type="cellIs" dxfId="16751" priority="15662" operator="equal">
      <formula>"Indeferido"</formula>
    </cfRule>
  </conditionalFormatting>
  <conditionalFormatting sqref="Q81">
    <cfRule type="containsText" dxfId="16750" priority="15659" operator="containsText" text="Cancelado">
      <formula>NOT(ISERROR(SEARCH("Cancelado",Q81)))</formula>
    </cfRule>
  </conditionalFormatting>
  <conditionalFormatting sqref="S81">
    <cfRule type="cellIs" dxfId="16749" priority="15656" operator="equal">
      <formula>"Tramitando"</formula>
    </cfRule>
    <cfRule type="cellIs" dxfId="16748" priority="15657" operator="equal">
      <formula>"Deferido"</formula>
    </cfRule>
    <cfRule type="cellIs" dxfId="16747" priority="15658" operator="equal">
      <formula>"Indeferido"</formula>
    </cfRule>
  </conditionalFormatting>
  <conditionalFormatting sqref="S81">
    <cfRule type="containsText" dxfId="16746" priority="15655" operator="containsText" text="Cancelado">
      <formula>NOT(ISERROR(SEARCH("Cancelado",S81)))</formula>
    </cfRule>
  </conditionalFormatting>
  <conditionalFormatting sqref="J82">
    <cfRule type="cellIs" dxfId="16745" priority="15651" operator="equal">
      <formula>"Tramitando"</formula>
    </cfRule>
    <cfRule type="cellIs" dxfId="16744" priority="15652" operator="equal">
      <formula>"Deferido"</formula>
    </cfRule>
    <cfRule type="cellIs" dxfId="16743" priority="15653" operator="equal">
      <formula>"Indeferido"</formula>
    </cfRule>
  </conditionalFormatting>
  <conditionalFormatting sqref="J82">
    <cfRule type="containsText" dxfId="16742" priority="15650" operator="containsText" text="Cancelado">
      <formula>NOT(ISERROR(SEARCH("Cancelado",J82)))</formula>
    </cfRule>
  </conditionalFormatting>
  <conditionalFormatting sqref="M82">
    <cfRule type="cellIs" dxfId="16741" priority="15647" operator="equal">
      <formula>"Tramitando"</formula>
    </cfRule>
    <cfRule type="cellIs" dxfId="16740" priority="15648" operator="equal">
      <formula>"Deferido"</formula>
    </cfRule>
    <cfRule type="cellIs" dxfId="16739" priority="15649" operator="equal">
      <formula>"Indeferido"</formula>
    </cfRule>
  </conditionalFormatting>
  <conditionalFormatting sqref="M82">
    <cfRule type="containsText" dxfId="16738" priority="15646" operator="containsText" text="Cancelado">
      <formula>NOT(ISERROR(SEARCH("Cancelado",M82)))</formula>
    </cfRule>
  </conditionalFormatting>
  <conditionalFormatting sqref="O82">
    <cfRule type="cellIs" dxfId="16737" priority="15643" operator="equal">
      <formula>"Tramitando"</formula>
    </cfRule>
    <cfRule type="cellIs" dxfId="16736" priority="15644" operator="equal">
      <formula>"Deferido"</formula>
    </cfRule>
    <cfRule type="cellIs" dxfId="16735" priority="15645" operator="equal">
      <formula>"Indeferido"</formula>
    </cfRule>
  </conditionalFormatting>
  <conditionalFormatting sqref="O82">
    <cfRule type="containsText" dxfId="16734" priority="15642" operator="containsText" text="Cancelado">
      <formula>NOT(ISERROR(SEARCH("Cancelado",O82)))</formula>
    </cfRule>
  </conditionalFormatting>
  <conditionalFormatting sqref="Q82">
    <cfRule type="cellIs" dxfId="16733" priority="15639" operator="equal">
      <formula>"Tramitando"</formula>
    </cfRule>
    <cfRule type="cellIs" dxfId="16732" priority="15640" operator="equal">
      <formula>"Deferido"</formula>
    </cfRule>
    <cfRule type="cellIs" dxfId="16731" priority="15641" operator="equal">
      <formula>"Indeferido"</formula>
    </cfRule>
  </conditionalFormatting>
  <conditionalFormatting sqref="Q82">
    <cfRule type="containsText" dxfId="16730" priority="15638" operator="containsText" text="Cancelado">
      <formula>NOT(ISERROR(SEARCH("Cancelado",Q82)))</formula>
    </cfRule>
  </conditionalFormatting>
  <conditionalFormatting sqref="S82">
    <cfRule type="cellIs" dxfId="16729" priority="15635" operator="equal">
      <formula>"Tramitando"</formula>
    </cfRule>
    <cfRule type="cellIs" dxfId="16728" priority="15636" operator="equal">
      <formula>"Deferido"</formula>
    </cfRule>
    <cfRule type="cellIs" dxfId="16727" priority="15637" operator="equal">
      <formula>"Indeferido"</formula>
    </cfRule>
  </conditionalFormatting>
  <conditionalFormatting sqref="S82">
    <cfRule type="containsText" dxfId="16726" priority="15634" operator="containsText" text="Cancelado">
      <formula>NOT(ISERROR(SEARCH("Cancelado",S82)))</formula>
    </cfRule>
  </conditionalFormatting>
  <conditionalFormatting sqref="J83">
    <cfRule type="cellIs" dxfId="16725" priority="15630" operator="equal">
      <formula>"Tramitando"</formula>
    </cfRule>
    <cfRule type="cellIs" dxfId="16724" priority="15631" operator="equal">
      <formula>"Deferido"</formula>
    </cfRule>
    <cfRule type="cellIs" dxfId="16723" priority="15632" operator="equal">
      <formula>"Indeferido"</formula>
    </cfRule>
  </conditionalFormatting>
  <conditionalFormatting sqref="J83">
    <cfRule type="containsText" dxfId="16722" priority="15629" operator="containsText" text="Cancelado">
      <formula>NOT(ISERROR(SEARCH("Cancelado",J83)))</formula>
    </cfRule>
  </conditionalFormatting>
  <conditionalFormatting sqref="M83">
    <cfRule type="cellIs" dxfId="16721" priority="15626" operator="equal">
      <formula>"Tramitando"</formula>
    </cfRule>
    <cfRule type="cellIs" dxfId="16720" priority="15627" operator="equal">
      <formula>"Deferido"</formula>
    </cfRule>
    <cfRule type="cellIs" dxfId="16719" priority="15628" operator="equal">
      <formula>"Indeferido"</formula>
    </cfRule>
  </conditionalFormatting>
  <conditionalFormatting sqref="M83">
    <cfRule type="containsText" dxfId="16718" priority="15625" operator="containsText" text="Cancelado">
      <formula>NOT(ISERROR(SEARCH("Cancelado",M83)))</formula>
    </cfRule>
  </conditionalFormatting>
  <conditionalFormatting sqref="O83">
    <cfRule type="cellIs" dxfId="16717" priority="15622" operator="equal">
      <formula>"Tramitando"</formula>
    </cfRule>
    <cfRule type="cellIs" dxfId="16716" priority="15623" operator="equal">
      <formula>"Deferido"</formula>
    </cfRule>
    <cfRule type="cellIs" dxfId="16715" priority="15624" operator="equal">
      <formula>"Indeferido"</formula>
    </cfRule>
  </conditionalFormatting>
  <conditionalFormatting sqref="O83">
    <cfRule type="containsText" dxfId="16714" priority="15621" operator="containsText" text="Cancelado">
      <formula>NOT(ISERROR(SEARCH("Cancelado",O83)))</formula>
    </cfRule>
  </conditionalFormatting>
  <conditionalFormatting sqref="Q83">
    <cfRule type="cellIs" dxfId="16713" priority="15618" operator="equal">
      <formula>"Tramitando"</formula>
    </cfRule>
    <cfRule type="cellIs" dxfId="16712" priority="15619" operator="equal">
      <formula>"Deferido"</formula>
    </cfRule>
    <cfRule type="cellIs" dxfId="16711" priority="15620" operator="equal">
      <formula>"Indeferido"</formula>
    </cfRule>
  </conditionalFormatting>
  <conditionalFormatting sqref="Q83">
    <cfRule type="containsText" dxfId="16710" priority="15617" operator="containsText" text="Cancelado">
      <formula>NOT(ISERROR(SEARCH("Cancelado",Q83)))</formula>
    </cfRule>
  </conditionalFormatting>
  <conditionalFormatting sqref="S83">
    <cfRule type="cellIs" dxfId="16709" priority="15614" operator="equal">
      <formula>"Tramitando"</formula>
    </cfRule>
    <cfRule type="cellIs" dxfId="16708" priority="15615" operator="equal">
      <formula>"Deferido"</formula>
    </cfRule>
    <cfRule type="cellIs" dxfId="16707" priority="15616" operator="equal">
      <formula>"Indeferido"</formula>
    </cfRule>
  </conditionalFormatting>
  <conditionalFormatting sqref="S83">
    <cfRule type="containsText" dxfId="16706" priority="15613" operator="containsText" text="Cancelado">
      <formula>NOT(ISERROR(SEARCH("Cancelado",S83)))</formula>
    </cfRule>
  </conditionalFormatting>
  <conditionalFormatting sqref="J84">
    <cfRule type="cellIs" dxfId="16705" priority="15609" operator="equal">
      <formula>"Tramitando"</formula>
    </cfRule>
    <cfRule type="cellIs" dxfId="16704" priority="15610" operator="equal">
      <formula>"Deferido"</formula>
    </cfRule>
    <cfRule type="cellIs" dxfId="16703" priority="15611" operator="equal">
      <formula>"Indeferido"</formula>
    </cfRule>
  </conditionalFormatting>
  <conditionalFormatting sqref="J84">
    <cfRule type="containsText" dxfId="16702" priority="15608" operator="containsText" text="Cancelado">
      <formula>NOT(ISERROR(SEARCH("Cancelado",J84)))</formula>
    </cfRule>
  </conditionalFormatting>
  <conditionalFormatting sqref="M84">
    <cfRule type="cellIs" dxfId="16701" priority="15605" operator="equal">
      <formula>"Tramitando"</formula>
    </cfRule>
    <cfRule type="cellIs" dxfId="16700" priority="15606" operator="equal">
      <formula>"Deferido"</formula>
    </cfRule>
    <cfRule type="cellIs" dxfId="16699" priority="15607" operator="equal">
      <formula>"Indeferido"</formula>
    </cfRule>
  </conditionalFormatting>
  <conditionalFormatting sqref="M84">
    <cfRule type="containsText" dxfId="16698" priority="15604" operator="containsText" text="Cancelado">
      <formula>NOT(ISERROR(SEARCH("Cancelado",M84)))</formula>
    </cfRule>
  </conditionalFormatting>
  <conditionalFormatting sqref="O84">
    <cfRule type="cellIs" dxfId="16697" priority="15601" operator="equal">
      <formula>"Tramitando"</formula>
    </cfRule>
    <cfRule type="cellIs" dxfId="16696" priority="15602" operator="equal">
      <formula>"Deferido"</formula>
    </cfRule>
    <cfRule type="cellIs" dxfId="16695" priority="15603" operator="equal">
      <formula>"Indeferido"</formula>
    </cfRule>
  </conditionalFormatting>
  <conditionalFormatting sqref="O84">
    <cfRule type="containsText" dxfId="16694" priority="15600" operator="containsText" text="Cancelado">
      <formula>NOT(ISERROR(SEARCH("Cancelado",O84)))</formula>
    </cfRule>
  </conditionalFormatting>
  <conditionalFormatting sqref="Q84">
    <cfRule type="cellIs" dxfId="16693" priority="15597" operator="equal">
      <formula>"Tramitando"</formula>
    </cfRule>
    <cfRule type="cellIs" dxfId="16692" priority="15598" operator="equal">
      <formula>"Deferido"</formula>
    </cfRule>
    <cfRule type="cellIs" dxfId="16691" priority="15599" operator="equal">
      <formula>"Indeferido"</formula>
    </cfRule>
  </conditionalFormatting>
  <conditionalFormatting sqref="Q84">
    <cfRule type="containsText" dxfId="16690" priority="15596" operator="containsText" text="Cancelado">
      <formula>NOT(ISERROR(SEARCH("Cancelado",Q84)))</formula>
    </cfRule>
  </conditionalFormatting>
  <conditionalFormatting sqref="S84">
    <cfRule type="cellIs" dxfId="16689" priority="15593" operator="equal">
      <formula>"Tramitando"</formula>
    </cfRule>
    <cfRule type="cellIs" dxfId="16688" priority="15594" operator="equal">
      <formula>"Deferido"</formula>
    </cfRule>
    <cfRule type="cellIs" dxfId="16687" priority="15595" operator="equal">
      <formula>"Indeferido"</formula>
    </cfRule>
  </conditionalFormatting>
  <conditionalFormatting sqref="S84">
    <cfRule type="containsText" dxfId="16686" priority="15592" operator="containsText" text="Cancelado">
      <formula>NOT(ISERROR(SEARCH("Cancelado",S84)))</formula>
    </cfRule>
  </conditionalFormatting>
  <conditionalFormatting sqref="J85">
    <cfRule type="cellIs" dxfId="16685" priority="15588" operator="equal">
      <formula>"Tramitando"</formula>
    </cfRule>
    <cfRule type="cellIs" dxfId="16684" priority="15589" operator="equal">
      <formula>"Deferido"</formula>
    </cfRule>
    <cfRule type="cellIs" dxfId="16683" priority="15590" operator="equal">
      <formula>"Indeferido"</formula>
    </cfRule>
  </conditionalFormatting>
  <conditionalFormatting sqref="J85">
    <cfRule type="containsText" dxfId="16682" priority="15587" operator="containsText" text="Cancelado">
      <formula>NOT(ISERROR(SEARCH("Cancelado",J85)))</formula>
    </cfRule>
  </conditionalFormatting>
  <conditionalFormatting sqref="M85">
    <cfRule type="cellIs" dxfId="16681" priority="15584" operator="equal">
      <formula>"Tramitando"</formula>
    </cfRule>
    <cfRule type="cellIs" dxfId="16680" priority="15585" operator="equal">
      <formula>"Deferido"</formula>
    </cfRule>
    <cfRule type="cellIs" dxfId="16679" priority="15586" operator="equal">
      <formula>"Indeferido"</formula>
    </cfRule>
  </conditionalFormatting>
  <conditionalFormatting sqref="M85">
    <cfRule type="containsText" dxfId="16678" priority="15583" operator="containsText" text="Cancelado">
      <formula>NOT(ISERROR(SEARCH("Cancelado",M85)))</formula>
    </cfRule>
  </conditionalFormatting>
  <conditionalFormatting sqref="O85">
    <cfRule type="cellIs" dxfId="16677" priority="15580" operator="equal">
      <formula>"Tramitando"</formula>
    </cfRule>
    <cfRule type="cellIs" dxfId="16676" priority="15581" operator="equal">
      <formula>"Deferido"</formula>
    </cfRule>
    <cfRule type="cellIs" dxfId="16675" priority="15582" operator="equal">
      <formula>"Indeferido"</formula>
    </cfRule>
  </conditionalFormatting>
  <conditionalFormatting sqref="O85">
    <cfRule type="containsText" dxfId="16674" priority="15579" operator="containsText" text="Cancelado">
      <formula>NOT(ISERROR(SEARCH("Cancelado",O85)))</formula>
    </cfRule>
  </conditionalFormatting>
  <conditionalFormatting sqref="Q85">
    <cfRule type="cellIs" dxfId="16673" priority="15576" operator="equal">
      <formula>"Tramitando"</formula>
    </cfRule>
    <cfRule type="cellIs" dxfId="16672" priority="15577" operator="equal">
      <formula>"Deferido"</formula>
    </cfRule>
    <cfRule type="cellIs" dxfId="16671" priority="15578" operator="equal">
      <formula>"Indeferido"</formula>
    </cfRule>
  </conditionalFormatting>
  <conditionalFormatting sqref="Q85">
    <cfRule type="containsText" dxfId="16670" priority="15575" operator="containsText" text="Cancelado">
      <formula>NOT(ISERROR(SEARCH("Cancelado",Q85)))</formula>
    </cfRule>
  </conditionalFormatting>
  <conditionalFormatting sqref="S85">
    <cfRule type="cellIs" dxfId="16669" priority="15572" operator="equal">
      <formula>"Tramitando"</formula>
    </cfRule>
    <cfRule type="cellIs" dxfId="16668" priority="15573" operator="equal">
      <formula>"Deferido"</formula>
    </cfRule>
    <cfRule type="cellIs" dxfId="16667" priority="15574" operator="equal">
      <formula>"Indeferido"</formula>
    </cfRule>
  </conditionalFormatting>
  <conditionalFormatting sqref="S85">
    <cfRule type="containsText" dxfId="16666" priority="15571" operator="containsText" text="Cancelado">
      <formula>NOT(ISERROR(SEARCH("Cancelado",S85)))</formula>
    </cfRule>
  </conditionalFormatting>
  <conditionalFormatting sqref="J86">
    <cfRule type="cellIs" dxfId="16665" priority="15567" operator="equal">
      <formula>"Tramitando"</formula>
    </cfRule>
    <cfRule type="cellIs" dxfId="16664" priority="15568" operator="equal">
      <formula>"Deferido"</formula>
    </cfRule>
    <cfRule type="cellIs" dxfId="16663" priority="15569" operator="equal">
      <formula>"Indeferido"</formula>
    </cfRule>
  </conditionalFormatting>
  <conditionalFormatting sqref="J86">
    <cfRule type="containsText" dxfId="16662" priority="15566" operator="containsText" text="Cancelado">
      <formula>NOT(ISERROR(SEARCH("Cancelado",J86)))</formula>
    </cfRule>
  </conditionalFormatting>
  <conditionalFormatting sqref="M86">
    <cfRule type="cellIs" dxfId="16661" priority="15563" operator="equal">
      <formula>"Tramitando"</formula>
    </cfRule>
    <cfRule type="cellIs" dxfId="16660" priority="15564" operator="equal">
      <formula>"Deferido"</formula>
    </cfRule>
    <cfRule type="cellIs" dxfId="16659" priority="15565" operator="equal">
      <formula>"Indeferido"</formula>
    </cfRule>
  </conditionalFormatting>
  <conditionalFormatting sqref="M86">
    <cfRule type="containsText" dxfId="16658" priority="15562" operator="containsText" text="Cancelado">
      <formula>NOT(ISERROR(SEARCH("Cancelado",M86)))</formula>
    </cfRule>
  </conditionalFormatting>
  <conditionalFormatting sqref="O86">
    <cfRule type="cellIs" dxfId="16657" priority="15559" operator="equal">
      <formula>"Tramitando"</formula>
    </cfRule>
    <cfRule type="cellIs" dxfId="16656" priority="15560" operator="equal">
      <formula>"Deferido"</formula>
    </cfRule>
    <cfRule type="cellIs" dxfId="16655" priority="15561" operator="equal">
      <formula>"Indeferido"</formula>
    </cfRule>
  </conditionalFormatting>
  <conditionalFormatting sqref="O86">
    <cfRule type="containsText" dxfId="16654" priority="15558" operator="containsText" text="Cancelado">
      <formula>NOT(ISERROR(SEARCH("Cancelado",O86)))</formula>
    </cfRule>
  </conditionalFormatting>
  <conditionalFormatting sqref="Q86">
    <cfRule type="cellIs" dxfId="16653" priority="15555" operator="equal">
      <formula>"Tramitando"</formula>
    </cfRule>
    <cfRule type="cellIs" dxfId="16652" priority="15556" operator="equal">
      <formula>"Deferido"</formula>
    </cfRule>
    <cfRule type="cellIs" dxfId="16651" priority="15557" operator="equal">
      <formula>"Indeferido"</formula>
    </cfRule>
  </conditionalFormatting>
  <conditionalFormatting sqref="Q86">
    <cfRule type="containsText" dxfId="16650" priority="15554" operator="containsText" text="Cancelado">
      <formula>NOT(ISERROR(SEARCH("Cancelado",Q86)))</formula>
    </cfRule>
  </conditionalFormatting>
  <conditionalFormatting sqref="S86">
    <cfRule type="cellIs" dxfId="16649" priority="15551" operator="equal">
      <formula>"Tramitando"</formula>
    </cfRule>
    <cfRule type="cellIs" dxfId="16648" priority="15552" operator="equal">
      <formula>"Deferido"</formula>
    </cfRule>
    <cfRule type="cellIs" dxfId="16647" priority="15553" operator="equal">
      <formula>"Indeferido"</formula>
    </cfRule>
  </conditionalFormatting>
  <conditionalFormatting sqref="S86">
    <cfRule type="containsText" dxfId="16646" priority="15550" operator="containsText" text="Cancelado">
      <formula>NOT(ISERROR(SEARCH("Cancelado",S86)))</formula>
    </cfRule>
  </conditionalFormatting>
  <conditionalFormatting sqref="J87">
    <cfRule type="cellIs" dxfId="16645" priority="15546" operator="equal">
      <formula>"Tramitando"</formula>
    </cfRule>
    <cfRule type="cellIs" dxfId="16644" priority="15547" operator="equal">
      <formula>"Deferido"</formula>
    </cfRule>
    <cfRule type="cellIs" dxfId="16643" priority="15548" operator="equal">
      <formula>"Indeferido"</formula>
    </cfRule>
  </conditionalFormatting>
  <conditionalFormatting sqref="J87">
    <cfRule type="containsText" dxfId="16642" priority="15545" operator="containsText" text="Cancelado">
      <formula>NOT(ISERROR(SEARCH("Cancelado",J87)))</formula>
    </cfRule>
  </conditionalFormatting>
  <conditionalFormatting sqref="M87">
    <cfRule type="cellIs" dxfId="16641" priority="15542" operator="equal">
      <formula>"Tramitando"</formula>
    </cfRule>
    <cfRule type="cellIs" dxfId="16640" priority="15543" operator="equal">
      <formula>"Deferido"</formula>
    </cfRule>
    <cfRule type="cellIs" dxfId="16639" priority="15544" operator="equal">
      <formula>"Indeferido"</formula>
    </cfRule>
  </conditionalFormatting>
  <conditionalFormatting sqref="M87">
    <cfRule type="containsText" dxfId="16638" priority="15541" operator="containsText" text="Cancelado">
      <formula>NOT(ISERROR(SEARCH("Cancelado",M87)))</formula>
    </cfRule>
  </conditionalFormatting>
  <conditionalFormatting sqref="O87">
    <cfRule type="cellIs" dxfId="16637" priority="15538" operator="equal">
      <formula>"Tramitando"</formula>
    </cfRule>
    <cfRule type="cellIs" dxfId="16636" priority="15539" operator="equal">
      <formula>"Deferido"</formula>
    </cfRule>
    <cfRule type="cellIs" dxfId="16635" priority="15540" operator="equal">
      <formula>"Indeferido"</formula>
    </cfRule>
  </conditionalFormatting>
  <conditionalFormatting sqref="O87">
    <cfRule type="containsText" dxfId="16634" priority="15537" operator="containsText" text="Cancelado">
      <formula>NOT(ISERROR(SEARCH("Cancelado",O87)))</formula>
    </cfRule>
  </conditionalFormatting>
  <conditionalFormatting sqref="Q87">
    <cfRule type="cellIs" dxfId="16633" priority="15534" operator="equal">
      <formula>"Tramitando"</formula>
    </cfRule>
    <cfRule type="cellIs" dxfId="16632" priority="15535" operator="equal">
      <formula>"Deferido"</formula>
    </cfRule>
    <cfRule type="cellIs" dxfId="16631" priority="15536" operator="equal">
      <formula>"Indeferido"</formula>
    </cfRule>
  </conditionalFormatting>
  <conditionalFormatting sqref="Q87">
    <cfRule type="containsText" dxfId="16630" priority="15533" operator="containsText" text="Cancelado">
      <formula>NOT(ISERROR(SEARCH("Cancelado",Q87)))</formula>
    </cfRule>
  </conditionalFormatting>
  <conditionalFormatting sqref="S87">
    <cfRule type="cellIs" dxfId="16629" priority="15530" operator="equal">
      <formula>"Tramitando"</formula>
    </cfRule>
    <cfRule type="cellIs" dxfId="16628" priority="15531" operator="equal">
      <formula>"Deferido"</formula>
    </cfRule>
    <cfRule type="cellIs" dxfId="16627" priority="15532" operator="equal">
      <formula>"Indeferido"</formula>
    </cfRule>
  </conditionalFormatting>
  <conditionalFormatting sqref="S87">
    <cfRule type="containsText" dxfId="16626" priority="15529" operator="containsText" text="Cancelado">
      <formula>NOT(ISERROR(SEARCH("Cancelado",S87)))</formula>
    </cfRule>
  </conditionalFormatting>
  <conditionalFormatting sqref="J88">
    <cfRule type="cellIs" dxfId="16625" priority="15525" operator="equal">
      <formula>"Tramitando"</formula>
    </cfRule>
    <cfRule type="cellIs" dxfId="16624" priority="15526" operator="equal">
      <formula>"Deferido"</formula>
    </cfRule>
    <cfRule type="cellIs" dxfId="16623" priority="15527" operator="equal">
      <formula>"Indeferido"</formula>
    </cfRule>
  </conditionalFormatting>
  <conditionalFormatting sqref="J88">
    <cfRule type="containsText" dxfId="16622" priority="15524" operator="containsText" text="Cancelado">
      <formula>NOT(ISERROR(SEARCH("Cancelado",J88)))</formula>
    </cfRule>
  </conditionalFormatting>
  <conditionalFormatting sqref="M88">
    <cfRule type="cellIs" dxfId="16621" priority="15521" operator="equal">
      <formula>"Tramitando"</formula>
    </cfRule>
    <cfRule type="cellIs" dxfId="16620" priority="15522" operator="equal">
      <formula>"Deferido"</formula>
    </cfRule>
    <cfRule type="cellIs" dxfId="16619" priority="15523" operator="equal">
      <formula>"Indeferido"</formula>
    </cfRule>
  </conditionalFormatting>
  <conditionalFormatting sqref="M88">
    <cfRule type="containsText" dxfId="16618" priority="15520" operator="containsText" text="Cancelado">
      <formula>NOT(ISERROR(SEARCH("Cancelado",M88)))</formula>
    </cfRule>
  </conditionalFormatting>
  <conditionalFormatting sqref="O88">
    <cfRule type="cellIs" dxfId="16617" priority="15517" operator="equal">
      <formula>"Tramitando"</formula>
    </cfRule>
    <cfRule type="cellIs" dxfId="16616" priority="15518" operator="equal">
      <formula>"Deferido"</formula>
    </cfRule>
    <cfRule type="cellIs" dxfId="16615" priority="15519" operator="equal">
      <formula>"Indeferido"</formula>
    </cfRule>
  </conditionalFormatting>
  <conditionalFormatting sqref="O88">
    <cfRule type="containsText" dxfId="16614" priority="15516" operator="containsText" text="Cancelado">
      <formula>NOT(ISERROR(SEARCH("Cancelado",O88)))</formula>
    </cfRule>
  </conditionalFormatting>
  <conditionalFormatting sqref="Q88">
    <cfRule type="cellIs" dxfId="16613" priority="15513" operator="equal">
      <formula>"Tramitando"</formula>
    </cfRule>
    <cfRule type="cellIs" dxfId="16612" priority="15514" operator="equal">
      <formula>"Deferido"</formula>
    </cfRule>
    <cfRule type="cellIs" dxfId="16611" priority="15515" operator="equal">
      <formula>"Indeferido"</formula>
    </cfRule>
  </conditionalFormatting>
  <conditionalFormatting sqref="Q88">
    <cfRule type="containsText" dxfId="16610" priority="15512" operator="containsText" text="Cancelado">
      <formula>NOT(ISERROR(SEARCH("Cancelado",Q88)))</formula>
    </cfRule>
  </conditionalFormatting>
  <conditionalFormatting sqref="S88">
    <cfRule type="cellIs" dxfId="16609" priority="15509" operator="equal">
      <formula>"Tramitando"</formula>
    </cfRule>
    <cfRule type="cellIs" dxfId="16608" priority="15510" operator="equal">
      <formula>"Deferido"</formula>
    </cfRule>
    <cfRule type="cellIs" dxfId="16607" priority="15511" operator="equal">
      <formula>"Indeferido"</formula>
    </cfRule>
  </conditionalFormatting>
  <conditionalFormatting sqref="S88">
    <cfRule type="containsText" dxfId="16606" priority="15508" operator="containsText" text="Cancelado">
      <formula>NOT(ISERROR(SEARCH("Cancelado",S88)))</formula>
    </cfRule>
  </conditionalFormatting>
  <conditionalFormatting sqref="J89">
    <cfRule type="cellIs" dxfId="16605" priority="15504" operator="equal">
      <formula>"Tramitando"</formula>
    </cfRule>
    <cfRule type="cellIs" dxfId="16604" priority="15505" operator="equal">
      <formula>"Deferido"</formula>
    </cfRule>
    <cfRule type="cellIs" dxfId="16603" priority="15506" operator="equal">
      <formula>"Indeferido"</formula>
    </cfRule>
  </conditionalFormatting>
  <conditionalFormatting sqref="J89">
    <cfRule type="containsText" dxfId="16602" priority="15503" operator="containsText" text="Cancelado">
      <formula>NOT(ISERROR(SEARCH("Cancelado",J89)))</formula>
    </cfRule>
  </conditionalFormatting>
  <conditionalFormatting sqref="M89">
    <cfRule type="cellIs" dxfId="16601" priority="15500" operator="equal">
      <formula>"Tramitando"</formula>
    </cfRule>
    <cfRule type="cellIs" dxfId="16600" priority="15501" operator="equal">
      <formula>"Deferido"</formula>
    </cfRule>
    <cfRule type="cellIs" dxfId="16599" priority="15502" operator="equal">
      <formula>"Indeferido"</formula>
    </cfRule>
  </conditionalFormatting>
  <conditionalFormatting sqref="M89">
    <cfRule type="containsText" dxfId="16598" priority="15499" operator="containsText" text="Cancelado">
      <formula>NOT(ISERROR(SEARCH("Cancelado",M89)))</formula>
    </cfRule>
  </conditionalFormatting>
  <conditionalFormatting sqref="O89">
    <cfRule type="cellIs" dxfId="16597" priority="15496" operator="equal">
      <formula>"Tramitando"</formula>
    </cfRule>
    <cfRule type="cellIs" dxfId="16596" priority="15497" operator="equal">
      <formula>"Deferido"</formula>
    </cfRule>
    <cfRule type="cellIs" dxfId="16595" priority="15498" operator="equal">
      <formula>"Indeferido"</formula>
    </cfRule>
  </conditionalFormatting>
  <conditionalFormatting sqref="O89">
    <cfRule type="containsText" dxfId="16594" priority="15495" operator="containsText" text="Cancelado">
      <formula>NOT(ISERROR(SEARCH("Cancelado",O89)))</formula>
    </cfRule>
  </conditionalFormatting>
  <conditionalFormatting sqref="Q89">
    <cfRule type="cellIs" dxfId="16593" priority="15492" operator="equal">
      <formula>"Tramitando"</formula>
    </cfRule>
    <cfRule type="cellIs" dxfId="16592" priority="15493" operator="equal">
      <formula>"Deferido"</formula>
    </cfRule>
    <cfRule type="cellIs" dxfId="16591" priority="15494" operator="equal">
      <formula>"Indeferido"</formula>
    </cfRule>
  </conditionalFormatting>
  <conditionalFormatting sqref="Q89">
    <cfRule type="containsText" dxfId="16590" priority="15491" operator="containsText" text="Cancelado">
      <formula>NOT(ISERROR(SEARCH("Cancelado",Q89)))</formula>
    </cfRule>
  </conditionalFormatting>
  <conditionalFormatting sqref="S89">
    <cfRule type="cellIs" dxfId="16589" priority="15488" operator="equal">
      <formula>"Tramitando"</formula>
    </cfRule>
    <cfRule type="cellIs" dxfId="16588" priority="15489" operator="equal">
      <formula>"Deferido"</formula>
    </cfRule>
    <cfRule type="cellIs" dxfId="16587" priority="15490" operator="equal">
      <formula>"Indeferido"</formula>
    </cfRule>
  </conditionalFormatting>
  <conditionalFormatting sqref="S89">
    <cfRule type="containsText" dxfId="16586" priority="15487" operator="containsText" text="Cancelado">
      <formula>NOT(ISERROR(SEARCH("Cancelado",S89)))</formula>
    </cfRule>
  </conditionalFormatting>
  <conditionalFormatting sqref="J90">
    <cfRule type="cellIs" dxfId="16585" priority="15483" operator="equal">
      <formula>"Tramitando"</formula>
    </cfRule>
    <cfRule type="cellIs" dxfId="16584" priority="15484" operator="equal">
      <formula>"Deferido"</formula>
    </cfRule>
    <cfRule type="cellIs" dxfId="16583" priority="15485" operator="equal">
      <formula>"Indeferido"</formula>
    </cfRule>
  </conditionalFormatting>
  <conditionalFormatting sqref="J90">
    <cfRule type="containsText" dxfId="16582" priority="15482" operator="containsText" text="Cancelado">
      <formula>NOT(ISERROR(SEARCH("Cancelado",J90)))</formula>
    </cfRule>
  </conditionalFormatting>
  <conditionalFormatting sqref="M90">
    <cfRule type="cellIs" dxfId="16581" priority="15479" operator="equal">
      <formula>"Tramitando"</formula>
    </cfRule>
    <cfRule type="cellIs" dxfId="16580" priority="15480" operator="equal">
      <formula>"Deferido"</formula>
    </cfRule>
    <cfRule type="cellIs" dxfId="16579" priority="15481" operator="equal">
      <formula>"Indeferido"</formula>
    </cfRule>
  </conditionalFormatting>
  <conditionalFormatting sqref="M90">
    <cfRule type="containsText" dxfId="16578" priority="15478" operator="containsText" text="Cancelado">
      <formula>NOT(ISERROR(SEARCH("Cancelado",M90)))</formula>
    </cfRule>
  </conditionalFormatting>
  <conditionalFormatting sqref="O90">
    <cfRule type="cellIs" dxfId="16577" priority="15475" operator="equal">
      <formula>"Tramitando"</formula>
    </cfRule>
    <cfRule type="cellIs" dxfId="16576" priority="15476" operator="equal">
      <formula>"Deferido"</formula>
    </cfRule>
    <cfRule type="cellIs" dxfId="16575" priority="15477" operator="equal">
      <formula>"Indeferido"</formula>
    </cfRule>
  </conditionalFormatting>
  <conditionalFormatting sqref="O90">
    <cfRule type="containsText" dxfId="16574" priority="15474" operator="containsText" text="Cancelado">
      <formula>NOT(ISERROR(SEARCH("Cancelado",O90)))</formula>
    </cfRule>
  </conditionalFormatting>
  <conditionalFormatting sqref="Q90">
    <cfRule type="cellIs" dxfId="16573" priority="15471" operator="equal">
      <formula>"Tramitando"</formula>
    </cfRule>
    <cfRule type="cellIs" dxfId="16572" priority="15472" operator="equal">
      <formula>"Deferido"</formula>
    </cfRule>
    <cfRule type="cellIs" dxfId="16571" priority="15473" operator="equal">
      <formula>"Indeferido"</formula>
    </cfRule>
  </conditionalFormatting>
  <conditionalFormatting sqref="Q90">
    <cfRule type="containsText" dxfId="16570" priority="15470" operator="containsText" text="Cancelado">
      <formula>NOT(ISERROR(SEARCH("Cancelado",Q90)))</formula>
    </cfRule>
  </conditionalFormatting>
  <conditionalFormatting sqref="S90">
    <cfRule type="cellIs" dxfId="16569" priority="15467" operator="equal">
      <formula>"Tramitando"</formula>
    </cfRule>
    <cfRule type="cellIs" dxfId="16568" priority="15468" operator="equal">
      <formula>"Deferido"</formula>
    </cfRule>
    <cfRule type="cellIs" dxfId="16567" priority="15469" operator="equal">
      <formula>"Indeferido"</formula>
    </cfRule>
  </conditionalFormatting>
  <conditionalFormatting sqref="S90">
    <cfRule type="containsText" dxfId="16566" priority="15466" operator="containsText" text="Cancelado">
      <formula>NOT(ISERROR(SEARCH("Cancelado",S90)))</formula>
    </cfRule>
  </conditionalFormatting>
  <conditionalFormatting sqref="J91">
    <cfRule type="cellIs" dxfId="16565" priority="15462" operator="equal">
      <formula>"Tramitando"</formula>
    </cfRule>
    <cfRule type="cellIs" dxfId="16564" priority="15463" operator="equal">
      <formula>"Deferido"</formula>
    </cfRule>
    <cfRule type="cellIs" dxfId="16563" priority="15464" operator="equal">
      <formula>"Indeferido"</formula>
    </cfRule>
  </conditionalFormatting>
  <conditionalFormatting sqref="J91">
    <cfRule type="containsText" dxfId="16562" priority="15461" operator="containsText" text="Cancelado">
      <formula>NOT(ISERROR(SEARCH("Cancelado",J91)))</formula>
    </cfRule>
  </conditionalFormatting>
  <conditionalFormatting sqref="M91">
    <cfRule type="cellIs" dxfId="16561" priority="15458" operator="equal">
      <formula>"Tramitando"</formula>
    </cfRule>
    <cfRule type="cellIs" dxfId="16560" priority="15459" operator="equal">
      <formula>"Deferido"</formula>
    </cfRule>
    <cfRule type="cellIs" dxfId="16559" priority="15460" operator="equal">
      <formula>"Indeferido"</formula>
    </cfRule>
  </conditionalFormatting>
  <conditionalFormatting sqref="M91">
    <cfRule type="containsText" dxfId="16558" priority="15457" operator="containsText" text="Cancelado">
      <formula>NOT(ISERROR(SEARCH("Cancelado",M91)))</formula>
    </cfRule>
  </conditionalFormatting>
  <conditionalFormatting sqref="O91">
    <cfRule type="cellIs" dxfId="16557" priority="15454" operator="equal">
      <formula>"Tramitando"</formula>
    </cfRule>
    <cfRule type="cellIs" dxfId="16556" priority="15455" operator="equal">
      <formula>"Deferido"</formula>
    </cfRule>
    <cfRule type="cellIs" dxfId="16555" priority="15456" operator="equal">
      <formula>"Indeferido"</formula>
    </cfRule>
  </conditionalFormatting>
  <conditionalFormatting sqref="O91">
    <cfRule type="containsText" dxfId="16554" priority="15453" operator="containsText" text="Cancelado">
      <formula>NOT(ISERROR(SEARCH("Cancelado",O91)))</formula>
    </cfRule>
  </conditionalFormatting>
  <conditionalFormatting sqref="Q91">
    <cfRule type="cellIs" dxfId="16553" priority="15450" operator="equal">
      <formula>"Tramitando"</formula>
    </cfRule>
    <cfRule type="cellIs" dxfId="16552" priority="15451" operator="equal">
      <formula>"Deferido"</formula>
    </cfRule>
    <cfRule type="cellIs" dxfId="16551" priority="15452" operator="equal">
      <formula>"Indeferido"</formula>
    </cfRule>
  </conditionalFormatting>
  <conditionalFormatting sqref="Q91">
    <cfRule type="containsText" dxfId="16550" priority="15449" operator="containsText" text="Cancelado">
      <formula>NOT(ISERROR(SEARCH("Cancelado",Q91)))</formula>
    </cfRule>
  </conditionalFormatting>
  <conditionalFormatting sqref="S91">
    <cfRule type="cellIs" dxfId="16549" priority="15446" operator="equal">
      <formula>"Tramitando"</formula>
    </cfRule>
    <cfRule type="cellIs" dxfId="16548" priority="15447" operator="equal">
      <formula>"Deferido"</formula>
    </cfRule>
    <cfRule type="cellIs" dxfId="16547" priority="15448" operator="equal">
      <formula>"Indeferido"</formula>
    </cfRule>
  </conditionalFormatting>
  <conditionalFormatting sqref="S91">
    <cfRule type="containsText" dxfId="16546" priority="15445" operator="containsText" text="Cancelado">
      <formula>NOT(ISERROR(SEARCH("Cancelado",S91)))</formula>
    </cfRule>
  </conditionalFormatting>
  <conditionalFormatting sqref="J92:J93">
    <cfRule type="cellIs" dxfId="16545" priority="15441" operator="equal">
      <formula>"Tramitando"</formula>
    </cfRule>
    <cfRule type="cellIs" dxfId="16544" priority="15442" operator="equal">
      <formula>"Deferido"</formula>
    </cfRule>
    <cfRule type="cellIs" dxfId="16543" priority="15443" operator="equal">
      <formula>"Indeferido"</formula>
    </cfRule>
  </conditionalFormatting>
  <conditionalFormatting sqref="J92:J93">
    <cfRule type="containsText" dxfId="16542" priority="15440" operator="containsText" text="Cancelado">
      <formula>NOT(ISERROR(SEARCH("Cancelado",J92)))</formula>
    </cfRule>
  </conditionalFormatting>
  <conditionalFormatting sqref="M92:M93">
    <cfRule type="cellIs" dxfId="16541" priority="15437" operator="equal">
      <formula>"Tramitando"</formula>
    </cfRule>
    <cfRule type="cellIs" dxfId="16540" priority="15438" operator="equal">
      <formula>"Deferido"</formula>
    </cfRule>
    <cfRule type="cellIs" dxfId="16539" priority="15439" operator="equal">
      <formula>"Indeferido"</formula>
    </cfRule>
  </conditionalFormatting>
  <conditionalFormatting sqref="M92:M93">
    <cfRule type="containsText" dxfId="16538" priority="15436" operator="containsText" text="Cancelado">
      <formula>NOT(ISERROR(SEARCH("Cancelado",M92)))</formula>
    </cfRule>
  </conditionalFormatting>
  <conditionalFormatting sqref="O92:O93">
    <cfRule type="cellIs" dxfId="16537" priority="15433" operator="equal">
      <formula>"Tramitando"</formula>
    </cfRule>
    <cfRule type="cellIs" dxfId="16536" priority="15434" operator="equal">
      <formula>"Deferido"</formula>
    </cfRule>
    <cfRule type="cellIs" dxfId="16535" priority="15435" operator="equal">
      <formula>"Indeferido"</formula>
    </cfRule>
  </conditionalFormatting>
  <conditionalFormatting sqref="O92:O93">
    <cfRule type="containsText" dxfId="16534" priority="15432" operator="containsText" text="Cancelado">
      <formula>NOT(ISERROR(SEARCH("Cancelado",O92)))</formula>
    </cfRule>
  </conditionalFormatting>
  <conditionalFormatting sqref="Q92:Q93">
    <cfRule type="cellIs" dxfId="16533" priority="15429" operator="equal">
      <formula>"Tramitando"</formula>
    </cfRule>
    <cfRule type="cellIs" dxfId="16532" priority="15430" operator="equal">
      <formula>"Deferido"</formula>
    </cfRule>
    <cfRule type="cellIs" dxfId="16531" priority="15431" operator="equal">
      <formula>"Indeferido"</formula>
    </cfRule>
  </conditionalFormatting>
  <conditionalFormatting sqref="Q92:Q93">
    <cfRule type="containsText" dxfId="16530" priority="15428" operator="containsText" text="Cancelado">
      <formula>NOT(ISERROR(SEARCH("Cancelado",Q92)))</formula>
    </cfRule>
  </conditionalFormatting>
  <conditionalFormatting sqref="S92:S93">
    <cfRule type="cellIs" dxfId="16529" priority="15425" operator="equal">
      <formula>"Tramitando"</formula>
    </cfRule>
    <cfRule type="cellIs" dxfId="16528" priority="15426" operator="equal">
      <formula>"Deferido"</formula>
    </cfRule>
    <cfRule type="cellIs" dxfId="16527" priority="15427" operator="equal">
      <formula>"Indeferido"</formula>
    </cfRule>
  </conditionalFormatting>
  <conditionalFormatting sqref="S92:S93">
    <cfRule type="containsText" dxfId="16526" priority="15424" operator="containsText" text="Cancelado">
      <formula>NOT(ISERROR(SEARCH("Cancelado",S92)))</formula>
    </cfRule>
  </conditionalFormatting>
  <conditionalFormatting sqref="J94">
    <cfRule type="cellIs" dxfId="16525" priority="15420" operator="equal">
      <formula>"Tramitando"</formula>
    </cfRule>
    <cfRule type="cellIs" dxfId="16524" priority="15421" operator="equal">
      <formula>"Deferido"</formula>
    </cfRule>
    <cfRule type="cellIs" dxfId="16523" priority="15422" operator="equal">
      <formula>"Indeferido"</formula>
    </cfRule>
  </conditionalFormatting>
  <conditionalFormatting sqref="J94">
    <cfRule type="containsText" dxfId="16522" priority="15419" operator="containsText" text="Cancelado">
      <formula>NOT(ISERROR(SEARCH("Cancelado",J94)))</formula>
    </cfRule>
  </conditionalFormatting>
  <conditionalFormatting sqref="M94">
    <cfRule type="cellIs" dxfId="16521" priority="15416" operator="equal">
      <formula>"Tramitando"</formula>
    </cfRule>
    <cfRule type="cellIs" dxfId="16520" priority="15417" operator="equal">
      <formula>"Deferido"</formula>
    </cfRule>
    <cfRule type="cellIs" dxfId="16519" priority="15418" operator="equal">
      <formula>"Indeferido"</formula>
    </cfRule>
  </conditionalFormatting>
  <conditionalFormatting sqref="M94">
    <cfRule type="containsText" dxfId="16518" priority="15415" operator="containsText" text="Cancelado">
      <formula>NOT(ISERROR(SEARCH("Cancelado",M94)))</formula>
    </cfRule>
  </conditionalFormatting>
  <conditionalFormatting sqref="O94">
    <cfRule type="cellIs" dxfId="16517" priority="15412" operator="equal">
      <formula>"Tramitando"</formula>
    </cfRule>
    <cfRule type="cellIs" dxfId="16516" priority="15413" operator="equal">
      <formula>"Deferido"</formula>
    </cfRule>
    <cfRule type="cellIs" dxfId="16515" priority="15414" operator="equal">
      <formula>"Indeferido"</formula>
    </cfRule>
  </conditionalFormatting>
  <conditionalFormatting sqref="O94">
    <cfRule type="containsText" dxfId="16514" priority="15411" operator="containsText" text="Cancelado">
      <formula>NOT(ISERROR(SEARCH("Cancelado",O94)))</formula>
    </cfRule>
  </conditionalFormatting>
  <conditionalFormatting sqref="Q94">
    <cfRule type="cellIs" dxfId="16513" priority="15408" operator="equal">
      <formula>"Tramitando"</formula>
    </cfRule>
    <cfRule type="cellIs" dxfId="16512" priority="15409" operator="equal">
      <formula>"Deferido"</formula>
    </cfRule>
    <cfRule type="cellIs" dxfId="16511" priority="15410" operator="equal">
      <formula>"Indeferido"</formula>
    </cfRule>
  </conditionalFormatting>
  <conditionalFormatting sqref="Q94">
    <cfRule type="containsText" dxfId="16510" priority="15407" operator="containsText" text="Cancelado">
      <formula>NOT(ISERROR(SEARCH("Cancelado",Q94)))</formula>
    </cfRule>
  </conditionalFormatting>
  <conditionalFormatting sqref="S94">
    <cfRule type="cellIs" dxfId="16509" priority="15404" operator="equal">
      <formula>"Tramitando"</formula>
    </cfRule>
    <cfRule type="cellIs" dxfId="16508" priority="15405" operator="equal">
      <formula>"Deferido"</formula>
    </cfRule>
    <cfRule type="cellIs" dxfId="16507" priority="15406" operator="equal">
      <formula>"Indeferido"</formula>
    </cfRule>
  </conditionalFormatting>
  <conditionalFormatting sqref="S94">
    <cfRule type="containsText" dxfId="16506" priority="15403" operator="containsText" text="Cancelado">
      <formula>NOT(ISERROR(SEARCH("Cancelado",S94)))</formula>
    </cfRule>
  </conditionalFormatting>
  <conditionalFormatting sqref="J95">
    <cfRule type="cellIs" dxfId="16505" priority="15399" operator="equal">
      <formula>"Tramitando"</formula>
    </cfRule>
    <cfRule type="cellIs" dxfId="16504" priority="15400" operator="equal">
      <formula>"Deferido"</formula>
    </cfRule>
    <cfRule type="cellIs" dxfId="16503" priority="15401" operator="equal">
      <formula>"Indeferido"</formula>
    </cfRule>
  </conditionalFormatting>
  <conditionalFormatting sqref="J95">
    <cfRule type="containsText" dxfId="16502" priority="15398" operator="containsText" text="Cancelado">
      <formula>NOT(ISERROR(SEARCH("Cancelado",J95)))</formula>
    </cfRule>
  </conditionalFormatting>
  <conditionalFormatting sqref="M95">
    <cfRule type="cellIs" dxfId="16501" priority="15395" operator="equal">
      <formula>"Tramitando"</formula>
    </cfRule>
    <cfRule type="cellIs" dxfId="16500" priority="15396" operator="equal">
      <formula>"Deferido"</formula>
    </cfRule>
    <cfRule type="cellIs" dxfId="16499" priority="15397" operator="equal">
      <formula>"Indeferido"</formula>
    </cfRule>
  </conditionalFormatting>
  <conditionalFormatting sqref="M95">
    <cfRule type="containsText" dxfId="16498" priority="15394" operator="containsText" text="Cancelado">
      <formula>NOT(ISERROR(SEARCH("Cancelado",M95)))</formula>
    </cfRule>
  </conditionalFormatting>
  <conditionalFormatting sqref="O95">
    <cfRule type="cellIs" dxfId="16497" priority="15391" operator="equal">
      <formula>"Tramitando"</formula>
    </cfRule>
    <cfRule type="cellIs" dxfId="16496" priority="15392" operator="equal">
      <formula>"Deferido"</formula>
    </cfRule>
    <cfRule type="cellIs" dxfId="16495" priority="15393" operator="equal">
      <formula>"Indeferido"</formula>
    </cfRule>
  </conditionalFormatting>
  <conditionalFormatting sqref="O95">
    <cfRule type="containsText" dxfId="16494" priority="15390" operator="containsText" text="Cancelado">
      <formula>NOT(ISERROR(SEARCH("Cancelado",O95)))</formula>
    </cfRule>
  </conditionalFormatting>
  <conditionalFormatting sqref="Q95">
    <cfRule type="cellIs" dxfId="16493" priority="15387" operator="equal">
      <formula>"Tramitando"</formula>
    </cfRule>
    <cfRule type="cellIs" dxfId="16492" priority="15388" operator="equal">
      <formula>"Deferido"</formula>
    </cfRule>
    <cfRule type="cellIs" dxfId="16491" priority="15389" operator="equal">
      <formula>"Indeferido"</formula>
    </cfRule>
  </conditionalFormatting>
  <conditionalFormatting sqref="Q95">
    <cfRule type="containsText" dxfId="16490" priority="15386" operator="containsText" text="Cancelado">
      <formula>NOT(ISERROR(SEARCH("Cancelado",Q95)))</formula>
    </cfRule>
  </conditionalFormatting>
  <conditionalFormatting sqref="S95">
    <cfRule type="cellIs" dxfId="16489" priority="15383" operator="equal">
      <formula>"Tramitando"</formula>
    </cfRule>
    <cfRule type="cellIs" dxfId="16488" priority="15384" operator="equal">
      <formula>"Deferido"</formula>
    </cfRule>
    <cfRule type="cellIs" dxfId="16487" priority="15385" operator="equal">
      <formula>"Indeferido"</formula>
    </cfRule>
  </conditionalFormatting>
  <conditionalFormatting sqref="S95">
    <cfRule type="containsText" dxfId="16486" priority="15382" operator="containsText" text="Cancelado">
      <formula>NOT(ISERROR(SEARCH("Cancelado",S95)))</formula>
    </cfRule>
  </conditionalFormatting>
  <conditionalFormatting sqref="J96">
    <cfRule type="cellIs" dxfId="16485" priority="15378" operator="equal">
      <formula>"Tramitando"</formula>
    </cfRule>
    <cfRule type="cellIs" dxfId="16484" priority="15379" operator="equal">
      <formula>"Deferido"</formula>
    </cfRule>
    <cfRule type="cellIs" dxfId="16483" priority="15380" operator="equal">
      <formula>"Indeferido"</formula>
    </cfRule>
  </conditionalFormatting>
  <conditionalFormatting sqref="J96">
    <cfRule type="containsText" dxfId="16482" priority="15377" operator="containsText" text="Cancelado">
      <formula>NOT(ISERROR(SEARCH("Cancelado",J96)))</formula>
    </cfRule>
  </conditionalFormatting>
  <conditionalFormatting sqref="M96">
    <cfRule type="cellIs" dxfId="16481" priority="15374" operator="equal">
      <formula>"Tramitando"</formula>
    </cfRule>
    <cfRule type="cellIs" dxfId="16480" priority="15375" operator="equal">
      <formula>"Deferido"</formula>
    </cfRule>
    <cfRule type="cellIs" dxfId="16479" priority="15376" operator="equal">
      <formula>"Indeferido"</formula>
    </cfRule>
  </conditionalFormatting>
  <conditionalFormatting sqref="M96">
    <cfRule type="containsText" dxfId="16478" priority="15373" operator="containsText" text="Cancelado">
      <formula>NOT(ISERROR(SEARCH("Cancelado",M96)))</formula>
    </cfRule>
  </conditionalFormatting>
  <conditionalFormatting sqref="O96">
    <cfRule type="cellIs" dxfId="16477" priority="15370" operator="equal">
      <formula>"Tramitando"</formula>
    </cfRule>
    <cfRule type="cellIs" dxfId="16476" priority="15371" operator="equal">
      <formula>"Deferido"</formula>
    </cfRule>
    <cfRule type="cellIs" dxfId="16475" priority="15372" operator="equal">
      <formula>"Indeferido"</formula>
    </cfRule>
  </conditionalFormatting>
  <conditionalFormatting sqref="O96">
    <cfRule type="containsText" dxfId="16474" priority="15369" operator="containsText" text="Cancelado">
      <formula>NOT(ISERROR(SEARCH("Cancelado",O96)))</formula>
    </cfRule>
  </conditionalFormatting>
  <conditionalFormatting sqref="Q96">
    <cfRule type="cellIs" dxfId="16473" priority="15366" operator="equal">
      <formula>"Tramitando"</formula>
    </cfRule>
    <cfRule type="cellIs" dxfId="16472" priority="15367" operator="equal">
      <formula>"Deferido"</formula>
    </cfRule>
    <cfRule type="cellIs" dxfId="16471" priority="15368" operator="equal">
      <formula>"Indeferido"</formula>
    </cfRule>
  </conditionalFormatting>
  <conditionalFormatting sqref="Q96">
    <cfRule type="containsText" dxfId="16470" priority="15365" operator="containsText" text="Cancelado">
      <formula>NOT(ISERROR(SEARCH("Cancelado",Q96)))</formula>
    </cfRule>
  </conditionalFormatting>
  <conditionalFormatting sqref="S96">
    <cfRule type="cellIs" dxfId="16469" priority="15362" operator="equal">
      <formula>"Tramitando"</formula>
    </cfRule>
    <cfRule type="cellIs" dxfId="16468" priority="15363" operator="equal">
      <formula>"Deferido"</formula>
    </cfRule>
    <cfRule type="cellIs" dxfId="16467" priority="15364" operator="equal">
      <formula>"Indeferido"</formula>
    </cfRule>
  </conditionalFormatting>
  <conditionalFormatting sqref="S96">
    <cfRule type="containsText" dxfId="16466" priority="15361" operator="containsText" text="Cancelado">
      <formula>NOT(ISERROR(SEARCH("Cancelado",S96)))</formula>
    </cfRule>
  </conditionalFormatting>
  <conditionalFormatting sqref="J97">
    <cfRule type="cellIs" dxfId="16465" priority="15357" operator="equal">
      <formula>"Tramitando"</formula>
    </cfRule>
    <cfRule type="cellIs" dxfId="16464" priority="15358" operator="equal">
      <formula>"Deferido"</formula>
    </cfRule>
    <cfRule type="cellIs" dxfId="16463" priority="15359" operator="equal">
      <formula>"Indeferido"</formula>
    </cfRule>
  </conditionalFormatting>
  <conditionalFormatting sqref="J97">
    <cfRule type="containsText" dxfId="16462" priority="15356" operator="containsText" text="Cancelado">
      <formula>NOT(ISERROR(SEARCH("Cancelado",J97)))</formula>
    </cfRule>
  </conditionalFormatting>
  <conditionalFormatting sqref="M97">
    <cfRule type="cellIs" dxfId="16461" priority="15353" operator="equal">
      <formula>"Tramitando"</formula>
    </cfRule>
    <cfRule type="cellIs" dxfId="16460" priority="15354" operator="equal">
      <formula>"Deferido"</formula>
    </cfRule>
    <cfRule type="cellIs" dxfId="16459" priority="15355" operator="equal">
      <formula>"Indeferido"</formula>
    </cfRule>
  </conditionalFormatting>
  <conditionalFormatting sqref="M97">
    <cfRule type="containsText" dxfId="16458" priority="15352" operator="containsText" text="Cancelado">
      <formula>NOT(ISERROR(SEARCH("Cancelado",M97)))</formula>
    </cfRule>
  </conditionalFormatting>
  <conditionalFormatting sqref="O97">
    <cfRule type="cellIs" dxfId="16457" priority="15349" operator="equal">
      <formula>"Tramitando"</formula>
    </cfRule>
    <cfRule type="cellIs" dxfId="16456" priority="15350" operator="equal">
      <formula>"Deferido"</formula>
    </cfRule>
    <cfRule type="cellIs" dxfId="16455" priority="15351" operator="equal">
      <formula>"Indeferido"</formula>
    </cfRule>
  </conditionalFormatting>
  <conditionalFormatting sqref="O97">
    <cfRule type="containsText" dxfId="16454" priority="15348" operator="containsText" text="Cancelado">
      <formula>NOT(ISERROR(SEARCH("Cancelado",O97)))</formula>
    </cfRule>
  </conditionalFormatting>
  <conditionalFormatting sqref="Q97">
    <cfRule type="cellIs" dxfId="16453" priority="15345" operator="equal">
      <formula>"Tramitando"</formula>
    </cfRule>
    <cfRule type="cellIs" dxfId="16452" priority="15346" operator="equal">
      <formula>"Deferido"</formula>
    </cfRule>
    <cfRule type="cellIs" dxfId="16451" priority="15347" operator="equal">
      <formula>"Indeferido"</formula>
    </cfRule>
  </conditionalFormatting>
  <conditionalFormatting sqref="Q97">
    <cfRule type="containsText" dxfId="16450" priority="15344" operator="containsText" text="Cancelado">
      <formula>NOT(ISERROR(SEARCH("Cancelado",Q97)))</formula>
    </cfRule>
  </conditionalFormatting>
  <conditionalFormatting sqref="S97">
    <cfRule type="cellIs" dxfId="16449" priority="15341" operator="equal">
      <formula>"Tramitando"</formula>
    </cfRule>
    <cfRule type="cellIs" dxfId="16448" priority="15342" operator="equal">
      <formula>"Deferido"</formula>
    </cfRule>
    <cfRule type="cellIs" dxfId="16447" priority="15343" operator="equal">
      <formula>"Indeferido"</formula>
    </cfRule>
  </conditionalFormatting>
  <conditionalFormatting sqref="S97">
    <cfRule type="containsText" dxfId="16446" priority="15340" operator="containsText" text="Cancelado">
      <formula>NOT(ISERROR(SEARCH("Cancelado",S97)))</formula>
    </cfRule>
  </conditionalFormatting>
  <conditionalFormatting sqref="J98">
    <cfRule type="cellIs" dxfId="16445" priority="15336" operator="equal">
      <formula>"Tramitando"</formula>
    </cfRule>
    <cfRule type="cellIs" dxfId="16444" priority="15337" operator="equal">
      <formula>"Deferido"</formula>
    </cfRule>
    <cfRule type="cellIs" dxfId="16443" priority="15338" operator="equal">
      <formula>"Indeferido"</formula>
    </cfRule>
  </conditionalFormatting>
  <conditionalFormatting sqref="J98">
    <cfRule type="containsText" dxfId="16442" priority="15335" operator="containsText" text="Cancelado">
      <formula>NOT(ISERROR(SEARCH("Cancelado",J98)))</formula>
    </cfRule>
  </conditionalFormatting>
  <conditionalFormatting sqref="M98">
    <cfRule type="cellIs" dxfId="16441" priority="15332" operator="equal">
      <formula>"Tramitando"</formula>
    </cfRule>
    <cfRule type="cellIs" dxfId="16440" priority="15333" operator="equal">
      <formula>"Deferido"</formula>
    </cfRule>
    <cfRule type="cellIs" dxfId="16439" priority="15334" operator="equal">
      <formula>"Indeferido"</formula>
    </cfRule>
  </conditionalFormatting>
  <conditionalFormatting sqref="M98">
    <cfRule type="containsText" dxfId="16438" priority="15331" operator="containsText" text="Cancelado">
      <formula>NOT(ISERROR(SEARCH("Cancelado",M98)))</formula>
    </cfRule>
  </conditionalFormatting>
  <conditionalFormatting sqref="O98">
    <cfRule type="cellIs" dxfId="16437" priority="15328" operator="equal">
      <formula>"Tramitando"</formula>
    </cfRule>
    <cfRule type="cellIs" dxfId="16436" priority="15329" operator="equal">
      <formula>"Deferido"</formula>
    </cfRule>
    <cfRule type="cellIs" dxfId="16435" priority="15330" operator="equal">
      <formula>"Indeferido"</formula>
    </cfRule>
  </conditionalFormatting>
  <conditionalFormatting sqref="O98">
    <cfRule type="containsText" dxfId="16434" priority="15327" operator="containsText" text="Cancelado">
      <formula>NOT(ISERROR(SEARCH("Cancelado",O98)))</formula>
    </cfRule>
  </conditionalFormatting>
  <conditionalFormatting sqref="Q98">
    <cfRule type="cellIs" dxfId="16433" priority="15324" operator="equal">
      <formula>"Tramitando"</formula>
    </cfRule>
    <cfRule type="cellIs" dxfId="16432" priority="15325" operator="equal">
      <formula>"Deferido"</formula>
    </cfRule>
    <cfRule type="cellIs" dxfId="16431" priority="15326" operator="equal">
      <formula>"Indeferido"</formula>
    </cfRule>
  </conditionalFormatting>
  <conditionalFormatting sqref="Q98">
    <cfRule type="containsText" dxfId="16430" priority="15323" operator="containsText" text="Cancelado">
      <formula>NOT(ISERROR(SEARCH("Cancelado",Q98)))</formula>
    </cfRule>
  </conditionalFormatting>
  <conditionalFormatting sqref="S98">
    <cfRule type="cellIs" dxfId="16429" priority="15320" operator="equal">
      <formula>"Tramitando"</formula>
    </cfRule>
    <cfRule type="cellIs" dxfId="16428" priority="15321" operator="equal">
      <formula>"Deferido"</formula>
    </cfRule>
    <cfRule type="cellIs" dxfId="16427" priority="15322" operator="equal">
      <formula>"Indeferido"</formula>
    </cfRule>
  </conditionalFormatting>
  <conditionalFormatting sqref="S98">
    <cfRule type="containsText" dxfId="16426" priority="15319" operator="containsText" text="Cancelado">
      <formula>NOT(ISERROR(SEARCH("Cancelado",S98)))</formula>
    </cfRule>
  </conditionalFormatting>
  <conditionalFormatting sqref="J99">
    <cfRule type="cellIs" dxfId="16425" priority="15313" operator="equal">
      <formula>"Tramitando"</formula>
    </cfRule>
    <cfRule type="cellIs" dxfId="16424" priority="15314" operator="equal">
      <formula>"Deferido"</formula>
    </cfRule>
    <cfRule type="cellIs" dxfId="16423" priority="15315" operator="equal">
      <formula>"Indeferido"</formula>
    </cfRule>
  </conditionalFormatting>
  <conditionalFormatting sqref="J99">
    <cfRule type="containsText" dxfId="16422" priority="15312" operator="containsText" text="Cancelado">
      <formula>NOT(ISERROR(SEARCH("Cancelado",J99)))</formula>
    </cfRule>
  </conditionalFormatting>
  <conditionalFormatting sqref="M99">
    <cfRule type="cellIs" dxfId="16421" priority="15309" operator="equal">
      <formula>"Tramitando"</formula>
    </cfRule>
    <cfRule type="cellIs" dxfId="16420" priority="15310" operator="equal">
      <formula>"Deferido"</formula>
    </cfRule>
    <cfRule type="cellIs" dxfId="16419" priority="15311" operator="equal">
      <formula>"Indeferido"</formula>
    </cfRule>
  </conditionalFormatting>
  <conditionalFormatting sqref="M99">
    <cfRule type="containsText" dxfId="16418" priority="15308" operator="containsText" text="Cancelado">
      <formula>NOT(ISERROR(SEARCH("Cancelado",M99)))</formula>
    </cfRule>
  </conditionalFormatting>
  <conditionalFormatting sqref="O99">
    <cfRule type="cellIs" dxfId="16417" priority="15305" operator="equal">
      <formula>"Tramitando"</formula>
    </cfRule>
    <cfRule type="cellIs" dxfId="16416" priority="15306" operator="equal">
      <formula>"Deferido"</formula>
    </cfRule>
    <cfRule type="cellIs" dxfId="16415" priority="15307" operator="equal">
      <formula>"Indeferido"</formula>
    </cfRule>
  </conditionalFormatting>
  <conditionalFormatting sqref="O99">
    <cfRule type="containsText" dxfId="16414" priority="15304" operator="containsText" text="Cancelado">
      <formula>NOT(ISERROR(SEARCH("Cancelado",O99)))</formula>
    </cfRule>
  </conditionalFormatting>
  <conditionalFormatting sqref="Q99">
    <cfRule type="cellIs" dxfId="16413" priority="15301" operator="equal">
      <formula>"Tramitando"</formula>
    </cfRule>
    <cfRule type="cellIs" dxfId="16412" priority="15302" operator="equal">
      <formula>"Deferido"</formula>
    </cfRule>
    <cfRule type="cellIs" dxfId="16411" priority="15303" operator="equal">
      <formula>"Indeferido"</formula>
    </cfRule>
  </conditionalFormatting>
  <conditionalFormatting sqref="Q99">
    <cfRule type="containsText" dxfId="16410" priority="15300" operator="containsText" text="Cancelado">
      <formula>NOT(ISERROR(SEARCH("Cancelado",Q99)))</formula>
    </cfRule>
  </conditionalFormatting>
  <conditionalFormatting sqref="S99">
    <cfRule type="cellIs" dxfId="16409" priority="15297" operator="equal">
      <formula>"Tramitando"</formula>
    </cfRule>
    <cfRule type="cellIs" dxfId="16408" priority="15298" operator="equal">
      <formula>"Deferido"</formula>
    </cfRule>
    <cfRule type="cellIs" dxfId="16407" priority="15299" operator="equal">
      <formula>"Indeferido"</formula>
    </cfRule>
  </conditionalFormatting>
  <conditionalFormatting sqref="S99">
    <cfRule type="containsText" dxfId="16406" priority="15296" operator="containsText" text="Cancelado">
      <formula>NOT(ISERROR(SEARCH("Cancelado",S99)))</formula>
    </cfRule>
  </conditionalFormatting>
  <conditionalFormatting sqref="J100">
    <cfRule type="cellIs" dxfId="16405" priority="15292" operator="equal">
      <formula>"Tramitando"</formula>
    </cfRule>
    <cfRule type="cellIs" dxfId="16404" priority="15293" operator="equal">
      <formula>"Deferido"</formula>
    </cfRule>
    <cfRule type="cellIs" dxfId="16403" priority="15294" operator="equal">
      <formula>"Indeferido"</formula>
    </cfRule>
  </conditionalFormatting>
  <conditionalFormatting sqref="J100">
    <cfRule type="containsText" dxfId="16402" priority="15291" operator="containsText" text="Cancelado">
      <formula>NOT(ISERROR(SEARCH("Cancelado",J100)))</formula>
    </cfRule>
  </conditionalFormatting>
  <conditionalFormatting sqref="M100">
    <cfRule type="cellIs" dxfId="16401" priority="15288" operator="equal">
      <formula>"Tramitando"</formula>
    </cfRule>
    <cfRule type="cellIs" dxfId="16400" priority="15289" operator="equal">
      <formula>"Deferido"</formula>
    </cfRule>
    <cfRule type="cellIs" dxfId="16399" priority="15290" operator="equal">
      <formula>"Indeferido"</formula>
    </cfRule>
  </conditionalFormatting>
  <conditionalFormatting sqref="M100">
    <cfRule type="containsText" dxfId="16398" priority="15287" operator="containsText" text="Cancelado">
      <formula>NOT(ISERROR(SEARCH("Cancelado",M100)))</formula>
    </cfRule>
  </conditionalFormatting>
  <conditionalFormatting sqref="O100">
    <cfRule type="cellIs" dxfId="16397" priority="15284" operator="equal">
      <formula>"Tramitando"</formula>
    </cfRule>
    <cfRule type="cellIs" dxfId="16396" priority="15285" operator="equal">
      <formula>"Deferido"</formula>
    </cfRule>
    <cfRule type="cellIs" dxfId="16395" priority="15286" operator="equal">
      <formula>"Indeferido"</formula>
    </cfRule>
  </conditionalFormatting>
  <conditionalFormatting sqref="O100">
    <cfRule type="containsText" dxfId="16394" priority="15283" operator="containsText" text="Cancelado">
      <formula>NOT(ISERROR(SEARCH("Cancelado",O100)))</formula>
    </cfRule>
  </conditionalFormatting>
  <conditionalFormatting sqref="Q100">
    <cfRule type="cellIs" dxfId="16393" priority="15280" operator="equal">
      <formula>"Tramitando"</formula>
    </cfRule>
    <cfRule type="cellIs" dxfId="16392" priority="15281" operator="equal">
      <formula>"Deferido"</formula>
    </cfRule>
    <cfRule type="cellIs" dxfId="16391" priority="15282" operator="equal">
      <formula>"Indeferido"</formula>
    </cfRule>
  </conditionalFormatting>
  <conditionalFormatting sqref="Q100">
    <cfRule type="containsText" dxfId="16390" priority="15279" operator="containsText" text="Cancelado">
      <formula>NOT(ISERROR(SEARCH("Cancelado",Q100)))</formula>
    </cfRule>
  </conditionalFormatting>
  <conditionalFormatting sqref="S100">
    <cfRule type="cellIs" dxfId="16389" priority="15276" operator="equal">
      <formula>"Tramitando"</formula>
    </cfRule>
    <cfRule type="cellIs" dxfId="16388" priority="15277" operator="equal">
      <formula>"Deferido"</formula>
    </cfRule>
    <cfRule type="cellIs" dxfId="16387" priority="15278" operator="equal">
      <formula>"Indeferido"</formula>
    </cfRule>
  </conditionalFormatting>
  <conditionalFormatting sqref="S100">
    <cfRule type="containsText" dxfId="16386" priority="15275" operator="containsText" text="Cancelado">
      <formula>NOT(ISERROR(SEARCH("Cancelado",S100)))</formula>
    </cfRule>
  </conditionalFormatting>
  <conditionalFormatting sqref="J101">
    <cfRule type="cellIs" dxfId="16385" priority="15271" operator="equal">
      <formula>"Tramitando"</formula>
    </cfRule>
    <cfRule type="cellIs" dxfId="16384" priority="15272" operator="equal">
      <formula>"Deferido"</formula>
    </cfRule>
    <cfRule type="cellIs" dxfId="16383" priority="15273" operator="equal">
      <formula>"Indeferido"</formula>
    </cfRule>
  </conditionalFormatting>
  <conditionalFormatting sqref="J101">
    <cfRule type="containsText" dxfId="16382" priority="15270" operator="containsText" text="Cancelado">
      <formula>NOT(ISERROR(SEARCH("Cancelado",J101)))</formula>
    </cfRule>
  </conditionalFormatting>
  <conditionalFormatting sqref="M101">
    <cfRule type="cellIs" dxfId="16381" priority="15267" operator="equal">
      <formula>"Tramitando"</formula>
    </cfRule>
    <cfRule type="cellIs" dxfId="16380" priority="15268" operator="equal">
      <formula>"Deferido"</formula>
    </cfRule>
    <cfRule type="cellIs" dxfId="16379" priority="15269" operator="equal">
      <formula>"Indeferido"</formula>
    </cfRule>
  </conditionalFormatting>
  <conditionalFormatting sqref="M101">
    <cfRule type="containsText" dxfId="16378" priority="15266" operator="containsText" text="Cancelado">
      <formula>NOT(ISERROR(SEARCH("Cancelado",M101)))</formula>
    </cfRule>
  </conditionalFormatting>
  <conditionalFormatting sqref="O101">
    <cfRule type="cellIs" dxfId="16377" priority="15263" operator="equal">
      <formula>"Tramitando"</formula>
    </cfRule>
    <cfRule type="cellIs" dxfId="16376" priority="15264" operator="equal">
      <formula>"Deferido"</formula>
    </cfRule>
    <cfRule type="cellIs" dxfId="16375" priority="15265" operator="equal">
      <formula>"Indeferido"</formula>
    </cfRule>
  </conditionalFormatting>
  <conditionalFormatting sqref="O101">
    <cfRule type="containsText" dxfId="16374" priority="15262" operator="containsText" text="Cancelado">
      <formula>NOT(ISERROR(SEARCH("Cancelado",O101)))</formula>
    </cfRule>
  </conditionalFormatting>
  <conditionalFormatting sqref="Q101">
    <cfRule type="cellIs" dxfId="16373" priority="15259" operator="equal">
      <formula>"Tramitando"</formula>
    </cfRule>
    <cfRule type="cellIs" dxfId="16372" priority="15260" operator="equal">
      <formula>"Deferido"</formula>
    </cfRule>
    <cfRule type="cellIs" dxfId="16371" priority="15261" operator="equal">
      <formula>"Indeferido"</formula>
    </cfRule>
  </conditionalFormatting>
  <conditionalFormatting sqref="Q101">
    <cfRule type="containsText" dxfId="16370" priority="15258" operator="containsText" text="Cancelado">
      <formula>NOT(ISERROR(SEARCH("Cancelado",Q101)))</formula>
    </cfRule>
  </conditionalFormatting>
  <conditionalFormatting sqref="S101">
    <cfRule type="cellIs" dxfId="16369" priority="15255" operator="equal">
      <formula>"Tramitando"</formula>
    </cfRule>
    <cfRule type="cellIs" dxfId="16368" priority="15256" operator="equal">
      <formula>"Deferido"</formula>
    </cfRule>
    <cfRule type="cellIs" dxfId="16367" priority="15257" operator="equal">
      <formula>"Indeferido"</formula>
    </cfRule>
  </conditionalFormatting>
  <conditionalFormatting sqref="S101">
    <cfRule type="containsText" dxfId="16366" priority="15254" operator="containsText" text="Cancelado">
      <formula>NOT(ISERROR(SEARCH("Cancelado",S101)))</formula>
    </cfRule>
  </conditionalFormatting>
  <conditionalFormatting sqref="J102">
    <cfRule type="cellIs" dxfId="16365" priority="15250" operator="equal">
      <formula>"Tramitando"</formula>
    </cfRule>
    <cfRule type="cellIs" dxfId="16364" priority="15251" operator="equal">
      <formula>"Deferido"</formula>
    </cfRule>
    <cfRule type="cellIs" dxfId="16363" priority="15252" operator="equal">
      <formula>"Indeferido"</formula>
    </cfRule>
  </conditionalFormatting>
  <conditionalFormatting sqref="J102">
    <cfRule type="containsText" dxfId="16362" priority="15249" operator="containsText" text="Cancelado">
      <formula>NOT(ISERROR(SEARCH("Cancelado",J102)))</formula>
    </cfRule>
  </conditionalFormatting>
  <conditionalFormatting sqref="M102">
    <cfRule type="cellIs" dxfId="16361" priority="15246" operator="equal">
      <formula>"Tramitando"</formula>
    </cfRule>
    <cfRule type="cellIs" dxfId="16360" priority="15247" operator="equal">
      <formula>"Deferido"</formula>
    </cfRule>
    <cfRule type="cellIs" dxfId="16359" priority="15248" operator="equal">
      <formula>"Indeferido"</formula>
    </cfRule>
  </conditionalFormatting>
  <conditionalFormatting sqref="M102">
    <cfRule type="containsText" dxfId="16358" priority="15245" operator="containsText" text="Cancelado">
      <formula>NOT(ISERROR(SEARCH("Cancelado",M102)))</formula>
    </cfRule>
  </conditionalFormatting>
  <conditionalFormatting sqref="O102">
    <cfRule type="cellIs" dxfId="16357" priority="15242" operator="equal">
      <formula>"Tramitando"</formula>
    </cfRule>
    <cfRule type="cellIs" dxfId="16356" priority="15243" operator="equal">
      <formula>"Deferido"</formula>
    </cfRule>
    <cfRule type="cellIs" dxfId="16355" priority="15244" operator="equal">
      <formula>"Indeferido"</formula>
    </cfRule>
  </conditionalFormatting>
  <conditionalFormatting sqref="O102">
    <cfRule type="containsText" dxfId="16354" priority="15241" operator="containsText" text="Cancelado">
      <formula>NOT(ISERROR(SEARCH("Cancelado",O102)))</formula>
    </cfRule>
  </conditionalFormatting>
  <conditionalFormatting sqref="Q102">
    <cfRule type="cellIs" dxfId="16353" priority="15238" operator="equal">
      <formula>"Tramitando"</formula>
    </cfRule>
    <cfRule type="cellIs" dxfId="16352" priority="15239" operator="equal">
      <formula>"Deferido"</formula>
    </cfRule>
    <cfRule type="cellIs" dxfId="16351" priority="15240" operator="equal">
      <formula>"Indeferido"</formula>
    </cfRule>
  </conditionalFormatting>
  <conditionalFormatting sqref="Q102">
    <cfRule type="containsText" dxfId="16350" priority="15237" operator="containsText" text="Cancelado">
      <formula>NOT(ISERROR(SEARCH("Cancelado",Q102)))</formula>
    </cfRule>
  </conditionalFormatting>
  <conditionalFormatting sqref="S102">
    <cfRule type="cellIs" dxfId="16349" priority="15234" operator="equal">
      <formula>"Tramitando"</formula>
    </cfRule>
    <cfRule type="cellIs" dxfId="16348" priority="15235" operator="equal">
      <formula>"Deferido"</formula>
    </cfRule>
    <cfRule type="cellIs" dxfId="16347" priority="15236" operator="equal">
      <formula>"Indeferido"</formula>
    </cfRule>
  </conditionalFormatting>
  <conditionalFormatting sqref="S102">
    <cfRule type="containsText" dxfId="16346" priority="15233" operator="containsText" text="Cancelado">
      <formula>NOT(ISERROR(SEARCH("Cancelado",S102)))</formula>
    </cfRule>
  </conditionalFormatting>
  <conditionalFormatting sqref="J103:J104">
    <cfRule type="cellIs" dxfId="16345" priority="15229" operator="equal">
      <formula>"Tramitando"</formula>
    </cfRule>
    <cfRule type="cellIs" dxfId="16344" priority="15230" operator="equal">
      <formula>"Deferido"</formula>
    </cfRule>
    <cfRule type="cellIs" dxfId="16343" priority="15231" operator="equal">
      <formula>"Indeferido"</formula>
    </cfRule>
  </conditionalFormatting>
  <conditionalFormatting sqref="J103:J104">
    <cfRule type="containsText" dxfId="16342" priority="15228" operator="containsText" text="Cancelado">
      <formula>NOT(ISERROR(SEARCH("Cancelado",J103)))</formula>
    </cfRule>
  </conditionalFormatting>
  <conditionalFormatting sqref="M103:M104">
    <cfRule type="cellIs" dxfId="16341" priority="15225" operator="equal">
      <formula>"Tramitando"</formula>
    </cfRule>
    <cfRule type="cellIs" dxfId="16340" priority="15226" operator="equal">
      <formula>"Deferido"</formula>
    </cfRule>
    <cfRule type="cellIs" dxfId="16339" priority="15227" operator="equal">
      <formula>"Indeferido"</formula>
    </cfRule>
  </conditionalFormatting>
  <conditionalFormatting sqref="M103:M104">
    <cfRule type="containsText" dxfId="16338" priority="15224" operator="containsText" text="Cancelado">
      <formula>NOT(ISERROR(SEARCH("Cancelado",M103)))</formula>
    </cfRule>
  </conditionalFormatting>
  <conditionalFormatting sqref="O103:O104">
    <cfRule type="cellIs" dxfId="16337" priority="15221" operator="equal">
      <formula>"Tramitando"</formula>
    </cfRule>
    <cfRule type="cellIs" dxfId="16336" priority="15222" operator="equal">
      <formula>"Deferido"</formula>
    </cfRule>
    <cfRule type="cellIs" dxfId="16335" priority="15223" operator="equal">
      <formula>"Indeferido"</formula>
    </cfRule>
  </conditionalFormatting>
  <conditionalFormatting sqref="O103:O104">
    <cfRule type="containsText" dxfId="16334" priority="15220" operator="containsText" text="Cancelado">
      <formula>NOT(ISERROR(SEARCH("Cancelado",O103)))</formula>
    </cfRule>
  </conditionalFormatting>
  <conditionalFormatting sqref="Q103:Q104">
    <cfRule type="cellIs" dxfId="16333" priority="15217" operator="equal">
      <formula>"Tramitando"</formula>
    </cfRule>
    <cfRule type="cellIs" dxfId="16332" priority="15218" operator="equal">
      <formula>"Deferido"</formula>
    </cfRule>
    <cfRule type="cellIs" dxfId="16331" priority="15219" operator="equal">
      <formula>"Indeferido"</formula>
    </cfRule>
  </conditionalFormatting>
  <conditionalFormatting sqref="Q103:Q104">
    <cfRule type="containsText" dxfId="16330" priority="15216" operator="containsText" text="Cancelado">
      <formula>NOT(ISERROR(SEARCH("Cancelado",Q103)))</formula>
    </cfRule>
  </conditionalFormatting>
  <conditionalFormatting sqref="S103:S104">
    <cfRule type="cellIs" dxfId="16329" priority="15213" operator="equal">
      <formula>"Tramitando"</formula>
    </cfRule>
    <cfRule type="cellIs" dxfId="16328" priority="15214" operator="equal">
      <formula>"Deferido"</formula>
    </cfRule>
    <cfRule type="cellIs" dxfId="16327" priority="15215" operator="equal">
      <formula>"Indeferido"</formula>
    </cfRule>
  </conditionalFormatting>
  <conditionalFormatting sqref="S103:S104">
    <cfRule type="containsText" dxfId="16326" priority="15212" operator="containsText" text="Cancelado">
      <formula>NOT(ISERROR(SEARCH("Cancelado",S103)))</formula>
    </cfRule>
  </conditionalFormatting>
  <conditionalFormatting sqref="J105">
    <cfRule type="cellIs" dxfId="16325" priority="15208" operator="equal">
      <formula>"Tramitando"</formula>
    </cfRule>
    <cfRule type="cellIs" dxfId="16324" priority="15209" operator="equal">
      <formula>"Deferido"</formula>
    </cfRule>
    <cfRule type="cellIs" dxfId="16323" priority="15210" operator="equal">
      <formula>"Indeferido"</formula>
    </cfRule>
  </conditionalFormatting>
  <conditionalFormatting sqref="J105">
    <cfRule type="containsText" dxfId="16322" priority="15207" operator="containsText" text="Cancelado">
      <formula>NOT(ISERROR(SEARCH("Cancelado",J105)))</formula>
    </cfRule>
  </conditionalFormatting>
  <conditionalFormatting sqref="M105">
    <cfRule type="cellIs" dxfId="16321" priority="15204" operator="equal">
      <formula>"Tramitando"</formula>
    </cfRule>
    <cfRule type="cellIs" dxfId="16320" priority="15205" operator="equal">
      <formula>"Deferido"</formula>
    </cfRule>
    <cfRule type="cellIs" dxfId="16319" priority="15206" operator="equal">
      <formula>"Indeferido"</formula>
    </cfRule>
  </conditionalFormatting>
  <conditionalFormatting sqref="M105">
    <cfRule type="containsText" dxfId="16318" priority="15203" operator="containsText" text="Cancelado">
      <formula>NOT(ISERROR(SEARCH("Cancelado",M105)))</formula>
    </cfRule>
  </conditionalFormatting>
  <conditionalFormatting sqref="O105">
    <cfRule type="cellIs" dxfId="16317" priority="15200" operator="equal">
      <formula>"Tramitando"</formula>
    </cfRule>
    <cfRule type="cellIs" dxfId="16316" priority="15201" operator="equal">
      <formula>"Deferido"</formula>
    </cfRule>
    <cfRule type="cellIs" dxfId="16315" priority="15202" operator="equal">
      <formula>"Indeferido"</formula>
    </cfRule>
  </conditionalFormatting>
  <conditionalFormatting sqref="O105">
    <cfRule type="containsText" dxfId="16314" priority="15199" operator="containsText" text="Cancelado">
      <formula>NOT(ISERROR(SEARCH("Cancelado",O105)))</formula>
    </cfRule>
  </conditionalFormatting>
  <conditionalFormatting sqref="Q105">
    <cfRule type="cellIs" dxfId="16313" priority="15196" operator="equal">
      <formula>"Tramitando"</formula>
    </cfRule>
    <cfRule type="cellIs" dxfId="16312" priority="15197" operator="equal">
      <formula>"Deferido"</formula>
    </cfRule>
    <cfRule type="cellIs" dxfId="16311" priority="15198" operator="equal">
      <formula>"Indeferido"</formula>
    </cfRule>
  </conditionalFormatting>
  <conditionalFormatting sqref="Q105">
    <cfRule type="containsText" dxfId="16310" priority="15195" operator="containsText" text="Cancelado">
      <formula>NOT(ISERROR(SEARCH("Cancelado",Q105)))</formula>
    </cfRule>
  </conditionalFormatting>
  <conditionalFormatting sqref="S105">
    <cfRule type="cellIs" dxfId="16309" priority="15192" operator="equal">
      <formula>"Tramitando"</formula>
    </cfRule>
    <cfRule type="cellIs" dxfId="16308" priority="15193" operator="equal">
      <formula>"Deferido"</formula>
    </cfRule>
    <cfRule type="cellIs" dxfId="16307" priority="15194" operator="equal">
      <formula>"Indeferido"</formula>
    </cfRule>
  </conditionalFormatting>
  <conditionalFormatting sqref="S105">
    <cfRule type="containsText" dxfId="16306" priority="15191" operator="containsText" text="Cancelado">
      <formula>NOT(ISERROR(SEARCH("Cancelado",S105)))</formula>
    </cfRule>
  </conditionalFormatting>
  <conditionalFormatting sqref="J106">
    <cfRule type="cellIs" dxfId="16305" priority="15187" operator="equal">
      <formula>"Tramitando"</formula>
    </cfRule>
    <cfRule type="cellIs" dxfId="16304" priority="15188" operator="equal">
      <formula>"Deferido"</formula>
    </cfRule>
    <cfRule type="cellIs" dxfId="16303" priority="15189" operator="equal">
      <formula>"Indeferido"</formula>
    </cfRule>
  </conditionalFormatting>
  <conditionalFormatting sqref="J106">
    <cfRule type="containsText" dxfId="16302" priority="15186" operator="containsText" text="Cancelado">
      <formula>NOT(ISERROR(SEARCH("Cancelado",J106)))</formula>
    </cfRule>
  </conditionalFormatting>
  <conditionalFormatting sqref="M106">
    <cfRule type="cellIs" dxfId="16301" priority="15183" operator="equal">
      <formula>"Tramitando"</formula>
    </cfRule>
    <cfRule type="cellIs" dxfId="16300" priority="15184" operator="equal">
      <formula>"Deferido"</formula>
    </cfRule>
    <cfRule type="cellIs" dxfId="16299" priority="15185" operator="equal">
      <formula>"Indeferido"</formula>
    </cfRule>
  </conditionalFormatting>
  <conditionalFormatting sqref="M106">
    <cfRule type="containsText" dxfId="16298" priority="15182" operator="containsText" text="Cancelado">
      <formula>NOT(ISERROR(SEARCH("Cancelado",M106)))</formula>
    </cfRule>
  </conditionalFormatting>
  <conditionalFormatting sqref="O106">
    <cfRule type="cellIs" dxfId="16297" priority="15179" operator="equal">
      <formula>"Tramitando"</formula>
    </cfRule>
    <cfRule type="cellIs" dxfId="16296" priority="15180" operator="equal">
      <formula>"Deferido"</formula>
    </cfRule>
    <cfRule type="cellIs" dxfId="16295" priority="15181" operator="equal">
      <formula>"Indeferido"</formula>
    </cfRule>
  </conditionalFormatting>
  <conditionalFormatting sqref="O106">
    <cfRule type="containsText" dxfId="16294" priority="15178" operator="containsText" text="Cancelado">
      <formula>NOT(ISERROR(SEARCH("Cancelado",O106)))</formula>
    </cfRule>
  </conditionalFormatting>
  <conditionalFormatting sqref="Q106">
    <cfRule type="cellIs" dxfId="16293" priority="15175" operator="equal">
      <formula>"Tramitando"</formula>
    </cfRule>
    <cfRule type="cellIs" dxfId="16292" priority="15176" operator="equal">
      <formula>"Deferido"</formula>
    </cfRule>
    <cfRule type="cellIs" dxfId="16291" priority="15177" operator="equal">
      <formula>"Indeferido"</formula>
    </cfRule>
  </conditionalFormatting>
  <conditionalFormatting sqref="Q106">
    <cfRule type="containsText" dxfId="16290" priority="15174" operator="containsText" text="Cancelado">
      <formula>NOT(ISERROR(SEARCH("Cancelado",Q106)))</formula>
    </cfRule>
  </conditionalFormatting>
  <conditionalFormatting sqref="S106">
    <cfRule type="cellIs" dxfId="16289" priority="15171" operator="equal">
      <formula>"Tramitando"</formula>
    </cfRule>
    <cfRule type="cellIs" dxfId="16288" priority="15172" operator="equal">
      <formula>"Deferido"</formula>
    </cfRule>
    <cfRule type="cellIs" dxfId="16287" priority="15173" operator="equal">
      <formula>"Indeferido"</formula>
    </cfRule>
  </conditionalFormatting>
  <conditionalFormatting sqref="S106">
    <cfRule type="containsText" dxfId="16286" priority="15170" operator="containsText" text="Cancelado">
      <formula>NOT(ISERROR(SEARCH("Cancelado",S106)))</formula>
    </cfRule>
  </conditionalFormatting>
  <conditionalFormatting sqref="J107">
    <cfRule type="cellIs" dxfId="16285" priority="15166" operator="equal">
      <formula>"Tramitando"</formula>
    </cfRule>
    <cfRule type="cellIs" dxfId="16284" priority="15167" operator="equal">
      <formula>"Deferido"</formula>
    </cfRule>
    <cfRule type="cellIs" dxfId="16283" priority="15168" operator="equal">
      <formula>"Indeferido"</formula>
    </cfRule>
  </conditionalFormatting>
  <conditionalFormatting sqref="J107">
    <cfRule type="containsText" dxfId="16282" priority="15165" operator="containsText" text="Cancelado">
      <formula>NOT(ISERROR(SEARCH("Cancelado",J107)))</formula>
    </cfRule>
  </conditionalFormatting>
  <conditionalFormatting sqref="M107">
    <cfRule type="cellIs" dxfId="16281" priority="15162" operator="equal">
      <formula>"Tramitando"</formula>
    </cfRule>
    <cfRule type="cellIs" dxfId="16280" priority="15163" operator="equal">
      <formula>"Deferido"</formula>
    </cfRule>
    <cfRule type="cellIs" dxfId="16279" priority="15164" operator="equal">
      <formula>"Indeferido"</formula>
    </cfRule>
  </conditionalFormatting>
  <conditionalFormatting sqref="M107">
    <cfRule type="containsText" dxfId="16278" priority="15161" operator="containsText" text="Cancelado">
      <formula>NOT(ISERROR(SEARCH("Cancelado",M107)))</formula>
    </cfRule>
  </conditionalFormatting>
  <conditionalFormatting sqref="O107">
    <cfRule type="cellIs" dxfId="16277" priority="15158" operator="equal">
      <formula>"Tramitando"</formula>
    </cfRule>
    <cfRule type="cellIs" dxfId="16276" priority="15159" operator="equal">
      <formula>"Deferido"</formula>
    </cfRule>
    <cfRule type="cellIs" dxfId="16275" priority="15160" operator="equal">
      <formula>"Indeferido"</formula>
    </cfRule>
  </conditionalFormatting>
  <conditionalFormatting sqref="O107">
    <cfRule type="containsText" dxfId="16274" priority="15157" operator="containsText" text="Cancelado">
      <formula>NOT(ISERROR(SEARCH("Cancelado",O107)))</formula>
    </cfRule>
  </conditionalFormatting>
  <conditionalFormatting sqref="Q107">
    <cfRule type="cellIs" dxfId="16273" priority="15154" operator="equal">
      <formula>"Tramitando"</formula>
    </cfRule>
    <cfRule type="cellIs" dxfId="16272" priority="15155" operator="equal">
      <formula>"Deferido"</formula>
    </cfRule>
    <cfRule type="cellIs" dxfId="16271" priority="15156" operator="equal">
      <formula>"Indeferido"</formula>
    </cfRule>
  </conditionalFormatting>
  <conditionalFormatting sqref="Q107">
    <cfRule type="containsText" dxfId="16270" priority="15153" operator="containsText" text="Cancelado">
      <formula>NOT(ISERROR(SEARCH("Cancelado",Q107)))</formula>
    </cfRule>
  </conditionalFormatting>
  <conditionalFormatting sqref="S107">
    <cfRule type="cellIs" dxfId="16269" priority="15150" operator="equal">
      <formula>"Tramitando"</formula>
    </cfRule>
    <cfRule type="cellIs" dxfId="16268" priority="15151" operator="equal">
      <formula>"Deferido"</formula>
    </cfRule>
    <cfRule type="cellIs" dxfId="16267" priority="15152" operator="equal">
      <formula>"Indeferido"</formula>
    </cfRule>
  </conditionalFormatting>
  <conditionalFormatting sqref="S107">
    <cfRule type="containsText" dxfId="16266" priority="15149" operator="containsText" text="Cancelado">
      <formula>NOT(ISERROR(SEARCH("Cancelado",S107)))</formula>
    </cfRule>
  </conditionalFormatting>
  <conditionalFormatting sqref="J108">
    <cfRule type="cellIs" dxfId="16265" priority="15145" operator="equal">
      <formula>"Tramitando"</formula>
    </cfRule>
    <cfRule type="cellIs" dxfId="16264" priority="15146" operator="equal">
      <formula>"Deferido"</formula>
    </cfRule>
    <cfRule type="cellIs" dxfId="16263" priority="15147" operator="equal">
      <formula>"Indeferido"</formula>
    </cfRule>
  </conditionalFormatting>
  <conditionalFormatting sqref="J108">
    <cfRule type="containsText" dxfId="16262" priority="15144" operator="containsText" text="Cancelado">
      <formula>NOT(ISERROR(SEARCH("Cancelado",J108)))</formula>
    </cfRule>
  </conditionalFormatting>
  <conditionalFormatting sqref="M108">
    <cfRule type="cellIs" dxfId="16261" priority="15141" operator="equal">
      <formula>"Tramitando"</formula>
    </cfRule>
    <cfRule type="cellIs" dxfId="16260" priority="15142" operator="equal">
      <formula>"Deferido"</formula>
    </cfRule>
    <cfRule type="cellIs" dxfId="16259" priority="15143" operator="equal">
      <formula>"Indeferido"</formula>
    </cfRule>
  </conditionalFormatting>
  <conditionalFormatting sqref="M108">
    <cfRule type="containsText" dxfId="16258" priority="15140" operator="containsText" text="Cancelado">
      <formula>NOT(ISERROR(SEARCH("Cancelado",M108)))</formula>
    </cfRule>
  </conditionalFormatting>
  <conditionalFormatting sqref="O108">
    <cfRule type="cellIs" dxfId="16257" priority="15137" operator="equal">
      <formula>"Tramitando"</formula>
    </cfRule>
    <cfRule type="cellIs" dxfId="16256" priority="15138" operator="equal">
      <formula>"Deferido"</formula>
    </cfRule>
    <cfRule type="cellIs" dxfId="16255" priority="15139" operator="equal">
      <formula>"Indeferido"</formula>
    </cfRule>
  </conditionalFormatting>
  <conditionalFormatting sqref="O108">
    <cfRule type="containsText" dxfId="16254" priority="15136" operator="containsText" text="Cancelado">
      <formula>NOT(ISERROR(SEARCH("Cancelado",O108)))</formula>
    </cfRule>
  </conditionalFormatting>
  <conditionalFormatting sqref="Q108">
    <cfRule type="cellIs" dxfId="16253" priority="15133" operator="equal">
      <formula>"Tramitando"</formula>
    </cfRule>
    <cfRule type="cellIs" dxfId="16252" priority="15134" operator="equal">
      <formula>"Deferido"</formula>
    </cfRule>
    <cfRule type="cellIs" dxfId="16251" priority="15135" operator="equal">
      <formula>"Indeferido"</formula>
    </cfRule>
  </conditionalFormatting>
  <conditionalFormatting sqref="Q108">
    <cfRule type="containsText" dxfId="16250" priority="15132" operator="containsText" text="Cancelado">
      <formula>NOT(ISERROR(SEARCH("Cancelado",Q108)))</formula>
    </cfRule>
  </conditionalFormatting>
  <conditionalFormatting sqref="S108">
    <cfRule type="cellIs" dxfId="16249" priority="15129" operator="equal">
      <formula>"Tramitando"</formula>
    </cfRule>
    <cfRule type="cellIs" dxfId="16248" priority="15130" operator="equal">
      <formula>"Deferido"</formula>
    </cfRule>
    <cfRule type="cellIs" dxfId="16247" priority="15131" operator="equal">
      <formula>"Indeferido"</formula>
    </cfRule>
  </conditionalFormatting>
  <conditionalFormatting sqref="S108">
    <cfRule type="containsText" dxfId="16246" priority="15128" operator="containsText" text="Cancelado">
      <formula>NOT(ISERROR(SEARCH("Cancelado",S108)))</formula>
    </cfRule>
  </conditionalFormatting>
  <conditionalFormatting sqref="J109">
    <cfRule type="cellIs" dxfId="16245" priority="15124" operator="equal">
      <formula>"Tramitando"</formula>
    </cfRule>
    <cfRule type="cellIs" dxfId="16244" priority="15125" operator="equal">
      <formula>"Deferido"</formula>
    </cfRule>
    <cfRule type="cellIs" dxfId="16243" priority="15126" operator="equal">
      <formula>"Indeferido"</formula>
    </cfRule>
  </conditionalFormatting>
  <conditionalFormatting sqref="J109">
    <cfRule type="containsText" dxfId="16242" priority="15123" operator="containsText" text="Cancelado">
      <formula>NOT(ISERROR(SEARCH("Cancelado",J109)))</formula>
    </cfRule>
  </conditionalFormatting>
  <conditionalFormatting sqref="M109">
    <cfRule type="cellIs" dxfId="16241" priority="15120" operator="equal">
      <formula>"Tramitando"</formula>
    </cfRule>
    <cfRule type="cellIs" dxfId="16240" priority="15121" operator="equal">
      <formula>"Deferido"</formula>
    </cfRule>
    <cfRule type="cellIs" dxfId="16239" priority="15122" operator="equal">
      <formula>"Indeferido"</formula>
    </cfRule>
  </conditionalFormatting>
  <conditionalFormatting sqref="M109">
    <cfRule type="containsText" dxfId="16238" priority="15119" operator="containsText" text="Cancelado">
      <formula>NOT(ISERROR(SEARCH("Cancelado",M109)))</formula>
    </cfRule>
  </conditionalFormatting>
  <conditionalFormatting sqref="O109">
    <cfRule type="cellIs" dxfId="16237" priority="15116" operator="equal">
      <formula>"Tramitando"</formula>
    </cfRule>
    <cfRule type="cellIs" dxfId="16236" priority="15117" operator="equal">
      <formula>"Deferido"</formula>
    </cfRule>
    <cfRule type="cellIs" dxfId="16235" priority="15118" operator="equal">
      <formula>"Indeferido"</formula>
    </cfRule>
  </conditionalFormatting>
  <conditionalFormatting sqref="O109">
    <cfRule type="containsText" dxfId="16234" priority="15115" operator="containsText" text="Cancelado">
      <formula>NOT(ISERROR(SEARCH("Cancelado",O109)))</formula>
    </cfRule>
  </conditionalFormatting>
  <conditionalFormatting sqref="Q109">
    <cfRule type="cellIs" dxfId="16233" priority="15112" operator="equal">
      <formula>"Tramitando"</formula>
    </cfRule>
    <cfRule type="cellIs" dxfId="16232" priority="15113" operator="equal">
      <formula>"Deferido"</formula>
    </cfRule>
    <cfRule type="cellIs" dxfId="16231" priority="15114" operator="equal">
      <formula>"Indeferido"</formula>
    </cfRule>
  </conditionalFormatting>
  <conditionalFormatting sqref="Q109">
    <cfRule type="containsText" dxfId="16230" priority="15111" operator="containsText" text="Cancelado">
      <formula>NOT(ISERROR(SEARCH("Cancelado",Q109)))</formula>
    </cfRule>
  </conditionalFormatting>
  <conditionalFormatting sqref="S109">
    <cfRule type="cellIs" dxfId="16229" priority="15108" operator="equal">
      <formula>"Tramitando"</formula>
    </cfRule>
    <cfRule type="cellIs" dxfId="16228" priority="15109" operator="equal">
      <formula>"Deferido"</formula>
    </cfRule>
    <cfRule type="cellIs" dxfId="16227" priority="15110" operator="equal">
      <formula>"Indeferido"</formula>
    </cfRule>
  </conditionalFormatting>
  <conditionalFormatting sqref="S109">
    <cfRule type="containsText" dxfId="16226" priority="15107" operator="containsText" text="Cancelado">
      <formula>NOT(ISERROR(SEARCH("Cancelado",S109)))</formula>
    </cfRule>
  </conditionalFormatting>
  <conditionalFormatting sqref="J110">
    <cfRule type="cellIs" dxfId="16225" priority="15103" operator="equal">
      <formula>"Tramitando"</formula>
    </cfRule>
    <cfRule type="cellIs" dxfId="16224" priority="15104" operator="equal">
      <formula>"Deferido"</formula>
    </cfRule>
    <cfRule type="cellIs" dxfId="16223" priority="15105" operator="equal">
      <formula>"Indeferido"</formula>
    </cfRule>
  </conditionalFormatting>
  <conditionalFormatting sqref="J110">
    <cfRule type="containsText" dxfId="16222" priority="15102" operator="containsText" text="Cancelado">
      <formula>NOT(ISERROR(SEARCH("Cancelado",J110)))</formula>
    </cfRule>
  </conditionalFormatting>
  <conditionalFormatting sqref="M110">
    <cfRule type="cellIs" dxfId="16221" priority="15099" operator="equal">
      <formula>"Tramitando"</formula>
    </cfRule>
    <cfRule type="cellIs" dxfId="16220" priority="15100" operator="equal">
      <formula>"Deferido"</formula>
    </cfRule>
    <cfRule type="cellIs" dxfId="16219" priority="15101" operator="equal">
      <formula>"Indeferido"</formula>
    </cfRule>
  </conditionalFormatting>
  <conditionalFormatting sqref="M110">
    <cfRule type="containsText" dxfId="16218" priority="15098" operator="containsText" text="Cancelado">
      <formula>NOT(ISERROR(SEARCH("Cancelado",M110)))</formula>
    </cfRule>
  </conditionalFormatting>
  <conditionalFormatting sqref="O110">
    <cfRule type="cellIs" dxfId="16217" priority="15095" operator="equal">
      <formula>"Tramitando"</formula>
    </cfRule>
    <cfRule type="cellIs" dxfId="16216" priority="15096" operator="equal">
      <formula>"Deferido"</formula>
    </cfRule>
    <cfRule type="cellIs" dxfId="16215" priority="15097" operator="equal">
      <formula>"Indeferido"</formula>
    </cfRule>
  </conditionalFormatting>
  <conditionalFormatting sqref="O110">
    <cfRule type="containsText" dxfId="16214" priority="15094" operator="containsText" text="Cancelado">
      <formula>NOT(ISERROR(SEARCH("Cancelado",O110)))</formula>
    </cfRule>
  </conditionalFormatting>
  <conditionalFormatting sqref="Q110">
    <cfRule type="cellIs" dxfId="16213" priority="15091" operator="equal">
      <formula>"Tramitando"</formula>
    </cfRule>
    <cfRule type="cellIs" dxfId="16212" priority="15092" operator="equal">
      <formula>"Deferido"</formula>
    </cfRule>
    <cfRule type="cellIs" dxfId="16211" priority="15093" operator="equal">
      <formula>"Indeferido"</formula>
    </cfRule>
  </conditionalFormatting>
  <conditionalFormatting sqref="Q110">
    <cfRule type="containsText" dxfId="16210" priority="15090" operator="containsText" text="Cancelado">
      <formula>NOT(ISERROR(SEARCH("Cancelado",Q110)))</formula>
    </cfRule>
  </conditionalFormatting>
  <conditionalFormatting sqref="S110">
    <cfRule type="cellIs" dxfId="16209" priority="15087" operator="equal">
      <formula>"Tramitando"</formula>
    </cfRule>
    <cfRule type="cellIs" dxfId="16208" priority="15088" operator="equal">
      <formula>"Deferido"</formula>
    </cfRule>
    <cfRule type="cellIs" dxfId="16207" priority="15089" operator="equal">
      <formula>"Indeferido"</formula>
    </cfRule>
  </conditionalFormatting>
  <conditionalFormatting sqref="S110">
    <cfRule type="containsText" dxfId="16206" priority="15086" operator="containsText" text="Cancelado">
      <formula>NOT(ISERROR(SEARCH("Cancelado",S110)))</formula>
    </cfRule>
  </conditionalFormatting>
  <conditionalFormatting sqref="J111">
    <cfRule type="cellIs" dxfId="16205" priority="15082" operator="equal">
      <formula>"Tramitando"</formula>
    </cfRule>
    <cfRule type="cellIs" dxfId="16204" priority="15083" operator="equal">
      <formula>"Deferido"</formula>
    </cfRule>
    <cfRule type="cellIs" dxfId="16203" priority="15084" operator="equal">
      <formula>"Indeferido"</formula>
    </cfRule>
  </conditionalFormatting>
  <conditionalFormatting sqref="J111">
    <cfRule type="containsText" dxfId="16202" priority="15081" operator="containsText" text="Cancelado">
      <formula>NOT(ISERROR(SEARCH("Cancelado",J111)))</formula>
    </cfRule>
  </conditionalFormatting>
  <conditionalFormatting sqref="M111">
    <cfRule type="cellIs" dxfId="16201" priority="15078" operator="equal">
      <formula>"Tramitando"</formula>
    </cfRule>
    <cfRule type="cellIs" dxfId="16200" priority="15079" operator="equal">
      <formula>"Deferido"</formula>
    </cfRule>
    <cfRule type="cellIs" dxfId="16199" priority="15080" operator="equal">
      <formula>"Indeferido"</formula>
    </cfRule>
  </conditionalFormatting>
  <conditionalFormatting sqref="M111">
    <cfRule type="containsText" dxfId="16198" priority="15077" operator="containsText" text="Cancelado">
      <formula>NOT(ISERROR(SEARCH("Cancelado",M111)))</formula>
    </cfRule>
  </conditionalFormatting>
  <conditionalFormatting sqref="O111">
    <cfRule type="cellIs" dxfId="16197" priority="15074" operator="equal">
      <formula>"Tramitando"</formula>
    </cfRule>
    <cfRule type="cellIs" dxfId="16196" priority="15075" operator="equal">
      <formula>"Deferido"</formula>
    </cfRule>
    <cfRule type="cellIs" dxfId="16195" priority="15076" operator="equal">
      <formula>"Indeferido"</formula>
    </cfRule>
  </conditionalFormatting>
  <conditionalFormatting sqref="O111">
    <cfRule type="containsText" dxfId="16194" priority="15073" operator="containsText" text="Cancelado">
      <formula>NOT(ISERROR(SEARCH("Cancelado",O111)))</formula>
    </cfRule>
  </conditionalFormatting>
  <conditionalFormatting sqref="Q111">
    <cfRule type="cellIs" dxfId="16193" priority="15070" operator="equal">
      <formula>"Tramitando"</formula>
    </cfRule>
    <cfRule type="cellIs" dxfId="16192" priority="15071" operator="equal">
      <formula>"Deferido"</formula>
    </cfRule>
    <cfRule type="cellIs" dxfId="16191" priority="15072" operator="equal">
      <formula>"Indeferido"</formula>
    </cfRule>
  </conditionalFormatting>
  <conditionalFormatting sqref="Q111">
    <cfRule type="containsText" dxfId="16190" priority="15069" operator="containsText" text="Cancelado">
      <formula>NOT(ISERROR(SEARCH("Cancelado",Q111)))</formula>
    </cfRule>
  </conditionalFormatting>
  <conditionalFormatting sqref="S111">
    <cfRule type="cellIs" dxfId="16189" priority="15066" operator="equal">
      <formula>"Tramitando"</formula>
    </cfRule>
    <cfRule type="cellIs" dxfId="16188" priority="15067" operator="equal">
      <formula>"Deferido"</formula>
    </cfRule>
    <cfRule type="cellIs" dxfId="16187" priority="15068" operator="equal">
      <formula>"Indeferido"</formula>
    </cfRule>
  </conditionalFormatting>
  <conditionalFormatting sqref="S111">
    <cfRule type="containsText" dxfId="16186" priority="15065" operator="containsText" text="Cancelado">
      <formula>NOT(ISERROR(SEARCH("Cancelado",S111)))</formula>
    </cfRule>
  </conditionalFormatting>
  <conditionalFormatting sqref="J112">
    <cfRule type="cellIs" dxfId="16185" priority="15061" operator="equal">
      <formula>"Tramitando"</formula>
    </cfRule>
    <cfRule type="cellIs" dxfId="16184" priority="15062" operator="equal">
      <formula>"Deferido"</formula>
    </cfRule>
    <cfRule type="cellIs" dxfId="16183" priority="15063" operator="equal">
      <formula>"Indeferido"</formula>
    </cfRule>
  </conditionalFormatting>
  <conditionalFormatting sqref="J112">
    <cfRule type="containsText" dxfId="16182" priority="15060" operator="containsText" text="Cancelado">
      <formula>NOT(ISERROR(SEARCH("Cancelado",J112)))</formula>
    </cfRule>
  </conditionalFormatting>
  <conditionalFormatting sqref="M112">
    <cfRule type="cellIs" dxfId="16181" priority="15057" operator="equal">
      <formula>"Tramitando"</formula>
    </cfRule>
    <cfRule type="cellIs" dxfId="16180" priority="15058" operator="equal">
      <formula>"Deferido"</formula>
    </cfRule>
    <cfRule type="cellIs" dxfId="16179" priority="15059" operator="equal">
      <formula>"Indeferido"</formula>
    </cfRule>
  </conditionalFormatting>
  <conditionalFormatting sqref="M112">
    <cfRule type="containsText" dxfId="16178" priority="15056" operator="containsText" text="Cancelado">
      <formula>NOT(ISERROR(SEARCH("Cancelado",M112)))</formula>
    </cfRule>
  </conditionalFormatting>
  <conditionalFormatting sqref="O112">
    <cfRule type="cellIs" dxfId="16177" priority="15053" operator="equal">
      <formula>"Tramitando"</formula>
    </cfRule>
    <cfRule type="cellIs" dxfId="16176" priority="15054" operator="equal">
      <formula>"Deferido"</formula>
    </cfRule>
    <cfRule type="cellIs" dxfId="16175" priority="15055" operator="equal">
      <formula>"Indeferido"</formula>
    </cfRule>
  </conditionalFormatting>
  <conditionalFormatting sqref="O112">
    <cfRule type="containsText" dxfId="16174" priority="15052" operator="containsText" text="Cancelado">
      <formula>NOT(ISERROR(SEARCH("Cancelado",O112)))</formula>
    </cfRule>
  </conditionalFormatting>
  <conditionalFormatting sqref="Q112">
    <cfRule type="cellIs" dxfId="16173" priority="15049" operator="equal">
      <formula>"Tramitando"</formula>
    </cfRule>
    <cfRule type="cellIs" dxfId="16172" priority="15050" operator="equal">
      <formula>"Deferido"</formula>
    </cfRule>
    <cfRule type="cellIs" dxfId="16171" priority="15051" operator="equal">
      <formula>"Indeferido"</formula>
    </cfRule>
  </conditionalFormatting>
  <conditionalFormatting sqref="Q112">
    <cfRule type="containsText" dxfId="16170" priority="15048" operator="containsText" text="Cancelado">
      <formula>NOT(ISERROR(SEARCH("Cancelado",Q112)))</formula>
    </cfRule>
  </conditionalFormatting>
  <conditionalFormatting sqref="S112">
    <cfRule type="cellIs" dxfId="16169" priority="15045" operator="equal">
      <formula>"Tramitando"</formula>
    </cfRule>
    <cfRule type="cellIs" dxfId="16168" priority="15046" operator="equal">
      <formula>"Deferido"</formula>
    </cfRule>
    <cfRule type="cellIs" dxfId="16167" priority="15047" operator="equal">
      <formula>"Indeferido"</formula>
    </cfRule>
  </conditionalFormatting>
  <conditionalFormatting sqref="S112">
    <cfRule type="containsText" dxfId="16166" priority="15044" operator="containsText" text="Cancelado">
      <formula>NOT(ISERROR(SEARCH("Cancelado",S112)))</formula>
    </cfRule>
  </conditionalFormatting>
  <conditionalFormatting sqref="J113">
    <cfRule type="cellIs" dxfId="16165" priority="15040" operator="equal">
      <formula>"Tramitando"</formula>
    </cfRule>
    <cfRule type="cellIs" dxfId="16164" priority="15041" operator="equal">
      <formula>"Deferido"</formula>
    </cfRule>
    <cfRule type="cellIs" dxfId="16163" priority="15042" operator="equal">
      <formula>"Indeferido"</formula>
    </cfRule>
  </conditionalFormatting>
  <conditionalFormatting sqref="J113">
    <cfRule type="containsText" dxfId="16162" priority="15039" operator="containsText" text="Cancelado">
      <formula>NOT(ISERROR(SEARCH("Cancelado",J113)))</formula>
    </cfRule>
  </conditionalFormatting>
  <conditionalFormatting sqref="M113">
    <cfRule type="cellIs" dxfId="16161" priority="15036" operator="equal">
      <formula>"Tramitando"</formula>
    </cfRule>
    <cfRule type="cellIs" dxfId="16160" priority="15037" operator="equal">
      <formula>"Deferido"</formula>
    </cfRule>
    <cfRule type="cellIs" dxfId="16159" priority="15038" operator="equal">
      <formula>"Indeferido"</formula>
    </cfRule>
  </conditionalFormatting>
  <conditionalFormatting sqref="M113">
    <cfRule type="containsText" dxfId="16158" priority="15035" operator="containsText" text="Cancelado">
      <formula>NOT(ISERROR(SEARCH("Cancelado",M113)))</formula>
    </cfRule>
  </conditionalFormatting>
  <conditionalFormatting sqref="O113">
    <cfRule type="cellIs" dxfId="16157" priority="15032" operator="equal">
      <formula>"Tramitando"</formula>
    </cfRule>
    <cfRule type="cellIs" dxfId="16156" priority="15033" operator="equal">
      <formula>"Deferido"</formula>
    </cfRule>
    <cfRule type="cellIs" dxfId="16155" priority="15034" operator="equal">
      <formula>"Indeferido"</formula>
    </cfRule>
  </conditionalFormatting>
  <conditionalFormatting sqref="O113">
    <cfRule type="containsText" dxfId="16154" priority="15031" operator="containsText" text="Cancelado">
      <formula>NOT(ISERROR(SEARCH("Cancelado",O113)))</formula>
    </cfRule>
  </conditionalFormatting>
  <conditionalFormatting sqref="Q113">
    <cfRule type="cellIs" dxfId="16153" priority="15028" operator="equal">
      <formula>"Tramitando"</formula>
    </cfRule>
    <cfRule type="cellIs" dxfId="16152" priority="15029" operator="equal">
      <formula>"Deferido"</formula>
    </cfRule>
    <cfRule type="cellIs" dxfId="16151" priority="15030" operator="equal">
      <formula>"Indeferido"</formula>
    </cfRule>
  </conditionalFormatting>
  <conditionalFormatting sqref="Q113">
    <cfRule type="containsText" dxfId="16150" priority="15027" operator="containsText" text="Cancelado">
      <formula>NOT(ISERROR(SEARCH("Cancelado",Q113)))</formula>
    </cfRule>
  </conditionalFormatting>
  <conditionalFormatting sqref="S113">
    <cfRule type="cellIs" dxfId="16149" priority="15024" operator="equal">
      <formula>"Tramitando"</formula>
    </cfRule>
    <cfRule type="cellIs" dxfId="16148" priority="15025" operator="equal">
      <formula>"Deferido"</formula>
    </cfRule>
    <cfRule type="cellIs" dxfId="16147" priority="15026" operator="equal">
      <formula>"Indeferido"</formula>
    </cfRule>
  </conditionalFormatting>
  <conditionalFormatting sqref="S113">
    <cfRule type="containsText" dxfId="16146" priority="15023" operator="containsText" text="Cancelado">
      <formula>NOT(ISERROR(SEARCH("Cancelado",S113)))</formula>
    </cfRule>
  </conditionalFormatting>
  <conditionalFormatting sqref="J114">
    <cfRule type="cellIs" dxfId="16145" priority="15019" operator="equal">
      <formula>"Tramitando"</formula>
    </cfRule>
    <cfRule type="cellIs" dxfId="16144" priority="15020" operator="equal">
      <formula>"Deferido"</formula>
    </cfRule>
    <cfRule type="cellIs" dxfId="16143" priority="15021" operator="equal">
      <formula>"Indeferido"</formula>
    </cfRule>
  </conditionalFormatting>
  <conditionalFormatting sqref="J114">
    <cfRule type="containsText" dxfId="16142" priority="15018" operator="containsText" text="Cancelado">
      <formula>NOT(ISERROR(SEARCH("Cancelado",J114)))</formula>
    </cfRule>
  </conditionalFormatting>
  <conditionalFormatting sqref="M114">
    <cfRule type="cellIs" dxfId="16141" priority="15015" operator="equal">
      <formula>"Tramitando"</formula>
    </cfRule>
    <cfRule type="cellIs" dxfId="16140" priority="15016" operator="equal">
      <formula>"Deferido"</formula>
    </cfRule>
    <cfRule type="cellIs" dxfId="16139" priority="15017" operator="equal">
      <formula>"Indeferido"</formula>
    </cfRule>
  </conditionalFormatting>
  <conditionalFormatting sqref="M114">
    <cfRule type="containsText" dxfId="16138" priority="15014" operator="containsText" text="Cancelado">
      <formula>NOT(ISERROR(SEARCH("Cancelado",M114)))</formula>
    </cfRule>
  </conditionalFormatting>
  <conditionalFormatting sqref="O114">
    <cfRule type="cellIs" dxfId="16137" priority="15011" operator="equal">
      <formula>"Tramitando"</formula>
    </cfRule>
    <cfRule type="cellIs" dxfId="16136" priority="15012" operator="equal">
      <formula>"Deferido"</formula>
    </cfRule>
    <cfRule type="cellIs" dxfId="16135" priority="15013" operator="equal">
      <formula>"Indeferido"</formula>
    </cfRule>
  </conditionalFormatting>
  <conditionalFormatting sqref="O114">
    <cfRule type="containsText" dxfId="16134" priority="15010" operator="containsText" text="Cancelado">
      <formula>NOT(ISERROR(SEARCH("Cancelado",O114)))</formula>
    </cfRule>
  </conditionalFormatting>
  <conditionalFormatting sqref="Q114">
    <cfRule type="cellIs" dxfId="16133" priority="15007" operator="equal">
      <formula>"Tramitando"</formula>
    </cfRule>
    <cfRule type="cellIs" dxfId="16132" priority="15008" operator="equal">
      <formula>"Deferido"</formula>
    </cfRule>
    <cfRule type="cellIs" dxfId="16131" priority="15009" operator="equal">
      <formula>"Indeferido"</formula>
    </cfRule>
  </conditionalFormatting>
  <conditionalFormatting sqref="Q114">
    <cfRule type="containsText" dxfId="16130" priority="15006" operator="containsText" text="Cancelado">
      <formula>NOT(ISERROR(SEARCH("Cancelado",Q114)))</formula>
    </cfRule>
  </conditionalFormatting>
  <conditionalFormatting sqref="S114">
    <cfRule type="cellIs" dxfId="16129" priority="15003" operator="equal">
      <formula>"Tramitando"</formula>
    </cfRule>
    <cfRule type="cellIs" dxfId="16128" priority="15004" operator="equal">
      <formula>"Deferido"</formula>
    </cfRule>
    <cfRule type="cellIs" dxfId="16127" priority="15005" operator="equal">
      <formula>"Indeferido"</formula>
    </cfRule>
  </conditionalFormatting>
  <conditionalFormatting sqref="S114">
    <cfRule type="containsText" dxfId="16126" priority="15002" operator="containsText" text="Cancelado">
      <formula>NOT(ISERROR(SEARCH("Cancelado",S114)))</formula>
    </cfRule>
  </conditionalFormatting>
  <conditionalFormatting sqref="J115">
    <cfRule type="cellIs" dxfId="16125" priority="14998" operator="equal">
      <formula>"Tramitando"</formula>
    </cfRule>
    <cfRule type="cellIs" dxfId="16124" priority="14999" operator="equal">
      <formula>"Deferido"</formula>
    </cfRule>
    <cfRule type="cellIs" dxfId="16123" priority="15000" operator="equal">
      <formula>"Indeferido"</formula>
    </cfRule>
  </conditionalFormatting>
  <conditionalFormatting sqref="J115">
    <cfRule type="containsText" dxfId="16122" priority="14997" operator="containsText" text="Cancelado">
      <formula>NOT(ISERROR(SEARCH("Cancelado",J115)))</formula>
    </cfRule>
  </conditionalFormatting>
  <conditionalFormatting sqref="M115">
    <cfRule type="cellIs" dxfId="16121" priority="14994" operator="equal">
      <formula>"Tramitando"</formula>
    </cfRule>
    <cfRule type="cellIs" dxfId="16120" priority="14995" operator="equal">
      <formula>"Deferido"</formula>
    </cfRule>
    <cfRule type="cellIs" dxfId="16119" priority="14996" operator="equal">
      <formula>"Indeferido"</formula>
    </cfRule>
  </conditionalFormatting>
  <conditionalFormatting sqref="M115">
    <cfRule type="containsText" dxfId="16118" priority="14993" operator="containsText" text="Cancelado">
      <formula>NOT(ISERROR(SEARCH("Cancelado",M115)))</formula>
    </cfRule>
  </conditionalFormatting>
  <conditionalFormatting sqref="O115">
    <cfRule type="cellIs" dxfId="16117" priority="14990" operator="equal">
      <formula>"Tramitando"</formula>
    </cfRule>
    <cfRule type="cellIs" dxfId="16116" priority="14991" operator="equal">
      <formula>"Deferido"</formula>
    </cfRule>
    <cfRule type="cellIs" dxfId="16115" priority="14992" operator="equal">
      <formula>"Indeferido"</formula>
    </cfRule>
  </conditionalFormatting>
  <conditionalFormatting sqref="O115">
    <cfRule type="containsText" dxfId="16114" priority="14989" operator="containsText" text="Cancelado">
      <formula>NOT(ISERROR(SEARCH("Cancelado",O115)))</formula>
    </cfRule>
  </conditionalFormatting>
  <conditionalFormatting sqref="Q115">
    <cfRule type="cellIs" dxfId="16113" priority="14986" operator="equal">
      <formula>"Tramitando"</formula>
    </cfRule>
    <cfRule type="cellIs" dxfId="16112" priority="14987" operator="equal">
      <formula>"Deferido"</formula>
    </cfRule>
    <cfRule type="cellIs" dxfId="16111" priority="14988" operator="equal">
      <formula>"Indeferido"</formula>
    </cfRule>
  </conditionalFormatting>
  <conditionalFormatting sqref="Q115">
    <cfRule type="containsText" dxfId="16110" priority="14985" operator="containsText" text="Cancelado">
      <formula>NOT(ISERROR(SEARCH("Cancelado",Q115)))</formula>
    </cfRule>
  </conditionalFormatting>
  <conditionalFormatting sqref="S115">
    <cfRule type="cellIs" dxfId="16109" priority="14982" operator="equal">
      <formula>"Tramitando"</formula>
    </cfRule>
    <cfRule type="cellIs" dxfId="16108" priority="14983" operator="equal">
      <formula>"Deferido"</formula>
    </cfRule>
    <cfRule type="cellIs" dxfId="16107" priority="14984" operator="equal">
      <formula>"Indeferido"</formula>
    </cfRule>
  </conditionalFormatting>
  <conditionalFormatting sqref="S115">
    <cfRule type="containsText" dxfId="16106" priority="14981" operator="containsText" text="Cancelado">
      <formula>NOT(ISERROR(SEARCH("Cancelado",S115)))</formula>
    </cfRule>
  </conditionalFormatting>
  <conditionalFormatting sqref="J116">
    <cfRule type="cellIs" dxfId="16105" priority="14977" operator="equal">
      <formula>"Tramitando"</formula>
    </cfRule>
    <cfRule type="cellIs" dxfId="16104" priority="14978" operator="equal">
      <formula>"Deferido"</formula>
    </cfRule>
    <cfRule type="cellIs" dxfId="16103" priority="14979" operator="equal">
      <formula>"Indeferido"</formula>
    </cfRule>
  </conditionalFormatting>
  <conditionalFormatting sqref="J116">
    <cfRule type="containsText" dxfId="16102" priority="14976" operator="containsText" text="Cancelado">
      <formula>NOT(ISERROR(SEARCH("Cancelado",J116)))</formula>
    </cfRule>
  </conditionalFormatting>
  <conditionalFormatting sqref="M116">
    <cfRule type="cellIs" dxfId="16101" priority="14973" operator="equal">
      <formula>"Tramitando"</formula>
    </cfRule>
    <cfRule type="cellIs" dxfId="16100" priority="14974" operator="equal">
      <formula>"Deferido"</formula>
    </cfRule>
    <cfRule type="cellIs" dxfId="16099" priority="14975" operator="equal">
      <formula>"Indeferido"</formula>
    </cfRule>
  </conditionalFormatting>
  <conditionalFormatting sqref="M116">
    <cfRule type="containsText" dxfId="16098" priority="14972" operator="containsText" text="Cancelado">
      <formula>NOT(ISERROR(SEARCH("Cancelado",M116)))</formula>
    </cfRule>
  </conditionalFormatting>
  <conditionalFormatting sqref="O116">
    <cfRule type="cellIs" dxfId="16097" priority="14969" operator="equal">
      <formula>"Tramitando"</formula>
    </cfRule>
    <cfRule type="cellIs" dxfId="16096" priority="14970" operator="equal">
      <formula>"Deferido"</formula>
    </cfRule>
    <cfRule type="cellIs" dxfId="16095" priority="14971" operator="equal">
      <formula>"Indeferido"</formula>
    </cfRule>
  </conditionalFormatting>
  <conditionalFormatting sqref="O116">
    <cfRule type="containsText" dxfId="16094" priority="14968" operator="containsText" text="Cancelado">
      <formula>NOT(ISERROR(SEARCH("Cancelado",O116)))</formula>
    </cfRule>
  </conditionalFormatting>
  <conditionalFormatting sqref="Q116">
    <cfRule type="cellIs" dxfId="16093" priority="14965" operator="equal">
      <formula>"Tramitando"</formula>
    </cfRule>
    <cfRule type="cellIs" dxfId="16092" priority="14966" operator="equal">
      <formula>"Deferido"</formula>
    </cfRule>
    <cfRule type="cellIs" dxfId="16091" priority="14967" operator="equal">
      <formula>"Indeferido"</formula>
    </cfRule>
  </conditionalFormatting>
  <conditionalFormatting sqref="Q116">
    <cfRule type="containsText" dxfId="16090" priority="14964" operator="containsText" text="Cancelado">
      <formula>NOT(ISERROR(SEARCH("Cancelado",Q116)))</formula>
    </cfRule>
  </conditionalFormatting>
  <conditionalFormatting sqref="S116">
    <cfRule type="cellIs" dxfId="16089" priority="14961" operator="equal">
      <formula>"Tramitando"</formula>
    </cfRule>
    <cfRule type="cellIs" dxfId="16088" priority="14962" operator="equal">
      <formula>"Deferido"</formula>
    </cfRule>
    <cfRule type="cellIs" dxfId="16087" priority="14963" operator="equal">
      <formula>"Indeferido"</formula>
    </cfRule>
  </conditionalFormatting>
  <conditionalFormatting sqref="S116">
    <cfRule type="containsText" dxfId="16086" priority="14960" operator="containsText" text="Cancelado">
      <formula>NOT(ISERROR(SEARCH("Cancelado",S116)))</formula>
    </cfRule>
  </conditionalFormatting>
  <conditionalFormatting sqref="J117">
    <cfRule type="cellIs" dxfId="16085" priority="14956" operator="equal">
      <formula>"Tramitando"</formula>
    </cfRule>
    <cfRule type="cellIs" dxfId="16084" priority="14957" operator="equal">
      <formula>"Deferido"</formula>
    </cfRule>
    <cfRule type="cellIs" dxfId="16083" priority="14958" operator="equal">
      <formula>"Indeferido"</formula>
    </cfRule>
  </conditionalFormatting>
  <conditionalFormatting sqref="J117">
    <cfRule type="containsText" dxfId="16082" priority="14955" operator="containsText" text="Cancelado">
      <formula>NOT(ISERROR(SEARCH("Cancelado",J117)))</formula>
    </cfRule>
  </conditionalFormatting>
  <conditionalFormatting sqref="M117">
    <cfRule type="cellIs" dxfId="16081" priority="14952" operator="equal">
      <formula>"Tramitando"</formula>
    </cfRule>
    <cfRule type="cellIs" dxfId="16080" priority="14953" operator="equal">
      <formula>"Deferido"</formula>
    </cfRule>
    <cfRule type="cellIs" dxfId="16079" priority="14954" operator="equal">
      <formula>"Indeferido"</formula>
    </cfRule>
  </conditionalFormatting>
  <conditionalFormatting sqref="M117">
    <cfRule type="containsText" dxfId="16078" priority="14951" operator="containsText" text="Cancelado">
      <formula>NOT(ISERROR(SEARCH("Cancelado",M117)))</formula>
    </cfRule>
  </conditionalFormatting>
  <conditionalFormatting sqref="O117">
    <cfRule type="cellIs" dxfId="16077" priority="14948" operator="equal">
      <formula>"Tramitando"</formula>
    </cfRule>
    <cfRule type="cellIs" dxfId="16076" priority="14949" operator="equal">
      <formula>"Deferido"</formula>
    </cfRule>
    <cfRule type="cellIs" dxfId="16075" priority="14950" operator="equal">
      <formula>"Indeferido"</formula>
    </cfRule>
  </conditionalFormatting>
  <conditionalFormatting sqref="O117">
    <cfRule type="containsText" dxfId="16074" priority="14947" operator="containsText" text="Cancelado">
      <formula>NOT(ISERROR(SEARCH("Cancelado",O117)))</formula>
    </cfRule>
  </conditionalFormatting>
  <conditionalFormatting sqref="Q117">
    <cfRule type="cellIs" dxfId="16073" priority="14944" operator="equal">
      <formula>"Tramitando"</formula>
    </cfRule>
    <cfRule type="cellIs" dxfId="16072" priority="14945" operator="equal">
      <formula>"Deferido"</formula>
    </cfRule>
    <cfRule type="cellIs" dxfId="16071" priority="14946" operator="equal">
      <formula>"Indeferido"</formula>
    </cfRule>
  </conditionalFormatting>
  <conditionalFormatting sqref="Q117">
    <cfRule type="containsText" dxfId="16070" priority="14943" operator="containsText" text="Cancelado">
      <formula>NOT(ISERROR(SEARCH("Cancelado",Q117)))</formula>
    </cfRule>
  </conditionalFormatting>
  <conditionalFormatting sqref="S117">
    <cfRule type="cellIs" dxfId="16069" priority="14940" operator="equal">
      <formula>"Tramitando"</formula>
    </cfRule>
    <cfRule type="cellIs" dxfId="16068" priority="14941" operator="equal">
      <formula>"Deferido"</formula>
    </cfRule>
    <cfRule type="cellIs" dxfId="16067" priority="14942" operator="equal">
      <formula>"Indeferido"</formula>
    </cfRule>
  </conditionalFormatting>
  <conditionalFormatting sqref="S117">
    <cfRule type="containsText" dxfId="16066" priority="14939" operator="containsText" text="Cancelado">
      <formula>NOT(ISERROR(SEARCH("Cancelado",S117)))</formula>
    </cfRule>
  </conditionalFormatting>
  <conditionalFormatting sqref="J118">
    <cfRule type="cellIs" dxfId="16065" priority="14935" operator="equal">
      <formula>"Tramitando"</formula>
    </cfRule>
    <cfRule type="cellIs" dxfId="16064" priority="14936" operator="equal">
      <formula>"Deferido"</formula>
    </cfRule>
    <cfRule type="cellIs" dxfId="16063" priority="14937" operator="equal">
      <formula>"Indeferido"</formula>
    </cfRule>
  </conditionalFormatting>
  <conditionalFormatting sqref="J118">
    <cfRule type="containsText" dxfId="16062" priority="14934" operator="containsText" text="Cancelado">
      <formula>NOT(ISERROR(SEARCH("Cancelado",J118)))</formula>
    </cfRule>
  </conditionalFormatting>
  <conditionalFormatting sqref="M118">
    <cfRule type="cellIs" dxfId="16061" priority="14931" operator="equal">
      <formula>"Tramitando"</formula>
    </cfRule>
    <cfRule type="cellIs" dxfId="16060" priority="14932" operator="equal">
      <formula>"Deferido"</formula>
    </cfRule>
    <cfRule type="cellIs" dxfId="16059" priority="14933" operator="equal">
      <formula>"Indeferido"</formula>
    </cfRule>
  </conditionalFormatting>
  <conditionalFormatting sqref="M118">
    <cfRule type="containsText" dxfId="16058" priority="14930" operator="containsText" text="Cancelado">
      <formula>NOT(ISERROR(SEARCH("Cancelado",M118)))</formula>
    </cfRule>
  </conditionalFormatting>
  <conditionalFormatting sqref="O118">
    <cfRule type="cellIs" dxfId="16057" priority="14927" operator="equal">
      <formula>"Tramitando"</formula>
    </cfRule>
    <cfRule type="cellIs" dxfId="16056" priority="14928" operator="equal">
      <formula>"Deferido"</formula>
    </cfRule>
    <cfRule type="cellIs" dxfId="16055" priority="14929" operator="equal">
      <formula>"Indeferido"</formula>
    </cfRule>
  </conditionalFormatting>
  <conditionalFormatting sqref="O118">
    <cfRule type="containsText" dxfId="16054" priority="14926" operator="containsText" text="Cancelado">
      <formula>NOT(ISERROR(SEARCH("Cancelado",O118)))</formula>
    </cfRule>
  </conditionalFormatting>
  <conditionalFormatting sqref="Q118">
    <cfRule type="cellIs" dxfId="16053" priority="14923" operator="equal">
      <formula>"Tramitando"</formula>
    </cfRule>
    <cfRule type="cellIs" dxfId="16052" priority="14924" operator="equal">
      <formula>"Deferido"</formula>
    </cfRule>
    <cfRule type="cellIs" dxfId="16051" priority="14925" operator="equal">
      <formula>"Indeferido"</formula>
    </cfRule>
  </conditionalFormatting>
  <conditionalFormatting sqref="Q118">
    <cfRule type="containsText" dxfId="16050" priority="14922" operator="containsText" text="Cancelado">
      <formula>NOT(ISERROR(SEARCH("Cancelado",Q118)))</formula>
    </cfRule>
  </conditionalFormatting>
  <conditionalFormatting sqref="S118">
    <cfRule type="cellIs" dxfId="16049" priority="14919" operator="equal">
      <formula>"Tramitando"</formula>
    </cfRule>
    <cfRule type="cellIs" dxfId="16048" priority="14920" operator="equal">
      <formula>"Deferido"</formula>
    </cfRule>
    <cfRule type="cellIs" dxfId="16047" priority="14921" operator="equal">
      <formula>"Indeferido"</formula>
    </cfRule>
  </conditionalFormatting>
  <conditionalFormatting sqref="S118">
    <cfRule type="containsText" dxfId="16046" priority="14918" operator="containsText" text="Cancelado">
      <formula>NOT(ISERROR(SEARCH("Cancelado",S118)))</formula>
    </cfRule>
  </conditionalFormatting>
  <conditionalFormatting sqref="J119">
    <cfRule type="cellIs" dxfId="16045" priority="14914" operator="equal">
      <formula>"Tramitando"</formula>
    </cfRule>
    <cfRule type="cellIs" dxfId="16044" priority="14915" operator="equal">
      <formula>"Deferido"</formula>
    </cfRule>
    <cfRule type="cellIs" dxfId="16043" priority="14916" operator="equal">
      <formula>"Indeferido"</formula>
    </cfRule>
  </conditionalFormatting>
  <conditionalFormatting sqref="J119">
    <cfRule type="containsText" dxfId="16042" priority="14913" operator="containsText" text="Cancelado">
      <formula>NOT(ISERROR(SEARCH("Cancelado",J119)))</formula>
    </cfRule>
  </conditionalFormatting>
  <conditionalFormatting sqref="M119">
    <cfRule type="cellIs" dxfId="16041" priority="14910" operator="equal">
      <formula>"Tramitando"</formula>
    </cfRule>
    <cfRule type="cellIs" dxfId="16040" priority="14911" operator="equal">
      <formula>"Deferido"</formula>
    </cfRule>
    <cfRule type="cellIs" dxfId="16039" priority="14912" operator="equal">
      <formula>"Indeferido"</formula>
    </cfRule>
  </conditionalFormatting>
  <conditionalFormatting sqref="M119">
    <cfRule type="containsText" dxfId="16038" priority="14909" operator="containsText" text="Cancelado">
      <formula>NOT(ISERROR(SEARCH("Cancelado",M119)))</formula>
    </cfRule>
  </conditionalFormatting>
  <conditionalFormatting sqref="O119">
    <cfRule type="cellIs" dxfId="16037" priority="14906" operator="equal">
      <formula>"Tramitando"</formula>
    </cfRule>
    <cfRule type="cellIs" dxfId="16036" priority="14907" operator="equal">
      <formula>"Deferido"</formula>
    </cfRule>
    <cfRule type="cellIs" dxfId="16035" priority="14908" operator="equal">
      <formula>"Indeferido"</formula>
    </cfRule>
  </conditionalFormatting>
  <conditionalFormatting sqref="O119">
    <cfRule type="containsText" dxfId="16034" priority="14905" operator="containsText" text="Cancelado">
      <formula>NOT(ISERROR(SEARCH("Cancelado",O119)))</formula>
    </cfRule>
  </conditionalFormatting>
  <conditionalFormatting sqref="Q119">
    <cfRule type="cellIs" dxfId="16033" priority="14902" operator="equal">
      <formula>"Tramitando"</formula>
    </cfRule>
    <cfRule type="cellIs" dxfId="16032" priority="14903" operator="equal">
      <formula>"Deferido"</formula>
    </cfRule>
    <cfRule type="cellIs" dxfId="16031" priority="14904" operator="equal">
      <formula>"Indeferido"</formula>
    </cfRule>
  </conditionalFormatting>
  <conditionalFormatting sqref="Q119">
    <cfRule type="containsText" dxfId="16030" priority="14901" operator="containsText" text="Cancelado">
      <formula>NOT(ISERROR(SEARCH("Cancelado",Q119)))</formula>
    </cfRule>
  </conditionalFormatting>
  <conditionalFormatting sqref="S119">
    <cfRule type="cellIs" dxfId="16029" priority="14898" operator="equal">
      <formula>"Tramitando"</formula>
    </cfRule>
    <cfRule type="cellIs" dxfId="16028" priority="14899" operator="equal">
      <formula>"Deferido"</formula>
    </cfRule>
    <cfRule type="cellIs" dxfId="16027" priority="14900" operator="equal">
      <formula>"Indeferido"</formula>
    </cfRule>
  </conditionalFormatting>
  <conditionalFormatting sqref="S119">
    <cfRule type="containsText" dxfId="16026" priority="14897" operator="containsText" text="Cancelado">
      <formula>NOT(ISERROR(SEARCH("Cancelado",S119)))</formula>
    </cfRule>
  </conditionalFormatting>
  <conditionalFormatting sqref="J120">
    <cfRule type="cellIs" dxfId="16025" priority="14893" operator="equal">
      <formula>"Tramitando"</formula>
    </cfRule>
    <cfRule type="cellIs" dxfId="16024" priority="14894" operator="equal">
      <formula>"Deferido"</formula>
    </cfRule>
    <cfRule type="cellIs" dxfId="16023" priority="14895" operator="equal">
      <formula>"Indeferido"</formula>
    </cfRule>
  </conditionalFormatting>
  <conditionalFormatting sqref="J120">
    <cfRule type="containsText" dxfId="16022" priority="14892" operator="containsText" text="Cancelado">
      <formula>NOT(ISERROR(SEARCH("Cancelado",J120)))</formula>
    </cfRule>
  </conditionalFormatting>
  <conditionalFormatting sqref="M120">
    <cfRule type="cellIs" dxfId="16021" priority="14889" operator="equal">
      <formula>"Tramitando"</formula>
    </cfRule>
    <cfRule type="cellIs" dxfId="16020" priority="14890" operator="equal">
      <formula>"Deferido"</formula>
    </cfRule>
    <cfRule type="cellIs" dxfId="16019" priority="14891" operator="equal">
      <formula>"Indeferido"</formula>
    </cfRule>
  </conditionalFormatting>
  <conditionalFormatting sqref="M120">
    <cfRule type="containsText" dxfId="16018" priority="14888" operator="containsText" text="Cancelado">
      <formula>NOT(ISERROR(SEARCH("Cancelado",M120)))</formula>
    </cfRule>
  </conditionalFormatting>
  <conditionalFormatting sqref="O120">
    <cfRule type="cellIs" dxfId="16017" priority="14885" operator="equal">
      <formula>"Tramitando"</formula>
    </cfRule>
    <cfRule type="cellIs" dxfId="16016" priority="14886" operator="equal">
      <formula>"Deferido"</formula>
    </cfRule>
    <cfRule type="cellIs" dxfId="16015" priority="14887" operator="equal">
      <formula>"Indeferido"</formula>
    </cfRule>
  </conditionalFormatting>
  <conditionalFormatting sqref="O120">
    <cfRule type="containsText" dxfId="16014" priority="14884" operator="containsText" text="Cancelado">
      <formula>NOT(ISERROR(SEARCH("Cancelado",O120)))</formula>
    </cfRule>
  </conditionalFormatting>
  <conditionalFormatting sqref="Q120">
    <cfRule type="cellIs" dxfId="16013" priority="14881" operator="equal">
      <formula>"Tramitando"</formula>
    </cfRule>
    <cfRule type="cellIs" dxfId="16012" priority="14882" operator="equal">
      <formula>"Deferido"</formula>
    </cfRule>
    <cfRule type="cellIs" dxfId="16011" priority="14883" operator="equal">
      <formula>"Indeferido"</formula>
    </cfRule>
  </conditionalFormatting>
  <conditionalFormatting sqref="Q120">
    <cfRule type="containsText" dxfId="16010" priority="14880" operator="containsText" text="Cancelado">
      <formula>NOT(ISERROR(SEARCH("Cancelado",Q120)))</formula>
    </cfRule>
  </conditionalFormatting>
  <conditionalFormatting sqref="S120">
    <cfRule type="cellIs" dxfId="16009" priority="14877" operator="equal">
      <formula>"Tramitando"</formula>
    </cfRule>
    <cfRule type="cellIs" dxfId="16008" priority="14878" operator="equal">
      <formula>"Deferido"</formula>
    </cfRule>
    <cfRule type="cellIs" dxfId="16007" priority="14879" operator="equal">
      <formula>"Indeferido"</formula>
    </cfRule>
  </conditionalFormatting>
  <conditionalFormatting sqref="S120">
    <cfRule type="containsText" dxfId="16006" priority="14876" operator="containsText" text="Cancelado">
      <formula>NOT(ISERROR(SEARCH("Cancelado",S120)))</formula>
    </cfRule>
  </conditionalFormatting>
  <conditionalFormatting sqref="J121">
    <cfRule type="cellIs" dxfId="16005" priority="14872" operator="equal">
      <formula>"Tramitando"</formula>
    </cfRule>
    <cfRule type="cellIs" dxfId="16004" priority="14873" operator="equal">
      <formula>"Deferido"</formula>
    </cfRule>
    <cfRule type="cellIs" dxfId="16003" priority="14874" operator="equal">
      <formula>"Indeferido"</formula>
    </cfRule>
  </conditionalFormatting>
  <conditionalFormatting sqref="J121">
    <cfRule type="containsText" dxfId="16002" priority="14871" operator="containsText" text="Cancelado">
      <formula>NOT(ISERROR(SEARCH("Cancelado",J121)))</formula>
    </cfRule>
  </conditionalFormatting>
  <conditionalFormatting sqref="M121">
    <cfRule type="cellIs" dxfId="16001" priority="14868" operator="equal">
      <formula>"Tramitando"</formula>
    </cfRule>
    <cfRule type="cellIs" dxfId="16000" priority="14869" operator="equal">
      <formula>"Deferido"</formula>
    </cfRule>
    <cfRule type="cellIs" dxfId="15999" priority="14870" operator="equal">
      <formula>"Indeferido"</formula>
    </cfRule>
  </conditionalFormatting>
  <conditionalFormatting sqref="M121">
    <cfRule type="containsText" dxfId="15998" priority="14867" operator="containsText" text="Cancelado">
      <formula>NOT(ISERROR(SEARCH("Cancelado",M121)))</formula>
    </cfRule>
  </conditionalFormatting>
  <conditionalFormatting sqref="O121">
    <cfRule type="cellIs" dxfId="15997" priority="14864" operator="equal">
      <formula>"Tramitando"</formula>
    </cfRule>
    <cfRule type="cellIs" dxfId="15996" priority="14865" operator="equal">
      <formula>"Deferido"</formula>
    </cfRule>
    <cfRule type="cellIs" dxfId="15995" priority="14866" operator="equal">
      <formula>"Indeferido"</formula>
    </cfRule>
  </conditionalFormatting>
  <conditionalFormatting sqref="O121">
    <cfRule type="containsText" dxfId="15994" priority="14863" operator="containsText" text="Cancelado">
      <formula>NOT(ISERROR(SEARCH("Cancelado",O121)))</formula>
    </cfRule>
  </conditionalFormatting>
  <conditionalFormatting sqref="Q121">
    <cfRule type="cellIs" dxfId="15993" priority="14860" operator="equal">
      <formula>"Tramitando"</formula>
    </cfRule>
    <cfRule type="cellIs" dxfId="15992" priority="14861" operator="equal">
      <formula>"Deferido"</formula>
    </cfRule>
    <cfRule type="cellIs" dxfId="15991" priority="14862" operator="equal">
      <formula>"Indeferido"</formula>
    </cfRule>
  </conditionalFormatting>
  <conditionalFormatting sqref="Q121">
    <cfRule type="containsText" dxfId="15990" priority="14859" operator="containsText" text="Cancelado">
      <formula>NOT(ISERROR(SEARCH("Cancelado",Q121)))</formula>
    </cfRule>
  </conditionalFormatting>
  <conditionalFormatting sqref="S121">
    <cfRule type="cellIs" dxfId="15989" priority="14856" operator="equal">
      <formula>"Tramitando"</formula>
    </cfRule>
    <cfRule type="cellIs" dxfId="15988" priority="14857" operator="equal">
      <formula>"Deferido"</formula>
    </cfRule>
    <cfRule type="cellIs" dxfId="15987" priority="14858" operator="equal">
      <formula>"Indeferido"</formula>
    </cfRule>
  </conditionalFormatting>
  <conditionalFormatting sqref="S121">
    <cfRule type="containsText" dxfId="15986" priority="14855" operator="containsText" text="Cancelado">
      <formula>NOT(ISERROR(SEARCH("Cancelado",S121)))</formula>
    </cfRule>
  </conditionalFormatting>
  <conditionalFormatting sqref="J122">
    <cfRule type="cellIs" dxfId="15985" priority="14851" operator="equal">
      <formula>"Tramitando"</formula>
    </cfRule>
    <cfRule type="cellIs" dxfId="15984" priority="14852" operator="equal">
      <formula>"Deferido"</formula>
    </cfRule>
    <cfRule type="cellIs" dxfId="15983" priority="14853" operator="equal">
      <formula>"Indeferido"</formula>
    </cfRule>
  </conditionalFormatting>
  <conditionalFormatting sqref="J122">
    <cfRule type="containsText" dxfId="15982" priority="14850" operator="containsText" text="Cancelado">
      <formula>NOT(ISERROR(SEARCH("Cancelado",J122)))</formula>
    </cfRule>
  </conditionalFormatting>
  <conditionalFormatting sqref="M122">
    <cfRule type="cellIs" dxfId="15981" priority="14847" operator="equal">
      <formula>"Tramitando"</formula>
    </cfRule>
    <cfRule type="cellIs" dxfId="15980" priority="14848" operator="equal">
      <formula>"Deferido"</formula>
    </cfRule>
    <cfRule type="cellIs" dxfId="15979" priority="14849" operator="equal">
      <formula>"Indeferido"</formula>
    </cfRule>
  </conditionalFormatting>
  <conditionalFormatting sqref="M122">
    <cfRule type="containsText" dxfId="15978" priority="14846" operator="containsText" text="Cancelado">
      <formula>NOT(ISERROR(SEARCH("Cancelado",M122)))</formula>
    </cfRule>
  </conditionalFormatting>
  <conditionalFormatting sqref="O122">
    <cfRule type="cellIs" dxfId="15977" priority="14843" operator="equal">
      <formula>"Tramitando"</formula>
    </cfRule>
    <cfRule type="cellIs" dxfId="15976" priority="14844" operator="equal">
      <formula>"Deferido"</formula>
    </cfRule>
    <cfRule type="cellIs" dxfId="15975" priority="14845" operator="equal">
      <formula>"Indeferido"</formula>
    </cfRule>
  </conditionalFormatting>
  <conditionalFormatting sqref="O122">
    <cfRule type="containsText" dxfId="15974" priority="14842" operator="containsText" text="Cancelado">
      <formula>NOT(ISERROR(SEARCH("Cancelado",O122)))</formula>
    </cfRule>
  </conditionalFormatting>
  <conditionalFormatting sqref="Q122">
    <cfRule type="cellIs" dxfId="15973" priority="14839" operator="equal">
      <formula>"Tramitando"</formula>
    </cfRule>
    <cfRule type="cellIs" dxfId="15972" priority="14840" operator="equal">
      <formula>"Deferido"</formula>
    </cfRule>
    <cfRule type="cellIs" dxfId="15971" priority="14841" operator="equal">
      <formula>"Indeferido"</formula>
    </cfRule>
  </conditionalFormatting>
  <conditionalFormatting sqref="Q122">
    <cfRule type="containsText" dxfId="15970" priority="14838" operator="containsText" text="Cancelado">
      <formula>NOT(ISERROR(SEARCH("Cancelado",Q122)))</formula>
    </cfRule>
  </conditionalFormatting>
  <conditionalFormatting sqref="S122">
    <cfRule type="cellIs" dxfId="15969" priority="14835" operator="equal">
      <formula>"Tramitando"</formula>
    </cfRule>
    <cfRule type="cellIs" dxfId="15968" priority="14836" operator="equal">
      <formula>"Deferido"</formula>
    </cfRule>
    <cfRule type="cellIs" dxfId="15967" priority="14837" operator="equal">
      <formula>"Indeferido"</formula>
    </cfRule>
  </conditionalFormatting>
  <conditionalFormatting sqref="S122">
    <cfRule type="containsText" dxfId="15966" priority="14834" operator="containsText" text="Cancelado">
      <formula>NOT(ISERROR(SEARCH("Cancelado",S122)))</formula>
    </cfRule>
  </conditionalFormatting>
  <conditionalFormatting sqref="J123">
    <cfRule type="cellIs" dxfId="15965" priority="14830" operator="equal">
      <formula>"Tramitando"</formula>
    </cfRule>
    <cfRule type="cellIs" dxfId="15964" priority="14831" operator="equal">
      <formula>"Deferido"</formula>
    </cfRule>
    <cfRule type="cellIs" dxfId="15963" priority="14832" operator="equal">
      <formula>"Indeferido"</formula>
    </cfRule>
  </conditionalFormatting>
  <conditionalFormatting sqref="J123">
    <cfRule type="containsText" dxfId="15962" priority="14829" operator="containsText" text="Cancelado">
      <formula>NOT(ISERROR(SEARCH("Cancelado",J123)))</formula>
    </cfRule>
  </conditionalFormatting>
  <conditionalFormatting sqref="M123">
    <cfRule type="cellIs" dxfId="15961" priority="14826" operator="equal">
      <formula>"Tramitando"</formula>
    </cfRule>
    <cfRule type="cellIs" dxfId="15960" priority="14827" operator="equal">
      <formula>"Deferido"</formula>
    </cfRule>
    <cfRule type="cellIs" dxfId="15959" priority="14828" operator="equal">
      <formula>"Indeferido"</formula>
    </cfRule>
  </conditionalFormatting>
  <conditionalFormatting sqref="M123">
    <cfRule type="containsText" dxfId="15958" priority="14825" operator="containsText" text="Cancelado">
      <formula>NOT(ISERROR(SEARCH("Cancelado",M123)))</formula>
    </cfRule>
  </conditionalFormatting>
  <conditionalFormatting sqref="O123">
    <cfRule type="cellIs" dxfId="15957" priority="14822" operator="equal">
      <formula>"Tramitando"</formula>
    </cfRule>
    <cfRule type="cellIs" dxfId="15956" priority="14823" operator="equal">
      <formula>"Deferido"</formula>
    </cfRule>
    <cfRule type="cellIs" dxfId="15955" priority="14824" operator="equal">
      <formula>"Indeferido"</formula>
    </cfRule>
  </conditionalFormatting>
  <conditionalFormatting sqref="O123">
    <cfRule type="containsText" dxfId="15954" priority="14821" operator="containsText" text="Cancelado">
      <formula>NOT(ISERROR(SEARCH("Cancelado",O123)))</formula>
    </cfRule>
  </conditionalFormatting>
  <conditionalFormatting sqref="Q123">
    <cfRule type="cellIs" dxfId="15953" priority="14818" operator="equal">
      <formula>"Tramitando"</formula>
    </cfRule>
    <cfRule type="cellIs" dxfId="15952" priority="14819" operator="equal">
      <formula>"Deferido"</formula>
    </cfRule>
    <cfRule type="cellIs" dxfId="15951" priority="14820" operator="equal">
      <formula>"Indeferido"</formula>
    </cfRule>
  </conditionalFormatting>
  <conditionalFormatting sqref="Q123">
    <cfRule type="containsText" dxfId="15950" priority="14817" operator="containsText" text="Cancelado">
      <formula>NOT(ISERROR(SEARCH("Cancelado",Q123)))</formula>
    </cfRule>
  </conditionalFormatting>
  <conditionalFormatting sqref="S123">
    <cfRule type="cellIs" dxfId="15949" priority="14814" operator="equal">
      <formula>"Tramitando"</formula>
    </cfRule>
    <cfRule type="cellIs" dxfId="15948" priority="14815" operator="equal">
      <formula>"Deferido"</formula>
    </cfRule>
    <cfRule type="cellIs" dxfId="15947" priority="14816" operator="equal">
      <formula>"Indeferido"</formula>
    </cfRule>
  </conditionalFormatting>
  <conditionalFormatting sqref="S123">
    <cfRule type="containsText" dxfId="15946" priority="14813" operator="containsText" text="Cancelado">
      <formula>NOT(ISERROR(SEARCH("Cancelado",S123)))</formula>
    </cfRule>
  </conditionalFormatting>
  <conditionalFormatting sqref="J124">
    <cfRule type="cellIs" dxfId="15945" priority="14809" operator="equal">
      <formula>"Tramitando"</formula>
    </cfRule>
    <cfRule type="cellIs" dxfId="15944" priority="14810" operator="equal">
      <formula>"Deferido"</formula>
    </cfRule>
    <cfRule type="cellIs" dxfId="15943" priority="14811" operator="equal">
      <formula>"Indeferido"</formula>
    </cfRule>
  </conditionalFormatting>
  <conditionalFormatting sqref="J124">
    <cfRule type="containsText" dxfId="15942" priority="14808" operator="containsText" text="Cancelado">
      <formula>NOT(ISERROR(SEARCH("Cancelado",J124)))</formula>
    </cfRule>
  </conditionalFormatting>
  <conditionalFormatting sqref="M124">
    <cfRule type="cellIs" dxfId="15941" priority="14805" operator="equal">
      <formula>"Tramitando"</formula>
    </cfRule>
    <cfRule type="cellIs" dxfId="15940" priority="14806" operator="equal">
      <formula>"Deferido"</formula>
    </cfRule>
    <cfRule type="cellIs" dxfId="15939" priority="14807" operator="equal">
      <formula>"Indeferido"</formula>
    </cfRule>
  </conditionalFormatting>
  <conditionalFormatting sqref="M124">
    <cfRule type="containsText" dxfId="15938" priority="14804" operator="containsText" text="Cancelado">
      <formula>NOT(ISERROR(SEARCH("Cancelado",M124)))</formula>
    </cfRule>
  </conditionalFormatting>
  <conditionalFormatting sqref="O124">
    <cfRule type="cellIs" dxfId="15937" priority="14801" operator="equal">
      <formula>"Tramitando"</formula>
    </cfRule>
    <cfRule type="cellIs" dxfId="15936" priority="14802" operator="equal">
      <formula>"Deferido"</formula>
    </cfRule>
    <cfRule type="cellIs" dxfId="15935" priority="14803" operator="equal">
      <formula>"Indeferido"</formula>
    </cfRule>
  </conditionalFormatting>
  <conditionalFormatting sqref="O124">
    <cfRule type="containsText" dxfId="15934" priority="14800" operator="containsText" text="Cancelado">
      <formula>NOT(ISERROR(SEARCH("Cancelado",O124)))</formula>
    </cfRule>
  </conditionalFormatting>
  <conditionalFormatting sqref="Q124">
    <cfRule type="cellIs" dxfId="15933" priority="14797" operator="equal">
      <formula>"Tramitando"</formula>
    </cfRule>
    <cfRule type="cellIs" dxfId="15932" priority="14798" operator="equal">
      <formula>"Deferido"</formula>
    </cfRule>
    <cfRule type="cellIs" dxfId="15931" priority="14799" operator="equal">
      <formula>"Indeferido"</formula>
    </cfRule>
  </conditionalFormatting>
  <conditionalFormatting sqref="Q124">
    <cfRule type="containsText" dxfId="15930" priority="14796" operator="containsText" text="Cancelado">
      <formula>NOT(ISERROR(SEARCH("Cancelado",Q124)))</formula>
    </cfRule>
  </conditionalFormatting>
  <conditionalFormatting sqref="S124">
    <cfRule type="cellIs" dxfId="15929" priority="14793" operator="equal">
      <formula>"Tramitando"</formula>
    </cfRule>
    <cfRule type="cellIs" dxfId="15928" priority="14794" operator="equal">
      <formula>"Deferido"</formula>
    </cfRule>
    <cfRule type="cellIs" dxfId="15927" priority="14795" operator="equal">
      <formula>"Indeferido"</formula>
    </cfRule>
  </conditionalFormatting>
  <conditionalFormatting sqref="S124">
    <cfRule type="containsText" dxfId="15926" priority="14792" operator="containsText" text="Cancelado">
      <formula>NOT(ISERROR(SEARCH("Cancelado",S124)))</formula>
    </cfRule>
  </conditionalFormatting>
  <conditionalFormatting sqref="J125">
    <cfRule type="cellIs" dxfId="15925" priority="14788" operator="equal">
      <formula>"Tramitando"</formula>
    </cfRule>
    <cfRule type="cellIs" dxfId="15924" priority="14789" operator="equal">
      <formula>"Deferido"</formula>
    </cfRule>
    <cfRule type="cellIs" dxfId="15923" priority="14790" operator="equal">
      <formula>"Indeferido"</formula>
    </cfRule>
  </conditionalFormatting>
  <conditionalFormatting sqref="J125">
    <cfRule type="containsText" dxfId="15922" priority="14787" operator="containsText" text="Cancelado">
      <formula>NOT(ISERROR(SEARCH("Cancelado",J125)))</formula>
    </cfRule>
  </conditionalFormatting>
  <conditionalFormatting sqref="M125">
    <cfRule type="cellIs" dxfId="15921" priority="14784" operator="equal">
      <formula>"Tramitando"</formula>
    </cfRule>
    <cfRule type="cellIs" dxfId="15920" priority="14785" operator="equal">
      <formula>"Deferido"</formula>
    </cfRule>
    <cfRule type="cellIs" dxfId="15919" priority="14786" operator="equal">
      <formula>"Indeferido"</formula>
    </cfRule>
  </conditionalFormatting>
  <conditionalFormatting sqref="M125">
    <cfRule type="containsText" dxfId="15918" priority="14783" operator="containsText" text="Cancelado">
      <formula>NOT(ISERROR(SEARCH("Cancelado",M125)))</formula>
    </cfRule>
  </conditionalFormatting>
  <conditionalFormatting sqref="O125">
    <cfRule type="cellIs" dxfId="15917" priority="14780" operator="equal">
      <formula>"Tramitando"</formula>
    </cfRule>
    <cfRule type="cellIs" dxfId="15916" priority="14781" operator="equal">
      <formula>"Deferido"</formula>
    </cfRule>
    <cfRule type="cellIs" dxfId="15915" priority="14782" operator="equal">
      <formula>"Indeferido"</formula>
    </cfRule>
  </conditionalFormatting>
  <conditionalFormatting sqref="O125">
    <cfRule type="containsText" dxfId="15914" priority="14779" operator="containsText" text="Cancelado">
      <formula>NOT(ISERROR(SEARCH("Cancelado",O125)))</formula>
    </cfRule>
  </conditionalFormatting>
  <conditionalFormatting sqref="Q125">
    <cfRule type="cellIs" dxfId="15913" priority="14776" operator="equal">
      <formula>"Tramitando"</formula>
    </cfRule>
    <cfRule type="cellIs" dxfId="15912" priority="14777" operator="equal">
      <formula>"Deferido"</formula>
    </cfRule>
    <cfRule type="cellIs" dxfId="15911" priority="14778" operator="equal">
      <formula>"Indeferido"</formula>
    </cfRule>
  </conditionalFormatting>
  <conditionalFormatting sqref="Q125">
    <cfRule type="containsText" dxfId="15910" priority="14775" operator="containsText" text="Cancelado">
      <formula>NOT(ISERROR(SEARCH("Cancelado",Q125)))</formula>
    </cfRule>
  </conditionalFormatting>
  <conditionalFormatting sqref="S125">
    <cfRule type="cellIs" dxfId="15909" priority="14772" operator="equal">
      <formula>"Tramitando"</formula>
    </cfRule>
    <cfRule type="cellIs" dxfId="15908" priority="14773" operator="equal">
      <formula>"Deferido"</formula>
    </cfRule>
    <cfRule type="cellIs" dxfId="15907" priority="14774" operator="equal">
      <formula>"Indeferido"</formula>
    </cfRule>
  </conditionalFormatting>
  <conditionalFormatting sqref="S125">
    <cfRule type="containsText" dxfId="15906" priority="14771" operator="containsText" text="Cancelado">
      <formula>NOT(ISERROR(SEARCH("Cancelado",S125)))</formula>
    </cfRule>
  </conditionalFormatting>
  <conditionalFormatting sqref="J126">
    <cfRule type="cellIs" dxfId="15905" priority="14767" operator="equal">
      <formula>"Tramitando"</formula>
    </cfRule>
    <cfRule type="cellIs" dxfId="15904" priority="14768" operator="equal">
      <formula>"Deferido"</formula>
    </cfRule>
    <cfRule type="cellIs" dxfId="15903" priority="14769" operator="equal">
      <formula>"Indeferido"</formula>
    </cfRule>
  </conditionalFormatting>
  <conditionalFormatting sqref="J126">
    <cfRule type="containsText" dxfId="15902" priority="14766" operator="containsText" text="Cancelado">
      <formula>NOT(ISERROR(SEARCH("Cancelado",J126)))</formula>
    </cfRule>
  </conditionalFormatting>
  <conditionalFormatting sqref="M126">
    <cfRule type="cellIs" dxfId="15901" priority="14763" operator="equal">
      <formula>"Tramitando"</formula>
    </cfRule>
    <cfRule type="cellIs" dxfId="15900" priority="14764" operator="equal">
      <formula>"Deferido"</formula>
    </cfRule>
    <cfRule type="cellIs" dxfId="15899" priority="14765" operator="equal">
      <formula>"Indeferido"</formula>
    </cfRule>
  </conditionalFormatting>
  <conditionalFormatting sqref="M126">
    <cfRule type="containsText" dxfId="15898" priority="14762" operator="containsText" text="Cancelado">
      <formula>NOT(ISERROR(SEARCH("Cancelado",M126)))</formula>
    </cfRule>
  </conditionalFormatting>
  <conditionalFormatting sqref="O126">
    <cfRule type="cellIs" dxfId="15897" priority="14759" operator="equal">
      <formula>"Tramitando"</formula>
    </cfRule>
    <cfRule type="cellIs" dxfId="15896" priority="14760" operator="equal">
      <formula>"Deferido"</formula>
    </cfRule>
    <cfRule type="cellIs" dxfId="15895" priority="14761" operator="equal">
      <formula>"Indeferido"</formula>
    </cfRule>
  </conditionalFormatting>
  <conditionalFormatting sqref="O126">
    <cfRule type="containsText" dxfId="15894" priority="14758" operator="containsText" text="Cancelado">
      <formula>NOT(ISERROR(SEARCH("Cancelado",O126)))</formula>
    </cfRule>
  </conditionalFormatting>
  <conditionalFormatting sqref="Q126">
    <cfRule type="cellIs" dxfId="15893" priority="14755" operator="equal">
      <formula>"Tramitando"</formula>
    </cfRule>
    <cfRule type="cellIs" dxfId="15892" priority="14756" operator="equal">
      <formula>"Deferido"</formula>
    </cfRule>
    <cfRule type="cellIs" dxfId="15891" priority="14757" operator="equal">
      <formula>"Indeferido"</formula>
    </cfRule>
  </conditionalFormatting>
  <conditionalFormatting sqref="Q126">
    <cfRule type="containsText" dxfId="15890" priority="14754" operator="containsText" text="Cancelado">
      <formula>NOT(ISERROR(SEARCH("Cancelado",Q126)))</formula>
    </cfRule>
  </conditionalFormatting>
  <conditionalFormatting sqref="S126">
    <cfRule type="cellIs" dxfId="15889" priority="14751" operator="equal">
      <formula>"Tramitando"</formula>
    </cfRule>
    <cfRule type="cellIs" dxfId="15888" priority="14752" operator="equal">
      <formula>"Deferido"</formula>
    </cfRule>
    <cfRule type="cellIs" dxfId="15887" priority="14753" operator="equal">
      <formula>"Indeferido"</formula>
    </cfRule>
  </conditionalFormatting>
  <conditionalFormatting sqref="S126">
    <cfRule type="containsText" dxfId="15886" priority="14750" operator="containsText" text="Cancelado">
      <formula>NOT(ISERROR(SEARCH("Cancelado",S126)))</formula>
    </cfRule>
  </conditionalFormatting>
  <conditionalFormatting sqref="J127">
    <cfRule type="cellIs" dxfId="15885" priority="14746" operator="equal">
      <formula>"Tramitando"</formula>
    </cfRule>
    <cfRule type="cellIs" dxfId="15884" priority="14747" operator="equal">
      <formula>"Deferido"</formula>
    </cfRule>
    <cfRule type="cellIs" dxfId="15883" priority="14748" operator="equal">
      <formula>"Indeferido"</formula>
    </cfRule>
  </conditionalFormatting>
  <conditionalFormatting sqref="J127">
    <cfRule type="containsText" dxfId="15882" priority="14745" operator="containsText" text="Cancelado">
      <formula>NOT(ISERROR(SEARCH("Cancelado",J127)))</formula>
    </cfRule>
  </conditionalFormatting>
  <conditionalFormatting sqref="M127">
    <cfRule type="cellIs" dxfId="15881" priority="14742" operator="equal">
      <formula>"Tramitando"</formula>
    </cfRule>
    <cfRule type="cellIs" dxfId="15880" priority="14743" operator="equal">
      <formula>"Deferido"</formula>
    </cfRule>
    <cfRule type="cellIs" dxfId="15879" priority="14744" operator="equal">
      <formula>"Indeferido"</formula>
    </cfRule>
  </conditionalFormatting>
  <conditionalFormatting sqref="M127">
    <cfRule type="containsText" dxfId="15878" priority="14741" operator="containsText" text="Cancelado">
      <formula>NOT(ISERROR(SEARCH("Cancelado",M127)))</formula>
    </cfRule>
  </conditionalFormatting>
  <conditionalFormatting sqref="O127">
    <cfRule type="cellIs" dxfId="15877" priority="14738" operator="equal">
      <formula>"Tramitando"</formula>
    </cfRule>
    <cfRule type="cellIs" dxfId="15876" priority="14739" operator="equal">
      <formula>"Deferido"</formula>
    </cfRule>
    <cfRule type="cellIs" dxfId="15875" priority="14740" operator="equal">
      <formula>"Indeferido"</formula>
    </cfRule>
  </conditionalFormatting>
  <conditionalFormatting sqref="O127">
    <cfRule type="containsText" dxfId="15874" priority="14737" operator="containsText" text="Cancelado">
      <formula>NOT(ISERROR(SEARCH("Cancelado",O127)))</formula>
    </cfRule>
  </conditionalFormatting>
  <conditionalFormatting sqref="Q127">
    <cfRule type="cellIs" dxfId="15873" priority="14734" operator="equal">
      <formula>"Tramitando"</formula>
    </cfRule>
    <cfRule type="cellIs" dxfId="15872" priority="14735" operator="equal">
      <formula>"Deferido"</formula>
    </cfRule>
    <cfRule type="cellIs" dxfId="15871" priority="14736" operator="equal">
      <formula>"Indeferido"</formula>
    </cfRule>
  </conditionalFormatting>
  <conditionalFormatting sqref="Q127">
    <cfRule type="containsText" dxfId="15870" priority="14733" operator="containsText" text="Cancelado">
      <formula>NOT(ISERROR(SEARCH("Cancelado",Q127)))</formula>
    </cfRule>
  </conditionalFormatting>
  <conditionalFormatting sqref="S127">
    <cfRule type="cellIs" dxfId="15869" priority="14730" operator="equal">
      <formula>"Tramitando"</formula>
    </cfRule>
    <cfRule type="cellIs" dxfId="15868" priority="14731" operator="equal">
      <formula>"Deferido"</formula>
    </cfRule>
    <cfRule type="cellIs" dxfId="15867" priority="14732" operator="equal">
      <formula>"Indeferido"</formula>
    </cfRule>
  </conditionalFormatting>
  <conditionalFormatting sqref="S127">
    <cfRule type="containsText" dxfId="15866" priority="14729" operator="containsText" text="Cancelado">
      <formula>NOT(ISERROR(SEARCH("Cancelado",S127)))</formula>
    </cfRule>
  </conditionalFormatting>
  <conditionalFormatting sqref="J128">
    <cfRule type="cellIs" dxfId="15865" priority="14725" operator="equal">
      <formula>"Tramitando"</formula>
    </cfRule>
    <cfRule type="cellIs" dxfId="15864" priority="14726" operator="equal">
      <formula>"Deferido"</formula>
    </cfRule>
    <cfRule type="cellIs" dxfId="15863" priority="14727" operator="equal">
      <formula>"Indeferido"</formula>
    </cfRule>
  </conditionalFormatting>
  <conditionalFormatting sqref="J128">
    <cfRule type="containsText" dxfId="15862" priority="14724" operator="containsText" text="Cancelado">
      <formula>NOT(ISERROR(SEARCH("Cancelado",J128)))</formula>
    </cfRule>
  </conditionalFormatting>
  <conditionalFormatting sqref="M128">
    <cfRule type="cellIs" dxfId="15861" priority="14721" operator="equal">
      <formula>"Tramitando"</formula>
    </cfRule>
    <cfRule type="cellIs" dxfId="15860" priority="14722" operator="equal">
      <formula>"Deferido"</formula>
    </cfRule>
    <cfRule type="cellIs" dxfId="15859" priority="14723" operator="equal">
      <formula>"Indeferido"</formula>
    </cfRule>
  </conditionalFormatting>
  <conditionalFormatting sqref="M128">
    <cfRule type="containsText" dxfId="15858" priority="14720" operator="containsText" text="Cancelado">
      <formula>NOT(ISERROR(SEARCH("Cancelado",M128)))</formula>
    </cfRule>
  </conditionalFormatting>
  <conditionalFormatting sqref="O128">
    <cfRule type="cellIs" dxfId="15857" priority="14717" operator="equal">
      <formula>"Tramitando"</formula>
    </cfRule>
    <cfRule type="cellIs" dxfId="15856" priority="14718" operator="equal">
      <formula>"Deferido"</formula>
    </cfRule>
    <cfRule type="cellIs" dxfId="15855" priority="14719" operator="equal">
      <formula>"Indeferido"</formula>
    </cfRule>
  </conditionalFormatting>
  <conditionalFormatting sqref="O128">
    <cfRule type="containsText" dxfId="15854" priority="14716" operator="containsText" text="Cancelado">
      <formula>NOT(ISERROR(SEARCH("Cancelado",O128)))</formula>
    </cfRule>
  </conditionalFormatting>
  <conditionalFormatting sqref="Q128">
    <cfRule type="cellIs" dxfId="15853" priority="14713" operator="equal">
      <formula>"Tramitando"</formula>
    </cfRule>
    <cfRule type="cellIs" dxfId="15852" priority="14714" operator="equal">
      <formula>"Deferido"</formula>
    </cfRule>
    <cfRule type="cellIs" dxfId="15851" priority="14715" operator="equal">
      <formula>"Indeferido"</formula>
    </cfRule>
  </conditionalFormatting>
  <conditionalFormatting sqref="Q128">
    <cfRule type="containsText" dxfId="15850" priority="14712" operator="containsText" text="Cancelado">
      <formula>NOT(ISERROR(SEARCH("Cancelado",Q128)))</formula>
    </cfRule>
  </conditionalFormatting>
  <conditionalFormatting sqref="S128">
    <cfRule type="cellIs" dxfId="15849" priority="14709" operator="equal">
      <formula>"Tramitando"</formula>
    </cfRule>
    <cfRule type="cellIs" dxfId="15848" priority="14710" operator="equal">
      <formula>"Deferido"</formula>
    </cfRule>
    <cfRule type="cellIs" dxfId="15847" priority="14711" operator="equal">
      <formula>"Indeferido"</formula>
    </cfRule>
  </conditionalFormatting>
  <conditionalFormatting sqref="S128">
    <cfRule type="containsText" dxfId="15846" priority="14708" operator="containsText" text="Cancelado">
      <formula>NOT(ISERROR(SEARCH("Cancelado",S128)))</formula>
    </cfRule>
  </conditionalFormatting>
  <conditionalFormatting sqref="J129">
    <cfRule type="cellIs" dxfId="15845" priority="14704" operator="equal">
      <formula>"Tramitando"</formula>
    </cfRule>
    <cfRule type="cellIs" dxfId="15844" priority="14705" operator="equal">
      <formula>"Deferido"</formula>
    </cfRule>
    <cfRule type="cellIs" dxfId="15843" priority="14706" operator="equal">
      <formula>"Indeferido"</formula>
    </cfRule>
  </conditionalFormatting>
  <conditionalFormatting sqref="J129">
    <cfRule type="containsText" dxfId="15842" priority="14703" operator="containsText" text="Cancelado">
      <formula>NOT(ISERROR(SEARCH("Cancelado",J129)))</formula>
    </cfRule>
  </conditionalFormatting>
  <conditionalFormatting sqref="M129">
    <cfRule type="cellIs" dxfId="15841" priority="14700" operator="equal">
      <formula>"Tramitando"</formula>
    </cfRule>
    <cfRule type="cellIs" dxfId="15840" priority="14701" operator="equal">
      <formula>"Deferido"</formula>
    </cfRule>
    <cfRule type="cellIs" dxfId="15839" priority="14702" operator="equal">
      <formula>"Indeferido"</formula>
    </cfRule>
  </conditionalFormatting>
  <conditionalFormatting sqref="M129">
    <cfRule type="containsText" dxfId="15838" priority="14699" operator="containsText" text="Cancelado">
      <formula>NOT(ISERROR(SEARCH("Cancelado",M129)))</formula>
    </cfRule>
  </conditionalFormatting>
  <conditionalFormatting sqref="O129">
    <cfRule type="cellIs" dxfId="15837" priority="14696" operator="equal">
      <formula>"Tramitando"</formula>
    </cfRule>
    <cfRule type="cellIs" dxfId="15836" priority="14697" operator="equal">
      <formula>"Deferido"</formula>
    </cfRule>
    <cfRule type="cellIs" dxfId="15835" priority="14698" operator="equal">
      <formula>"Indeferido"</formula>
    </cfRule>
  </conditionalFormatting>
  <conditionalFormatting sqref="O129">
    <cfRule type="containsText" dxfId="15834" priority="14695" operator="containsText" text="Cancelado">
      <formula>NOT(ISERROR(SEARCH("Cancelado",O129)))</formula>
    </cfRule>
  </conditionalFormatting>
  <conditionalFormatting sqref="Q129">
    <cfRule type="cellIs" dxfId="15833" priority="14692" operator="equal">
      <formula>"Tramitando"</formula>
    </cfRule>
    <cfRule type="cellIs" dxfId="15832" priority="14693" operator="equal">
      <formula>"Deferido"</formula>
    </cfRule>
    <cfRule type="cellIs" dxfId="15831" priority="14694" operator="equal">
      <formula>"Indeferido"</formula>
    </cfRule>
  </conditionalFormatting>
  <conditionalFormatting sqref="Q129">
    <cfRule type="containsText" dxfId="15830" priority="14691" operator="containsText" text="Cancelado">
      <formula>NOT(ISERROR(SEARCH("Cancelado",Q129)))</formula>
    </cfRule>
  </conditionalFormatting>
  <conditionalFormatting sqref="S129">
    <cfRule type="cellIs" dxfId="15829" priority="14688" operator="equal">
      <formula>"Tramitando"</formula>
    </cfRule>
    <cfRule type="cellIs" dxfId="15828" priority="14689" operator="equal">
      <formula>"Deferido"</formula>
    </cfRule>
    <cfRule type="cellIs" dxfId="15827" priority="14690" operator="equal">
      <formula>"Indeferido"</formula>
    </cfRule>
  </conditionalFormatting>
  <conditionalFormatting sqref="S129">
    <cfRule type="containsText" dxfId="15826" priority="14687" operator="containsText" text="Cancelado">
      <formula>NOT(ISERROR(SEARCH("Cancelado",S129)))</formula>
    </cfRule>
  </conditionalFormatting>
  <conditionalFormatting sqref="J130">
    <cfRule type="cellIs" dxfId="15825" priority="14683" operator="equal">
      <formula>"Tramitando"</formula>
    </cfRule>
    <cfRule type="cellIs" dxfId="15824" priority="14684" operator="equal">
      <formula>"Deferido"</formula>
    </cfRule>
    <cfRule type="cellIs" dxfId="15823" priority="14685" operator="equal">
      <formula>"Indeferido"</formula>
    </cfRule>
  </conditionalFormatting>
  <conditionalFormatting sqref="J130">
    <cfRule type="containsText" dxfId="15822" priority="14682" operator="containsText" text="Cancelado">
      <formula>NOT(ISERROR(SEARCH("Cancelado",J130)))</formula>
    </cfRule>
  </conditionalFormatting>
  <conditionalFormatting sqref="M130">
    <cfRule type="cellIs" dxfId="15821" priority="14679" operator="equal">
      <formula>"Tramitando"</formula>
    </cfRule>
    <cfRule type="cellIs" dxfId="15820" priority="14680" operator="equal">
      <formula>"Deferido"</formula>
    </cfRule>
    <cfRule type="cellIs" dxfId="15819" priority="14681" operator="equal">
      <formula>"Indeferido"</formula>
    </cfRule>
  </conditionalFormatting>
  <conditionalFormatting sqref="M130">
    <cfRule type="containsText" dxfId="15818" priority="14678" operator="containsText" text="Cancelado">
      <formula>NOT(ISERROR(SEARCH("Cancelado",M130)))</formula>
    </cfRule>
  </conditionalFormatting>
  <conditionalFormatting sqref="O130">
    <cfRule type="cellIs" dxfId="15817" priority="14675" operator="equal">
      <formula>"Tramitando"</formula>
    </cfRule>
    <cfRule type="cellIs" dxfId="15816" priority="14676" operator="equal">
      <formula>"Deferido"</formula>
    </cfRule>
    <cfRule type="cellIs" dxfId="15815" priority="14677" operator="equal">
      <formula>"Indeferido"</formula>
    </cfRule>
  </conditionalFormatting>
  <conditionalFormatting sqref="O130">
    <cfRule type="containsText" dxfId="15814" priority="14674" operator="containsText" text="Cancelado">
      <formula>NOT(ISERROR(SEARCH("Cancelado",O130)))</formula>
    </cfRule>
  </conditionalFormatting>
  <conditionalFormatting sqref="Q130">
    <cfRule type="cellIs" dxfId="15813" priority="14671" operator="equal">
      <formula>"Tramitando"</formula>
    </cfRule>
    <cfRule type="cellIs" dxfId="15812" priority="14672" operator="equal">
      <formula>"Deferido"</formula>
    </cfRule>
    <cfRule type="cellIs" dxfId="15811" priority="14673" operator="equal">
      <formula>"Indeferido"</formula>
    </cfRule>
  </conditionalFormatting>
  <conditionalFormatting sqref="Q130">
    <cfRule type="containsText" dxfId="15810" priority="14670" operator="containsText" text="Cancelado">
      <formula>NOT(ISERROR(SEARCH("Cancelado",Q130)))</formula>
    </cfRule>
  </conditionalFormatting>
  <conditionalFormatting sqref="S130">
    <cfRule type="cellIs" dxfId="15809" priority="14667" operator="equal">
      <formula>"Tramitando"</formula>
    </cfRule>
    <cfRule type="cellIs" dxfId="15808" priority="14668" operator="equal">
      <formula>"Deferido"</formula>
    </cfRule>
    <cfRule type="cellIs" dxfId="15807" priority="14669" operator="equal">
      <formula>"Indeferido"</formula>
    </cfRule>
  </conditionalFormatting>
  <conditionalFormatting sqref="S130">
    <cfRule type="containsText" dxfId="15806" priority="14666" operator="containsText" text="Cancelado">
      <formula>NOT(ISERROR(SEARCH("Cancelado",S130)))</formula>
    </cfRule>
  </conditionalFormatting>
  <conditionalFormatting sqref="J131">
    <cfRule type="cellIs" dxfId="15805" priority="14662" operator="equal">
      <formula>"Tramitando"</formula>
    </cfRule>
    <cfRule type="cellIs" dxfId="15804" priority="14663" operator="equal">
      <formula>"Deferido"</formula>
    </cfRule>
    <cfRule type="cellIs" dxfId="15803" priority="14664" operator="equal">
      <formula>"Indeferido"</formula>
    </cfRule>
  </conditionalFormatting>
  <conditionalFormatting sqref="J131">
    <cfRule type="containsText" dxfId="15802" priority="14661" operator="containsText" text="Cancelado">
      <formula>NOT(ISERROR(SEARCH("Cancelado",J131)))</formula>
    </cfRule>
  </conditionalFormatting>
  <conditionalFormatting sqref="M131">
    <cfRule type="cellIs" dxfId="15801" priority="14658" operator="equal">
      <formula>"Tramitando"</formula>
    </cfRule>
    <cfRule type="cellIs" dxfId="15800" priority="14659" operator="equal">
      <formula>"Deferido"</formula>
    </cfRule>
    <cfRule type="cellIs" dxfId="15799" priority="14660" operator="equal">
      <formula>"Indeferido"</formula>
    </cfRule>
  </conditionalFormatting>
  <conditionalFormatting sqref="M131">
    <cfRule type="containsText" dxfId="15798" priority="14657" operator="containsText" text="Cancelado">
      <formula>NOT(ISERROR(SEARCH("Cancelado",M131)))</formula>
    </cfRule>
  </conditionalFormatting>
  <conditionalFormatting sqref="O131">
    <cfRule type="cellIs" dxfId="15797" priority="14654" operator="equal">
      <formula>"Tramitando"</formula>
    </cfRule>
    <cfRule type="cellIs" dxfId="15796" priority="14655" operator="equal">
      <formula>"Deferido"</formula>
    </cfRule>
    <cfRule type="cellIs" dxfId="15795" priority="14656" operator="equal">
      <formula>"Indeferido"</formula>
    </cfRule>
  </conditionalFormatting>
  <conditionalFormatting sqref="O131">
    <cfRule type="containsText" dxfId="15794" priority="14653" operator="containsText" text="Cancelado">
      <formula>NOT(ISERROR(SEARCH("Cancelado",O131)))</formula>
    </cfRule>
  </conditionalFormatting>
  <conditionalFormatting sqref="Q131">
    <cfRule type="cellIs" dxfId="15793" priority="14650" operator="equal">
      <formula>"Tramitando"</formula>
    </cfRule>
    <cfRule type="cellIs" dxfId="15792" priority="14651" operator="equal">
      <formula>"Deferido"</formula>
    </cfRule>
    <cfRule type="cellIs" dxfId="15791" priority="14652" operator="equal">
      <formula>"Indeferido"</formula>
    </cfRule>
  </conditionalFormatting>
  <conditionalFormatting sqref="Q131">
    <cfRule type="containsText" dxfId="15790" priority="14649" operator="containsText" text="Cancelado">
      <formula>NOT(ISERROR(SEARCH("Cancelado",Q131)))</formula>
    </cfRule>
  </conditionalFormatting>
  <conditionalFormatting sqref="S131">
    <cfRule type="cellIs" dxfId="15789" priority="14646" operator="equal">
      <formula>"Tramitando"</formula>
    </cfRule>
    <cfRule type="cellIs" dxfId="15788" priority="14647" operator="equal">
      <formula>"Deferido"</formula>
    </cfRule>
    <cfRule type="cellIs" dxfId="15787" priority="14648" operator="equal">
      <formula>"Indeferido"</formula>
    </cfRule>
  </conditionalFormatting>
  <conditionalFormatting sqref="S131">
    <cfRule type="containsText" dxfId="15786" priority="14645" operator="containsText" text="Cancelado">
      <formula>NOT(ISERROR(SEARCH("Cancelado",S131)))</formula>
    </cfRule>
  </conditionalFormatting>
  <conditionalFormatting sqref="J132">
    <cfRule type="cellIs" dxfId="15785" priority="14641" operator="equal">
      <formula>"Tramitando"</formula>
    </cfRule>
    <cfRule type="cellIs" dxfId="15784" priority="14642" operator="equal">
      <formula>"Deferido"</formula>
    </cfRule>
    <cfRule type="cellIs" dxfId="15783" priority="14643" operator="equal">
      <formula>"Indeferido"</formula>
    </cfRule>
  </conditionalFormatting>
  <conditionalFormatting sqref="J132">
    <cfRule type="containsText" dxfId="15782" priority="14640" operator="containsText" text="Cancelado">
      <formula>NOT(ISERROR(SEARCH("Cancelado",J132)))</formula>
    </cfRule>
  </conditionalFormatting>
  <conditionalFormatting sqref="M132">
    <cfRule type="cellIs" dxfId="15781" priority="14637" operator="equal">
      <formula>"Tramitando"</formula>
    </cfRule>
    <cfRule type="cellIs" dxfId="15780" priority="14638" operator="equal">
      <formula>"Deferido"</formula>
    </cfRule>
    <cfRule type="cellIs" dxfId="15779" priority="14639" operator="equal">
      <formula>"Indeferido"</formula>
    </cfRule>
  </conditionalFormatting>
  <conditionalFormatting sqref="M132">
    <cfRule type="containsText" dxfId="15778" priority="14636" operator="containsText" text="Cancelado">
      <formula>NOT(ISERROR(SEARCH("Cancelado",M132)))</formula>
    </cfRule>
  </conditionalFormatting>
  <conditionalFormatting sqref="O132">
    <cfRule type="cellIs" dxfId="15777" priority="14633" operator="equal">
      <formula>"Tramitando"</formula>
    </cfRule>
    <cfRule type="cellIs" dxfId="15776" priority="14634" operator="equal">
      <formula>"Deferido"</formula>
    </cfRule>
    <cfRule type="cellIs" dxfId="15775" priority="14635" operator="equal">
      <formula>"Indeferido"</formula>
    </cfRule>
  </conditionalFormatting>
  <conditionalFormatting sqref="O132">
    <cfRule type="containsText" dxfId="15774" priority="14632" operator="containsText" text="Cancelado">
      <formula>NOT(ISERROR(SEARCH("Cancelado",O132)))</formula>
    </cfRule>
  </conditionalFormatting>
  <conditionalFormatting sqref="Q132">
    <cfRule type="cellIs" dxfId="15773" priority="14629" operator="equal">
      <formula>"Tramitando"</formula>
    </cfRule>
    <cfRule type="cellIs" dxfId="15772" priority="14630" operator="equal">
      <formula>"Deferido"</formula>
    </cfRule>
    <cfRule type="cellIs" dxfId="15771" priority="14631" operator="equal">
      <formula>"Indeferido"</formula>
    </cfRule>
  </conditionalFormatting>
  <conditionalFormatting sqref="Q132">
    <cfRule type="containsText" dxfId="15770" priority="14628" operator="containsText" text="Cancelado">
      <formula>NOT(ISERROR(SEARCH("Cancelado",Q132)))</formula>
    </cfRule>
  </conditionalFormatting>
  <conditionalFormatting sqref="S132">
    <cfRule type="cellIs" dxfId="15769" priority="14625" operator="equal">
      <formula>"Tramitando"</formula>
    </cfRule>
    <cfRule type="cellIs" dxfId="15768" priority="14626" operator="equal">
      <formula>"Deferido"</formula>
    </cfRule>
    <cfRule type="cellIs" dxfId="15767" priority="14627" operator="equal">
      <formula>"Indeferido"</formula>
    </cfRule>
  </conditionalFormatting>
  <conditionalFormatting sqref="S132">
    <cfRule type="containsText" dxfId="15766" priority="14624" operator="containsText" text="Cancelado">
      <formula>NOT(ISERROR(SEARCH("Cancelado",S132)))</formula>
    </cfRule>
  </conditionalFormatting>
  <conditionalFormatting sqref="J133">
    <cfRule type="cellIs" dxfId="15765" priority="14620" operator="equal">
      <formula>"Tramitando"</formula>
    </cfRule>
    <cfRule type="cellIs" dxfId="15764" priority="14621" operator="equal">
      <formula>"Deferido"</formula>
    </cfRule>
    <cfRule type="cellIs" dxfId="15763" priority="14622" operator="equal">
      <formula>"Indeferido"</formula>
    </cfRule>
  </conditionalFormatting>
  <conditionalFormatting sqref="J133">
    <cfRule type="containsText" dxfId="15762" priority="14619" operator="containsText" text="Cancelado">
      <formula>NOT(ISERROR(SEARCH("Cancelado",J133)))</formula>
    </cfRule>
  </conditionalFormatting>
  <conditionalFormatting sqref="M133">
    <cfRule type="cellIs" dxfId="15761" priority="14616" operator="equal">
      <formula>"Tramitando"</formula>
    </cfRule>
    <cfRule type="cellIs" dxfId="15760" priority="14617" operator="equal">
      <formula>"Deferido"</formula>
    </cfRule>
    <cfRule type="cellIs" dxfId="15759" priority="14618" operator="equal">
      <formula>"Indeferido"</formula>
    </cfRule>
  </conditionalFormatting>
  <conditionalFormatting sqref="M133">
    <cfRule type="containsText" dxfId="15758" priority="14615" operator="containsText" text="Cancelado">
      <formula>NOT(ISERROR(SEARCH("Cancelado",M133)))</formula>
    </cfRule>
  </conditionalFormatting>
  <conditionalFormatting sqref="O133">
    <cfRule type="cellIs" dxfId="15757" priority="14612" operator="equal">
      <formula>"Tramitando"</formula>
    </cfRule>
    <cfRule type="cellIs" dxfId="15756" priority="14613" operator="equal">
      <formula>"Deferido"</formula>
    </cfRule>
    <cfRule type="cellIs" dxfId="15755" priority="14614" operator="equal">
      <formula>"Indeferido"</formula>
    </cfRule>
  </conditionalFormatting>
  <conditionalFormatting sqref="O133">
    <cfRule type="containsText" dxfId="15754" priority="14611" operator="containsText" text="Cancelado">
      <formula>NOT(ISERROR(SEARCH("Cancelado",O133)))</formula>
    </cfRule>
  </conditionalFormatting>
  <conditionalFormatting sqref="Q133">
    <cfRule type="cellIs" dxfId="15753" priority="14608" operator="equal">
      <formula>"Tramitando"</formula>
    </cfRule>
    <cfRule type="cellIs" dxfId="15752" priority="14609" operator="equal">
      <formula>"Deferido"</formula>
    </cfRule>
    <cfRule type="cellIs" dxfId="15751" priority="14610" operator="equal">
      <formula>"Indeferido"</formula>
    </cfRule>
  </conditionalFormatting>
  <conditionalFormatting sqref="Q133">
    <cfRule type="containsText" dxfId="15750" priority="14607" operator="containsText" text="Cancelado">
      <formula>NOT(ISERROR(SEARCH("Cancelado",Q133)))</formula>
    </cfRule>
  </conditionalFormatting>
  <conditionalFormatting sqref="S133">
    <cfRule type="cellIs" dxfId="15749" priority="14604" operator="equal">
      <formula>"Tramitando"</formula>
    </cfRule>
    <cfRule type="cellIs" dxfId="15748" priority="14605" operator="equal">
      <formula>"Deferido"</formula>
    </cfRule>
    <cfRule type="cellIs" dxfId="15747" priority="14606" operator="equal">
      <formula>"Indeferido"</formula>
    </cfRule>
  </conditionalFormatting>
  <conditionalFormatting sqref="S133">
    <cfRule type="containsText" dxfId="15746" priority="14603" operator="containsText" text="Cancelado">
      <formula>NOT(ISERROR(SEARCH("Cancelado",S133)))</formula>
    </cfRule>
  </conditionalFormatting>
  <conditionalFormatting sqref="J134">
    <cfRule type="cellIs" dxfId="15745" priority="14599" operator="equal">
      <formula>"Tramitando"</formula>
    </cfRule>
    <cfRule type="cellIs" dxfId="15744" priority="14600" operator="equal">
      <formula>"Deferido"</formula>
    </cfRule>
    <cfRule type="cellIs" dxfId="15743" priority="14601" operator="equal">
      <formula>"Indeferido"</formula>
    </cfRule>
  </conditionalFormatting>
  <conditionalFormatting sqref="J134">
    <cfRule type="containsText" dxfId="15742" priority="14598" operator="containsText" text="Cancelado">
      <formula>NOT(ISERROR(SEARCH("Cancelado",J134)))</formula>
    </cfRule>
  </conditionalFormatting>
  <conditionalFormatting sqref="M134">
    <cfRule type="cellIs" dxfId="15741" priority="14595" operator="equal">
      <formula>"Tramitando"</formula>
    </cfRule>
    <cfRule type="cellIs" dxfId="15740" priority="14596" operator="equal">
      <formula>"Deferido"</formula>
    </cfRule>
    <cfRule type="cellIs" dxfId="15739" priority="14597" operator="equal">
      <formula>"Indeferido"</formula>
    </cfRule>
  </conditionalFormatting>
  <conditionalFormatting sqref="M134">
    <cfRule type="containsText" dxfId="15738" priority="14594" operator="containsText" text="Cancelado">
      <formula>NOT(ISERROR(SEARCH("Cancelado",M134)))</formula>
    </cfRule>
  </conditionalFormatting>
  <conditionalFormatting sqref="O134">
    <cfRule type="cellIs" dxfId="15737" priority="14591" operator="equal">
      <formula>"Tramitando"</formula>
    </cfRule>
    <cfRule type="cellIs" dxfId="15736" priority="14592" operator="equal">
      <formula>"Deferido"</formula>
    </cfRule>
    <cfRule type="cellIs" dxfId="15735" priority="14593" operator="equal">
      <formula>"Indeferido"</formula>
    </cfRule>
  </conditionalFormatting>
  <conditionalFormatting sqref="O134">
    <cfRule type="containsText" dxfId="15734" priority="14590" operator="containsText" text="Cancelado">
      <formula>NOT(ISERROR(SEARCH("Cancelado",O134)))</formula>
    </cfRule>
  </conditionalFormatting>
  <conditionalFormatting sqref="Q134">
    <cfRule type="cellIs" dxfId="15733" priority="14587" operator="equal">
      <formula>"Tramitando"</formula>
    </cfRule>
    <cfRule type="cellIs" dxfId="15732" priority="14588" operator="equal">
      <formula>"Deferido"</formula>
    </cfRule>
    <cfRule type="cellIs" dxfId="15731" priority="14589" operator="equal">
      <formula>"Indeferido"</formula>
    </cfRule>
  </conditionalFormatting>
  <conditionalFormatting sqref="Q134">
    <cfRule type="containsText" dxfId="15730" priority="14586" operator="containsText" text="Cancelado">
      <formula>NOT(ISERROR(SEARCH("Cancelado",Q134)))</formula>
    </cfRule>
  </conditionalFormatting>
  <conditionalFormatting sqref="S134">
    <cfRule type="cellIs" dxfId="15729" priority="14583" operator="equal">
      <formula>"Tramitando"</formula>
    </cfRule>
    <cfRule type="cellIs" dxfId="15728" priority="14584" operator="equal">
      <formula>"Deferido"</formula>
    </cfRule>
    <cfRule type="cellIs" dxfId="15727" priority="14585" operator="equal">
      <formula>"Indeferido"</formula>
    </cfRule>
  </conditionalFormatting>
  <conditionalFormatting sqref="S134">
    <cfRule type="containsText" dxfId="15726" priority="14582" operator="containsText" text="Cancelado">
      <formula>NOT(ISERROR(SEARCH("Cancelado",S134)))</formula>
    </cfRule>
  </conditionalFormatting>
  <conditionalFormatting sqref="J135">
    <cfRule type="cellIs" dxfId="15725" priority="14578" operator="equal">
      <formula>"Tramitando"</formula>
    </cfRule>
    <cfRule type="cellIs" dxfId="15724" priority="14579" operator="equal">
      <formula>"Deferido"</formula>
    </cfRule>
    <cfRule type="cellIs" dxfId="15723" priority="14580" operator="equal">
      <formula>"Indeferido"</formula>
    </cfRule>
  </conditionalFormatting>
  <conditionalFormatting sqref="J135">
    <cfRule type="containsText" dxfId="15722" priority="14577" operator="containsText" text="Cancelado">
      <formula>NOT(ISERROR(SEARCH("Cancelado",J135)))</formula>
    </cfRule>
  </conditionalFormatting>
  <conditionalFormatting sqref="M135">
    <cfRule type="cellIs" dxfId="15721" priority="14574" operator="equal">
      <formula>"Tramitando"</formula>
    </cfRule>
    <cfRule type="cellIs" dxfId="15720" priority="14575" operator="equal">
      <formula>"Deferido"</formula>
    </cfRule>
    <cfRule type="cellIs" dxfId="15719" priority="14576" operator="equal">
      <formula>"Indeferido"</formula>
    </cfRule>
  </conditionalFormatting>
  <conditionalFormatting sqref="M135">
    <cfRule type="containsText" dxfId="15718" priority="14573" operator="containsText" text="Cancelado">
      <formula>NOT(ISERROR(SEARCH("Cancelado",M135)))</formula>
    </cfRule>
  </conditionalFormatting>
  <conditionalFormatting sqref="O135">
    <cfRule type="cellIs" dxfId="15717" priority="14570" operator="equal">
      <formula>"Tramitando"</formula>
    </cfRule>
    <cfRule type="cellIs" dxfId="15716" priority="14571" operator="equal">
      <formula>"Deferido"</formula>
    </cfRule>
    <cfRule type="cellIs" dxfId="15715" priority="14572" operator="equal">
      <formula>"Indeferido"</formula>
    </cfRule>
  </conditionalFormatting>
  <conditionalFormatting sqref="O135">
    <cfRule type="containsText" dxfId="15714" priority="14569" operator="containsText" text="Cancelado">
      <formula>NOT(ISERROR(SEARCH("Cancelado",O135)))</formula>
    </cfRule>
  </conditionalFormatting>
  <conditionalFormatting sqref="Q135">
    <cfRule type="cellIs" dxfId="15713" priority="14566" operator="equal">
      <formula>"Tramitando"</formula>
    </cfRule>
    <cfRule type="cellIs" dxfId="15712" priority="14567" operator="equal">
      <formula>"Deferido"</formula>
    </cfRule>
    <cfRule type="cellIs" dxfId="15711" priority="14568" operator="equal">
      <formula>"Indeferido"</formula>
    </cfRule>
  </conditionalFormatting>
  <conditionalFormatting sqref="Q135">
    <cfRule type="containsText" dxfId="15710" priority="14565" operator="containsText" text="Cancelado">
      <formula>NOT(ISERROR(SEARCH("Cancelado",Q135)))</formula>
    </cfRule>
  </conditionalFormatting>
  <conditionalFormatting sqref="S135">
    <cfRule type="cellIs" dxfId="15709" priority="14562" operator="equal">
      <formula>"Tramitando"</formula>
    </cfRule>
    <cfRule type="cellIs" dxfId="15708" priority="14563" operator="equal">
      <formula>"Deferido"</formula>
    </cfRule>
    <cfRule type="cellIs" dxfId="15707" priority="14564" operator="equal">
      <formula>"Indeferido"</formula>
    </cfRule>
  </conditionalFormatting>
  <conditionalFormatting sqref="S135">
    <cfRule type="containsText" dxfId="15706" priority="14561" operator="containsText" text="Cancelado">
      <formula>NOT(ISERROR(SEARCH("Cancelado",S135)))</formula>
    </cfRule>
  </conditionalFormatting>
  <conditionalFormatting sqref="J136">
    <cfRule type="cellIs" dxfId="15705" priority="14557" operator="equal">
      <formula>"Tramitando"</formula>
    </cfRule>
    <cfRule type="cellIs" dxfId="15704" priority="14558" operator="equal">
      <formula>"Deferido"</formula>
    </cfRule>
    <cfRule type="cellIs" dxfId="15703" priority="14559" operator="equal">
      <formula>"Indeferido"</formula>
    </cfRule>
  </conditionalFormatting>
  <conditionalFormatting sqref="J136">
    <cfRule type="containsText" dxfId="15702" priority="14556" operator="containsText" text="Cancelado">
      <formula>NOT(ISERROR(SEARCH("Cancelado",J136)))</formula>
    </cfRule>
  </conditionalFormatting>
  <conditionalFormatting sqref="M136">
    <cfRule type="cellIs" dxfId="15701" priority="14553" operator="equal">
      <formula>"Tramitando"</formula>
    </cfRule>
    <cfRule type="cellIs" dxfId="15700" priority="14554" operator="equal">
      <formula>"Deferido"</formula>
    </cfRule>
    <cfRule type="cellIs" dxfId="15699" priority="14555" operator="equal">
      <formula>"Indeferido"</formula>
    </cfRule>
  </conditionalFormatting>
  <conditionalFormatting sqref="M136">
    <cfRule type="containsText" dxfId="15698" priority="14552" operator="containsText" text="Cancelado">
      <formula>NOT(ISERROR(SEARCH("Cancelado",M136)))</formula>
    </cfRule>
  </conditionalFormatting>
  <conditionalFormatting sqref="O136">
    <cfRule type="cellIs" dxfId="15697" priority="14549" operator="equal">
      <formula>"Tramitando"</formula>
    </cfRule>
    <cfRule type="cellIs" dxfId="15696" priority="14550" operator="equal">
      <formula>"Deferido"</formula>
    </cfRule>
    <cfRule type="cellIs" dxfId="15695" priority="14551" operator="equal">
      <formula>"Indeferido"</formula>
    </cfRule>
  </conditionalFormatting>
  <conditionalFormatting sqref="O136">
    <cfRule type="containsText" dxfId="15694" priority="14548" operator="containsText" text="Cancelado">
      <formula>NOT(ISERROR(SEARCH("Cancelado",O136)))</formula>
    </cfRule>
  </conditionalFormatting>
  <conditionalFormatting sqref="Q136">
    <cfRule type="cellIs" dxfId="15693" priority="14545" operator="equal">
      <formula>"Tramitando"</formula>
    </cfRule>
    <cfRule type="cellIs" dxfId="15692" priority="14546" operator="equal">
      <formula>"Deferido"</formula>
    </cfRule>
    <cfRule type="cellIs" dxfId="15691" priority="14547" operator="equal">
      <formula>"Indeferido"</formula>
    </cfRule>
  </conditionalFormatting>
  <conditionalFormatting sqref="Q136">
    <cfRule type="containsText" dxfId="15690" priority="14544" operator="containsText" text="Cancelado">
      <formula>NOT(ISERROR(SEARCH("Cancelado",Q136)))</formula>
    </cfRule>
  </conditionalFormatting>
  <conditionalFormatting sqref="S136">
    <cfRule type="cellIs" dxfId="15689" priority="14541" operator="equal">
      <formula>"Tramitando"</formula>
    </cfRule>
    <cfRule type="cellIs" dxfId="15688" priority="14542" operator="equal">
      <formula>"Deferido"</formula>
    </cfRule>
    <cfRule type="cellIs" dxfId="15687" priority="14543" operator="equal">
      <formula>"Indeferido"</formula>
    </cfRule>
  </conditionalFormatting>
  <conditionalFormatting sqref="S136">
    <cfRule type="containsText" dxfId="15686" priority="14540" operator="containsText" text="Cancelado">
      <formula>NOT(ISERROR(SEARCH("Cancelado",S136)))</formula>
    </cfRule>
  </conditionalFormatting>
  <conditionalFormatting sqref="J137">
    <cfRule type="cellIs" dxfId="15685" priority="14536" operator="equal">
      <formula>"Tramitando"</formula>
    </cfRule>
    <cfRule type="cellIs" dxfId="15684" priority="14537" operator="equal">
      <formula>"Deferido"</formula>
    </cfRule>
    <cfRule type="cellIs" dxfId="15683" priority="14538" operator="equal">
      <formula>"Indeferido"</formula>
    </cfRule>
  </conditionalFormatting>
  <conditionalFormatting sqref="J137">
    <cfRule type="containsText" dxfId="15682" priority="14535" operator="containsText" text="Cancelado">
      <formula>NOT(ISERROR(SEARCH("Cancelado",J137)))</formula>
    </cfRule>
  </conditionalFormatting>
  <conditionalFormatting sqref="M137">
    <cfRule type="cellIs" dxfId="15681" priority="14532" operator="equal">
      <formula>"Tramitando"</formula>
    </cfRule>
    <cfRule type="cellIs" dxfId="15680" priority="14533" operator="equal">
      <formula>"Deferido"</formula>
    </cfRule>
    <cfRule type="cellIs" dxfId="15679" priority="14534" operator="equal">
      <formula>"Indeferido"</formula>
    </cfRule>
  </conditionalFormatting>
  <conditionalFormatting sqref="M137">
    <cfRule type="containsText" dxfId="15678" priority="14531" operator="containsText" text="Cancelado">
      <formula>NOT(ISERROR(SEARCH("Cancelado",M137)))</formula>
    </cfRule>
  </conditionalFormatting>
  <conditionalFormatting sqref="O137">
    <cfRule type="cellIs" dxfId="15677" priority="14528" operator="equal">
      <formula>"Tramitando"</formula>
    </cfRule>
    <cfRule type="cellIs" dxfId="15676" priority="14529" operator="equal">
      <formula>"Deferido"</formula>
    </cfRule>
    <cfRule type="cellIs" dxfId="15675" priority="14530" operator="equal">
      <formula>"Indeferido"</formula>
    </cfRule>
  </conditionalFormatting>
  <conditionalFormatting sqref="O137">
    <cfRule type="containsText" dxfId="15674" priority="14527" operator="containsText" text="Cancelado">
      <formula>NOT(ISERROR(SEARCH("Cancelado",O137)))</formula>
    </cfRule>
  </conditionalFormatting>
  <conditionalFormatting sqref="Q137">
    <cfRule type="cellIs" dxfId="15673" priority="14524" operator="equal">
      <formula>"Tramitando"</formula>
    </cfRule>
    <cfRule type="cellIs" dxfId="15672" priority="14525" operator="equal">
      <formula>"Deferido"</formula>
    </cfRule>
    <cfRule type="cellIs" dxfId="15671" priority="14526" operator="equal">
      <formula>"Indeferido"</formula>
    </cfRule>
  </conditionalFormatting>
  <conditionalFormatting sqref="Q137">
    <cfRule type="containsText" dxfId="15670" priority="14523" operator="containsText" text="Cancelado">
      <formula>NOT(ISERROR(SEARCH("Cancelado",Q137)))</formula>
    </cfRule>
  </conditionalFormatting>
  <conditionalFormatting sqref="S137">
    <cfRule type="cellIs" dxfId="15669" priority="14520" operator="equal">
      <formula>"Tramitando"</formula>
    </cfRule>
    <cfRule type="cellIs" dxfId="15668" priority="14521" operator="equal">
      <formula>"Deferido"</formula>
    </cfRule>
    <cfRule type="cellIs" dxfId="15667" priority="14522" operator="equal">
      <formula>"Indeferido"</formula>
    </cfRule>
  </conditionalFormatting>
  <conditionalFormatting sqref="S137">
    <cfRule type="containsText" dxfId="15666" priority="14519" operator="containsText" text="Cancelado">
      <formula>NOT(ISERROR(SEARCH("Cancelado",S137)))</formula>
    </cfRule>
  </conditionalFormatting>
  <conditionalFormatting sqref="J138:J143">
    <cfRule type="cellIs" dxfId="15665" priority="14515" operator="equal">
      <formula>"Tramitando"</formula>
    </cfRule>
    <cfRule type="cellIs" dxfId="15664" priority="14516" operator="equal">
      <formula>"Deferido"</formula>
    </cfRule>
    <cfRule type="cellIs" dxfId="15663" priority="14517" operator="equal">
      <formula>"Indeferido"</formula>
    </cfRule>
  </conditionalFormatting>
  <conditionalFormatting sqref="J138:J143">
    <cfRule type="containsText" dxfId="15662" priority="14514" operator="containsText" text="Cancelado">
      <formula>NOT(ISERROR(SEARCH("Cancelado",J138)))</formula>
    </cfRule>
  </conditionalFormatting>
  <conditionalFormatting sqref="M138">
    <cfRule type="cellIs" dxfId="15661" priority="14511" operator="equal">
      <formula>"Tramitando"</formula>
    </cfRule>
    <cfRule type="cellIs" dxfId="15660" priority="14512" operator="equal">
      <formula>"Deferido"</formula>
    </cfRule>
    <cfRule type="cellIs" dxfId="15659" priority="14513" operator="equal">
      <formula>"Indeferido"</formula>
    </cfRule>
  </conditionalFormatting>
  <conditionalFormatting sqref="M138">
    <cfRule type="containsText" dxfId="15658" priority="14510" operator="containsText" text="Cancelado">
      <formula>NOT(ISERROR(SEARCH("Cancelado",M138)))</formula>
    </cfRule>
  </conditionalFormatting>
  <conditionalFormatting sqref="O138">
    <cfRule type="cellIs" dxfId="15657" priority="14507" operator="equal">
      <formula>"Tramitando"</formula>
    </cfRule>
    <cfRule type="cellIs" dxfId="15656" priority="14508" operator="equal">
      <formula>"Deferido"</formula>
    </cfRule>
    <cfRule type="cellIs" dxfId="15655" priority="14509" operator="equal">
      <formula>"Indeferido"</formula>
    </cfRule>
  </conditionalFormatting>
  <conditionalFormatting sqref="O138">
    <cfRule type="containsText" dxfId="15654" priority="14506" operator="containsText" text="Cancelado">
      <formula>NOT(ISERROR(SEARCH("Cancelado",O138)))</formula>
    </cfRule>
  </conditionalFormatting>
  <conditionalFormatting sqref="Q138">
    <cfRule type="cellIs" dxfId="15653" priority="14503" operator="equal">
      <formula>"Tramitando"</formula>
    </cfRule>
    <cfRule type="cellIs" dxfId="15652" priority="14504" operator="equal">
      <formula>"Deferido"</formula>
    </cfRule>
    <cfRule type="cellIs" dxfId="15651" priority="14505" operator="equal">
      <formula>"Indeferido"</formula>
    </cfRule>
  </conditionalFormatting>
  <conditionalFormatting sqref="Q138">
    <cfRule type="containsText" dxfId="15650" priority="14502" operator="containsText" text="Cancelado">
      <formula>NOT(ISERROR(SEARCH("Cancelado",Q138)))</formula>
    </cfRule>
  </conditionalFormatting>
  <conditionalFormatting sqref="S138">
    <cfRule type="cellIs" dxfId="15649" priority="14499" operator="equal">
      <formula>"Tramitando"</formula>
    </cfRule>
    <cfRule type="cellIs" dxfId="15648" priority="14500" operator="equal">
      <formula>"Deferido"</formula>
    </cfRule>
    <cfRule type="cellIs" dxfId="15647" priority="14501" operator="equal">
      <formula>"Indeferido"</formula>
    </cfRule>
  </conditionalFormatting>
  <conditionalFormatting sqref="S138">
    <cfRule type="containsText" dxfId="15646" priority="14498" operator="containsText" text="Cancelado">
      <formula>NOT(ISERROR(SEARCH("Cancelado",S138)))</formula>
    </cfRule>
  </conditionalFormatting>
  <conditionalFormatting sqref="M139">
    <cfRule type="cellIs" dxfId="15645" priority="14490" operator="equal">
      <formula>"Tramitando"</formula>
    </cfRule>
    <cfRule type="cellIs" dxfId="15644" priority="14491" operator="equal">
      <formula>"Deferido"</formula>
    </cfRule>
    <cfRule type="cellIs" dxfId="15643" priority="14492" operator="equal">
      <formula>"Indeferido"</formula>
    </cfRule>
  </conditionalFormatting>
  <conditionalFormatting sqref="M139">
    <cfRule type="containsText" dxfId="15642" priority="14489" operator="containsText" text="Cancelado">
      <formula>NOT(ISERROR(SEARCH("Cancelado",M139)))</formula>
    </cfRule>
  </conditionalFormatting>
  <conditionalFormatting sqref="O139">
    <cfRule type="cellIs" dxfId="15641" priority="14486" operator="equal">
      <formula>"Tramitando"</formula>
    </cfRule>
    <cfRule type="cellIs" dxfId="15640" priority="14487" operator="equal">
      <formula>"Deferido"</formula>
    </cfRule>
    <cfRule type="cellIs" dxfId="15639" priority="14488" operator="equal">
      <formula>"Indeferido"</formula>
    </cfRule>
  </conditionalFormatting>
  <conditionalFormatting sqref="O139">
    <cfRule type="containsText" dxfId="15638" priority="14485" operator="containsText" text="Cancelado">
      <formula>NOT(ISERROR(SEARCH("Cancelado",O139)))</formula>
    </cfRule>
  </conditionalFormatting>
  <conditionalFormatting sqref="Q139">
    <cfRule type="cellIs" dxfId="15637" priority="14482" operator="equal">
      <formula>"Tramitando"</formula>
    </cfRule>
    <cfRule type="cellIs" dxfId="15636" priority="14483" operator="equal">
      <formula>"Deferido"</formula>
    </cfRule>
    <cfRule type="cellIs" dxfId="15635" priority="14484" operator="equal">
      <formula>"Indeferido"</formula>
    </cfRule>
  </conditionalFormatting>
  <conditionalFormatting sqref="Q139">
    <cfRule type="containsText" dxfId="15634" priority="14481" operator="containsText" text="Cancelado">
      <formula>NOT(ISERROR(SEARCH("Cancelado",Q139)))</formula>
    </cfRule>
  </conditionalFormatting>
  <conditionalFormatting sqref="S139">
    <cfRule type="cellIs" dxfId="15633" priority="14478" operator="equal">
      <formula>"Tramitando"</formula>
    </cfRule>
    <cfRule type="cellIs" dxfId="15632" priority="14479" operator="equal">
      <formula>"Deferido"</formula>
    </cfRule>
    <cfRule type="cellIs" dxfId="15631" priority="14480" operator="equal">
      <formula>"Indeferido"</formula>
    </cfRule>
  </conditionalFormatting>
  <conditionalFormatting sqref="S139">
    <cfRule type="containsText" dxfId="15630" priority="14477" operator="containsText" text="Cancelado">
      <formula>NOT(ISERROR(SEARCH("Cancelado",S139)))</formula>
    </cfRule>
  </conditionalFormatting>
  <conditionalFormatting sqref="M140">
    <cfRule type="cellIs" dxfId="15629" priority="14469" operator="equal">
      <formula>"Tramitando"</formula>
    </cfRule>
    <cfRule type="cellIs" dxfId="15628" priority="14470" operator="equal">
      <formula>"Deferido"</formula>
    </cfRule>
    <cfRule type="cellIs" dxfId="15627" priority="14471" operator="equal">
      <formula>"Indeferido"</formula>
    </cfRule>
  </conditionalFormatting>
  <conditionalFormatting sqref="M140">
    <cfRule type="containsText" dxfId="15626" priority="14468" operator="containsText" text="Cancelado">
      <formula>NOT(ISERROR(SEARCH("Cancelado",M140)))</formula>
    </cfRule>
  </conditionalFormatting>
  <conditionalFormatting sqref="O140">
    <cfRule type="cellIs" dxfId="15625" priority="14465" operator="equal">
      <formula>"Tramitando"</formula>
    </cfRule>
    <cfRule type="cellIs" dxfId="15624" priority="14466" operator="equal">
      <formula>"Deferido"</formula>
    </cfRule>
    <cfRule type="cellIs" dxfId="15623" priority="14467" operator="equal">
      <formula>"Indeferido"</formula>
    </cfRule>
  </conditionalFormatting>
  <conditionalFormatting sqref="O140">
    <cfRule type="containsText" dxfId="15622" priority="14464" operator="containsText" text="Cancelado">
      <formula>NOT(ISERROR(SEARCH("Cancelado",O140)))</formula>
    </cfRule>
  </conditionalFormatting>
  <conditionalFormatting sqref="Q140">
    <cfRule type="cellIs" dxfId="15621" priority="14461" operator="equal">
      <formula>"Tramitando"</formula>
    </cfRule>
    <cfRule type="cellIs" dxfId="15620" priority="14462" operator="equal">
      <formula>"Deferido"</formula>
    </cfRule>
    <cfRule type="cellIs" dxfId="15619" priority="14463" operator="equal">
      <formula>"Indeferido"</formula>
    </cfRule>
  </conditionalFormatting>
  <conditionalFormatting sqref="Q140">
    <cfRule type="containsText" dxfId="15618" priority="14460" operator="containsText" text="Cancelado">
      <formula>NOT(ISERROR(SEARCH("Cancelado",Q140)))</formula>
    </cfRule>
  </conditionalFormatting>
  <conditionalFormatting sqref="S140">
    <cfRule type="cellIs" dxfId="15617" priority="14457" operator="equal">
      <formula>"Tramitando"</formula>
    </cfRule>
    <cfRule type="cellIs" dxfId="15616" priority="14458" operator="equal">
      <formula>"Deferido"</formula>
    </cfRule>
    <cfRule type="cellIs" dxfId="15615" priority="14459" operator="equal">
      <formula>"Indeferido"</formula>
    </cfRule>
  </conditionalFormatting>
  <conditionalFormatting sqref="S140">
    <cfRule type="containsText" dxfId="15614" priority="14456" operator="containsText" text="Cancelado">
      <formula>NOT(ISERROR(SEARCH("Cancelado",S140)))</formula>
    </cfRule>
  </conditionalFormatting>
  <conditionalFormatting sqref="M141">
    <cfRule type="cellIs" dxfId="15613" priority="14448" operator="equal">
      <formula>"Tramitando"</formula>
    </cfRule>
    <cfRule type="cellIs" dxfId="15612" priority="14449" operator="equal">
      <formula>"Deferido"</formula>
    </cfRule>
    <cfRule type="cellIs" dxfId="15611" priority="14450" operator="equal">
      <formula>"Indeferido"</formula>
    </cfRule>
  </conditionalFormatting>
  <conditionalFormatting sqref="M141">
    <cfRule type="containsText" dxfId="15610" priority="14447" operator="containsText" text="Cancelado">
      <formula>NOT(ISERROR(SEARCH("Cancelado",M141)))</formula>
    </cfRule>
  </conditionalFormatting>
  <conditionalFormatting sqref="O141">
    <cfRule type="cellIs" dxfId="15609" priority="14444" operator="equal">
      <formula>"Tramitando"</formula>
    </cfRule>
    <cfRule type="cellIs" dxfId="15608" priority="14445" operator="equal">
      <formula>"Deferido"</formula>
    </cfRule>
    <cfRule type="cellIs" dxfId="15607" priority="14446" operator="equal">
      <formula>"Indeferido"</formula>
    </cfRule>
  </conditionalFormatting>
  <conditionalFormatting sqref="O141">
    <cfRule type="containsText" dxfId="15606" priority="14443" operator="containsText" text="Cancelado">
      <formula>NOT(ISERROR(SEARCH("Cancelado",O141)))</formula>
    </cfRule>
  </conditionalFormatting>
  <conditionalFormatting sqref="Q141">
    <cfRule type="cellIs" dxfId="15605" priority="14440" operator="equal">
      <formula>"Tramitando"</formula>
    </cfRule>
    <cfRule type="cellIs" dxfId="15604" priority="14441" operator="equal">
      <formula>"Deferido"</formula>
    </cfRule>
    <cfRule type="cellIs" dxfId="15603" priority="14442" operator="equal">
      <formula>"Indeferido"</formula>
    </cfRule>
  </conditionalFormatting>
  <conditionalFormatting sqref="Q141">
    <cfRule type="containsText" dxfId="15602" priority="14439" operator="containsText" text="Cancelado">
      <formula>NOT(ISERROR(SEARCH("Cancelado",Q141)))</formula>
    </cfRule>
  </conditionalFormatting>
  <conditionalFormatting sqref="S141">
    <cfRule type="cellIs" dxfId="15601" priority="14436" operator="equal">
      <formula>"Tramitando"</formula>
    </cfRule>
    <cfRule type="cellIs" dxfId="15600" priority="14437" operator="equal">
      <formula>"Deferido"</formula>
    </cfRule>
    <cfRule type="cellIs" dxfId="15599" priority="14438" operator="equal">
      <formula>"Indeferido"</formula>
    </cfRule>
  </conditionalFormatting>
  <conditionalFormatting sqref="S141">
    <cfRule type="containsText" dxfId="15598" priority="14435" operator="containsText" text="Cancelado">
      <formula>NOT(ISERROR(SEARCH("Cancelado",S141)))</formula>
    </cfRule>
  </conditionalFormatting>
  <conditionalFormatting sqref="M142">
    <cfRule type="cellIs" dxfId="15597" priority="14425" operator="equal">
      <formula>"Tramitando"</formula>
    </cfRule>
    <cfRule type="cellIs" dxfId="15596" priority="14426" operator="equal">
      <formula>"Deferido"</formula>
    </cfRule>
    <cfRule type="cellIs" dxfId="15595" priority="14427" operator="equal">
      <formula>"Indeferido"</formula>
    </cfRule>
  </conditionalFormatting>
  <conditionalFormatting sqref="M142">
    <cfRule type="containsText" dxfId="15594" priority="14424" operator="containsText" text="Cancelado">
      <formula>NOT(ISERROR(SEARCH("Cancelado",M142)))</formula>
    </cfRule>
  </conditionalFormatting>
  <conditionalFormatting sqref="O142">
    <cfRule type="cellIs" dxfId="15593" priority="14421" operator="equal">
      <formula>"Tramitando"</formula>
    </cfRule>
    <cfRule type="cellIs" dxfId="15592" priority="14422" operator="equal">
      <formula>"Deferido"</formula>
    </cfRule>
    <cfRule type="cellIs" dxfId="15591" priority="14423" operator="equal">
      <formula>"Indeferido"</formula>
    </cfRule>
  </conditionalFormatting>
  <conditionalFormatting sqref="O142">
    <cfRule type="containsText" dxfId="15590" priority="14420" operator="containsText" text="Cancelado">
      <formula>NOT(ISERROR(SEARCH("Cancelado",O142)))</formula>
    </cfRule>
  </conditionalFormatting>
  <conditionalFormatting sqref="Q142">
    <cfRule type="cellIs" dxfId="15589" priority="14417" operator="equal">
      <formula>"Tramitando"</formula>
    </cfRule>
    <cfRule type="cellIs" dxfId="15588" priority="14418" operator="equal">
      <formula>"Deferido"</formula>
    </cfRule>
    <cfRule type="cellIs" dxfId="15587" priority="14419" operator="equal">
      <formula>"Indeferido"</formula>
    </cfRule>
  </conditionalFormatting>
  <conditionalFormatting sqref="Q142">
    <cfRule type="containsText" dxfId="15586" priority="14416" operator="containsText" text="Cancelado">
      <formula>NOT(ISERROR(SEARCH("Cancelado",Q142)))</formula>
    </cfRule>
  </conditionalFormatting>
  <conditionalFormatting sqref="S142">
    <cfRule type="cellIs" dxfId="15585" priority="14413" operator="equal">
      <formula>"Tramitando"</formula>
    </cfRule>
    <cfRule type="cellIs" dxfId="15584" priority="14414" operator="equal">
      <formula>"Deferido"</formula>
    </cfRule>
    <cfRule type="cellIs" dxfId="15583" priority="14415" operator="equal">
      <formula>"Indeferido"</formula>
    </cfRule>
  </conditionalFormatting>
  <conditionalFormatting sqref="S142">
    <cfRule type="containsText" dxfId="15582" priority="14412" operator="containsText" text="Cancelado">
      <formula>NOT(ISERROR(SEARCH("Cancelado",S142)))</formula>
    </cfRule>
  </conditionalFormatting>
  <conditionalFormatting sqref="M143">
    <cfRule type="cellIs" dxfId="15581" priority="14404" operator="equal">
      <formula>"Tramitando"</formula>
    </cfRule>
    <cfRule type="cellIs" dxfId="15580" priority="14405" operator="equal">
      <formula>"Deferido"</formula>
    </cfRule>
    <cfRule type="cellIs" dxfId="15579" priority="14406" operator="equal">
      <formula>"Indeferido"</formula>
    </cfRule>
  </conditionalFormatting>
  <conditionalFormatting sqref="M143">
    <cfRule type="containsText" dxfId="15578" priority="14403" operator="containsText" text="Cancelado">
      <formula>NOT(ISERROR(SEARCH("Cancelado",M143)))</formula>
    </cfRule>
  </conditionalFormatting>
  <conditionalFormatting sqref="O143">
    <cfRule type="cellIs" dxfId="15577" priority="14400" operator="equal">
      <formula>"Tramitando"</formula>
    </cfRule>
    <cfRule type="cellIs" dxfId="15576" priority="14401" operator="equal">
      <formula>"Deferido"</formula>
    </cfRule>
    <cfRule type="cellIs" dxfId="15575" priority="14402" operator="equal">
      <formula>"Indeferido"</formula>
    </cfRule>
  </conditionalFormatting>
  <conditionalFormatting sqref="O143">
    <cfRule type="containsText" dxfId="15574" priority="14399" operator="containsText" text="Cancelado">
      <formula>NOT(ISERROR(SEARCH("Cancelado",O143)))</formula>
    </cfRule>
  </conditionalFormatting>
  <conditionalFormatting sqref="Q143">
    <cfRule type="cellIs" dxfId="15573" priority="14396" operator="equal">
      <formula>"Tramitando"</formula>
    </cfRule>
    <cfRule type="cellIs" dxfId="15572" priority="14397" operator="equal">
      <formula>"Deferido"</formula>
    </cfRule>
    <cfRule type="cellIs" dxfId="15571" priority="14398" operator="equal">
      <formula>"Indeferido"</formula>
    </cfRule>
  </conditionalFormatting>
  <conditionalFormatting sqref="Q143">
    <cfRule type="containsText" dxfId="15570" priority="14395" operator="containsText" text="Cancelado">
      <formula>NOT(ISERROR(SEARCH("Cancelado",Q143)))</formula>
    </cfRule>
  </conditionalFormatting>
  <conditionalFormatting sqref="S143">
    <cfRule type="cellIs" dxfId="15569" priority="14392" operator="equal">
      <formula>"Tramitando"</formula>
    </cfRule>
    <cfRule type="cellIs" dxfId="15568" priority="14393" operator="equal">
      <formula>"Deferido"</formula>
    </cfRule>
    <cfRule type="cellIs" dxfId="15567" priority="14394" operator="equal">
      <formula>"Indeferido"</formula>
    </cfRule>
  </conditionalFormatting>
  <conditionalFormatting sqref="S143">
    <cfRule type="containsText" dxfId="15566" priority="14391" operator="containsText" text="Cancelado">
      <formula>NOT(ISERROR(SEARCH("Cancelado",S143)))</formula>
    </cfRule>
  </conditionalFormatting>
  <conditionalFormatting sqref="J144:J145">
    <cfRule type="cellIs" dxfId="15565" priority="14387" operator="equal">
      <formula>"Tramitando"</formula>
    </cfRule>
    <cfRule type="cellIs" dxfId="15564" priority="14388" operator="equal">
      <formula>"Deferido"</formula>
    </cfRule>
    <cfRule type="cellIs" dxfId="15563" priority="14389" operator="equal">
      <formula>"Indeferido"</formula>
    </cfRule>
  </conditionalFormatting>
  <conditionalFormatting sqref="J144:J145">
    <cfRule type="containsText" dxfId="15562" priority="14386" operator="containsText" text="Cancelado">
      <formula>NOT(ISERROR(SEARCH("Cancelado",J144)))</formula>
    </cfRule>
  </conditionalFormatting>
  <conditionalFormatting sqref="M144:M145">
    <cfRule type="cellIs" dxfId="15561" priority="14383" operator="equal">
      <formula>"Tramitando"</formula>
    </cfRule>
    <cfRule type="cellIs" dxfId="15560" priority="14384" operator="equal">
      <formula>"Deferido"</formula>
    </cfRule>
    <cfRule type="cellIs" dxfId="15559" priority="14385" operator="equal">
      <formula>"Indeferido"</formula>
    </cfRule>
  </conditionalFormatting>
  <conditionalFormatting sqref="M144:M145">
    <cfRule type="containsText" dxfId="15558" priority="14382" operator="containsText" text="Cancelado">
      <formula>NOT(ISERROR(SEARCH("Cancelado",M144)))</formula>
    </cfRule>
  </conditionalFormatting>
  <conditionalFormatting sqref="O144:O145">
    <cfRule type="cellIs" dxfId="15557" priority="14379" operator="equal">
      <formula>"Tramitando"</formula>
    </cfRule>
    <cfRule type="cellIs" dxfId="15556" priority="14380" operator="equal">
      <formula>"Deferido"</formula>
    </cfRule>
    <cfRule type="cellIs" dxfId="15555" priority="14381" operator="equal">
      <formula>"Indeferido"</formula>
    </cfRule>
  </conditionalFormatting>
  <conditionalFormatting sqref="O144:O145">
    <cfRule type="containsText" dxfId="15554" priority="14378" operator="containsText" text="Cancelado">
      <formula>NOT(ISERROR(SEARCH("Cancelado",O144)))</formula>
    </cfRule>
  </conditionalFormatting>
  <conditionalFormatting sqref="Q144:Q145">
    <cfRule type="cellIs" dxfId="15553" priority="14375" operator="equal">
      <formula>"Tramitando"</formula>
    </cfRule>
    <cfRule type="cellIs" dxfId="15552" priority="14376" operator="equal">
      <formula>"Deferido"</formula>
    </cfRule>
    <cfRule type="cellIs" dxfId="15551" priority="14377" operator="equal">
      <formula>"Indeferido"</formula>
    </cfRule>
  </conditionalFormatting>
  <conditionalFormatting sqref="Q144:Q145">
    <cfRule type="containsText" dxfId="15550" priority="14374" operator="containsText" text="Cancelado">
      <formula>NOT(ISERROR(SEARCH("Cancelado",Q144)))</formula>
    </cfRule>
  </conditionalFormatting>
  <conditionalFormatting sqref="S144:S145">
    <cfRule type="cellIs" dxfId="15549" priority="14371" operator="equal">
      <formula>"Tramitando"</formula>
    </cfRule>
    <cfRule type="cellIs" dxfId="15548" priority="14372" operator="equal">
      <formula>"Deferido"</formula>
    </cfRule>
    <cfRule type="cellIs" dxfId="15547" priority="14373" operator="equal">
      <formula>"Indeferido"</formula>
    </cfRule>
  </conditionalFormatting>
  <conditionalFormatting sqref="S144:S145">
    <cfRule type="containsText" dxfId="15546" priority="14370" operator="containsText" text="Cancelado">
      <formula>NOT(ISERROR(SEARCH("Cancelado",S144)))</formula>
    </cfRule>
  </conditionalFormatting>
  <conditionalFormatting sqref="J146">
    <cfRule type="cellIs" dxfId="15545" priority="14366" operator="equal">
      <formula>"Tramitando"</formula>
    </cfRule>
    <cfRule type="cellIs" dxfId="15544" priority="14367" operator="equal">
      <formula>"Deferido"</formula>
    </cfRule>
    <cfRule type="cellIs" dxfId="15543" priority="14368" operator="equal">
      <formula>"Indeferido"</formula>
    </cfRule>
  </conditionalFormatting>
  <conditionalFormatting sqref="J146">
    <cfRule type="containsText" dxfId="15542" priority="14365" operator="containsText" text="Cancelado">
      <formula>NOT(ISERROR(SEARCH("Cancelado",J146)))</formula>
    </cfRule>
  </conditionalFormatting>
  <conditionalFormatting sqref="M146">
    <cfRule type="cellIs" dxfId="15541" priority="14362" operator="equal">
      <formula>"Tramitando"</formula>
    </cfRule>
    <cfRule type="cellIs" dxfId="15540" priority="14363" operator="equal">
      <formula>"Deferido"</formula>
    </cfRule>
    <cfRule type="cellIs" dxfId="15539" priority="14364" operator="equal">
      <formula>"Indeferido"</formula>
    </cfRule>
  </conditionalFormatting>
  <conditionalFormatting sqref="M146">
    <cfRule type="containsText" dxfId="15538" priority="14361" operator="containsText" text="Cancelado">
      <formula>NOT(ISERROR(SEARCH("Cancelado",M146)))</formula>
    </cfRule>
  </conditionalFormatting>
  <conditionalFormatting sqref="O146">
    <cfRule type="cellIs" dxfId="15537" priority="14358" operator="equal">
      <formula>"Tramitando"</formula>
    </cfRule>
    <cfRule type="cellIs" dxfId="15536" priority="14359" operator="equal">
      <formula>"Deferido"</formula>
    </cfRule>
    <cfRule type="cellIs" dxfId="15535" priority="14360" operator="equal">
      <formula>"Indeferido"</formula>
    </cfRule>
  </conditionalFormatting>
  <conditionalFormatting sqref="O146">
    <cfRule type="containsText" dxfId="15534" priority="14357" operator="containsText" text="Cancelado">
      <formula>NOT(ISERROR(SEARCH("Cancelado",O146)))</formula>
    </cfRule>
  </conditionalFormatting>
  <conditionalFormatting sqref="Q146">
    <cfRule type="cellIs" dxfId="15533" priority="14354" operator="equal">
      <formula>"Tramitando"</formula>
    </cfRule>
    <cfRule type="cellIs" dxfId="15532" priority="14355" operator="equal">
      <formula>"Deferido"</formula>
    </cfRule>
    <cfRule type="cellIs" dxfId="15531" priority="14356" operator="equal">
      <formula>"Indeferido"</formula>
    </cfRule>
  </conditionalFormatting>
  <conditionalFormatting sqref="Q146">
    <cfRule type="containsText" dxfId="15530" priority="14353" operator="containsText" text="Cancelado">
      <formula>NOT(ISERROR(SEARCH("Cancelado",Q146)))</formula>
    </cfRule>
  </conditionalFormatting>
  <conditionalFormatting sqref="S146">
    <cfRule type="cellIs" dxfId="15529" priority="14350" operator="equal">
      <formula>"Tramitando"</formula>
    </cfRule>
    <cfRule type="cellIs" dxfId="15528" priority="14351" operator="equal">
      <formula>"Deferido"</formula>
    </cfRule>
    <cfRule type="cellIs" dxfId="15527" priority="14352" operator="equal">
      <formula>"Indeferido"</formula>
    </cfRule>
  </conditionalFormatting>
  <conditionalFormatting sqref="S146">
    <cfRule type="containsText" dxfId="15526" priority="14349" operator="containsText" text="Cancelado">
      <formula>NOT(ISERROR(SEARCH("Cancelado",S146)))</formula>
    </cfRule>
  </conditionalFormatting>
  <conditionalFormatting sqref="J147">
    <cfRule type="cellIs" dxfId="15525" priority="14345" operator="equal">
      <formula>"Tramitando"</formula>
    </cfRule>
    <cfRule type="cellIs" dxfId="15524" priority="14346" operator="equal">
      <formula>"Deferido"</formula>
    </cfRule>
    <cfRule type="cellIs" dxfId="15523" priority="14347" operator="equal">
      <formula>"Indeferido"</formula>
    </cfRule>
  </conditionalFormatting>
  <conditionalFormatting sqref="J147">
    <cfRule type="containsText" dxfId="15522" priority="14344" operator="containsText" text="Cancelado">
      <formula>NOT(ISERROR(SEARCH("Cancelado",J147)))</formula>
    </cfRule>
  </conditionalFormatting>
  <conditionalFormatting sqref="M147">
    <cfRule type="cellIs" dxfId="15521" priority="14341" operator="equal">
      <formula>"Tramitando"</formula>
    </cfRule>
    <cfRule type="cellIs" dxfId="15520" priority="14342" operator="equal">
      <formula>"Deferido"</formula>
    </cfRule>
    <cfRule type="cellIs" dxfId="15519" priority="14343" operator="equal">
      <formula>"Indeferido"</formula>
    </cfRule>
  </conditionalFormatting>
  <conditionalFormatting sqref="M147">
    <cfRule type="containsText" dxfId="15518" priority="14340" operator="containsText" text="Cancelado">
      <formula>NOT(ISERROR(SEARCH("Cancelado",M147)))</formula>
    </cfRule>
  </conditionalFormatting>
  <conditionalFormatting sqref="O147">
    <cfRule type="cellIs" dxfId="15517" priority="14337" operator="equal">
      <formula>"Tramitando"</formula>
    </cfRule>
    <cfRule type="cellIs" dxfId="15516" priority="14338" operator="equal">
      <formula>"Deferido"</formula>
    </cfRule>
    <cfRule type="cellIs" dxfId="15515" priority="14339" operator="equal">
      <formula>"Indeferido"</formula>
    </cfRule>
  </conditionalFormatting>
  <conditionalFormatting sqref="O147">
    <cfRule type="containsText" dxfId="15514" priority="14336" operator="containsText" text="Cancelado">
      <formula>NOT(ISERROR(SEARCH("Cancelado",O147)))</formula>
    </cfRule>
  </conditionalFormatting>
  <conditionalFormatting sqref="Q147">
    <cfRule type="cellIs" dxfId="15513" priority="14333" operator="equal">
      <formula>"Tramitando"</formula>
    </cfRule>
    <cfRule type="cellIs" dxfId="15512" priority="14334" operator="equal">
      <formula>"Deferido"</formula>
    </cfRule>
    <cfRule type="cellIs" dxfId="15511" priority="14335" operator="equal">
      <formula>"Indeferido"</formula>
    </cfRule>
  </conditionalFormatting>
  <conditionalFormatting sqref="Q147">
    <cfRule type="containsText" dxfId="15510" priority="14332" operator="containsText" text="Cancelado">
      <formula>NOT(ISERROR(SEARCH("Cancelado",Q147)))</formula>
    </cfRule>
  </conditionalFormatting>
  <conditionalFormatting sqref="S147">
    <cfRule type="cellIs" dxfId="15509" priority="14329" operator="equal">
      <formula>"Tramitando"</formula>
    </cfRule>
    <cfRule type="cellIs" dxfId="15508" priority="14330" operator="equal">
      <formula>"Deferido"</formula>
    </cfRule>
    <cfRule type="cellIs" dxfId="15507" priority="14331" operator="equal">
      <formula>"Indeferido"</formula>
    </cfRule>
  </conditionalFormatting>
  <conditionalFormatting sqref="S147">
    <cfRule type="containsText" dxfId="15506" priority="14328" operator="containsText" text="Cancelado">
      <formula>NOT(ISERROR(SEARCH("Cancelado",S147)))</formula>
    </cfRule>
  </conditionalFormatting>
  <conditionalFormatting sqref="J148">
    <cfRule type="cellIs" dxfId="15505" priority="14324" operator="equal">
      <formula>"Tramitando"</formula>
    </cfRule>
    <cfRule type="cellIs" dxfId="15504" priority="14325" operator="equal">
      <formula>"Deferido"</formula>
    </cfRule>
    <cfRule type="cellIs" dxfId="15503" priority="14326" operator="equal">
      <formula>"Indeferido"</formula>
    </cfRule>
  </conditionalFormatting>
  <conditionalFormatting sqref="J148">
    <cfRule type="containsText" dxfId="15502" priority="14323" operator="containsText" text="Cancelado">
      <formula>NOT(ISERROR(SEARCH("Cancelado",J148)))</formula>
    </cfRule>
  </conditionalFormatting>
  <conditionalFormatting sqref="M148">
    <cfRule type="cellIs" dxfId="15501" priority="14320" operator="equal">
      <formula>"Tramitando"</formula>
    </cfRule>
    <cfRule type="cellIs" dxfId="15500" priority="14321" operator="equal">
      <formula>"Deferido"</formula>
    </cfRule>
    <cfRule type="cellIs" dxfId="15499" priority="14322" operator="equal">
      <formula>"Indeferido"</formula>
    </cfRule>
  </conditionalFormatting>
  <conditionalFormatting sqref="M148">
    <cfRule type="containsText" dxfId="15498" priority="14319" operator="containsText" text="Cancelado">
      <formula>NOT(ISERROR(SEARCH("Cancelado",M148)))</formula>
    </cfRule>
  </conditionalFormatting>
  <conditionalFormatting sqref="O148">
    <cfRule type="cellIs" dxfId="15497" priority="14316" operator="equal">
      <formula>"Tramitando"</formula>
    </cfRule>
    <cfRule type="cellIs" dxfId="15496" priority="14317" operator="equal">
      <formula>"Deferido"</formula>
    </cfRule>
    <cfRule type="cellIs" dxfId="15495" priority="14318" operator="equal">
      <formula>"Indeferido"</formula>
    </cfRule>
  </conditionalFormatting>
  <conditionalFormatting sqref="O148">
    <cfRule type="containsText" dxfId="15494" priority="14315" operator="containsText" text="Cancelado">
      <formula>NOT(ISERROR(SEARCH("Cancelado",O148)))</formula>
    </cfRule>
  </conditionalFormatting>
  <conditionalFormatting sqref="Q148">
    <cfRule type="cellIs" dxfId="15493" priority="14312" operator="equal">
      <formula>"Tramitando"</formula>
    </cfRule>
    <cfRule type="cellIs" dxfId="15492" priority="14313" operator="equal">
      <formula>"Deferido"</formula>
    </cfRule>
    <cfRule type="cellIs" dxfId="15491" priority="14314" operator="equal">
      <formula>"Indeferido"</formula>
    </cfRule>
  </conditionalFormatting>
  <conditionalFormatting sqref="Q148">
    <cfRule type="containsText" dxfId="15490" priority="14311" operator="containsText" text="Cancelado">
      <formula>NOT(ISERROR(SEARCH("Cancelado",Q148)))</formula>
    </cfRule>
  </conditionalFormatting>
  <conditionalFormatting sqref="S148">
    <cfRule type="cellIs" dxfId="15489" priority="14308" operator="equal">
      <formula>"Tramitando"</formula>
    </cfRule>
    <cfRule type="cellIs" dxfId="15488" priority="14309" operator="equal">
      <formula>"Deferido"</formula>
    </cfRule>
    <cfRule type="cellIs" dxfId="15487" priority="14310" operator="equal">
      <formula>"Indeferido"</formula>
    </cfRule>
  </conditionalFormatting>
  <conditionalFormatting sqref="S148">
    <cfRule type="containsText" dxfId="15486" priority="14307" operator="containsText" text="Cancelado">
      <formula>NOT(ISERROR(SEARCH("Cancelado",S148)))</formula>
    </cfRule>
  </conditionalFormatting>
  <conditionalFormatting sqref="J149">
    <cfRule type="cellIs" dxfId="15485" priority="14303" operator="equal">
      <formula>"Tramitando"</formula>
    </cfRule>
    <cfRule type="cellIs" dxfId="15484" priority="14304" operator="equal">
      <formula>"Deferido"</formula>
    </cfRule>
    <cfRule type="cellIs" dxfId="15483" priority="14305" operator="equal">
      <formula>"Indeferido"</formula>
    </cfRule>
  </conditionalFormatting>
  <conditionalFormatting sqref="J149">
    <cfRule type="containsText" dxfId="15482" priority="14302" operator="containsText" text="Cancelado">
      <formula>NOT(ISERROR(SEARCH("Cancelado",J149)))</formula>
    </cfRule>
  </conditionalFormatting>
  <conditionalFormatting sqref="M149">
    <cfRule type="cellIs" dxfId="15481" priority="14299" operator="equal">
      <formula>"Tramitando"</formula>
    </cfRule>
    <cfRule type="cellIs" dxfId="15480" priority="14300" operator="equal">
      <formula>"Deferido"</formula>
    </cfRule>
    <cfRule type="cellIs" dxfId="15479" priority="14301" operator="equal">
      <formula>"Indeferido"</formula>
    </cfRule>
  </conditionalFormatting>
  <conditionalFormatting sqref="M149">
    <cfRule type="containsText" dxfId="15478" priority="14298" operator="containsText" text="Cancelado">
      <formula>NOT(ISERROR(SEARCH("Cancelado",M149)))</formula>
    </cfRule>
  </conditionalFormatting>
  <conditionalFormatting sqref="O149">
    <cfRule type="cellIs" dxfId="15477" priority="14295" operator="equal">
      <formula>"Tramitando"</formula>
    </cfRule>
    <cfRule type="cellIs" dxfId="15476" priority="14296" operator="equal">
      <formula>"Deferido"</formula>
    </cfRule>
    <cfRule type="cellIs" dxfId="15475" priority="14297" operator="equal">
      <formula>"Indeferido"</formula>
    </cfRule>
  </conditionalFormatting>
  <conditionalFormatting sqref="O149">
    <cfRule type="containsText" dxfId="15474" priority="14294" operator="containsText" text="Cancelado">
      <formula>NOT(ISERROR(SEARCH("Cancelado",O149)))</formula>
    </cfRule>
  </conditionalFormatting>
  <conditionalFormatting sqref="Q149">
    <cfRule type="cellIs" dxfId="15473" priority="14291" operator="equal">
      <formula>"Tramitando"</formula>
    </cfRule>
    <cfRule type="cellIs" dxfId="15472" priority="14292" operator="equal">
      <formula>"Deferido"</formula>
    </cfRule>
    <cfRule type="cellIs" dxfId="15471" priority="14293" operator="equal">
      <formula>"Indeferido"</formula>
    </cfRule>
  </conditionalFormatting>
  <conditionalFormatting sqref="Q149">
    <cfRule type="containsText" dxfId="15470" priority="14290" operator="containsText" text="Cancelado">
      <formula>NOT(ISERROR(SEARCH("Cancelado",Q149)))</formula>
    </cfRule>
  </conditionalFormatting>
  <conditionalFormatting sqref="S149">
    <cfRule type="cellIs" dxfId="15469" priority="14287" operator="equal">
      <formula>"Tramitando"</formula>
    </cfRule>
    <cfRule type="cellIs" dxfId="15468" priority="14288" operator="equal">
      <formula>"Deferido"</formula>
    </cfRule>
    <cfRule type="cellIs" dxfId="15467" priority="14289" operator="equal">
      <formula>"Indeferido"</formula>
    </cfRule>
  </conditionalFormatting>
  <conditionalFormatting sqref="S149">
    <cfRule type="containsText" dxfId="15466" priority="14286" operator="containsText" text="Cancelado">
      <formula>NOT(ISERROR(SEARCH("Cancelado",S149)))</formula>
    </cfRule>
  </conditionalFormatting>
  <conditionalFormatting sqref="J150:J154">
    <cfRule type="cellIs" dxfId="15465" priority="14282" operator="equal">
      <formula>"Tramitando"</formula>
    </cfRule>
    <cfRule type="cellIs" dxfId="15464" priority="14283" operator="equal">
      <formula>"Deferido"</formula>
    </cfRule>
    <cfRule type="cellIs" dxfId="15463" priority="14284" operator="equal">
      <formula>"Indeferido"</formula>
    </cfRule>
  </conditionalFormatting>
  <conditionalFormatting sqref="J150:J154">
    <cfRule type="containsText" dxfId="15462" priority="14281" operator="containsText" text="Cancelado">
      <formula>NOT(ISERROR(SEARCH("Cancelado",J150)))</formula>
    </cfRule>
  </conditionalFormatting>
  <conditionalFormatting sqref="M150:M154">
    <cfRule type="cellIs" dxfId="15461" priority="14278" operator="equal">
      <formula>"Tramitando"</formula>
    </cfRule>
    <cfRule type="cellIs" dxfId="15460" priority="14279" operator="equal">
      <formula>"Deferido"</formula>
    </cfRule>
    <cfRule type="cellIs" dxfId="15459" priority="14280" operator="equal">
      <formula>"Indeferido"</formula>
    </cfRule>
  </conditionalFormatting>
  <conditionalFormatting sqref="M150:M154">
    <cfRule type="containsText" dxfId="15458" priority="14277" operator="containsText" text="Cancelado">
      <formula>NOT(ISERROR(SEARCH("Cancelado",M150)))</formula>
    </cfRule>
  </conditionalFormatting>
  <conditionalFormatting sqref="O150:O154">
    <cfRule type="cellIs" dxfId="15457" priority="14274" operator="equal">
      <formula>"Tramitando"</formula>
    </cfRule>
    <cfRule type="cellIs" dxfId="15456" priority="14275" operator="equal">
      <formula>"Deferido"</formula>
    </cfRule>
    <cfRule type="cellIs" dxfId="15455" priority="14276" operator="equal">
      <formula>"Indeferido"</formula>
    </cfRule>
  </conditionalFormatting>
  <conditionalFormatting sqref="O150:O154">
    <cfRule type="containsText" dxfId="15454" priority="14273" operator="containsText" text="Cancelado">
      <formula>NOT(ISERROR(SEARCH("Cancelado",O150)))</formula>
    </cfRule>
  </conditionalFormatting>
  <conditionalFormatting sqref="Q150:Q154">
    <cfRule type="cellIs" dxfId="15453" priority="14270" operator="equal">
      <formula>"Tramitando"</formula>
    </cfRule>
    <cfRule type="cellIs" dxfId="15452" priority="14271" operator="equal">
      <formula>"Deferido"</formula>
    </cfRule>
    <cfRule type="cellIs" dxfId="15451" priority="14272" operator="equal">
      <formula>"Indeferido"</formula>
    </cfRule>
  </conditionalFormatting>
  <conditionalFormatting sqref="Q150:Q154">
    <cfRule type="containsText" dxfId="15450" priority="14269" operator="containsText" text="Cancelado">
      <formula>NOT(ISERROR(SEARCH("Cancelado",Q150)))</formula>
    </cfRule>
  </conditionalFormatting>
  <conditionalFormatting sqref="S150:S154">
    <cfRule type="cellIs" dxfId="15449" priority="14266" operator="equal">
      <formula>"Tramitando"</formula>
    </cfRule>
    <cfRule type="cellIs" dxfId="15448" priority="14267" operator="equal">
      <formula>"Deferido"</formula>
    </cfRule>
    <cfRule type="cellIs" dxfId="15447" priority="14268" operator="equal">
      <formula>"Indeferido"</formula>
    </cfRule>
  </conditionalFormatting>
  <conditionalFormatting sqref="S150:S154">
    <cfRule type="containsText" dxfId="15446" priority="14265" operator="containsText" text="Cancelado">
      <formula>NOT(ISERROR(SEARCH("Cancelado",S150)))</formula>
    </cfRule>
  </conditionalFormatting>
  <conditionalFormatting sqref="J155">
    <cfRule type="cellIs" dxfId="15445" priority="14261" operator="equal">
      <formula>"Tramitando"</formula>
    </cfRule>
    <cfRule type="cellIs" dxfId="15444" priority="14262" operator="equal">
      <formula>"Deferido"</formula>
    </cfRule>
    <cfRule type="cellIs" dxfId="15443" priority="14263" operator="equal">
      <formula>"Indeferido"</formula>
    </cfRule>
  </conditionalFormatting>
  <conditionalFormatting sqref="J155">
    <cfRule type="containsText" dxfId="15442" priority="14260" operator="containsText" text="Cancelado">
      <formula>NOT(ISERROR(SEARCH("Cancelado",J155)))</formula>
    </cfRule>
  </conditionalFormatting>
  <conditionalFormatting sqref="M155">
    <cfRule type="cellIs" dxfId="15441" priority="14257" operator="equal">
      <formula>"Tramitando"</formula>
    </cfRule>
    <cfRule type="cellIs" dxfId="15440" priority="14258" operator="equal">
      <formula>"Deferido"</formula>
    </cfRule>
    <cfRule type="cellIs" dxfId="15439" priority="14259" operator="equal">
      <formula>"Indeferido"</formula>
    </cfRule>
  </conditionalFormatting>
  <conditionalFormatting sqref="M155">
    <cfRule type="containsText" dxfId="15438" priority="14256" operator="containsText" text="Cancelado">
      <formula>NOT(ISERROR(SEARCH("Cancelado",M155)))</formula>
    </cfRule>
  </conditionalFormatting>
  <conditionalFormatting sqref="O155">
    <cfRule type="cellIs" dxfId="15437" priority="14253" operator="equal">
      <formula>"Tramitando"</formula>
    </cfRule>
    <cfRule type="cellIs" dxfId="15436" priority="14254" operator="equal">
      <formula>"Deferido"</formula>
    </cfRule>
    <cfRule type="cellIs" dxfId="15435" priority="14255" operator="equal">
      <formula>"Indeferido"</formula>
    </cfRule>
  </conditionalFormatting>
  <conditionalFormatting sqref="O155">
    <cfRule type="containsText" dxfId="15434" priority="14252" operator="containsText" text="Cancelado">
      <formula>NOT(ISERROR(SEARCH("Cancelado",O155)))</formula>
    </cfRule>
  </conditionalFormatting>
  <conditionalFormatting sqref="Q155">
    <cfRule type="cellIs" dxfId="15433" priority="14249" operator="equal">
      <formula>"Tramitando"</formula>
    </cfRule>
    <cfRule type="cellIs" dxfId="15432" priority="14250" operator="equal">
      <formula>"Deferido"</formula>
    </cfRule>
    <cfRule type="cellIs" dxfId="15431" priority="14251" operator="equal">
      <formula>"Indeferido"</formula>
    </cfRule>
  </conditionalFormatting>
  <conditionalFormatting sqref="Q155">
    <cfRule type="containsText" dxfId="15430" priority="14248" operator="containsText" text="Cancelado">
      <formula>NOT(ISERROR(SEARCH("Cancelado",Q155)))</formula>
    </cfRule>
  </conditionalFormatting>
  <conditionalFormatting sqref="S155">
    <cfRule type="cellIs" dxfId="15429" priority="14245" operator="equal">
      <formula>"Tramitando"</formula>
    </cfRule>
    <cfRule type="cellIs" dxfId="15428" priority="14246" operator="equal">
      <formula>"Deferido"</formula>
    </cfRule>
    <cfRule type="cellIs" dxfId="15427" priority="14247" operator="equal">
      <formula>"Indeferido"</formula>
    </cfRule>
  </conditionalFormatting>
  <conditionalFormatting sqref="S155">
    <cfRule type="containsText" dxfId="15426" priority="14244" operator="containsText" text="Cancelado">
      <formula>NOT(ISERROR(SEARCH("Cancelado",S155)))</formula>
    </cfRule>
  </conditionalFormatting>
  <conditionalFormatting sqref="J156">
    <cfRule type="cellIs" dxfId="15425" priority="14240" operator="equal">
      <formula>"Tramitando"</formula>
    </cfRule>
    <cfRule type="cellIs" dxfId="15424" priority="14241" operator="equal">
      <formula>"Deferido"</formula>
    </cfRule>
    <cfRule type="cellIs" dxfId="15423" priority="14242" operator="equal">
      <formula>"Indeferido"</formula>
    </cfRule>
  </conditionalFormatting>
  <conditionalFormatting sqref="J156">
    <cfRule type="containsText" dxfId="15422" priority="14239" operator="containsText" text="Cancelado">
      <formula>NOT(ISERROR(SEARCH("Cancelado",J156)))</formula>
    </cfRule>
  </conditionalFormatting>
  <conditionalFormatting sqref="M156">
    <cfRule type="cellIs" dxfId="15421" priority="14236" operator="equal">
      <formula>"Tramitando"</formula>
    </cfRule>
    <cfRule type="cellIs" dxfId="15420" priority="14237" operator="equal">
      <formula>"Deferido"</formula>
    </cfRule>
    <cfRule type="cellIs" dxfId="15419" priority="14238" operator="equal">
      <formula>"Indeferido"</formula>
    </cfRule>
  </conditionalFormatting>
  <conditionalFormatting sqref="M156">
    <cfRule type="containsText" dxfId="15418" priority="14235" operator="containsText" text="Cancelado">
      <formula>NOT(ISERROR(SEARCH("Cancelado",M156)))</formula>
    </cfRule>
  </conditionalFormatting>
  <conditionalFormatting sqref="O156">
    <cfRule type="cellIs" dxfId="15417" priority="14232" operator="equal">
      <formula>"Tramitando"</formula>
    </cfRule>
    <cfRule type="cellIs" dxfId="15416" priority="14233" operator="equal">
      <formula>"Deferido"</formula>
    </cfRule>
    <cfRule type="cellIs" dxfId="15415" priority="14234" operator="equal">
      <formula>"Indeferido"</formula>
    </cfRule>
  </conditionalFormatting>
  <conditionalFormatting sqref="O156">
    <cfRule type="containsText" dxfId="15414" priority="14231" operator="containsText" text="Cancelado">
      <formula>NOT(ISERROR(SEARCH("Cancelado",O156)))</formula>
    </cfRule>
  </conditionalFormatting>
  <conditionalFormatting sqref="Q156">
    <cfRule type="cellIs" dxfId="15413" priority="14228" operator="equal">
      <formula>"Tramitando"</formula>
    </cfRule>
    <cfRule type="cellIs" dxfId="15412" priority="14229" operator="equal">
      <formula>"Deferido"</formula>
    </cfRule>
    <cfRule type="cellIs" dxfId="15411" priority="14230" operator="equal">
      <formula>"Indeferido"</formula>
    </cfRule>
  </conditionalFormatting>
  <conditionalFormatting sqref="Q156">
    <cfRule type="containsText" dxfId="15410" priority="14227" operator="containsText" text="Cancelado">
      <formula>NOT(ISERROR(SEARCH("Cancelado",Q156)))</formula>
    </cfRule>
  </conditionalFormatting>
  <conditionalFormatting sqref="S156">
    <cfRule type="cellIs" dxfId="15409" priority="14224" operator="equal">
      <formula>"Tramitando"</formula>
    </cfRule>
    <cfRule type="cellIs" dxfId="15408" priority="14225" operator="equal">
      <formula>"Deferido"</formula>
    </cfRule>
    <cfRule type="cellIs" dxfId="15407" priority="14226" operator="equal">
      <formula>"Indeferido"</formula>
    </cfRule>
  </conditionalFormatting>
  <conditionalFormatting sqref="S156">
    <cfRule type="containsText" dxfId="15406" priority="14223" operator="containsText" text="Cancelado">
      <formula>NOT(ISERROR(SEARCH("Cancelado",S156)))</formula>
    </cfRule>
  </conditionalFormatting>
  <conditionalFormatting sqref="J157">
    <cfRule type="cellIs" dxfId="15405" priority="14219" operator="equal">
      <formula>"Tramitando"</formula>
    </cfRule>
    <cfRule type="cellIs" dxfId="15404" priority="14220" operator="equal">
      <formula>"Deferido"</formula>
    </cfRule>
    <cfRule type="cellIs" dxfId="15403" priority="14221" operator="equal">
      <formula>"Indeferido"</formula>
    </cfRule>
  </conditionalFormatting>
  <conditionalFormatting sqref="J157">
    <cfRule type="containsText" dxfId="15402" priority="14218" operator="containsText" text="Cancelado">
      <formula>NOT(ISERROR(SEARCH("Cancelado",J157)))</formula>
    </cfRule>
  </conditionalFormatting>
  <conditionalFormatting sqref="M157">
    <cfRule type="cellIs" dxfId="15401" priority="14215" operator="equal">
      <formula>"Tramitando"</formula>
    </cfRule>
    <cfRule type="cellIs" dxfId="15400" priority="14216" operator="equal">
      <formula>"Deferido"</formula>
    </cfRule>
    <cfRule type="cellIs" dxfId="15399" priority="14217" operator="equal">
      <formula>"Indeferido"</formula>
    </cfRule>
  </conditionalFormatting>
  <conditionalFormatting sqref="M157">
    <cfRule type="containsText" dxfId="15398" priority="14214" operator="containsText" text="Cancelado">
      <formula>NOT(ISERROR(SEARCH("Cancelado",M157)))</formula>
    </cfRule>
  </conditionalFormatting>
  <conditionalFormatting sqref="O157">
    <cfRule type="cellIs" dxfId="15397" priority="14211" operator="equal">
      <formula>"Tramitando"</formula>
    </cfRule>
    <cfRule type="cellIs" dxfId="15396" priority="14212" operator="equal">
      <formula>"Deferido"</formula>
    </cfRule>
    <cfRule type="cellIs" dxfId="15395" priority="14213" operator="equal">
      <formula>"Indeferido"</formula>
    </cfRule>
  </conditionalFormatting>
  <conditionalFormatting sqref="O157">
    <cfRule type="containsText" dxfId="15394" priority="14210" operator="containsText" text="Cancelado">
      <formula>NOT(ISERROR(SEARCH("Cancelado",O157)))</formula>
    </cfRule>
  </conditionalFormatting>
  <conditionalFormatting sqref="Q157">
    <cfRule type="cellIs" dxfId="15393" priority="14207" operator="equal">
      <formula>"Tramitando"</formula>
    </cfRule>
    <cfRule type="cellIs" dxfId="15392" priority="14208" operator="equal">
      <formula>"Deferido"</formula>
    </cfRule>
    <cfRule type="cellIs" dxfId="15391" priority="14209" operator="equal">
      <formula>"Indeferido"</formula>
    </cfRule>
  </conditionalFormatting>
  <conditionalFormatting sqref="Q157">
    <cfRule type="containsText" dxfId="15390" priority="14206" operator="containsText" text="Cancelado">
      <formula>NOT(ISERROR(SEARCH("Cancelado",Q157)))</formula>
    </cfRule>
  </conditionalFormatting>
  <conditionalFormatting sqref="S157">
    <cfRule type="cellIs" dxfId="15389" priority="14203" operator="equal">
      <formula>"Tramitando"</formula>
    </cfRule>
    <cfRule type="cellIs" dxfId="15388" priority="14204" operator="equal">
      <formula>"Deferido"</formula>
    </cfRule>
    <cfRule type="cellIs" dxfId="15387" priority="14205" operator="equal">
      <formula>"Indeferido"</formula>
    </cfRule>
  </conditionalFormatting>
  <conditionalFormatting sqref="S157">
    <cfRule type="containsText" dxfId="15386" priority="14202" operator="containsText" text="Cancelado">
      <formula>NOT(ISERROR(SEARCH("Cancelado",S157)))</formula>
    </cfRule>
  </conditionalFormatting>
  <conditionalFormatting sqref="J158">
    <cfRule type="cellIs" dxfId="15385" priority="14198" operator="equal">
      <formula>"Tramitando"</formula>
    </cfRule>
    <cfRule type="cellIs" dxfId="15384" priority="14199" operator="equal">
      <formula>"Deferido"</formula>
    </cfRule>
    <cfRule type="cellIs" dxfId="15383" priority="14200" operator="equal">
      <formula>"Indeferido"</formula>
    </cfRule>
  </conditionalFormatting>
  <conditionalFormatting sqref="J158">
    <cfRule type="containsText" dxfId="15382" priority="14197" operator="containsText" text="Cancelado">
      <formula>NOT(ISERROR(SEARCH("Cancelado",J158)))</formula>
    </cfRule>
  </conditionalFormatting>
  <conditionalFormatting sqref="M158">
    <cfRule type="cellIs" dxfId="15381" priority="14194" operator="equal">
      <formula>"Tramitando"</formula>
    </cfRule>
    <cfRule type="cellIs" dxfId="15380" priority="14195" operator="equal">
      <formula>"Deferido"</formula>
    </cfRule>
    <cfRule type="cellIs" dxfId="15379" priority="14196" operator="equal">
      <formula>"Indeferido"</formula>
    </cfRule>
  </conditionalFormatting>
  <conditionalFormatting sqref="M158">
    <cfRule type="containsText" dxfId="15378" priority="14193" operator="containsText" text="Cancelado">
      <formula>NOT(ISERROR(SEARCH("Cancelado",M158)))</formula>
    </cfRule>
  </conditionalFormatting>
  <conditionalFormatting sqref="O158">
    <cfRule type="cellIs" dxfId="15377" priority="14190" operator="equal">
      <formula>"Tramitando"</formula>
    </cfRule>
    <cfRule type="cellIs" dxfId="15376" priority="14191" operator="equal">
      <formula>"Deferido"</formula>
    </cfRule>
    <cfRule type="cellIs" dxfId="15375" priority="14192" operator="equal">
      <formula>"Indeferido"</formula>
    </cfRule>
  </conditionalFormatting>
  <conditionalFormatting sqref="O158">
    <cfRule type="containsText" dxfId="15374" priority="14189" operator="containsText" text="Cancelado">
      <formula>NOT(ISERROR(SEARCH("Cancelado",O158)))</formula>
    </cfRule>
  </conditionalFormatting>
  <conditionalFormatting sqref="Q158">
    <cfRule type="cellIs" dxfId="15373" priority="14186" operator="equal">
      <formula>"Tramitando"</formula>
    </cfRule>
    <cfRule type="cellIs" dxfId="15372" priority="14187" operator="equal">
      <formula>"Deferido"</formula>
    </cfRule>
    <cfRule type="cellIs" dxfId="15371" priority="14188" operator="equal">
      <formula>"Indeferido"</formula>
    </cfRule>
  </conditionalFormatting>
  <conditionalFormatting sqref="Q158">
    <cfRule type="containsText" dxfId="15370" priority="14185" operator="containsText" text="Cancelado">
      <formula>NOT(ISERROR(SEARCH("Cancelado",Q158)))</formula>
    </cfRule>
  </conditionalFormatting>
  <conditionalFormatting sqref="S158">
    <cfRule type="cellIs" dxfId="15369" priority="14182" operator="equal">
      <formula>"Tramitando"</formula>
    </cfRule>
    <cfRule type="cellIs" dxfId="15368" priority="14183" operator="equal">
      <formula>"Deferido"</formula>
    </cfRule>
    <cfRule type="cellIs" dxfId="15367" priority="14184" operator="equal">
      <formula>"Indeferido"</formula>
    </cfRule>
  </conditionalFormatting>
  <conditionalFormatting sqref="S158">
    <cfRule type="containsText" dxfId="15366" priority="14181" operator="containsText" text="Cancelado">
      <formula>NOT(ISERROR(SEARCH("Cancelado",S158)))</formula>
    </cfRule>
  </conditionalFormatting>
  <conditionalFormatting sqref="J159">
    <cfRule type="cellIs" dxfId="15365" priority="14177" operator="equal">
      <formula>"Tramitando"</formula>
    </cfRule>
    <cfRule type="cellIs" dxfId="15364" priority="14178" operator="equal">
      <formula>"Deferido"</formula>
    </cfRule>
    <cfRule type="cellIs" dxfId="15363" priority="14179" operator="equal">
      <formula>"Indeferido"</formula>
    </cfRule>
  </conditionalFormatting>
  <conditionalFormatting sqref="J159">
    <cfRule type="containsText" dxfId="15362" priority="14176" operator="containsText" text="Cancelado">
      <formula>NOT(ISERROR(SEARCH("Cancelado",J159)))</formula>
    </cfRule>
  </conditionalFormatting>
  <conditionalFormatting sqref="M159">
    <cfRule type="cellIs" dxfId="15361" priority="14173" operator="equal">
      <formula>"Tramitando"</formula>
    </cfRule>
    <cfRule type="cellIs" dxfId="15360" priority="14174" operator="equal">
      <formula>"Deferido"</formula>
    </cfRule>
    <cfRule type="cellIs" dxfId="15359" priority="14175" operator="equal">
      <formula>"Indeferido"</formula>
    </cfRule>
  </conditionalFormatting>
  <conditionalFormatting sqref="M159">
    <cfRule type="containsText" dxfId="15358" priority="14172" operator="containsText" text="Cancelado">
      <formula>NOT(ISERROR(SEARCH("Cancelado",M159)))</formula>
    </cfRule>
  </conditionalFormatting>
  <conditionalFormatting sqref="O159">
    <cfRule type="cellIs" dxfId="15357" priority="14169" operator="equal">
      <formula>"Tramitando"</formula>
    </cfRule>
    <cfRule type="cellIs" dxfId="15356" priority="14170" operator="equal">
      <formula>"Deferido"</formula>
    </cfRule>
    <cfRule type="cellIs" dxfId="15355" priority="14171" operator="equal">
      <formula>"Indeferido"</formula>
    </cfRule>
  </conditionalFormatting>
  <conditionalFormatting sqref="O159">
    <cfRule type="containsText" dxfId="15354" priority="14168" operator="containsText" text="Cancelado">
      <formula>NOT(ISERROR(SEARCH("Cancelado",O159)))</formula>
    </cfRule>
  </conditionalFormatting>
  <conditionalFormatting sqref="Q159">
    <cfRule type="cellIs" dxfId="15353" priority="14165" operator="equal">
      <formula>"Tramitando"</formula>
    </cfRule>
    <cfRule type="cellIs" dxfId="15352" priority="14166" operator="equal">
      <formula>"Deferido"</formula>
    </cfRule>
    <cfRule type="cellIs" dxfId="15351" priority="14167" operator="equal">
      <formula>"Indeferido"</formula>
    </cfRule>
  </conditionalFormatting>
  <conditionalFormatting sqref="Q159">
    <cfRule type="containsText" dxfId="15350" priority="14164" operator="containsText" text="Cancelado">
      <formula>NOT(ISERROR(SEARCH("Cancelado",Q159)))</formula>
    </cfRule>
  </conditionalFormatting>
  <conditionalFormatting sqref="S159">
    <cfRule type="cellIs" dxfId="15349" priority="14161" operator="equal">
      <formula>"Tramitando"</formula>
    </cfRule>
    <cfRule type="cellIs" dxfId="15348" priority="14162" operator="equal">
      <formula>"Deferido"</formula>
    </cfRule>
    <cfRule type="cellIs" dxfId="15347" priority="14163" operator="equal">
      <formula>"Indeferido"</formula>
    </cfRule>
  </conditionalFormatting>
  <conditionalFormatting sqref="S159">
    <cfRule type="containsText" dxfId="15346" priority="14160" operator="containsText" text="Cancelado">
      <formula>NOT(ISERROR(SEARCH("Cancelado",S159)))</formula>
    </cfRule>
  </conditionalFormatting>
  <conditionalFormatting sqref="J160">
    <cfRule type="cellIs" dxfId="15345" priority="14156" operator="equal">
      <formula>"Tramitando"</formula>
    </cfRule>
    <cfRule type="cellIs" dxfId="15344" priority="14157" operator="equal">
      <formula>"Deferido"</formula>
    </cfRule>
    <cfRule type="cellIs" dxfId="15343" priority="14158" operator="equal">
      <formula>"Indeferido"</formula>
    </cfRule>
  </conditionalFormatting>
  <conditionalFormatting sqref="J160">
    <cfRule type="containsText" dxfId="15342" priority="14155" operator="containsText" text="Cancelado">
      <formula>NOT(ISERROR(SEARCH("Cancelado",J160)))</formula>
    </cfRule>
  </conditionalFormatting>
  <conditionalFormatting sqref="M160">
    <cfRule type="cellIs" dxfId="15341" priority="14152" operator="equal">
      <formula>"Tramitando"</formula>
    </cfRule>
    <cfRule type="cellIs" dxfId="15340" priority="14153" operator="equal">
      <formula>"Deferido"</formula>
    </cfRule>
    <cfRule type="cellIs" dxfId="15339" priority="14154" operator="equal">
      <formula>"Indeferido"</formula>
    </cfRule>
  </conditionalFormatting>
  <conditionalFormatting sqref="M160">
    <cfRule type="containsText" dxfId="15338" priority="14151" operator="containsText" text="Cancelado">
      <formula>NOT(ISERROR(SEARCH("Cancelado",M160)))</formula>
    </cfRule>
  </conditionalFormatting>
  <conditionalFormatting sqref="O160">
    <cfRule type="cellIs" dxfId="15337" priority="14148" operator="equal">
      <formula>"Tramitando"</formula>
    </cfRule>
    <cfRule type="cellIs" dxfId="15336" priority="14149" operator="equal">
      <formula>"Deferido"</formula>
    </cfRule>
    <cfRule type="cellIs" dxfId="15335" priority="14150" operator="equal">
      <formula>"Indeferido"</formula>
    </cfRule>
  </conditionalFormatting>
  <conditionalFormatting sqref="O160">
    <cfRule type="containsText" dxfId="15334" priority="14147" operator="containsText" text="Cancelado">
      <formula>NOT(ISERROR(SEARCH("Cancelado",O160)))</formula>
    </cfRule>
  </conditionalFormatting>
  <conditionalFormatting sqref="Q160">
    <cfRule type="cellIs" dxfId="15333" priority="14144" operator="equal">
      <formula>"Tramitando"</formula>
    </cfRule>
    <cfRule type="cellIs" dxfId="15332" priority="14145" operator="equal">
      <formula>"Deferido"</formula>
    </cfRule>
    <cfRule type="cellIs" dxfId="15331" priority="14146" operator="equal">
      <formula>"Indeferido"</formula>
    </cfRule>
  </conditionalFormatting>
  <conditionalFormatting sqref="Q160">
    <cfRule type="containsText" dxfId="15330" priority="14143" operator="containsText" text="Cancelado">
      <formula>NOT(ISERROR(SEARCH("Cancelado",Q160)))</formula>
    </cfRule>
  </conditionalFormatting>
  <conditionalFormatting sqref="S160">
    <cfRule type="cellIs" dxfId="15329" priority="14140" operator="equal">
      <formula>"Tramitando"</formula>
    </cfRule>
    <cfRule type="cellIs" dxfId="15328" priority="14141" operator="equal">
      <formula>"Deferido"</formula>
    </cfRule>
    <cfRule type="cellIs" dxfId="15327" priority="14142" operator="equal">
      <formula>"Indeferido"</formula>
    </cfRule>
  </conditionalFormatting>
  <conditionalFormatting sqref="S160">
    <cfRule type="containsText" dxfId="15326" priority="14139" operator="containsText" text="Cancelado">
      <formula>NOT(ISERROR(SEARCH("Cancelado",S160)))</formula>
    </cfRule>
  </conditionalFormatting>
  <conditionalFormatting sqref="J161">
    <cfRule type="cellIs" dxfId="15325" priority="14135" operator="equal">
      <formula>"Tramitando"</formula>
    </cfRule>
    <cfRule type="cellIs" dxfId="15324" priority="14136" operator="equal">
      <formula>"Deferido"</formula>
    </cfRule>
    <cfRule type="cellIs" dxfId="15323" priority="14137" operator="equal">
      <formula>"Indeferido"</formula>
    </cfRule>
  </conditionalFormatting>
  <conditionalFormatting sqref="J161">
    <cfRule type="containsText" dxfId="15322" priority="14134" operator="containsText" text="Cancelado">
      <formula>NOT(ISERROR(SEARCH("Cancelado",J161)))</formula>
    </cfRule>
  </conditionalFormatting>
  <conditionalFormatting sqref="M161">
    <cfRule type="cellIs" dxfId="15321" priority="14131" operator="equal">
      <formula>"Tramitando"</formula>
    </cfRule>
    <cfRule type="cellIs" dxfId="15320" priority="14132" operator="equal">
      <formula>"Deferido"</formula>
    </cfRule>
    <cfRule type="cellIs" dxfId="15319" priority="14133" operator="equal">
      <formula>"Indeferido"</formula>
    </cfRule>
  </conditionalFormatting>
  <conditionalFormatting sqref="M161">
    <cfRule type="containsText" dxfId="15318" priority="14130" operator="containsText" text="Cancelado">
      <formula>NOT(ISERROR(SEARCH("Cancelado",M161)))</formula>
    </cfRule>
  </conditionalFormatting>
  <conditionalFormatting sqref="O161">
    <cfRule type="cellIs" dxfId="15317" priority="14127" operator="equal">
      <formula>"Tramitando"</formula>
    </cfRule>
    <cfRule type="cellIs" dxfId="15316" priority="14128" operator="equal">
      <formula>"Deferido"</formula>
    </cfRule>
    <cfRule type="cellIs" dxfId="15315" priority="14129" operator="equal">
      <formula>"Indeferido"</formula>
    </cfRule>
  </conditionalFormatting>
  <conditionalFormatting sqref="O161">
    <cfRule type="containsText" dxfId="15314" priority="14126" operator="containsText" text="Cancelado">
      <formula>NOT(ISERROR(SEARCH("Cancelado",O161)))</formula>
    </cfRule>
  </conditionalFormatting>
  <conditionalFormatting sqref="Q161">
    <cfRule type="cellIs" dxfId="15313" priority="14123" operator="equal">
      <formula>"Tramitando"</formula>
    </cfRule>
    <cfRule type="cellIs" dxfId="15312" priority="14124" operator="equal">
      <formula>"Deferido"</formula>
    </cfRule>
    <cfRule type="cellIs" dxfId="15311" priority="14125" operator="equal">
      <formula>"Indeferido"</formula>
    </cfRule>
  </conditionalFormatting>
  <conditionalFormatting sqref="Q161">
    <cfRule type="containsText" dxfId="15310" priority="14122" operator="containsText" text="Cancelado">
      <formula>NOT(ISERROR(SEARCH("Cancelado",Q161)))</formula>
    </cfRule>
  </conditionalFormatting>
  <conditionalFormatting sqref="S161">
    <cfRule type="cellIs" dxfId="15309" priority="14119" operator="equal">
      <formula>"Tramitando"</formula>
    </cfRule>
    <cfRule type="cellIs" dxfId="15308" priority="14120" operator="equal">
      <formula>"Deferido"</formula>
    </cfRule>
    <cfRule type="cellIs" dxfId="15307" priority="14121" operator="equal">
      <formula>"Indeferido"</formula>
    </cfRule>
  </conditionalFormatting>
  <conditionalFormatting sqref="S161">
    <cfRule type="containsText" dxfId="15306" priority="14118" operator="containsText" text="Cancelado">
      <formula>NOT(ISERROR(SEARCH("Cancelado",S161)))</formula>
    </cfRule>
  </conditionalFormatting>
  <conditionalFormatting sqref="J162">
    <cfRule type="cellIs" dxfId="15305" priority="14114" operator="equal">
      <formula>"Tramitando"</formula>
    </cfRule>
    <cfRule type="cellIs" dxfId="15304" priority="14115" operator="equal">
      <formula>"Deferido"</formula>
    </cfRule>
    <cfRule type="cellIs" dxfId="15303" priority="14116" operator="equal">
      <formula>"Indeferido"</formula>
    </cfRule>
  </conditionalFormatting>
  <conditionalFormatting sqref="J162">
    <cfRule type="containsText" dxfId="15302" priority="14113" operator="containsText" text="Cancelado">
      <formula>NOT(ISERROR(SEARCH("Cancelado",J162)))</formula>
    </cfRule>
  </conditionalFormatting>
  <conditionalFormatting sqref="M162">
    <cfRule type="cellIs" dxfId="15301" priority="14110" operator="equal">
      <formula>"Tramitando"</formula>
    </cfRule>
    <cfRule type="cellIs" dxfId="15300" priority="14111" operator="equal">
      <formula>"Deferido"</formula>
    </cfRule>
    <cfRule type="cellIs" dxfId="15299" priority="14112" operator="equal">
      <formula>"Indeferido"</formula>
    </cfRule>
  </conditionalFormatting>
  <conditionalFormatting sqref="M162">
    <cfRule type="containsText" dxfId="15298" priority="14109" operator="containsText" text="Cancelado">
      <formula>NOT(ISERROR(SEARCH("Cancelado",M162)))</formula>
    </cfRule>
  </conditionalFormatting>
  <conditionalFormatting sqref="O162">
    <cfRule type="cellIs" dxfId="15297" priority="14106" operator="equal">
      <formula>"Tramitando"</formula>
    </cfRule>
    <cfRule type="cellIs" dxfId="15296" priority="14107" operator="equal">
      <formula>"Deferido"</formula>
    </cfRule>
    <cfRule type="cellIs" dxfId="15295" priority="14108" operator="equal">
      <formula>"Indeferido"</formula>
    </cfRule>
  </conditionalFormatting>
  <conditionalFormatting sqref="O162">
    <cfRule type="containsText" dxfId="15294" priority="14105" operator="containsText" text="Cancelado">
      <formula>NOT(ISERROR(SEARCH("Cancelado",O162)))</formula>
    </cfRule>
  </conditionalFormatting>
  <conditionalFormatting sqref="Q162">
    <cfRule type="cellIs" dxfId="15293" priority="14102" operator="equal">
      <formula>"Tramitando"</formula>
    </cfRule>
    <cfRule type="cellIs" dxfId="15292" priority="14103" operator="equal">
      <formula>"Deferido"</formula>
    </cfRule>
    <cfRule type="cellIs" dxfId="15291" priority="14104" operator="equal">
      <formula>"Indeferido"</formula>
    </cfRule>
  </conditionalFormatting>
  <conditionalFormatting sqref="Q162">
    <cfRule type="containsText" dxfId="15290" priority="14101" operator="containsText" text="Cancelado">
      <formula>NOT(ISERROR(SEARCH("Cancelado",Q162)))</formula>
    </cfRule>
  </conditionalFormatting>
  <conditionalFormatting sqref="S162">
    <cfRule type="cellIs" dxfId="15289" priority="14098" operator="equal">
      <formula>"Tramitando"</formula>
    </cfRule>
    <cfRule type="cellIs" dxfId="15288" priority="14099" operator="equal">
      <formula>"Deferido"</formula>
    </cfRule>
    <cfRule type="cellIs" dxfId="15287" priority="14100" operator="equal">
      <formula>"Indeferido"</formula>
    </cfRule>
  </conditionalFormatting>
  <conditionalFormatting sqref="S162">
    <cfRule type="containsText" dxfId="15286" priority="14097" operator="containsText" text="Cancelado">
      <formula>NOT(ISERROR(SEARCH("Cancelado",S162)))</formula>
    </cfRule>
  </conditionalFormatting>
  <conditionalFormatting sqref="J163">
    <cfRule type="cellIs" dxfId="15285" priority="14093" operator="equal">
      <formula>"Tramitando"</formula>
    </cfRule>
    <cfRule type="cellIs" dxfId="15284" priority="14094" operator="equal">
      <formula>"Deferido"</formula>
    </cfRule>
    <cfRule type="cellIs" dxfId="15283" priority="14095" operator="equal">
      <formula>"Indeferido"</formula>
    </cfRule>
  </conditionalFormatting>
  <conditionalFormatting sqref="J163">
    <cfRule type="containsText" dxfId="15282" priority="14092" operator="containsText" text="Cancelado">
      <formula>NOT(ISERROR(SEARCH("Cancelado",J163)))</formula>
    </cfRule>
  </conditionalFormatting>
  <conditionalFormatting sqref="M163">
    <cfRule type="cellIs" dxfId="15281" priority="14089" operator="equal">
      <formula>"Tramitando"</formula>
    </cfRule>
    <cfRule type="cellIs" dxfId="15280" priority="14090" operator="equal">
      <formula>"Deferido"</formula>
    </cfRule>
    <cfRule type="cellIs" dxfId="15279" priority="14091" operator="equal">
      <formula>"Indeferido"</formula>
    </cfRule>
  </conditionalFormatting>
  <conditionalFormatting sqref="M163">
    <cfRule type="containsText" dxfId="15278" priority="14088" operator="containsText" text="Cancelado">
      <formula>NOT(ISERROR(SEARCH("Cancelado",M163)))</formula>
    </cfRule>
  </conditionalFormatting>
  <conditionalFormatting sqref="O163">
    <cfRule type="cellIs" dxfId="15277" priority="14085" operator="equal">
      <formula>"Tramitando"</formula>
    </cfRule>
    <cfRule type="cellIs" dxfId="15276" priority="14086" operator="equal">
      <formula>"Deferido"</formula>
    </cfRule>
    <cfRule type="cellIs" dxfId="15275" priority="14087" operator="equal">
      <formula>"Indeferido"</formula>
    </cfRule>
  </conditionalFormatting>
  <conditionalFormatting sqref="O163">
    <cfRule type="containsText" dxfId="15274" priority="14084" operator="containsText" text="Cancelado">
      <formula>NOT(ISERROR(SEARCH("Cancelado",O163)))</formula>
    </cfRule>
  </conditionalFormatting>
  <conditionalFormatting sqref="Q163">
    <cfRule type="cellIs" dxfId="15273" priority="14081" operator="equal">
      <formula>"Tramitando"</formula>
    </cfRule>
    <cfRule type="cellIs" dxfId="15272" priority="14082" operator="equal">
      <formula>"Deferido"</formula>
    </cfRule>
    <cfRule type="cellIs" dxfId="15271" priority="14083" operator="equal">
      <formula>"Indeferido"</formula>
    </cfRule>
  </conditionalFormatting>
  <conditionalFormatting sqref="Q163">
    <cfRule type="containsText" dxfId="15270" priority="14080" operator="containsText" text="Cancelado">
      <formula>NOT(ISERROR(SEARCH("Cancelado",Q163)))</formula>
    </cfRule>
  </conditionalFormatting>
  <conditionalFormatting sqref="S163">
    <cfRule type="cellIs" dxfId="15269" priority="14077" operator="equal">
      <formula>"Tramitando"</formula>
    </cfRule>
    <cfRule type="cellIs" dxfId="15268" priority="14078" operator="equal">
      <formula>"Deferido"</formula>
    </cfRule>
    <cfRule type="cellIs" dxfId="15267" priority="14079" operator="equal">
      <formula>"Indeferido"</formula>
    </cfRule>
  </conditionalFormatting>
  <conditionalFormatting sqref="S163">
    <cfRule type="containsText" dxfId="15266" priority="14076" operator="containsText" text="Cancelado">
      <formula>NOT(ISERROR(SEARCH("Cancelado",S163)))</formula>
    </cfRule>
  </conditionalFormatting>
  <conditionalFormatting sqref="J164">
    <cfRule type="cellIs" dxfId="15265" priority="14071" operator="equal">
      <formula>"Tramitando"</formula>
    </cfRule>
    <cfRule type="cellIs" dxfId="15264" priority="14072" operator="equal">
      <formula>"Deferido"</formula>
    </cfRule>
    <cfRule type="cellIs" dxfId="15263" priority="14073" operator="equal">
      <formula>"Indeferido"</formula>
    </cfRule>
  </conditionalFormatting>
  <conditionalFormatting sqref="J164">
    <cfRule type="containsText" dxfId="15262" priority="14070" operator="containsText" text="Cancelado">
      <formula>NOT(ISERROR(SEARCH("Cancelado",J164)))</formula>
    </cfRule>
  </conditionalFormatting>
  <conditionalFormatting sqref="M164">
    <cfRule type="cellIs" dxfId="15261" priority="14067" operator="equal">
      <formula>"Tramitando"</formula>
    </cfRule>
    <cfRule type="cellIs" dxfId="15260" priority="14068" operator="equal">
      <formula>"Deferido"</formula>
    </cfRule>
    <cfRule type="cellIs" dxfId="15259" priority="14069" operator="equal">
      <formula>"Indeferido"</formula>
    </cfRule>
  </conditionalFormatting>
  <conditionalFormatting sqref="M164">
    <cfRule type="containsText" dxfId="15258" priority="14066" operator="containsText" text="Cancelado">
      <formula>NOT(ISERROR(SEARCH("Cancelado",M164)))</formula>
    </cfRule>
  </conditionalFormatting>
  <conditionalFormatting sqref="O164">
    <cfRule type="cellIs" dxfId="15257" priority="14063" operator="equal">
      <formula>"Tramitando"</formula>
    </cfRule>
    <cfRule type="cellIs" dxfId="15256" priority="14064" operator="equal">
      <formula>"Deferido"</formula>
    </cfRule>
    <cfRule type="cellIs" dxfId="15255" priority="14065" operator="equal">
      <formula>"Indeferido"</formula>
    </cfRule>
  </conditionalFormatting>
  <conditionalFormatting sqref="O164">
    <cfRule type="containsText" dxfId="15254" priority="14062" operator="containsText" text="Cancelado">
      <formula>NOT(ISERROR(SEARCH("Cancelado",O164)))</formula>
    </cfRule>
  </conditionalFormatting>
  <conditionalFormatting sqref="Q164">
    <cfRule type="cellIs" dxfId="15253" priority="14059" operator="equal">
      <formula>"Tramitando"</formula>
    </cfRule>
    <cfRule type="cellIs" dxfId="15252" priority="14060" operator="equal">
      <formula>"Deferido"</formula>
    </cfRule>
    <cfRule type="cellIs" dxfId="15251" priority="14061" operator="equal">
      <formula>"Indeferido"</formula>
    </cfRule>
  </conditionalFormatting>
  <conditionalFormatting sqref="Q164">
    <cfRule type="containsText" dxfId="15250" priority="14058" operator="containsText" text="Cancelado">
      <formula>NOT(ISERROR(SEARCH("Cancelado",Q164)))</formula>
    </cfRule>
  </conditionalFormatting>
  <conditionalFormatting sqref="S164">
    <cfRule type="cellIs" dxfId="15249" priority="14055" operator="equal">
      <formula>"Tramitando"</formula>
    </cfRule>
    <cfRule type="cellIs" dxfId="15248" priority="14056" operator="equal">
      <formula>"Deferido"</formula>
    </cfRule>
    <cfRule type="cellIs" dxfId="15247" priority="14057" operator="equal">
      <formula>"Indeferido"</formula>
    </cfRule>
  </conditionalFormatting>
  <conditionalFormatting sqref="S164">
    <cfRule type="containsText" dxfId="15246" priority="14054" operator="containsText" text="Cancelado">
      <formula>NOT(ISERROR(SEARCH("Cancelado",S164)))</formula>
    </cfRule>
  </conditionalFormatting>
  <conditionalFormatting sqref="J165">
    <cfRule type="cellIs" dxfId="15245" priority="14050" operator="equal">
      <formula>"Tramitando"</formula>
    </cfRule>
    <cfRule type="cellIs" dxfId="15244" priority="14051" operator="equal">
      <formula>"Deferido"</formula>
    </cfRule>
    <cfRule type="cellIs" dxfId="15243" priority="14052" operator="equal">
      <formula>"Indeferido"</formula>
    </cfRule>
  </conditionalFormatting>
  <conditionalFormatting sqref="J165">
    <cfRule type="containsText" dxfId="15242" priority="14049" operator="containsText" text="Cancelado">
      <formula>NOT(ISERROR(SEARCH("Cancelado",J165)))</formula>
    </cfRule>
  </conditionalFormatting>
  <conditionalFormatting sqref="M165">
    <cfRule type="cellIs" dxfId="15241" priority="14046" operator="equal">
      <formula>"Tramitando"</formula>
    </cfRule>
    <cfRule type="cellIs" dxfId="15240" priority="14047" operator="equal">
      <formula>"Deferido"</formula>
    </cfRule>
    <cfRule type="cellIs" dxfId="15239" priority="14048" operator="equal">
      <formula>"Indeferido"</formula>
    </cfRule>
  </conditionalFormatting>
  <conditionalFormatting sqref="M165">
    <cfRule type="containsText" dxfId="15238" priority="14045" operator="containsText" text="Cancelado">
      <formula>NOT(ISERROR(SEARCH("Cancelado",M165)))</formula>
    </cfRule>
  </conditionalFormatting>
  <conditionalFormatting sqref="O165">
    <cfRule type="cellIs" dxfId="15237" priority="14042" operator="equal">
      <formula>"Tramitando"</formula>
    </cfRule>
    <cfRule type="cellIs" dxfId="15236" priority="14043" operator="equal">
      <formula>"Deferido"</formula>
    </cfRule>
    <cfRule type="cellIs" dxfId="15235" priority="14044" operator="equal">
      <formula>"Indeferido"</formula>
    </cfRule>
  </conditionalFormatting>
  <conditionalFormatting sqref="O165">
    <cfRule type="containsText" dxfId="15234" priority="14041" operator="containsText" text="Cancelado">
      <formula>NOT(ISERROR(SEARCH("Cancelado",O165)))</formula>
    </cfRule>
  </conditionalFormatting>
  <conditionalFormatting sqref="Q165">
    <cfRule type="cellIs" dxfId="15233" priority="14038" operator="equal">
      <formula>"Tramitando"</formula>
    </cfRule>
    <cfRule type="cellIs" dxfId="15232" priority="14039" operator="equal">
      <formula>"Deferido"</formula>
    </cfRule>
    <cfRule type="cellIs" dxfId="15231" priority="14040" operator="equal">
      <formula>"Indeferido"</formula>
    </cfRule>
  </conditionalFormatting>
  <conditionalFormatting sqref="Q165">
    <cfRule type="containsText" dxfId="15230" priority="14037" operator="containsText" text="Cancelado">
      <formula>NOT(ISERROR(SEARCH("Cancelado",Q165)))</formula>
    </cfRule>
  </conditionalFormatting>
  <conditionalFormatting sqref="S165">
    <cfRule type="cellIs" dxfId="15229" priority="14034" operator="equal">
      <formula>"Tramitando"</formula>
    </cfRule>
    <cfRule type="cellIs" dxfId="15228" priority="14035" operator="equal">
      <formula>"Deferido"</formula>
    </cfRule>
    <cfRule type="cellIs" dxfId="15227" priority="14036" operator="equal">
      <formula>"Indeferido"</formula>
    </cfRule>
  </conditionalFormatting>
  <conditionalFormatting sqref="S165">
    <cfRule type="containsText" dxfId="15226" priority="14033" operator="containsText" text="Cancelado">
      <formula>NOT(ISERROR(SEARCH("Cancelado",S165)))</formula>
    </cfRule>
  </conditionalFormatting>
  <conditionalFormatting sqref="J166">
    <cfRule type="cellIs" dxfId="15225" priority="14029" operator="equal">
      <formula>"Tramitando"</formula>
    </cfRule>
    <cfRule type="cellIs" dxfId="15224" priority="14030" operator="equal">
      <formula>"Deferido"</formula>
    </cfRule>
    <cfRule type="cellIs" dxfId="15223" priority="14031" operator="equal">
      <formula>"Indeferido"</formula>
    </cfRule>
  </conditionalFormatting>
  <conditionalFormatting sqref="J166">
    <cfRule type="containsText" dxfId="15222" priority="14028" operator="containsText" text="Cancelado">
      <formula>NOT(ISERROR(SEARCH("Cancelado",J166)))</formula>
    </cfRule>
  </conditionalFormatting>
  <conditionalFormatting sqref="M166">
    <cfRule type="cellIs" dxfId="15221" priority="14025" operator="equal">
      <formula>"Tramitando"</formula>
    </cfRule>
    <cfRule type="cellIs" dxfId="15220" priority="14026" operator="equal">
      <formula>"Deferido"</formula>
    </cfRule>
    <cfRule type="cellIs" dxfId="15219" priority="14027" operator="equal">
      <formula>"Indeferido"</formula>
    </cfRule>
  </conditionalFormatting>
  <conditionalFormatting sqref="M166">
    <cfRule type="containsText" dxfId="15218" priority="14024" operator="containsText" text="Cancelado">
      <formula>NOT(ISERROR(SEARCH("Cancelado",M166)))</formula>
    </cfRule>
  </conditionalFormatting>
  <conditionalFormatting sqref="O166">
    <cfRule type="cellIs" dxfId="15217" priority="14021" operator="equal">
      <formula>"Tramitando"</formula>
    </cfRule>
    <cfRule type="cellIs" dxfId="15216" priority="14022" operator="equal">
      <formula>"Deferido"</formula>
    </cfRule>
    <cfRule type="cellIs" dxfId="15215" priority="14023" operator="equal">
      <formula>"Indeferido"</formula>
    </cfRule>
  </conditionalFormatting>
  <conditionalFormatting sqref="O166">
    <cfRule type="containsText" dxfId="15214" priority="14020" operator="containsText" text="Cancelado">
      <formula>NOT(ISERROR(SEARCH("Cancelado",O166)))</formula>
    </cfRule>
  </conditionalFormatting>
  <conditionalFormatting sqref="Q166">
    <cfRule type="cellIs" dxfId="15213" priority="14017" operator="equal">
      <formula>"Tramitando"</formula>
    </cfRule>
    <cfRule type="cellIs" dxfId="15212" priority="14018" operator="equal">
      <formula>"Deferido"</formula>
    </cfRule>
    <cfRule type="cellIs" dxfId="15211" priority="14019" operator="equal">
      <formula>"Indeferido"</formula>
    </cfRule>
  </conditionalFormatting>
  <conditionalFormatting sqref="Q166">
    <cfRule type="containsText" dxfId="15210" priority="14016" operator="containsText" text="Cancelado">
      <formula>NOT(ISERROR(SEARCH("Cancelado",Q166)))</formula>
    </cfRule>
  </conditionalFormatting>
  <conditionalFormatting sqref="S166">
    <cfRule type="cellIs" dxfId="15209" priority="14013" operator="equal">
      <formula>"Tramitando"</formula>
    </cfRule>
    <cfRule type="cellIs" dxfId="15208" priority="14014" operator="equal">
      <formula>"Deferido"</formula>
    </cfRule>
    <cfRule type="cellIs" dxfId="15207" priority="14015" operator="equal">
      <formula>"Indeferido"</formula>
    </cfRule>
  </conditionalFormatting>
  <conditionalFormatting sqref="S166">
    <cfRule type="containsText" dxfId="15206" priority="14012" operator="containsText" text="Cancelado">
      <formula>NOT(ISERROR(SEARCH("Cancelado",S166)))</formula>
    </cfRule>
  </conditionalFormatting>
  <conditionalFormatting sqref="J167">
    <cfRule type="cellIs" dxfId="15205" priority="14008" operator="equal">
      <formula>"Tramitando"</formula>
    </cfRule>
    <cfRule type="cellIs" dxfId="15204" priority="14009" operator="equal">
      <formula>"Deferido"</formula>
    </cfRule>
    <cfRule type="cellIs" dxfId="15203" priority="14010" operator="equal">
      <formula>"Indeferido"</formula>
    </cfRule>
  </conditionalFormatting>
  <conditionalFormatting sqref="J167">
    <cfRule type="containsText" dxfId="15202" priority="14007" operator="containsText" text="Cancelado">
      <formula>NOT(ISERROR(SEARCH("Cancelado",J167)))</formula>
    </cfRule>
  </conditionalFormatting>
  <conditionalFormatting sqref="M167">
    <cfRule type="cellIs" dxfId="15201" priority="14004" operator="equal">
      <formula>"Tramitando"</formula>
    </cfRule>
    <cfRule type="cellIs" dxfId="15200" priority="14005" operator="equal">
      <formula>"Deferido"</formula>
    </cfRule>
    <cfRule type="cellIs" dxfId="15199" priority="14006" operator="equal">
      <formula>"Indeferido"</formula>
    </cfRule>
  </conditionalFormatting>
  <conditionalFormatting sqref="M167">
    <cfRule type="containsText" dxfId="15198" priority="14003" operator="containsText" text="Cancelado">
      <formula>NOT(ISERROR(SEARCH("Cancelado",M167)))</formula>
    </cfRule>
  </conditionalFormatting>
  <conditionalFormatting sqref="O167">
    <cfRule type="cellIs" dxfId="15197" priority="14000" operator="equal">
      <formula>"Tramitando"</formula>
    </cfRule>
    <cfRule type="cellIs" dxfId="15196" priority="14001" operator="equal">
      <formula>"Deferido"</formula>
    </cfRule>
    <cfRule type="cellIs" dxfId="15195" priority="14002" operator="equal">
      <formula>"Indeferido"</formula>
    </cfRule>
  </conditionalFormatting>
  <conditionalFormatting sqref="O167">
    <cfRule type="containsText" dxfId="15194" priority="13999" operator="containsText" text="Cancelado">
      <formula>NOT(ISERROR(SEARCH("Cancelado",O167)))</formula>
    </cfRule>
  </conditionalFormatting>
  <conditionalFormatting sqref="Q167">
    <cfRule type="cellIs" dxfId="15193" priority="13996" operator="equal">
      <formula>"Tramitando"</formula>
    </cfRule>
    <cfRule type="cellIs" dxfId="15192" priority="13997" operator="equal">
      <formula>"Deferido"</formula>
    </cfRule>
    <cfRule type="cellIs" dxfId="15191" priority="13998" operator="equal">
      <formula>"Indeferido"</formula>
    </cfRule>
  </conditionalFormatting>
  <conditionalFormatting sqref="Q167">
    <cfRule type="containsText" dxfId="15190" priority="13995" operator="containsText" text="Cancelado">
      <formula>NOT(ISERROR(SEARCH("Cancelado",Q167)))</formula>
    </cfRule>
  </conditionalFormatting>
  <conditionalFormatting sqref="S167">
    <cfRule type="cellIs" dxfId="15189" priority="13992" operator="equal">
      <formula>"Tramitando"</formula>
    </cfRule>
    <cfRule type="cellIs" dxfId="15188" priority="13993" operator="equal">
      <formula>"Deferido"</formula>
    </cfRule>
    <cfRule type="cellIs" dxfId="15187" priority="13994" operator="equal">
      <formula>"Indeferido"</formula>
    </cfRule>
  </conditionalFormatting>
  <conditionalFormatting sqref="S167">
    <cfRule type="containsText" dxfId="15186" priority="13991" operator="containsText" text="Cancelado">
      <formula>NOT(ISERROR(SEARCH("Cancelado",S167)))</formula>
    </cfRule>
  </conditionalFormatting>
  <conditionalFormatting sqref="J168">
    <cfRule type="cellIs" dxfId="15185" priority="13987" operator="equal">
      <formula>"Tramitando"</formula>
    </cfRule>
    <cfRule type="cellIs" dxfId="15184" priority="13988" operator="equal">
      <formula>"Deferido"</formula>
    </cfRule>
    <cfRule type="cellIs" dxfId="15183" priority="13989" operator="equal">
      <formula>"Indeferido"</formula>
    </cfRule>
  </conditionalFormatting>
  <conditionalFormatting sqref="J168">
    <cfRule type="containsText" dxfId="15182" priority="13986" operator="containsText" text="Cancelado">
      <formula>NOT(ISERROR(SEARCH("Cancelado",J168)))</formula>
    </cfRule>
  </conditionalFormatting>
  <conditionalFormatting sqref="M168">
    <cfRule type="cellIs" dxfId="15181" priority="13983" operator="equal">
      <formula>"Tramitando"</formula>
    </cfRule>
    <cfRule type="cellIs" dxfId="15180" priority="13984" operator="equal">
      <formula>"Deferido"</formula>
    </cfRule>
    <cfRule type="cellIs" dxfId="15179" priority="13985" operator="equal">
      <formula>"Indeferido"</formula>
    </cfRule>
  </conditionalFormatting>
  <conditionalFormatting sqref="M168">
    <cfRule type="containsText" dxfId="15178" priority="13982" operator="containsText" text="Cancelado">
      <formula>NOT(ISERROR(SEARCH("Cancelado",M168)))</formula>
    </cfRule>
  </conditionalFormatting>
  <conditionalFormatting sqref="O168">
    <cfRule type="cellIs" dxfId="15177" priority="13979" operator="equal">
      <formula>"Tramitando"</formula>
    </cfRule>
    <cfRule type="cellIs" dxfId="15176" priority="13980" operator="equal">
      <formula>"Deferido"</formula>
    </cfRule>
    <cfRule type="cellIs" dxfId="15175" priority="13981" operator="equal">
      <formula>"Indeferido"</formula>
    </cfRule>
  </conditionalFormatting>
  <conditionalFormatting sqref="O168">
    <cfRule type="containsText" dxfId="15174" priority="13978" operator="containsText" text="Cancelado">
      <formula>NOT(ISERROR(SEARCH("Cancelado",O168)))</formula>
    </cfRule>
  </conditionalFormatting>
  <conditionalFormatting sqref="Q168">
    <cfRule type="cellIs" dxfId="15173" priority="13975" operator="equal">
      <formula>"Tramitando"</formula>
    </cfRule>
    <cfRule type="cellIs" dxfId="15172" priority="13976" operator="equal">
      <formula>"Deferido"</formula>
    </cfRule>
    <cfRule type="cellIs" dxfId="15171" priority="13977" operator="equal">
      <formula>"Indeferido"</formula>
    </cfRule>
  </conditionalFormatting>
  <conditionalFormatting sqref="Q168">
    <cfRule type="containsText" dxfId="15170" priority="13974" operator="containsText" text="Cancelado">
      <formula>NOT(ISERROR(SEARCH("Cancelado",Q168)))</formula>
    </cfRule>
  </conditionalFormatting>
  <conditionalFormatting sqref="S168">
    <cfRule type="cellIs" dxfId="15169" priority="13971" operator="equal">
      <formula>"Tramitando"</formula>
    </cfRule>
    <cfRule type="cellIs" dxfId="15168" priority="13972" operator="equal">
      <formula>"Deferido"</formula>
    </cfRule>
    <cfRule type="cellIs" dxfId="15167" priority="13973" operator="equal">
      <formula>"Indeferido"</formula>
    </cfRule>
  </conditionalFormatting>
  <conditionalFormatting sqref="S168">
    <cfRule type="containsText" dxfId="15166" priority="13970" operator="containsText" text="Cancelado">
      <formula>NOT(ISERROR(SEARCH("Cancelado",S168)))</formula>
    </cfRule>
  </conditionalFormatting>
  <conditionalFormatting sqref="J169">
    <cfRule type="cellIs" dxfId="15165" priority="13966" operator="equal">
      <formula>"Tramitando"</formula>
    </cfRule>
    <cfRule type="cellIs" dxfId="15164" priority="13967" operator="equal">
      <formula>"Deferido"</formula>
    </cfRule>
    <cfRule type="cellIs" dxfId="15163" priority="13968" operator="equal">
      <formula>"Indeferido"</formula>
    </cfRule>
  </conditionalFormatting>
  <conditionalFormatting sqref="J169">
    <cfRule type="containsText" dxfId="15162" priority="13965" operator="containsText" text="Cancelado">
      <formula>NOT(ISERROR(SEARCH("Cancelado",J169)))</formula>
    </cfRule>
  </conditionalFormatting>
  <conditionalFormatting sqref="M169">
    <cfRule type="cellIs" dxfId="15161" priority="13962" operator="equal">
      <formula>"Tramitando"</formula>
    </cfRule>
    <cfRule type="cellIs" dxfId="15160" priority="13963" operator="equal">
      <formula>"Deferido"</formula>
    </cfRule>
    <cfRule type="cellIs" dxfId="15159" priority="13964" operator="equal">
      <formula>"Indeferido"</formula>
    </cfRule>
  </conditionalFormatting>
  <conditionalFormatting sqref="M169">
    <cfRule type="containsText" dxfId="15158" priority="13961" operator="containsText" text="Cancelado">
      <formula>NOT(ISERROR(SEARCH("Cancelado",M169)))</formula>
    </cfRule>
  </conditionalFormatting>
  <conditionalFormatting sqref="O169">
    <cfRule type="cellIs" dxfId="15157" priority="13958" operator="equal">
      <formula>"Tramitando"</formula>
    </cfRule>
    <cfRule type="cellIs" dxfId="15156" priority="13959" operator="equal">
      <formula>"Deferido"</formula>
    </cfRule>
    <cfRule type="cellIs" dxfId="15155" priority="13960" operator="equal">
      <formula>"Indeferido"</formula>
    </cfRule>
  </conditionalFormatting>
  <conditionalFormatting sqref="O169">
    <cfRule type="containsText" dxfId="15154" priority="13957" operator="containsText" text="Cancelado">
      <formula>NOT(ISERROR(SEARCH("Cancelado",O169)))</formula>
    </cfRule>
  </conditionalFormatting>
  <conditionalFormatting sqref="Q169">
    <cfRule type="cellIs" dxfId="15153" priority="13954" operator="equal">
      <formula>"Tramitando"</formula>
    </cfRule>
    <cfRule type="cellIs" dxfId="15152" priority="13955" operator="equal">
      <formula>"Deferido"</formula>
    </cfRule>
    <cfRule type="cellIs" dxfId="15151" priority="13956" operator="equal">
      <formula>"Indeferido"</formula>
    </cfRule>
  </conditionalFormatting>
  <conditionalFormatting sqref="Q169">
    <cfRule type="containsText" dxfId="15150" priority="13953" operator="containsText" text="Cancelado">
      <formula>NOT(ISERROR(SEARCH("Cancelado",Q169)))</formula>
    </cfRule>
  </conditionalFormatting>
  <conditionalFormatting sqref="S169">
    <cfRule type="cellIs" dxfId="15149" priority="13950" operator="equal">
      <formula>"Tramitando"</formula>
    </cfRule>
    <cfRule type="cellIs" dxfId="15148" priority="13951" operator="equal">
      <formula>"Deferido"</formula>
    </cfRule>
    <cfRule type="cellIs" dxfId="15147" priority="13952" operator="equal">
      <formula>"Indeferido"</formula>
    </cfRule>
  </conditionalFormatting>
  <conditionalFormatting sqref="S169">
    <cfRule type="containsText" dxfId="15146" priority="13949" operator="containsText" text="Cancelado">
      <formula>NOT(ISERROR(SEARCH("Cancelado",S169)))</formula>
    </cfRule>
  </conditionalFormatting>
  <conditionalFormatting sqref="J170">
    <cfRule type="cellIs" dxfId="15145" priority="13945" operator="equal">
      <formula>"Tramitando"</formula>
    </cfRule>
    <cfRule type="cellIs" dxfId="15144" priority="13946" operator="equal">
      <formula>"Deferido"</formula>
    </cfRule>
    <cfRule type="cellIs" dxfId="15143" priority="13947" operator="equal">
      <formula>"Indeferido"</formula>
    </cfRule>
  </conditionalFormatting>
  <conditionalFormatting sqref="J170">
    <cfRule type="containsText" dxfId="15142" priority="13944" operator="containsText" text="Cancelado">
      <formula>NOT(ISERROR(SEARCH("Cancelado",J170)))</formula>
    </cfRule>
  </conditionalFormatting>
  <conditionalFormatting sqref="M170">
    <cfRule type="cellIs" dxfId="15141" priority="13941" operator="equal">
      <formula>"Tramitando"</formula>
    </cfRule>
    <cfRule type="cellIs" dxfId="15140" priority="13942" operator="equal">
      <formula>"Deferido"</formula>
    </cfRule>
    <cfRule type="cellIs" dxfId="15139" priority="13943" operator="equal">
      <formula>"Indeferido"</formula>
    </cfRule>
  </conditionalFormatting>
  <conditionalFormatting sqref="M170">
    <cfRule type="containsText" dxfId="15138" priority="13940" operator="containsText" text="Cancelado">
      <formula>NOT(ISERROR(SEARCH("Cancelado",M170)))</formula>
    </cfRule>
  </conditionalFormatting>
  <conditionalFormatting sqref="O170">
    <cfRule type="cellIs" dxfId="15137" priority="13937" operator="equal">
      <formula>"Tramitando"</formula>
    </cfRule>
    <cfRule type="cellIs" dxfId="15136" priority="13938" operator="equal">
      <formula>"Deferido"</formula>
    </cfRule>
    <cfRule type="cellIs" dxfId="15135" priority="13939" operator="equal">
      <formula>"Indeferido"</formula>
    </cfRule>
  </conditionalFormatting>
  <conditionalFormatting sqref="O170">
    <cfRule type="containsText" dxfId="15134" priority="13936" operator="containsText" text="Cancelado">
      <formula>NOT(ISERROR(SEARCH("Cancelado",O170)))</formula>
    </cfRule>
  </conditionalFormatting>
  <conditionalFormatting sqref="Q170">
    <cfRule type="cellIs" dxfId="15133" priority="13933" operator="equal">
      <formula>"Tramitando"</formula>
    </cfRule>
    <cfRule type="cellIs" dxfId="15132" priority="13934" operator="equal">
      <formula>"Deferido"</formula>
    </cfRule>
    <cfRule type="cellIs" dxfId="15131" priority="13935" operator="equal">
      <formula>"Indeferido"</formula>
    </cfRule>
  </conditionalFormatting>
  <conditionalFormatting sqref="Q170">
    <cfRule type="containsText" dxfId="15130" priority="13932" operator="containsText" text="Cancelado">
      <formula>NOT(ISERROR(SEARCH("Cancelado",Q170)))</formula>
    </cfRule>
  </conditionalFormatting>
  <conditionalFormatting sqref="S170">
    <cfRule type="cellIs" dxfId="15129" priority="13929" operator="equal">
      <formula>"Tramitando"</formula>
    </cfRule>
    <cfRule type="cellIs" dxfId="15128" priority="13930" operator="equal">
      <formula>"Deferido"</formula>
    </cfRule>
    <cfRule type="cellIs" dxfId="15127" priority="13931" operator="equal">
      <formula>"Indeferido"</formula>
    </cfRule>
  </conditionalFormatting>
  <conditionalFormatting sqref="S170">
    <cfRule type="containsText" dxfId="15126" priority="13928" operator="containsText" text="Cancelado">
      <formula>NOT(ISERROR(SEARCH("Cancelado",S170)))</formula>
    </cfRule>
  </conditionalFormatting>
  <conditionalFormatting sqref="J171">
    <cfRule type="cellIs" dxfId="15125" priority="13924" operator="equal">
      <formula>"Tramitando"</formula>
    </cfRule>
    <cfRule type="cellIs" dxfId="15124" priority="13925" operator="equal">
      <formula>"Deferido"</formula>
    </cfRule>
    <cfRule type="cellIs" dxfId="15123" priority="13926" operator="equal">
      <formula>"Indeferido"</formula>
    </cfRule>
  </conditionalFormatting>
  <conditionalFormatting sqref="J171">
    <cfRule type="containsText" dxfId="15122" priority="13923" operator="containsText" text="Cancelado">
      <formula>NOT(ISERROR(SEARCH("Cancelado",J171)))</formula>
    </cfRule>
  </conditionalFormatting>
  <conditionalFormatting sqref="M171">
    <cfRule type="cellIs" dxfId="15121" priority="13920" operator="equal">
      <formula>"Tramitando"</formula>
    </cfRule>
    <cfRule type="cellIs" dxfId="15120" priority="13921" operator="equal">
      <formula>"Deferido"</formula>
    </cfRule>
    <cfRule type="cellIs" dxfId="15119" priority="13922" operator="equal">
      <formula>"Indeferido"</formula>
    </cfRule>
  </conditionalFormatting>
  <conditionalFormatting sqref="M171">
    <cfRule type="containsText" dxfId="15118" priority="13919" operator="containsText" text="Cancelado">
      <formula>NOT(ISERROR(SEARCH("Cancelado",M171)))</formula>
    </cfRule>
  </conditionalFormatting>
  <conditionalFormatting sqref="O171">
    <cfRule type="cellIs" dxfId="15117" priority="13916" operator="equal">
      <formula>"Tramitando"</formula>
    </cfRule>
    <cfRule type="cellIs" dxfId="15116" priority="13917" operator="equal">
      <formula>"Deferido"</formula>
    </cfRule>
    <cfRule type="cellIs" dxfId="15115" priority="13918" operator="equal">
      <formula>"Indeferido"</formula>
    </cfRule>
  </conditionalFormatting>
  <conditionalFormatting sqref="O171">
    <cfRule type="containsText" dxfId="15114" priority="13915" operator="containsText" text="Cancelado">
      <formula>NOT(ISERROR(SEARCH("Cancelado",O171)))</formula>
    </cfRule>
  </conditionalFormatting>
  <conditionalFormatting sqref="Q171">
    <cfRule type="cellIs" dxfId="15113" priority="13912" operator="equal">
      <formula>"Tramitando"</formula>
    </cfRule>
    <cfRule type="cellIs" dxfId="15112" priority="13913" operator="equal">
      <formula>"Deferido"</formula>
    </cfRule>
    <cfRule type="cellIs" dxfId="15111" priority="13914" operator="equal">
      <formula>"Indeferido"</formula>
    </cfRule>
  </conditionalFormatting>
  <conditionalFormatting sqref="Q171">
    <cfRule type="containsText" dxfId="15110" priority="13911" operator="containsText" text="Cancelado">
      <formula>NOT(ISERROR(SEARCH("Cancelado",Q171)))</formula>
    </cfRule>
  </conditionalFormatting>
  <conditionalFormatting sqref="S171">
    <cfRule type="cellIs" dxfId="15109" priority="13908" operator="equal">
      <formula>"Tramitando"</formula>
    </cfRule>
    <cfRule type="cellIs" dxfId="15108" priority="13909" operator="equal">
      <formula>"Deferido"</formula>
    </cfRule>
    <cfRule type="cellIs" dxfId="15107" priority="13910" operator="equal">
      <formula>"Indeferido"</formula>
    </cfRule>
  </conditionalFormatting>
  <conditionalFormatting sqref="S171">
    <cfRule type="containsText" dxfId="15106" priority="13907" operator="containsText" text="Cancelado">
      <formula>NOT(ISERROR(SEARCH("Cancelado",S171)))</formula>
    </cfRule>
  </conditionalFormatting>
  <conditionalFormatting sqref="J172">
    <cfRule type="cellIs" dxfId="15105" priority="13903" operator="equal">
      <formula>"Tramitando"</formula>
    </cfRule>
    <cfRule type="cellIs" dxfId="15104" priority="13904" operator="equal">
      <formula>"Deferido"</formula>
    </cfRule>
    <cfRule type="cellIs" dxfId="15103" priority="13905" operator="equal">
      <formula>"Indeferido"</formula>
    </cfRule>
  </conditionalFormatting>
  <conditionalFormatting sqref="J172">
    <cfRule type="containsText" dxfId="15102" priority="13902" operator="containsText" text="Cancelado">
      <formula>NOT(ISERROR(SEARCH("Cancelado",J172)))</formula>
    </cfRule>
  </conditionalFormatting>
  <conditionalFormatting sqref="M172">
    <cfRule type="cellIs" dxfId="15101" priority="13899" operator="equal">
      <formula>"Tramitando"</formula>
    </cfRule>
    <cfRule type="cellIs" dxfId="15100" priority="13900" operator="equal">
      <formula>"Deferido"</formula>
    </cfRule>
    <cfRule type="cellIs" dxfId="15099" priority="13901" operator="equal">
      <formula>"Indeferido"</formula>
    </cfRule>
  </conditionalFormatting>
  <conditionalFormatting sqref="M172">
    <cfRule type="containsText" dxfId="15098" priority="13898" operator="containsText" text="Cancelado">
      <formula>NOT(ISERROR(SEARCH("Cancelado",M172)))</formula>
    </cfRule>
  </conditionalFormatting>
  <conditionalFormatting sqref="O172">
    <cfRule type="cellIs" dxfId="15097" priority="13895" operator="equal">
      <formula>"Tramitando"</formula>
    </cfRule>
    <cfRule type="cellIs" dxfId="15096" priority="13896" operator="equal">
      <formula>"Deferido"</formula>
    </cfRule>
    <cfRule type="cellIs" dxfId="15095" priority="13897" operator="equal">
      <formula>"Indeferido"</formula>
    </cfRule>
  </conditionalFormatting>
  <conditionalFormatting sqref="O172">
    <cfRule type="containsText" dxfId="15094" priority="13894" operator="containsText" text="Cancelado">
      <formula>NOT(ISERROR(SEARCH("Cancelado",O172)))</formula>
    </cfRule>
  </conditionalFormatting>
  <conditionalFormatting sqref="Q172">
    <cfRule type="cellIs" dxfId="15093" priority="13891" operator="equal">
      <formula>"Tramitando"</formula>
    </cfRule>
    <cfRule type="cellIs" dxfId="15092" priority="13892" operator="equal">
      <formula>"Deferido"</formula>
    </cfRule>
    <cfRule type="cellIs" dxfId="15091" priority="13893" operator="equal">
      <formula>"Indeferido"</formula>
    </cfRule>
  </conditionalFormatting>
  <conditionalFormatting sqref="Q172">
    <cfRule type="containsText" dxfId="15090" priority="13890" operator="containsText" text="Cancelado">
      <formula>NOT(ISERROR(SEARCH("Cancelado",Q172)))</formula>
    </cfRule>
  </conditionalFormatting>
  <conditionalFormatting sqref="S172">
    <cfRule type="cellIs" dxfId="15089" priority="13887" operator="equal">
      <formula>"Tramitando"</formula>
    </cfRule>
    <cfRule type="cellIs" dxfId="15088" priority="13888" operator="equal">
      <formula>"Deferido"</formula>
    </cfRule>
    <cfRule type="cellIs" dxfId="15087" priority="13889" operator="equal">
      <formula>"Indeferido"</formula>
    </cfRule>
  </conditionalFormatting>
  <conditionalFormatting sqref="S172">
    <cfRule type="containsText" dxfId="15086" priority="13886" operator="containsText" text="Cancelado">
      <formula>NOT(ISERROR(SEARCH("Cancelado",S172)))</formula>
    </cfRule>
  </conditionalFormatting>
  <conditionalFormatting sqref="J173">
    <cfRule type="cellIs" dxfId="15085" priority="13882" operator="equal">
      <formula>"Tramitando"</formula>
    </cfRule>
    <cfRule type="cellIs" dxfId="15084" priority="13883" operator="equal">
      <formula>"Deferido"</formula>
    </cfRule>
    <cfRule type="cellIs" dxfId="15083" priority="13884" operator="equal">
      <formula>"Indeferido"</formula>
    </cfRule>
  </conditionalFormatting>
  <conditionalFormatting sqref="J173">
    <cfRule type="containsText" dxfId="15082" priority="13881" operator="containsText" text="Cancelado">
      <formula>NOT(ISERROR(SEARCH("Cancelado",J173)))</formula>
    </cfRule>
  </conditionalFormatting>
  <conditionalFormatting sqref="M173">
    <cfRule type="cellIs" dxfId="15081" priority="13878" operator="equal">
      <formula>"Tramitando"</formula>
    </cfRule>
    <cfRule type="cellIs" dxfId="15080" priority="13879" operator="equal">
      <formula>"Deferido"</formula>
    </cfRule>
    <cfRule type="cellIs" dxfId="15079" priority="13880" operator="equal">
      <formula>"Indeferido"</formula>
    </cfRule>
  </conditionalFormatting>
  <conditionalFormatting sqref="M173">
    <cfRule type="containsText" dxfId="15078" priority="13877" operator="containsText" text="Cancelado">
      <formula>NOT(ISERROR(SEARCH("Cancelado",M173)))</formula>
    </cfRule>
  </conditionalFormatting>
  <conditionalFormatting sqref="O173">
    <cfRule type="cellIs" dxfId="15077" priority="13874" operator="equal">
      <formula>"Tramitando"</formula>
    </cfRule>
    <cfRule type="cellIs" dxfId="15076" priority="13875" operator="equal">
      <formula>"Deferido"</formula>
    </cfRule>
    <cfRule type="cellIs" dxfId="15075" priority="13876" operator="equal">
      <formula>"Indeferido"</formula>
    </cfRule>
  </conditionalFormatting>
  <conditionalFormatting sqref="O173">
    <cfRule type="containsText" dxfId="15074" priority="13873" operator="containsText" text="Cancelado">
      <formula>NOT(ISERROR(SEARCH("Cancelado",O173)))</formula>
    </cfRule>
  </conditionalFormatting>
  <conditionalFormatting sqref="Q173">
    <cfRule type="cellIs" dxfId="15073" priority="13870" operator="equal">
      <formula>"Tramitando"</formula>
    </cfRule>
    <cfRule type="cellIs" dxfId="15072" priority="13871" operator="equal">
      <formula>"Deferido"</formula>
    </cfRule>
    <cfRule type="cellIs" dxfId="15071" priority="13872" operator="equal">
      <formula>"Indeferido"</formula>
    </cfRule>
  </conditionalFormatting>
  <conditionalFormatting sqref="Q173">
    <cfRule type="containsText" dxfId="15070" priority="13869" operator="containsText" text="Cancelado">
      <formula>NOT(ISERROR(SEARCH("Cancelado",Q173)))</formula>
    </cfRule>
  </conditionalFormatting>
  <conditionalFormatting sqref="S173">
    <cfRule type="cellIs" dxfId="15069" priority="13866" operator="equal">
      <formula>"Tramitando"</formula>
    </cfRule>
    <cfRule type="cellIs" dxfId="15068" priority="13867" operator="equal">
      <formula>"Deferido"</formula>
    </cfRule>
    <cfRule type="cellIs" dxfId="15067" priority="13868" operator="equal">
      <formula>"Indeferido"</formula>
    </cfRule>
  </conditionalFormatting>
  <conditionalFormatting sqref="S173">
    <cfRule type="containsText" dxfId="15066" priority="13865" operator="containsText" text="Cancelado">
      <formula>NOT(ISERROR(SEARCH("Cancelado",S173)))</formula>
    </cfRule>
  </conditionalFormatting>
  <conditionalFormatting sqref="J174">
    <cfRule type="cellIs" dxfId="15065" priority="13861" operator="equal">
      <formula>"Tramitando"</formula>
    </cfRule>
    <cfRule type="cellIs" dxfId="15064" priority="13862" operator="equal">
      <formula>"Deferido"</formula>
    </cfRule>
    <cfRule type="cellIs" dxfId="15063" priority="13863" operator="equal">
      <formula>"Indeferido"</formula>
    </cfRule>
  </conditionalFormatting>
  <conditionalFormatting sqref="J174">
    <cfRule type="containsText" dxfId="15062" priority="13860" operator="containsText" text="Cancelado">
      <formula>NOT(ISERROR(SEARCH("Cancelado",J174)))</formula>
    </cfRule>
  </conditionalFormatting>
  <conditionalFormatting sqref="M174">
    <cfRule type="cellIs" dxfId="15061" priority="13857" operator="equal">
      <formula>"Tramitando"</formula>
    </cfRule>
    <cfRule type="cellIs" dxfId="15060" priority="13858" operator="equal">
      <formula>"Deferido"</formula>
    </cfRule>
    <cfRule type="cellIs" dxfId="15059" priority="13859" operator="equal">
      <formula>"Indeferido"</formula>
    </cfRule>
  </conditionalFormatting>
  <conditionalFormatting sqref="M174">
    <cfRule type="containsText" dxfId="15058" priority="13856" operator="containsText" text="Cancelado">
      <formula>NOT(ISERROR(SEARCH("Cancelado",M174)))</formula>
    </cfRule>
  </conditionalFormatting>
  <conditionalFormatting sqref="O174">
    <cfRule type="cellIs" dxfId="15057" priority="13853" operator="equal">
      <formula>"Tramitando"</formula>
    </cfRule>
    <cfRule type="cellIs" dxfId="15056" priority="13854" operator="equal">
      <formula>"Deferido"</formula>
    </cfRule>
    <cfRule type="cellIs" dxfId="15055" priority="13855" operator="equal">
      <formula>"Indeferido"</formula>
    </cfRule>
  </conditionalFormatting>
  <conditionalFormatting sqref="O174">
    <cfRule type="containsText" dxfId="15054" priority="13852" operator="containsText" text="Cancelado">
      <formula>NOT(ISERROR(SEARCH("Cancelado",O174)))</formula>
    </cfRule>
  </conditionalFormatting>
  <conditionalFormatting sqref="Q174">
    <cfRule type="cellIs" dxfId="15053" priority="13849" operator="equal">
      <formula>"Tramitando"</formula>
    </cfRule>
    <cfRule type="cellIs" dxfId="15052" priority="13850" operator="equal">
      <formula>"Deferido"</formula>
    </cfRule>
    <cfRule type="cellIs" dxfId="15051" priority="13851" operator="equal">
      <formula>"Indeferido"</formula>
    </cfRule>
  </conditionalFormatting>
  <conditionalFormatting sqref="Q174">
    <cfRule type="containsText" dxfId="15050" priority="13848" operator="containsText" text="Cancelado">
      <formula>NOT(ISERROR(SEARCH("Cancelado",Q174)))</formula>
    </cfRule>
  </conditionalFormatting>
  <conditionalFormatting sqref="S174">
    <cfRule type="cellIs" dxfId="15049" priority="13845" operator="equal">
      <formula>"Tramitando"</formula>
    </cfRule>
    <cfRule type="cellIs" dxfId="15048" priority="13846" operator="equal">
      <formula>"Deferido"</formula>
    </cfRule>
    <cfRule type="cellIs" dxfId="15047" priority="13847" operator="equal">
      <formula>"Indeferido"</formula>
    </cfRule>
  </conditionalFormatting>
  <conditionalFormatting sqref="S174">
    <cfRule type="containsText" dxfId="15046" priority="13844" operator="containsText" text="Cancelado">
      <formula>NOT(ISERROR(SEARCH("Cancelado",S174)))</formula>
    </cfRule>
  </conditionalFormatting>
  <conditionalFormatting sqref="J175">
    <cfRule type="cellIs" dxfId="15045" priority="13840" operator="equal">
      <formula>"Tramitando"</formula>
    </cfRule>
    <cfRule type="cellIs" dxfId="15044" priority="13841" operator="equal">
      <formula>"Deferido"</formula>
    </cfRule>
    <cfRule type="cellIs" dxfId="15043" priority="13842" operator="equal">
      <formula>"Indeferido"</formula>
    </cfRule>
  </conditionalFormatting>
  <conditionalFormatting sqref="J175">
    <cfRule type="containsText" dxfId="15042" priority="13839" operator="containsText" text="Cancelado">
      <formula>NOT(ISERROR(SEARCH("Cancelado",J175)))</formula>
    </cfRule>
  </conditionalFormatting>
  <conditionalFormatting sqref="M175">
    <cfRule type="cellIs" dxfId="15041" priority="13836" operator="equal">
      <formula>"Tramitando"</formula>
    </cfRule>
    <cfRule type="cellIs" dxfId="15040" priority="13837" operator="equal">
      <formula>"Deferido"</formula>
    </cfRule>
    <cfRule type="cellIs" dxfId="15039" priority="13838" operator="equal">
      <formula>"Indeferido"</formula>
    </cfRule>
  </conditionalFormatting>
  <conditionalFormatting sqref="M175">
    <cfRule type="containsText" dxfId="15038" priority="13835" operator="containsText" text="Cancelado">
      <formula>NOT(ISERROR(SEARCH("Cancelado",M175)))</formula>
    </cfRule>
  </conditionalFormatting>
  <conditionalFormatting sqref="O175">
    <cfRule type="cellIs" dxfId="15037" priority="13832" operator="equal">
      <formula>"Tramitando"</formula>
    </cfRule>
    <cfRule type="cellIs" dxfId="15036" priority="13833" operator="equal">
      <formula>"Deferido"</formula>
    </cfRule>
    <cfRule type="cellIs" dxfId="15035" priority="13834" operator="equal">
      <formula>"Indeferido"</formula>
    </cfRule>
  </conditionalFormatting>
  <conditionalFormatting sqref="O175">
    <cfRule type="containsText" dxfId="15034" priority="13831" operator="containsText" text="Cancelado">
      <formula>NOT(ISERROR(SEARCH("Cancelado",O175)))</formula>
    </cfRule>
  </conditionalFormatting>
  <conditionalFormatting sqref="Q175">
    <cfRule type="cellIs" dxfId="15033" priority="13828" operator="equal">
      <formula>"Tramitando"</formula>
    </cfRule>
    <cfRule type="cellIs" dxfId="15032" priority="13829" operator="equal">
      <formula>"Deferido"</formula>
    </cfRule>
    <cfRule type="cellIs" dxfId="15031" priority="13830" operator="equal">
      <formula>"Indeferido"</formula>
    </cfRule>
  </conditionalFormatting>
  <conditionalFormatting sqref="Q175">
    <cfRule type="containsText" dxfId="15030" priority="13827" operator="containsText" text="Cancelado">
      <formula>NOT(ISERROR(SEARCH("Cancelado",Q175)))</formula>
    </cfRule>
  </conditionalFormatting>
  <conditionalFormatting sqref="S175">
    <cfRule type="cellIs" dxfId="15029" priority="13824" operator="equal">
      <formula>"Tramitando"</formula>
    </cfRule>
    <cfRule type="cellIs" dxfId="15028" priority="13825" operator="equal">
      <formula>"Deferido"</formula>
    </cfRule>
    <cfRule type="cellIs" dxfId="15027" priority="13826" operator="equal">
      <formula>"Indeferido"</formula>
    </cfRule>
  </conditionalFormatting>
  <conditionalFormatting sqref="S175">
    <cfRule type="containsText" dxfId="15026" priority="13823" operator="containsText" text="Cancelado">
      <formula>NOT(ISERROR(SEARCH("Cancelado",S175)))</formula>
    </cfRule>
  </conditionalFormatting>
  <conditionalFormatting sqref="J176">
    <cfRule type="cellIs" dxfId="15025" priority="13819" operator="equal">
      <formula>"Tramitando"</formula>
    </cfRule>
    <cfRule type="cellIs" dxfId="15024" priority="13820" operator="equal">
      <formula>"Deferido"</formula>
    </cfRule>
    <cfRule type="cellIs" dxfId="15023" priority="13821" operator="equal">
      <formula>"Indeferido"</formula>
    </cfRule>
  </conditionalFormatting>
  <conditionalFormatting sqref="J176">
    <cfRule type="containsText" dxfId="15022" priority="13818" operator="containsText" text="Cancelado">
      <formula>NOT(ISERROR(SEARCH("Cancelado",J176)))</formula>
    </cfRule>
  </conditionalFormatting>
  <conditionalFormatting sqref="M176">
    <cfRule type="cellIs" dxfId="15021" priority="13815" operator="equal">
      <formula>"Tramitando"</formula>
    </cfRule>
    <cfRule type="cellIs" dxfId="15020" priority="13816" operator="equal">
      <formula>"Deferido"</formula>
    </cfRule>
    <cfRule type="cellIs" dxfId="15019" priority="13817" operator="equal">
      <formula>"Indeferido"</formula>
    </cfRule>
  </conditionalFormatting>
  <conditionalFormatting sqref="M176">
    <cfRule type="containsText" dxfId="15018" priority="13814" operator="containsText" text="Cancelado">
      <formula>NOT(ISERROR(SEARCH("Cancelado",M176)))</formula>
    </cfRule>
  </conditionalFormatting>
  <conditionalFormatting sqref="O176">
    <cfRule type="cellIs" dxfId="15017" priority="13811" operator="equal">
      <formula>"Tramitando"</formula>
    </cfRule>
    <cfRule type="cellIs" dxfId="15016" priority="13812" operator="equal">
      <formula>"Deferido"</formula>
    </cfRule>
    <cfRule type="cellIs" dxfId="15015" priority="13813" operator="equal">
      <formula>"Indeferido"</formula>
    </cfRule>
  </conditionalFormatting>
  <conditionalFormatting sqref="O176">
    <cfRule type="containsText" dxfId="15014" priority="13810" operator="containsText" text="Cancelado">
      <formula>NOT(ISERROR(SEARCH("Cancelado",O176)))</formula>
    </cfRule>
  </conditionalFormatting>
  <conditionalFormatting sqref="Q176">
    <cfRule type="cellIs" dxfId="15013" priority="13807" operator="equal">
      <formula>"Tramitando"</formula>
    </cfRule>
    <cfRule type="cellIs" dxfId="15012" priority="13808" operator="equal">
      <formula>"Deferido"</formula>
    </cfRule>
    <cfRule type="cellIs" dxfId="15011" priority="13809" operator="equal">
      <formula>"Indeferido"</formula>
    </cfRule>
  </conditionalFormatting>
  <conditionalFormatting sqref="Q176">
    <cfRule type="containsText" dxfId="15010" priority="13806" operator="containsText" text="Cancelado">
      <formula>NOT(ISERROR(SEARCH("Cancelado",Q176)))</formula>
    </cfRule>
  </conditionalFormatting>
  <conditionalFormatting sqref="S176">
    <cfRule type="cellIs" dxfId="15009" priority="13803" operator="equal">
      <formula>"Tramitando"</formula>
    </cfRule>
    <cfRule type="cellIs" dxfId="15008" priority="13804" operator="equal">
      <formula>"Deferido"</formula>
    </cfRule>
    <cfRule type="cellIs" dxfId="15007" priority="13805" operator="equal">
      <formula>"Indeferido"</formula>
    </cfRule>
  </conditionalFormatting>
  <conditionalFormatting sqref="S176">
    <cfRule type="containsText" dxfId="15006" priority="13802" operator="containsText" text="Cancelado">
      <formula>NOT(ISERROR(SEARCH("Cancelado",S176)))</formula>
    </cfRule>
  </conditionalFormatting>
  <conditionalFormatting sqref="J177">
    <cfRule type="cellIs" dxfId="15005" priority="13798" operator="equal">
      <formula>"Tramitando"</formula>
    </cfRule>
    <cfRule type="cellIs" dxfId="15004" priority="13799" operator="equal">
      <formula>"Deferido"</formula>
    </cfRule>
    <cfRule type="cellIs" dxfId="15003" priority="13800" operator="equal">
      <formula>"Indeferido"</formula>
    </cfRule>
  </conditionalFormatting>
  <conditionalFormatting sqref="J177">
    <cfRule type="containsText" dxfId="15002" priority="13797" operator="containsText" text="Cancelado">
      <formula>NOT(ISERROR(SEARCH("Cancelado",J177)))</formula>
    </cfRule>
  </conditionalFormatting>
  <conditionalFormatting sqref="M177">
    <cfRule type="cellIs" dxfId="15001" priority="13794" operator="equal">
      <formula>"Tramitando"</formula>
    </cfRule>
    <cfRule type="cellIs" dxfId="15000" priority="13795" operator="equal">
      <formula>"Deferido"</formula>
    </cfRule>
    <cfRule type="cellIs" dxfId="14999" priority="13796" operator="equal">
      <formula>"Indeferido"</formula>
    </cfRule>
  </conditionalFormatting>
  <conditionalFormatting sqref="M177">
    <cfRule type="containsText" dxfId="14998" priority="13793" operator="containsText" text="Cancelado">
      <formula>NOT(ISERROR(SEARCH("Cancelado",M177)))</formula>
    </cfRule>
  </conditionalFormatting>
  <conditionalFormatting sqref="O177">
    <cfRule type="cellIs" dxfId="14997" priority="13790" operator="equal">
      <formula>"Tramitando"</formula>
    </cfRule>
    <cfRule type="cellIs" dxfId="14996" priority="13791" operator="equal">
      <formula>"Deferido"</formula>
    </cfRule>
    <cfRule type="cellIs" dxfId="14995" priority="13792" operator="equal">
      <formula>"Indeferido"</formula>
    </cfRule>
  </conditionalFormatting>
  <conditionalFormatting sqref="O177">
    <cfRule type="containsText" dxfId="14994" priority="13789" operator="containsText" text="Cancelado">
      <formula>NOT(ISERROR(SEARCH("Cancelado",O177)))</formula>
    </cfRule>
  </conditionalFormatting>
  <conditionalFormatting sqref="Q177">
    <cfRule type="cellIs" dxfId="14993" priority="13786" operator="equal">
      <formula>"Tramitando"</formula>
    </cfRule>
    <cfRule type="cellIs" dxfId="14992" priority="13787" operator="equal">
      <formula>"Deferido"</formula>
    </cfRule>
    <cfRule type="cellIs" dxfId="14991" priority="13788" operator="equal">
      <formula>"Indeferido"</formula>
    </cfRule>
  </conditionalFormatting>
  <conditionalFormatting sqref="Q177">
    <cfRule type="containsText" dxfId="14990" priority="13785" operator="containsText" text="Cancelado">
      <formula>NOT(ISERROR(SEARCH("Cancelado",Q177)))</formula>
    </cfRule>
  </conditionalFormatting>
  <conditionalFormatting sqref="S177">
    <cfRule type="cellIs" dxfId="14989" priority="13782" operator="equal">
      <formula>"Tramitando"</formula>
    </cfRule>
    <cfRule type="cellIs" dxfId="14988" priority="13783" operator="equal">
      <formula>"Deferido"</formula>
    </cfRule>
    <cfRule type="cellIs" dxfId="14987" priority="13784" operator="equal">
      <formula>"Indeferido"</formula>
    </cfRule>
  </conditionalFormatting>
  <conditionalFormatting sqref="S177">
    <cfRule type="containsText" dxfId="14986" priority="13781" operator="containsText" text="Cancelado">
      <formula>NOT(ISERROR(SEARCH("Cancelado",S177)))</formula>
    </cfRule>
  </conditionalFormatting>
  <conditionalFormatting sqref="J178">
    <cfRule type="cellIs" dxfId="14985" priority="13777" operator="equal">
      <formula>"Tramitando"</formula>
    </cfRule>
    <cfRule type="cellIs" dxfId="14984" priority="13778" operator="equal">
      <formula>"Deferido"</formula>
    </cfRule>
    <cfRule type="cellIs" dxfId="14983" priority="13779" operator="equal">
      <formula>"Indeferido"</formula>
    </cfRule>
  </conditionalFormatting>
  <conditionalFormatting sqref="J178">
    <cfRule type="containsText" dxfId="14982" priority="13776" operator="containsText" text="Cancelado">
      <formula>NOT(ISERROR(SEARCH("Cancelado",J178)))</formula>
    </cfRule>
  </conditionalFormatting>
  <conditionalFormatting sqref="M178">
    <cfRule type="cellIs" dxfId="14981" priority="13773" operator="equal">
      <formula>"Tramitando"</formula>
    </cfRule>
    <cfRule type="cellIs" dxfId="14980" priority="13774" operator="equal">
      <formula>"Deferido"</formula>
    </cfRule>
    <cfRule type="cellIs" dxfId="14979" priority="13775" operator="equal">
      <formula>"Indeferido"</formula>
    </cfRule>
  </conditionalFormatting>
  <conditionalFormatting sqref="M178">
    <cfRule type="containsText" dxfId="14978" priority="13772" operator="containsText" text="Cancelado">
      <formula>NOT(ISERROR(SEARCH("Cancelado",M178)))</formula>
    </cfRule>
  </conditionalFormatting>
  <conditionalFormatting sqref="O178">
    <cfRule type="cellIs" dxfId="14977" priority="13769" operator="equal">
      <formula>"Tramitando"</formula>
    </cfRule>
    <cfRule type="cellIs" dxfId="14976" priority="13770" operator="equal">
      <formula>"Deferido"</formula>
    </cfRule>
    <cfRule type="cellIs" dxfId="14975" priority="13771" operator="equal">
      <formula>"Indeferido"</formula>
    </cfRule>
  </conditionalFormatting>
  <conditionalFormatting sqref="O178">
    <cfRule type="containsText" dxfId="14974" priority="13768" operator="containsText" text="Cancelado">
      <formula>NOT(ISERROR(SEARCH("Cancelado",O178)))</formula>
    </cfRule>
  </conditionalFormatting>
  <conditionalFormatting sqref="Q178">
    <cfRule type="cellIs" dxfId="14973" priority="13765" operator="equal">
      <formula>"Tramitando"</formula>
    </cfRule>
    <cfRule type="cellIs" dxfId="14972" priority="13766" operator="equal">
      <formula>"Deferido"</formula>
    </cfRule>
    <cfRule type="cellIs" dxfId="14971" priority="13767" operator="equal">
      <formula>"Indeferido"</formula>
    </cfRule>
  </conditionalFormatting>
  <conditionalFormatting sqref="Q178">
    <cfRule type="containsText" dxfId="14970" priority="13764" operator="containsText" text="Cancelado">
      <formula>NOT(ISERROR(SEARCH("Cancelado",Q178)))</formula>
    </cfRule>
  </conditionalFormatting>
  <conditionalFormatting sqref="S178">
    <cfRule type="cellIs" dxfId="14969" priority="13761" operator="equal">
      <formula>"Tramitando"</formula>
    </cfRule>
    <cfRule type="cellIs" dxfId="14968" priority="13762" operator="equal">
      <formula>"Deferido"</formula>
    </cfRule>
    <cfRule type="cellIs" dxfId="14967" priority="13763" operator="equal">
      <formula>"Indeferido"</formula>
    </cfRule>
  </conditionalFormatting>
  <conditionalFormatting sqref="S178">
    <cfRule type="containsText" dxfId="14966" priority="13760" operator="containsText" text="Cancelado">
      <formula>NOT(ISERROR(SEARCH("Cancelado",S178)))</formula>
    </cfRule>
  </conditionalFormatting>
  <conditionalFormatting sqref="J179">
    <cfRule type="cellIs" dxfId="14965" priority="13756" operator="equal">
      <formula>"Tramitando"</formula>
    </cfRule>
    <cfRule type="cellIs" dxfId="14964" priority="13757" operator="equal">
      <formula>"Deferido"</formula>
    </cfRule>
    <cfRule type="cellIs" dxfId="14963" priority="13758" operator="equal">
      <formula>"Indeferido"</formula>
    </cfRule>
  </conditionalFormatting>
  <conditionalFormatting sqref="J179">
    <cfRule type="containsText" dxfId="14962" priority="13755" operator="containsText" text="Cancelado">
      <formula>NOT(ISERROR(SEARCH("Cancelado",J179)))</formula>
    </cfRule>
  </conditionalFormatting>
  <conditionalFormatting sqref="M179">
    <cfRule type="cellIs" dxfId="14961" priority="13752" operator="equal">
      <formula>"Tramitando"</formula>
    </cfRule>
    <cfRule type="cellIs" dxfId="14960" priority="13753" operator="equal">
      <formula>"Deferido"</formula>
    </cfRule>
    <cfRule type="cellIs" dxfId="14959" priority="13754" operator="equal">
      <formula>"Indeferido"</formula>
    </cfRule>
  </conditionalFormatting>
  <conditionalFormatting sqref="M179">
    <cfRule type="containsText" dxfId="14958" priority="13751" operator="containsText" text="Cancelado">
      <formula>NOT(ISERROR(SEARCH("Cancelado",M179)))</formula>
    </cfRule>
  </conditionalFormatting>
  <conditionalFormatting sqref="O179">
    <cfRule type="cellIs" dxfId="14957" priority="13748" operator="equal">
      <formula>"Tramitando"</formula>
    </cfRule>
    <cfRule type="cellIs" dxfId="14956" priority="13749" operator="equal">
      <formula>"Deferido"</formula>
    </cfRule>
    <cfRule type="cellIs" dxfId="14955" priority="13750" operator="equal">
      <formula>"Indeferido"</formula>
    </cfRule>
  </conditionalFormatting>
  <conditionalFormatting sqref="O179">
    <cfRule type="containsText" dxfId="14954" priority="13747" operator="containsText" text="Cancelado">
      <formula>NOT(ISERROR(SEARCH("Cancelado",O179)))</formula>
    </cfRule>
  </conditionalFormatting>
  <conditionalFormatting sqref="Q179">
    <cfRule type="cellIs" dxfId="14953" priority="13744" operator="equal">
      <formula>"Tramitando"</formula>
    </cfRule>
    <cfRule type="cellIs" dxfId="14952" priority="13745" operator="equal">
      <formula>"Deferido"</formula>
    </cfRule>
    <cfRule type="cellIs" dxfId="14951" priority="13746" operator="equal">
      <formula>"Indeferido"</formula>
    </cfRule>
  </conditionalFormatting>
  <conditionalFormatting sqref="Q179">
    <cfRule type="containsText" dxfId="14950" priority="13743" operator="containsText" text="Cancelado">
      <formula>NOT(ISERROR(SEARCH("Cancelado",Q179)))</formula>
    </cfRule>
  </conditionalFormatting>
  <conditionalFormatting sqref="S179">
    <cfRule type="cellIs" dxfId="14949" priority="13740" operator="equal">
      <formula>"Tramitando"</formula>
    </cfRule>
    <cfRule type="cellIs" dxfId="14948" priority="13741" operator="equal">
      <formula>"Deferido"</formula>
    </cfRule>
    <cfRule type="cellIs" dxfId="14947" priority="13742" operator="equal">
      <formula>"Indeferido"</formula>
    </cfRule>
  </conditionalFormatting>
  <conditionalFormatting sqref="S179">
    <cfRule type="containsText" dxfId="14946" priority="13739" operator="containsText" text="Cancelado">
      <formula>NOT(ISERROR(SEARCH("Cancelado",S179)))</formula>
    </cfRule>
  </conditionalFormatting>
  <conditionalFormatting sqref="J180">
    <cfRule type="cellIs" dxfId="14945" priority="13735" operator="equal">
      <formula>"Tramitando"</formula>
    </cfRule>
    <cfRule type="cellIs" dxfId="14944" priority="13736" operator="equal">
      <formula>"Deferido"</formula>
    </cfRule>
    <cfRule type="cellIs" dxfId="14943" priority="13737" operator="equal">
      <formula>"Indeferido"</formula>
    </cfRule>
  </conditionalFormatting>
  <conditionalFormatting sqref="J180">
    <cfRule type="containsText" dxfId="14942" priority="13734" operator="containsText" text="Cancelado">
      <formula>NOT(ISERROR(SEARCH("Cancelado",J180)))</formula>
    </cfRule>
  </conditionalFormatting>
  <conditionalFormatting sqref="M180">
    <cfRule type="cellIs" dxfId="14941" priority="13731" operator="equal">
      <formula>"Tramitando"</formula>
    </cfRule>
    <cfRule type="cellIs" dxfId="14940" priority="13732" operator="equal">
      <formula>"Deferido"</formula>
    </cfRule>
    <cfRule type="cellIs" dxfId="14939" priority="13733" operator="equal">
      <formula>"Indeferido"</formula>
    </cfRule>
  </conditionalFormatting>
  <conditionalFormatting sqref="M180">
    <cfRule type="containsText" dxfId="14938" priority="13730" operator="containsText" text="Cancelado">
      <formula>NOT(ISERROR(SEARCH("Cancelado",M180)))</formula>
    </cfRule>
  </conditionalFormatting>
  <conditionalFormatting sqref="O180">
    <cfRule type="cellIs" dxfId="14937" priority="13727" operator="equal">
      <formula>"Tramitando"</formula>
    </cfRule>
    <cfRule type="cellIs" dxfId="14936" priority="13728" operator="equal">
      <formula>"Deferido"</formula>
    </cfRule>
    <cfRule type="cellIs" dxfId="14935" priority="13729" operator="equal">
      <formula>"Indeferido"</formula>
    </cfRule>
  </conditionalFormatting>
  <conditionalFormatting sqref="O180">
    <cfRule type="containsText" dxfId="14934" priority="13726" operator="containsText" text="Cancelado">
      <formula>NOT(ISERROR(SEARCH("Cancelado",O180)))</formula>
    </cfRule>
  </conditionalFormatting>
  <conditionalFormatting sqref="Q180">
    <cfRule type="cellIs" dxfId="14933" priority="13723" operator="equal">
      <formula>"Tramitando"</formula>
    </cfRule>
    <cfRule type="cellIs" dxfId="14932" priority="13724" operator="equal">
      <formula>"Deferido"</formula>
    </cfRule>
    <cfRule type="cellIs" dxfId="14931" priority="13725" operator="equal">
      <formula>"Indeferido"</formula>
    </cfRule>
  </conditionalFormatting>
  <conditionalFormatting sqref="Q180">
    <cfRule type="containsText" dxfId="14930" priority="13722" operator="containsText" text="Cancelado">
      <formula>NOT(ISERROR(SEARCH("Cancelado",Q180)))</formula>
    </cfRule>
  </conditionalFormatting>
  <conditionalFormatting sqref="S180">
    <cfRule type="cellIs" dxfId="14929" priority="13719" operator="equal">
      <formula>"Tramitando"</formula>
    </cfRule>
    <cfRule type="cellIs" dxfId="14928" priority="13720" operator="equal">
      <formula>"Deferido"</formula>
    </cfRule>
    <cfRule type="cellIs" dxfId="14927" priority="13721" operator="equal">
      <formula>"Indeferido"</formula>
    </cfRule>
  </conditionalFormatting>
  <conditionalFormatting sqref="S180">
    <cfRule type="containsText" dxfId="14926" priority="13718" operator="containsText" text="Cancelado">
      <formula>NOT(ISERROR(SEARCH("Cancelado",S180)))</formula>
    </cfRule>
  </conditionalFormatting>
  <conditionalFormatting sqref="J181">
    <cfRule type="cellIs" dxfId="14925" priority="13714" operator="equal">
      <formula>"Tramitando"</formula>
    </cfRule>
    <cfRule type="cellIs" dxfId="14924" priority="13715" operator="equal">
      <formula>"Deferido"</formula>
    </cfRule>
    <cfRule type="cellIs" dxfId="14923" priority="13716" operator="equal">
      <formula>"Indeferido"</formula>
    </cfRule>
  </conditionalFormatting>
  <conditionalFormatting sqref="J181">
    <cfRule type="containsText" dxfId="14922" priority="13713" operator="containsText" text="Cancelado">
      <formula>NOT(ISERROR(SEARCH("Cancelado",J181)))</formula>
    </cfRule>
  </conditionalFormatting>
  <conditionalFormatting sqref="M181">
    <cfRule type="cellIs" dxfId="14921" priority="13710" operator="equal">
      <formula>"Tramitando"</formula>
    </cfRule>
    <cfRule type="cellIs" dxfId="14920" priority="13711" operator="equal">
      <formula>"Deferido"</formula>
    </cfRule>
    <cfRule type="cellIs" dxfId="14919" priority="13712" operator="equal">
      <formula>"Indeferido"</formula>
    </cfRule>
  </conditionalFormatting>
  <conditionalFormatting sqref="M181">
    <cfRule type="containsText" dxfId="14918" priority="13709" operator="containsText" text="Cancelado">
      <formula>NOT(ISERROR(SEARCH("Cancelado",M181)))</formula>
    </cfRule>
  </conditionalFormatting>
  <conditionalFormatting sqref="O181">
    <cfRule type="cellIs" dxfId="14917" priority="13706" operator="equal">
      <formula>"Tramitando"</formula>
    </cfRule>
    <cfRule type="cellIs" dxfId="14916" priority="13707" operator="equal">
      <formula>"Deferido"</formula>
    </cfRule>
    <cfRule type="cellIs" dxfId="14915" priority="13708" operator="equal">
      <formula>"Indeferido"</formula>
    </cfRule>
  </conditionalFormatting>
  <conditionalFormatting sqref="O181">
    <cfRule type="containsText" dxfId="14914" priority="13705" operator="containsText" text="Cancelado">
      <formula>NOT(ISERROR(SEARCH("Cancelado",O181)))</formula>
    </cfRule>
  </conditionalFormatting>
  <conditionalFormatting sqref="Q181">
    <cfRule type="cellIs" dxfId="14913" priority="13702" operator="equal">
      <formula>"Tramitando"</formula>
    </cfRule>
    <cfRule type="cellIs" dxfId="14912" priority="13703" operator="equal">
      <formula>"Deferido"</formula>
    </cfRule>
    <cfRule type="cellIs" dxfId="14911" priority="13704" operator="equal">
      <formula>"Indeferido"</formula>
    </cfRule>
  </conditionalFormatting>
  <conditionalFormatting sqref="Q181">
    <cfRule type="containsText" dxfId="14910" priority="13701" operator="containsText" text="Cancelado">
      <formula>NOT(ISERROR(SEARCH("Cancelado",Q181)))</formula>
    </cfRule>
  </conditionalFormatting>
  <conditionalFormatting sqref="S181">
    <cfRule type="cellIs" dxfId="14909" priority="13698" operator="equal">
      <formula>"Tramitando"</formula>
    </cfRule>
    <cfRule type="cellIs" dxfId="14908" priority="13699" operator="equal">
      <formula>"Deferido"</formula>
    </cfRule>
    <cfRule type="cellIs" dxfId="14907" priority="13700" operator="equal">
      <formula>"Indeferido"</formula>
    </cfRule>
  </conditionalFormatting>
  <conditionalFormatting sqref="S181">
    <cfRule type="containsText" dxfId="14906" priority="13697" operator="containsText" text="Cancelado">
      <formula>NOT(ISERROR(SEARCH("Cancelado",S181)))</formula>
    </cfRule>
  </conditionalFormatting>
  <conditionalFormatting sqref="J182">
    <cfRule type="cellIs" dxfId="14905" priority="13693" operator="equal">
      <formula>"Tramitando"</formula>
    </cfRule>
    <cfRule type="cellIs" dxfId="14904" priority="13694" operator="equal">
      <formula>"Deferido"</formula>
    </cfRule>
    <cfRule type="cellIs" dxfId="14903" priority="13695" operator="equal">
      <formula>"Indeferido"</formula>
    </cfRule>
  </conditionalFormatting>
  <conditionalFormatting sqref="J182">
    <cfRule type="containsText" dxfId="14902" priority="13692" operator="containsText" text="Cancelado">
      <formula>NOT(ISERROR(SEARCH("Cancelado",J182)))</formula>
    </cfRule>
  </conditionalFormatting>
  <conditionalFormatting sqref="M182">
    <cfRule type="cellIs" dxfId="14901" priority="13689" operator="equal">
      <formula>"Tramitando"</formula>
    </cfRule>
    <cfRule type="cellIs" dxfId="14900" priority="13690" operator="equal">
      <formula>"Deferido"</formula>
    </cfRule>
    <cfRule type="cellIs" dxfId="14899" priority="13691" operator="equal">
      <formula>"Indeferido"</formula>
    </cfRule>
  </conditionalFormatting>
  <conditionalFormatting sqref="M182">
    <cfRule type="containsText" dxfId="14898" priority="13688" operator="containsText" text="Cancelado">
      <formula>NOT(ISERROR(SEARCH("Cancelado",M182)))</formula>
    </cfRule>
  </conditionalFormatting>
  <conditionalFormatting sqref="O182">
    <cfRule type="cellIs" dxfId="14897" priority="13685" operator="equal">
      <formula>"Tramitando"</formula>
    </cfRule>
    <cfRule type="cellIs" dxfId="14896" priority="13686" operator="equal">
      <formula>"Deferido"</formula>
    </cfRule>
    <cfRule type="cellIs" dxfId="14895" priority="13687" operator="equal">
      <formula>"Indeferido"</formula>
    </cfRule>
  </conditionalFormatting>
  <conditionalFormatting sqref="O182">
    <cfRule type="containsText" dxfId="14894" priority="13684" operator="containsText" text="Cancelado">
      <formula>NOT(ISERROR(SEARCH("Cancelado",O182)))</formula>
    </cfRule>
  </conditionalFormatting>
  <conditionalFormatting sqref="Q182">
    <cfRule type="cellIs" dxfId="14893" priority="13681" operator="equal">
      <formula>"Tramitando"</formula>
    </cfRule>
    <cfRule type="cellIs" dxfId="14892" priority="13682" operator="equal">
      <formula>"Deferido"</formula>
    </cfRule>
    <cfRule type="cellIs" dxfId="14891" priority="13683" operator="equal">
      <formula>"Indeferido"</formula>
    </cfRule>
  </conditionalFormatting>
  <conditionalFormatting sqref="Q182">
    <cfRule type="containsText" dxfId="14890" priority="13680" operator="containsText" text="Cancelado">
      <formula>NOT(ISERROR(SEARCH("Cancelado",Q182)))</formula>
    </cfRule>
  </conditionalFormatting>
  <conditionalFormatting sqref="S182">
    <cfRule type="cellIs" dxfId="14889" priority="13677" operator="equal">
      <formula>"Tramitando"</formula>
    </cfRule>
    <cfRule type="cellIs" dxfId="14888" priority="13678" operator="equal">
      <formula>"Deferido"</formula>
    </cfRule>
    <cfRule type="cellIs" dxfId="14887" priority="13679" operator="equal">
      <formula>"Indeferido"</formula>
    </cfRule>
  </conditionalFormatting>
  <conditionalFormatting sqref="S182">
    <cfRule type="containsText" dxfId="14886" priority="13676" operator="containsText" text="Cancelado">
      <formula>NOT(ISERROR(SEARCH("Cancelado",S182)))</formula>
    </cfRule>
  </conditionalFormatting>
  <conditionalFormatting sqref="J183:J184">
    <cfRule type="cellIs" dxfId="14885" priority="13672" operator="equal">
      <formula>"Tramitando"</formula>
    </cfRule>
    <cfRule type="cellIs" dxfId="14884" priority="13673" operator="equal">
      <formula>"Deferido"</formula>
    </cfRule>
    <cfRule type="cellIs" dxfId="14883" priority="13674" operator="equal">
      <formula>"Indeferido"</formula>
    </cfRule>
  </conditionalFormatting>
  <conditionalFormatting sqref="J183:J184">
    <cfRule type="containsText" dxfId="14882" priority="13671" operator="containsText" text="Cancelado">
      <formula>NOT(ISERROR(SEARCH("Cancelado",J183)))</formula>
    </cfRule>
  </conditionalFormatting>
  <conditionalFormatting sqref="M183:M184">
    <cfRule type="cellIs" dxfId="14881" priority="13668" operator="equal">
      <formula>"Tramitando"</formula>
    </cfRule>
    <cfRule type="cellIs" dxfId="14880" priority="13669" operator="equal">
      <formula>"Deferido"</formula>
    </cfRule>
    <cfRule type="cellIs" dxfId="14879" priority="13670" operator="equal">
      <formula>"Indeferido"</formula>
    </cfRule>
  </conditionalFormatting>
  <conditionalFormatting sqref="M183:M184">
    <cfRule type="containsText" dxfId="14878" priority="13667" operator="containsText" text="Cancelado">
      <formula>NOT(ISERROR(SEARCH("Cancelado",M183)))</formula>
    </cfRule>
  </conditionalFormatting>
  <conditionalFormatting sqref="O183:O184">
    <cfRule type="cellIs" dxfId="14877" priority="13664" operator="equal">
      <formula>"Tramitando"</formula>
    </cfRule>
    <cfRule type="cellIs" dxfId="14876" priority="13665" operator="equal">
      <formula>"Deferido"</formula>
    </cfRule>
    <cfRule type="cellIs" dxfId="14875" priority="13666" operator="equal">
      <formula>"Indeferido"</formula>
    </cfRule>
  </conditionalFormatting>
  <conditionalFormatting sqref="O183:O184">
    <cfRule type="containsText" dxfId="14874" priority="13663" operator="containsText" text="Cancelado">
      <formula>NOT(ISERROR(SEARCH("Cancelado",O183)))</formula>
    </cfRule>
  </conditionalFormatting>
  <conditionalFormatting sqref="Q183:Q184">
    <cfRule type="cellIs" dxfId="14873" priority="13660" operator="equal">
      <formula>"Tramitando"</formula>
    </cfRule>
    <cfRule type="cellIs" dxfId="14872" priority="13661" operator="equal">
      <formula>"Deferido"</formula>
    </cfRule>
    <cfRule type="cellIs" dxfId="14871" priority="13662" operator="equal">
      <formula>"Indeferido"</formula>
    </cfRule>
  </conditionalFormatting>
  <conditionalFormatting sqref="Q183:Q184">
    <cfRule type="containsText" dxfId="14870" priority="13659" operator="containsText" text="Cancelado">
      <formula>NOT(ISERROR(SEARCH("Cancelado",Q183)))</formula>
    </cfRule>
  </conditionalFormatting>
  <conditionalFormatting sqref="S183:S184">
    <cfRule type="cellIs" dxfId="14869" priority="13656" operator="equal">
      <formula>"Tramitando"</formula>
    </cfRule>
    <cfRule type="cellIs" dxfId="14868" priority="13657" operator="equal">
      <formula>"Deferido"</formula>
    </cfRule>
    <cfRule type="cellIs" dxfId="14867" priority="13658" operator="equal">
      <formula>"Indeferido"</formula>
    </cfRule>
  </conditionalFormatting>
  <conditionalFormatting sqref="S183:S184">
    <cfRule type="containsText" dxfId="14866" priority="13655" operator="containsText" text="Cancelado">
      <formula>NOT(ISERROR(SEARCH("Cancelado",S183)))</formula>
    </cfRule>
  </conditionalFormatting>
  <conditionalFormatting sqref="J185">
    <cfRule type="cellIs" dxfId="14865" priority="13651" operator="equal">
      <formula>"Tramitando"</formula>
    </cfRule>
    <cfRule type="cellIs" dxfId="14864" priority="13652" operator="equal">
      <formula>"Deferido"</formula>
    </cfRule>
    <cfRule type="cellIs" dxfId="14863" priority="13653" operator="equal">
      <formula>"Indeferido"</formula>
    </cfRule>
  </conditionalFormatting>
  <conditionalFormatting sqref="J185">
    <cfRule type="containsText" dxfId="14862" priority="13650" operator="containsText" text="Cancelado">
      <formula>NOT(ISERROR(SEARCH("Cancelado",J185)))</formula>
    </cfRule>
  </conditionalFormatting>
  <conditionalFormatting sqref="M185">
    <cfRule type="cellIs" dxfId="14861" priority="13647" operator="equal">
      <formula>"Tramitando"</formula>
    </cfRule>
    <cfRule type="cellIs" dxfId="14860" priority="13648" operator="equal">
      <formula>"Deferido"</formula>
    </cfRule>
    <cfRule type="cellIs" dxfId="14859" priority="13649" operator="equal">
      <formula>"Indeferido"</formula>
    </cfRule>
  </conditionalFormatting>
  <conditionalFormatting sqref="M185">
    <cfRule type="containsText" dxfId="14858" priority="13646" operator="containsText" text="Cancelado">
      <formula>NOT(ISERROR(SEARCH("Cancelado",M185)))</formula>
    </cfRule>
  </conditionalFormatting>
  <conditionalFormatting sqref="O185">
    <cfRule type="cellIs" dxfId="14857" priority="13643" operator="equal">
      <formula>"Tramitando"</formula>
    </cfRule>
    <cfRule type="cellIs" dxfId="14856" priority="13644" operator="equal">
      <formula>"Deferido"</formula>
    </cfRule>
    <cfRule type="cellIs" dxfId="14855" priority="13645" operator="equal">
      <formula>"Indeferido"</formula>
    </cfRule>
  </conditionalFormatting>
  <conditionalFormatting sqref="O185">
    <cfRule type="containsText" dxfId="14854" priority="13642" operator="containsText" text="Cancelado">
      <formula>NOT(ISERROR(SEARCH("Cancelado",O185)))</formula>
    </cfRule>
  </conditionalFormatting>
  <conditionalFormatting sqref="Q185">
    <cfRule type="cellIs" dxfId="14853" priority="13639" operator="equal">
      <formula>"Tramitando"</formula>
    </cfRule>
    <cfRule type="cellIs" dxfId="14852" priority="13640" operator="equal">
      <formula>"Deferido"</formula>
    </cfRule>
    <cfRule type="cellIs" dxfId="14851" priority="13641" operator="equal">
      <formula>"Indeferido"</formula>
    </cfRule>
  </conditionalFormatting>
  <conditionalFormatting sqref="Q185">
    <cfRule type="containsText" dxfId="14850" priority="13638" operator="containsText" text="Cancelado">
      <formula>NOT(ISERROR(SEARCH("Cancelado",Q185)))</formula>
    </cfRule>
  </conditionalFormatting>
  <conditionalFormatting sqref="S185">
    <cfRule type="cellIs" dxfId="14849" priority="13635" operator="equal">
      <formula>"Tramitando"</formula>
    </cfRule>
    <cfRule type="cellIs" dxfId="14848" priority="13636" operator="equal">
      <formula>"Deferido"</formula>
    </cfRule>
    <cfRule type="cellIs" dxfId="14847" priority="13637" operator="equal">
      <formula>"Indeferido"</formula>
    </cfRule>
  </conditionalFormatting>
  <conditionalFormatting sqref="S185">
    <cfRule type="containsText" dxfId="14846" priority="13634" operator="containsText" text="Cancelado">
      <formula>NOT(ISERROR(SEARCH("Cancelado",S185)))</formula>
    </cfRule>
  </conditionalFormatting>
  <conditionalFormatting sqref="J186">
    <cfRule type="cellIs" dxfId="14845" priority="13630" operator="equal">
      <formula>"Tramitando"</formula>
    </cfRule>
    <cfRule type="cellIs" dxfId="14844" priority="13631" operator="equal">
      <formula>"Deferido"</formula>
    </cfRule>
    <cfRule type="cellIs" dxfId="14843" priority="13632" operator="equal">
      <formula>"Indeferido"</formula>
    </cfRule>
  </conditionalFormatting>
  <conditionalFormatting sqref="J186">
    <cfRule type="containsText" dxfId="14842" priority="13629" operator="containsText" text="Cancelado">
      <formula>NOT(ISERROR(SEARCH("Cancelado",J186)))</formula>
    </cfRule>
  </conditionalFormatting>
  <conditionalFormatting sqref="M186">
    <cfRule type="cellIs" dxfId="14841" priority="13626" operator="equal">
      <formula>"Tramitando"</formula>
    </cfRule>
    <cfRule type="cellIs" dxfId="14840" priority="13627" operator="equal">
      <formula>"Deferido"</formula>
    </cfRule>
    <cfRule type="cellIs" dxfId="14839" priority="13628" operator="equal">
      <formula>"Indeferido"</formula>
    </cfRule>
  </conditionalFormatting>
  <conditionalFormatting sqref="M186">
    <cfRule type="containsText" dxfId="14838" priority="13625" operator="containsText" text="Cancelado">
      <formula>NOT(ISERROR(SEARCH("Cancelado",M186)))</formula>
    </cfRule>
  </conditionalFormatting>
  <conditionalFormatting sqref="O186">
    <cfRule type="cellIs" dxfId="14837" priority="13622" operator="equal">
      <formula>"Tramitando"</formula>
    </cfRule>
    <cfRule type="cellIs" dxfId="14836" priority="13623" operator="equal">
      <formula>"Deferido"</formula>
    </cfRule>
    <cfRule type="cellIs" dxfId="14835" priority="13624" operator="equal">
      <formula>"Indeferido"</formula>
    </cfRule>
  </conditionalFormatting>
  <conditionalFormatting sqref="O186">
    <cfRule type="containsText" dxfId="14834" priority="13621" operator="containsText" text="Cancelado">
      <formula>NOT(ISERROR(SEARCH("Cancelado",O186)))</formula>
    </cfRule>
  </conditionalFormatting>
  <conditionalFormatting sqref="Q186">
    <cfRule type="cellIs" dxfId="14833" priority="13618" operator="equal">
      <formula>"Tramitando"</formula>
    </cfRule>
    <cfRule type="cellIs" dxfId="14832" priority="13619" operator="equal">
      <formula>"Deferido"</formula>
    </cfRule>
    <cfRule type="cellIs" dxfId="14831" priority="13620" operator="equal">
      <formula>"Indeferido"</formula>
    </cfRule>
  </conditionalFormatting>
  <conditionalFormatting sqref="Q186">
    <cfRule type="containsText" dxfId="14830" priority="13617" operator="containsText" text="Cancelado">
      <formula>NOT(ISERROR(SEARCH("Cancelado",Q186)))</formula>
    </cfRule>
  </conditionalFormatting>
  <conditionalFormatting sqref="S186">
    <cfRule type="cellIs" dxfId="14829" priority="13614" operator="equal">
      <formula>"Tramitando"</formula>
    </cfRule>
    <cfRule type="cellIs" dxfId="14828" priority="13615" operator="equal">
      <formula>"Deferido"</formula>
    </cfRule>
    <cfRule type="cellIs" dxfId="14827" priority="13616" operator="equal">
      <formula>"Indeferido"</formula>
    </cfRule>
  </conditionalFormatting>
  <conditionalFormatting sqref="S186">
    <cfRule type="containsText" dxfId="14826" priority="13613" operator="containsText" text="Cancelado">
      <formula>NOT(ISERROR(SEARCH("Cancelado",S186)))</formula>
    </cfRule>
  </conditionalFormatting>
  <conditionalFormatting sqref="J187">
    <cfRule type="cellIs" dxfId="14825" priority="13609" operator="equal">
      <formula>"Tramitando"</formula>
    </cfRule>
    <cfRule type="cellIs" dxfId="14824" priority="13610" operator="equal">
      <formula>"Deferido"</formula>
    </cfRule>
    <cfRule type="cellIs" dxfId="14823" priority="13611" operator="equal">
      <formula>"Indeferido"</formula>
    </cfRule>
  </conditionalFormatting>
  <conditionalFormatting sqref="J187">
    <cfRule type="containsText" dxfId="14822" priority="13608" operator="containsText" text="Cancelado">
      <formula>NOT(ISERROR(SEARCH("Cancelado",J187)))</formula>
    </cfRule>
  </conditionalFormatting>
  <conditionalFormatting sqref="M187">
    <cfRule type="cellIs" dxfId="14821" priority="13605" operator="equal">
      <formula>"Tramitando"</formula>
    </cfRule>
    <cfRule type="cellIs" dxfId="14820" priority="13606" operator="equal">
      <formula>"Deferido"</formula>
    </cfRule>
    <cfRule type="cellIs" dxfId="14819" priority="13607" operator="equal">
      <formula>"Indeferido"</formula>
    </cfRule>
  </conditionalFormatting>
  <conditionalFormatting sqref="M187">
    <cfRule type="containsText" dxfId="14818" priority="13604" operator="containsText" text="Cancelado">
      <formula>NOT(ISERROR(SEARCH("Cancelado",M187)))</formula>
    </cfRule>
  </conditionalFormatting>
  <conditionalFormatting sqref="O187">
    <cfRule type="cellIs" dxfId="14817" priority="13601" operator="equal">
      <formula>"Tramitando"</formula>
    </cfRule>
    <cfRule type="cellIs" dxfId="14816" priority="13602" operator="equal">
      <formula>"Deferido"</formula>
    </cfRule>
    <cfRule type="cellIs" dxfId="14815" priority="13603" operator="equal">
      <formula>"Indeferido"</formula>
    </cfRule>
  </conditionalFormatting>
  <conditionalFormatting sqref="O187">
    <cfRule type="containsText" dxfId="14814" priority="13600" operator="containsText" text="Cancelado">
      <formula>NOT(ISERROR(SEARCH("Cancelado",O187)))</formula>
    </cfRule>
  </conditionalFormatting>
  <conditionalFormatting sqref="Q187">
    <cfRule type="cellIs" dxfId="14813" priority="13597" operator="equal">
      <formula>"Tramitando"</formula>
    </cfRule>
    <cfRule type="cellIs" dxfId="14812" priority="13598" operator="equal">
      <formula>"Deferido"</formula>
    </cfRule>
    <cfRule type="cellIs" dxfId="14811" priority="13599" operator="equal">
      <formula>"Indeferido"</formula>
    </cfRule>
  </conditionalFormatting>
  <conditionalFormatting sqref="Q187">
    <cfRule type="containsText" dxfId="14810" priority="13596" operator="containsText" text="Cancelado">
      <formula>NOT(ISERROR(SEARCH("Cancelado",Q187)))</formula>
    </cfRule>
  </conditionalFormatting>
  <conditionalFormatting sqref="S187">
    <cfRule type="cellIs" dxfId="14809" priority="13593" operator="equal">
      <formula>"Tramitando"</formula>
    </cfRule>
    <cfRule type="cellIs" dxfId="14808" priority="13594" operator="equal">
      <formula>"Deferido"</formula>
    </cfRule>
    <cfRule type="cellIs" dxfId="14807" priority="13595" operator="equal">
      <formula>"Indeferido"</formula>
    </cfRule>
  </conditionalFormatting>
  <conditionalFormatting sqref="S187">
    <cfRule type="containsText" dxfId="14806" priority="13592" operator="containsText" text="Cancelado">
      <formula>NOT(ISERROR(SEARCH("Cancelado",S187)))</formula>
    </cfRule>
  </conditionalFormatting>
  <conditionalFormatting sqref="J188">
    <cfRule type="cellIs" dxfId="14805" priority="13588" operator="equal">
      <formula>"Tramitando"</formula>
    </cfRule>
    <cfRule type="cellIs" dxfId="14804" priority="13589" operator="equal">
      <formula>"Deferido"</formula>
    </cfRule>
    <cfRule type="cellIs" dxfId="14803" priority="13590" operator="equal">
      <formula>"Indeferido"</formula>
    </cfRule>
  </conditionalFormatting>
  <conditionalFormatting sqref="J188">
    <cfRule type="containsText" dxfId="14802" priority="13587" operator="containsText" text="Cancelado">
      <formula>NOT(ISERROR(SEARCH("Cancelado",J188)))</formula>
    </cfRule>
  </conditionalFormatting>
  <conditionalFormatting sqref="M188">
    <cfRule type="cellIs" dxfId="14801" priority="13584" operator="equal">
      <formula>"Tramitando"</formula>
    </cfRule>
    <cfRule type="cellIs" dxfId="14800" priority="13585" operator="equal">
      <formula>"Deferido"</formula>
    </cfRule>
    <cfRule type="cellIs" dxfId="14799" priority="13586" operator="equal">
      <formula>"Indeferido"</formula>
    </cfRule>
  </conditionalFormatting>
  <conditionalFormatting sqref="M188">
    <cfRule type="containsText" dxfId="14798" priority="13583" operator="containsText" text="Cancelado">
      <formula>NOT(ISERROR(SEARCH("Cancelado",M188)))</formula>
    </cfRule>
  </conditionalFormatting>
  <conditionalFormatting sqref="O188">
    <cfRule type="cellIs" dxfId="14797" priority="13580" operator="equal">
      <formula>"Tramitando"</formula>
    </cfRule>
    <cfRule type="cellIs" dxfId="14796" priority="13581" operator="equal">
      <formula>"Deferido"</formula>
    </cfRule>
    <cfRule type="cellIs" dxfId="14795" priority="13582" operator="equal">
      <formula>"Indeferido"</formula>
    </cfRule>
  </conditionalFormatting>
  <conditionalFormatting sqref="O188">
    <cfRule type="containsText" dxfId="14794" priority="13579" operator="containsText" text="Cancelado">
      <formula>NOT(ISERROR(SEARCH("Cancelado",O188)))</formula>
    </cfRule>
  </conditionalFormatting>
  <conditionalFormatting sqref="Q188">
    <cfRule type="cellIs" dxfId="14793" priority="13576" operator="equal">
      <formula>"Tramitando"</formula>
    </cfRule>
    <cfRule type="cellIs" dxfId="14792" priority="13577" operator="equal">
      <formula>"Deferido"</formula>
    </cfRule>
    <cfRule type="cellIs" dxfId="14791" priority="13578" operator="equal">
      <formula>"Indeferido"</formula>
    </cfRule>
  </conditionalFormatting>
  <conditionalFormatting sqref="Q188">
    <cfRule type="containsText" dxfId="14790" priority="13575" operator="containsText" text="Cancelado">
      <formula>NOT(ISERROR(SEARCH("Cancelado",Q188)))</formula>
    </cfRule>
  </conditionalFormatting>
  <conditionalFormatting sqref="S188">
    <cfRule type="cellIs" dxfId="14789" priority="13572" operator="equal">
      <formula>"Tramitando"</formula>
    </cfRule>
    <cfRule type="cellIs" dxfId="14788" priority="13573" operator="equal">
      <formula>"Deferido"</formula>
    </cfRule>
    <cfRule type="cellIs" dxfId="14787" priority="13574" operator="equal">
      <formula>"Indeferido"</formula>
    </cfRule>
  </conditionalFormatting>
  <conditionalFormatting sqref="S188">
    <cfRule type="containsText" dxfId="14786" priority="13571" operator="containsText" text="Cancelado">
      <formula>NOT(ISERROR(SEARCH("Cancelado",S188)))</formula>
    </cfRule>
  </conditionalFormatting>
  <conditionalFormatting sqref="J189">
    <cfRule type="cellIs" dxfId="14785" priority="13567" operator="equal">
      <formula>"Tramitando"</formula>
    </cfRule>
    <cfRule type="cellIs" dxfId="14784" priority="13568" operator="equal">
      <formula>"Deferido"</formula>
    </cfRule>
    <cfRule type="cellIs" dxfId="14783" priority="13569" operator="equal">
      <formula>"Indeferido"</formula>
    </cfRule>
  </conditionalFormatting>
  <conditionalFormatting sqref="J189">
    <cfRule type="containsText" dxfId="14782" priority="13566" operator="containsText" text="Cancelado">
      <formula>NOT(ISERROR(SEARCH("Cancelado",J189)))</formula>
    </cfRule>
  </conditionalFormatting>
  <conditionalFormatting sqref="M189">
    <cfRule type="cellIs" dxfId="14781" priority="13563" operator="equal">
      <formula>"Tramitando"</formula>
    </cfRule>
    <cfRule type="cellIs" dxfId="14780" priority="13564" operator="equal">
      <formula>"Deferido"</formula>
    </cfRule>
    <cfRule type="cellIs" dxfId="14779" priority="13565" operator="equal">
      <formula>"Indeferido"</formula>
    </cfRule>
  </conditionalFormatting>
  <conditionalFormatting sqref="M189">
    <cfRule type="containsText" dxfId="14778" priority="13562" operator="containsText" text="Cancelado">
      <formula>NOT(ISERROR(SEARCH("Cancelado",M189)))</formula>
    </cfRule>
  </conditionalFormatting>
  <conditionalFormatting sqref="O189">
    <cfRule type="cellIs" dxfId="14777" priority="13559" operator="equal">
      <formula>"Tramitando"</formula>
    </cfRule>
    <cfRule type="cellIs" dxfId="14776" priority="13560" operator="equal">
      <formula>"Deferido"</formula>
    </cfRule>
    <cfRule type="cellIs" dxfId="14775" priority="13561" operator="equal">
      <formula>"Indeferido"</formula>
    </cfRule>
  </conditionalFormatting>
  <conditionalFormatting sqref="O189">
    <cfRule type="containsText" dxfId="14774" priority="13558" operator="containsText" text="Cancelado">
      <formula>NOT(ISERROR(SEARCH("Cancelado",O189)))</formula>
    </cfRule>
  </conditionalFormatting>
  <conditionalFormatting sqref="Q189">
    <cfRule type="cellIs" dxfId="14773" priority="13555" operator="equal">
      <formula>"Tramitando"</formula>
    </cfRule>
    <cfRule type="cellIs" dxfId="14772" priority="13556" operator="equal">
      <formula>"Deferido"</formula>
    </cfRule>
    <cfRule type="cellIs" dxfId="14771" priority="13557" operator="equal">
      <formula>"Indeferido"</formula>
    </cfRule>
  </conditionalFormatting>
  <conditionalFormatting sqref="Q189">
    <cfRule type="containsText" dxfId="14770" priority="13554" operator="containsText" text="Cancelado">
      <formula>NOT(ISERROR(SEARCH("Cancelado",Q189)))</formula>
    </cfRule>
  </conditionalFormatting>
  <conditionalFormatting sqref="S189">
    <cfRule type="cellIs" dxfId="14769" priority="13551" operator="equal">
      <formula>"Tramitando"</formula>
    </cfRule>
    <cfRule type="cellIs" dxfId="14768" priority="13552" operator="equal">
      <formula>"Deferido"</formula>
    </cfRule>
    <cfRule type="cellIs" dxfId="14767" priority="13553" operator="equal">
      <formula>"Indeferido"</formula>
    </cfRule>
  </conditionalFormatting>
  <conditionalFormatting sqref="S189">
    <cfRule type="containsText" dxfId="14766" priority="13550" operator="containsText" text="Cancelado">
      <formula>NOT(ISERROR(SEARCH("Cancelado",S189)))</formula>
    </cfRule>
  </conditionalFormatting>
  <conditionalFormatting sqref="J190">
    <cfRule type="cellIs" dxfId="14765" priority="13546" operator="equal">
      <formula>"Tramitando"</formula>
    </cfRule>
    <cfRule type="cellIs" dxfId="14764" priority="13547" operator="equal">
      <formula>"Deferido"</formula>
    </cfRule>
    <cfRule type="cellIs" dxfId="14763" priority="13548" operator="equal">
      <formula>"Indeferido"</formula>
    </cfRule>
  </conditionalFormatting>
  <conditionalFormatting sqref="J190">
    <cfRule type="containsText" dxfId="14762" priority="13545" operator="containsText" text="Cancelado">
      <formula>NOT(ISERROR(SEARCH("Cancelado",J190)))</formula>
    </cfRule>
  </conditionalFormatting>
  <conditionalFormatting sqref="M190">
    <cfRule type="cellIs" dxfId="14761" priority="13542" operator="equal">
      <formula>"Tramitando"</formula>
    </cfRule>
    <cfRule type="cellIs" dxfId="14760" priority="13543" operator="equal">
      <formula>"Deferido"</formula>
    </cfRule>
    <cfRule type="cellIs" dxfId="14759" priority="13544" operator="equal">
      <formula>"Indeferido"</formula>
    </cfRule>
  </conditionalFormatting>
  <conditionalFormatting sqref="M190">
    <cfRule type="containsText" dxfId="14758" priority="13541" operator="containsText" text="Cancelado">
      <formula>NOT(ISERROR(SEARCH("Cancelado",M190)))</formula>
    </cfRule>
  </conditionalFormatting>
  <conditionalFormatting sqref="O190">
    <cfRule type="cellIs" dxfId="14757" priority="13538" operator="equal">
      <formula>"Tramitando"</formula>
    </cfRule>
    <cfRule type="cellIs" dxfId="14756" priority="13539" operator="equal">
      <formula>"Deferido"</formula>
    </cfRule>
    <cfRule type="cellIs" dxfId="14755" priority="13540" operator="equal">
      <formula>"Indeferido"</formula>
    </cfRule>
  </conditionalFormatting>
  <conditionalFormatting sqref="O190">
    <cfRule type="containsText" dxfId="14754" priority="13537" operator="containsText" text="Cancelado">
      <formula>NOT(ISERROR(SEARCH("Cancelado",O190)))</formula>
    </cfRule>
  </conditionalFormatting>
  <conditionalFormatting sqref="Q190">
    <cfRule type="cellIs" dxfId="14753" priority="13534" operator="equal">
      <formula>"Tramitando"</formula>
    </cfRule>
    <cfRule type="cellIs" dxfId="14752" priority="13535" operator="equal">
      <formula>"Deferido"</formula>
    </cfRule>
    <cfRule type="cellIs" dxfId="14751" priority="13536" operator="equal">
      <formula>"Indeferido"</formula>
    </cfRule>
  </conditionalFormatting>
  <conditionalFormatting sqref="Q190">
    <cfRule type="containsText" dxfId="14750" priority="13533" operator="containsText" text="Cancelado">
      <formula>NOT(ISERROR(SEARCH("Cancelado",Q190)))</formula>
    </cfRule>
  </conditionalFormatting>
  <conditionalFormatting sqref="S190">
    <cfRule type="cellIs" dxfId="14749" priority="13530" operator="equal">
      <formula>"Tramitando"</formula>
    </cfRule>
    <cfRule type="cellIs" dxfId="14748" priority="13531" operator="equal">
      <formula>"Deferido"</formula>
    </cfRule>
    <cfRule type="cellIs" dxfId="14747" priority="13532" operator="equal">
      <formula>"Indeferido"</formula>
    </cfRule>
  </conditionalFormatting>
  <conditionalFormatting sqref="S190">
    <cfRule type="containsText" dxfId="14746" priority="13529" operator="containsText" text="Cancelado">
      <formula>NOT(ISERROR(SEARCH("Cancelado",S190)))</formula>
    </cfRule>
  </conditionalFormatting>
  <conditionalFormatting sqref="J191:J192">
    <cfRule type="cellIs" dxfId="14745" priority="13525" operator="equal">
      <formula>"Tramitando"</formula>
    </cfRule>
    <cfRule type="cellIs" dxfId="14744" priority="13526" operator="equal">
      <formula>"Deferido"</formula>
    </cfRule>
    <cfRule type="cellIs" dxfId="14743" priority="13527" operator="equal">
      <formula>"Indeferido"</formula>
    </cfRule>
  </conditionalFormatting>
  <conditionalFormatting sqref="J191:J192">
    <cfRule type="containsText" dxfId="14742" priority="13524" operator="containsText" text="Cancelado">
      <formula>NOT(ISERROR(SEARCH("Cancelado",J191)))</formula>
    </cfRule>
  </conditionalFormatting>
  <conditionalFormatting sqref="M191:M192">
    <cfRule type="cellIs" dxfId="14741" priority="13521" operator="equal">
      <formula>"Tramitando"</formula>
    </cfRule>
    <cfRule type="cellIs" dxfId="14740" priority="13522" operator="equal">
      <formula>"Deferido"</formula>
    </cfRule>
    <cfRule type="cellIs" dxfId="14739" priority="13523" operator="equal">
      <formula>"Indeferido"</formula>
    </cfRule>
  </conditionalFormatting>
  <conditionalFormatting sqref="M191:M192">
    <cfRule type="containsText" dxfId="14738" priority="13520" operator="containsText" text="Cancelado">
      <formula>NOT(ISERROR(SEARCH("Cancelado",M191)))</formula>
    </cfRule>
  </conditionalFormatting>
  <conditionalFormatting sqref="O191:O192">
    <cfRule type="cellIs" dxfId="14737" priority="13517" operator="equal">
      <formula>"Tramitando"</formula>
    </cfRule>
    <cfRule type="cellIs" dxfId="14736" priority="13518" operator="equal">
      <formula>"Deferido"</formula>
    </cfRule>
    <cfRule type="cellIs" dxfId="14735" priority="13519" operator="equal">
      <formula>"Indeferido"</formula>
    </cfRule>
  </conditionalFormatting>
  <conditionalFormatting sqref="O191:O192">
    <cfRule type="containsText" dxfId="14734" priority="13516" operator="containsText" text="Cancelado">
      <formula>NOT(ISERROR(SEARCH("Cancelado",O191)))</formula>
    </cfRule>
  </conditionalFormatting>
  <conditionalFormatting sqref="Q191:Q192">
    <cfRule type="cellIs" dxfId="14733" priority="13513" operator="equal">
      <formula>"Tramitando"</formula>
    </cfRule>
    <cfRule type="cellIs" dxfId="14732" priority="13514" operator="equal">
      <formula>"Deferido"</formula>
    </cfRule>
    <cfRule type="cellIs" dxfId="14731" priority="13515" operator="equal">
      <formula>"Indeferido"</formula>
    </cfRule>
  </conditionalFormatting>
  <conditionalFormatting sqref="Q191:Q192">
    <cfRule type="containsText" dxfId="14730" priority="13512" operator="containsText" text="Cancelado">
      <formula>NOT(ISERROR(SEARCH("Cancelado",Q191)))</formula>
    </cfRule>
  </conditionalFormatting>
  <conditionalFormatting sqref="S191:S192">
    <cfRule type="cellIs" dxfId="14729" priority="13509" operator="equal">
      <formula>"Tramitando"</formula>
    </cfRule>
    <cfRule type="cellIs" dxfId="14728" priority="13510" operator="equal">
      <formula>"Deferido"</formula>
    </cfRule>
    <cfRule type="cellIs" dxfId="14727" priority="13511" operator="equal">
      <formula>"Indeferido"</formula>
    </cfRule>
  </conditionalFormatting>
  <conditionalFormatting sqref="S191:S192">
    <cfRule type="containsText" dxfId="14726" priority="13508" operator="containsText" text="Cancelado">
      <formula>NOT(ISERROR(SEARCH("Cancelado",S191)))</formula>
    </cfRule>
  </conditionalFormatting>
  <conditionalFormatting sqref="J193:J194">
    <cfRule type="cellIs" dxfId="14725" priority="13504" operator="equal">
      <formula>"Tramitando"</formula>
    </cfRule>
    <cfRule type="cellIs" dxfId="14724" priority="13505" operator="equal">
      <formula>"Deferido"</formula>
    </cfRule>
    <cfRule type="cellIs" dxfId="14723" priority="13506" operator="equal">
      <formula>"Indeferido"</formula>
    </cfRule>
  </conditionalFormatting>
  <conditionalFormatting sqref="J193:J194">
    <cfRule type="containsText" dxfId="14722" priority="13503" operator="containsText" text="Cancelado">
      <formula>NOT(ISERROR(SEARCH("Cancelado",J193)))</formula>
    </cfRule>
  </conditionalFormatting>
  <conditionalFormatting sqref="M193:M194">
    <cfRule type="cellIs" dxfId="14721" priority="13500" operator="equal">
      <formula>"Tramitando"</formula>
    </cfRule>
    <cfRule type="cellIs" dxfId="14720" priority="13501" operator="equal">
      <formula>"Deferido"</formula>
    </cfRule>
    <cfRule type="cellIs" dxfId="14719" priority="13502" operator="equal">
      <formula>"Indeferido"</formula>
    </cfRule>
  </conditionalFormatting>
  <conditionalFormatting sqref="M193:M194">
    <cfRule type="containsText" dxfId="14718" priority="13499" operator="containsText" text="Cancelado">
      <formula>NOT(ISERROR(SEARCH("Cancelado",M193)))</formula>
    </cfRule>
  </conditionalFormatting>
  <conditionalFormatting sqref="O193:O194">
    <cfRule type="cellIs" dxfId="14717" priority="13496" operator="equal">
      <formula>"Tramitando"</formula>
    </cfRule>
    <cfRule type="cellIs" dxfId="14716" priority="13497" operator="equal">
      <formula>"Deferido"</formula>
    </cfRule>
    <cfRule type="cellIs" dxfId="14715" priority="13498" operator="equal">
      <formula>"Indeferido"</formula>
    </cfRule>
  </conditionalFormatting>
  <conditionalFormatting sqref="O193:O194">
    <cfRule type="containsText" dxfId="14714" priority="13495" operator="containsText" text="Cancelado">
      <formula>NOT(ISERROR(SEARCH("Cancelado",O193)))</formula>
    </cfRule>
  </conditionalFormatting>
  <conditionalFormatting sqref="Q193:Q194">
    <cfRule type="cellIs" dxfId="14713" priority="13492" operator="equal">
      <formula>"Tramitando"</formula>
    </cfRule>
    <cfRule type="cellIs" dxfId="14712" priority="13493" operator="equal">
      <formula>"Deferido"</formula>
    </cfRule>
    <cfRule type="cellIs" dxfId="14711" priority="13494" operator="equal">
      <formula>"Indeferido"</formula>
    </cfRule>
  </conditionalFormatting>
  <conditionalFormatting sqref="Q193:Q194">
    <cfRule type="containsText" dxfId="14710" priority="13491" operator="containsText" text="Cancelado">
      <formula>NOT(ISERROR(SEARCH("Cancelado",Q193)))</formula>
    </cfRule>
  </conditionalFormatting>
  <conditionalFormatting sqref="S193:S194">
    <cfRule type="cellIs" dxfId="14709" priority="13488" operator="equal">
      <formula>"Tramitando"</formula>
    </cfRule>
    <cfRule type="cellIs" dxfId="14708" priority="13489" operator="equal">
      <formula>"Deferido"</formula>
    </cfRule>
    <cfRule type="cellIs" dxfId="14707" priority="13490" operator="equal">
      <formula>"Indeferido"</formula>
    </cfRule>
  </conditionalFormatting>
  <conditionalFormatting sqref="S193:S194">
    <cfRule type="containsText" dxfId="14706" priority="13487" operator="containsText" text="Cancelado">
      <formula>NOT(ISERROR(SEARCH("Cancelado",S193)))</formula>
    </cfRule>
  </conditionalFormatting>
  <conditionalFormatting sqref="J195">
    <cfRule type="cellIs" dxfId="14705" priority="13483" operator="equal">
      <formula>"Tramitando"</formula>
    </cfRule>
    <cfRule type="cellIs" dxfId="14704" priority="13484" operator="equal">
      <formula>"Deferido"</formula>
    </cfRule>
    <cfRule type="cellIs" dxfId="14703" priority="13485" operator="equal">
      <formula>"Indeferido"</formula>
    </cfRule>
  </conditionalFormatting>
  <conditionalFormatting sqref="J195">
    <cfRule type="containsText" dxfId="14702" priority="13482" operator="containsText" text="Cancelado">
      <formula>NOT(ISERROR(SEARCH("Cancelado",J195)))</formula>
    </cfRule>
  </conditionalFormatting>
  <conditionalFormatting sqref="M195">
    <cfRule type="cellIs" dxfId="14701" priority="13479" operator="equal">
      <formula>"Tramitando"</formula>
    </cfRule>
    <cfRule type="cellIs" dxfId="14700" priority="13480" operator="equal">
      <formula>"Deferido"</formula>
    </cfRule>
    <cfRule type="cellIs" dxfId="14699" priority="13481" operator="equal">
      <formula>"Indeferido"</formula>
    </cfRule>
  </conditionalFormatting>
  <conditionalFormatting sqref="M195">
    <cfRule type="containsText" dxfId="14698" priority="13478" operator="containsText" text="Cancelado">
      <formula>NOT(ISERROR(SEARCH("Cancelado",M195)))</formula>
    </cfRule>
  </conditionalFormatting>
  <conditionalFormatting sqref="O195">
    <cfRule type="cellIs" dxfId="14697" priority="13475" operator="equal">
      <formula>"Tramitando"</formula>
    </cfRule>
    <cfRule type="cellIs" dxfId="14696" priority="13476" operator="equal">
      <formula>"Deferido"</formula>
    </cfRule>
    <cfRule type="cellIs" dxfId="14695" priority="13477" operator="equal">
      <formula>"Indeferido"</formula>
    </cfRule>
  </conditionalFormatting>
  <conditionalFormatting sqref="O195">
    <cfRule type="containsText" dxfId="14694" priority="13474" operator="containsText" text="Cancelado">
      <formula>NOT(ISERROR(SEARCH("Cancelado",O195)))</formula>
    </cfRule>
  </conditionalFormatting>
  <conditionalFormatting sqref="Q195">
    <cfRule type="cellIs" dxfId="14693" priority="13471" operator="equal">
      <formula>"Tramitando"</formula>
    </cfRule>
    <cfRule type="cellIs" dxfId="14692" priority="13472" operator="equal">
      <formula>"Deferido"</formula>
    </cfRule>
    <cfRule type="cellIs" dxfId="14691" priority="13473" operator="equal">
      <formula>"Indeferido"</formula>
    </cfRule>
  </conditionalFormatting>
  <conditionalFormatting sqref="Q195">
    <cfRule type="containsText" dxfId="14690" priority="13470" operator="containsText" text="Cancelado">
      <formula>NOT(ISERROR(SEARCH("Cancelado",Q195)))</formula>
    </cfRule>
  </conditionalFormatting>
  <conditionalFormatting sqref="S195">
    <cfRule type="cellIs" dxfId="14689" priority="13467" operator="equal">
      <formula>"Tramitando"</formula>
    </cfRule>
    <cfRule type="cellIs" dxfId="14688" priority="13468" operator="equal">
      <formula>"Deferido"</formula>
    </cfRule>
    <cfRule type="cellIs" dxfId="14687" priority="13469" operator="equal">
      <formula>"Indeferido"</formula>
    </cfRule>
  </conditionalFormatting>
  <conditionalFormatting sqref="S195">
    <cfRule type="containsText" dxfId="14686" priority="13466" operator="containsText" text="Cancelado">
      <formula>NOT(ISERROR(SEARCH("Cancelado",S195)))</formula>
    </cfRule>
  </conditionalFormatting>
  <conditionalFormatting sqref="J196">
    <cfRule type="cellIs" dxfId="14685" priority="13462" operator="equal">
      <formula>"Tramitando"</formula>
    </cfRule>
    <cfRule type="cellIs" dxfId="14684" priority="13463" operator="equal">
      <formula>"Deferido"</formula>
    </cfRule>
    <cfRule type="cellIs" dxfId="14683" priority="13464" operator="equal">
      <formula>"Indeferido"</formula>
    </cfRule>
  </conditionalFormatting>
  <conditionalFormatting sqref="J196">
    <cfRule type="containsText" dxfId="14682" priority="13461" operator="containsText" text="Cancelado">
      <formula>NOT(ISERROR(SEARCH("Cancelado",J196)))</formula>
    </cfRule>
  </conditionalFormatting>
  <conditionalFormatting sqref="M196">
    <cfRule type="cellIs" dxfId="14681" priority="13458" operator="equal">
      <formula>"Tramitando"</formula>
    </cfRule>
    <cfRule type="cellIs" dxfId="14680" priority="13459" operator="equal">
      <formula>"Deferido"</formula>
    </cfRule>
    <cfRule type="cellIs" dxfId="14679" priority="13460" operator="equal">
      <formula>"Indeferido"</formula>
    </cfRule>
  </conditionalFormatting>
  <conditionalFormatting sqref="M196">
    <cfRule type="containsText" dxfId="14678" priority="13457" operator="containsText" text="Cancelado">
      <formula>NOT(ISERROR(SEARCH("Cancelado",M196)))</formula>
    </cfRule>
  </conditionalFormatting>
  <conditionalFormatting sqref="O196">
    <cfRule type="cellIs" dxfId="14677" priority="13454" operator="equal">
      <formula>"Tramitando"</formula>
    </cfRule>
    <cfRule type="cellIs" dxfId="14676" priority="13455" operator="equal">
      <formula>"Deferido"</formula>
    </cfRule>
    <cfRule type="cellIs" dxfId="14675" priority="13456" operator="equal">
      <formula>"Indeferido"</formula>
    </cfRule>
  </conditionalFormatting>
  <conditionalFormatting sqref="O196">
    <cfRule type="containsText" dxfId="14674" priority="13453" operator="containsText" text="Cancelado">
      <formula>NOT(ISERROR(SEARCH("Cancelado",O196)))</formula>
    </cfRule>
  </conditionalFormatting>
  <conditionalFormatting sqref="Q196">
    <cfRule type="cellIs" dxfId="14673" priority="13450" operator="equal">
      <formula>"Tramitando"</formula>
    </cfRule>
    <cfRule type="cellIs" dxfId="14672" priority="13451" operator="equal">
      <formula>"Deferido"</formula>
    </cfRule>
    <cfRule type="cellIs" dxfId="14671" priority="13452" operator="equal">
      <formula>"Indeferido"</formula>
    </cfRule>
  </conditionalFormatting>
  <conditionalFormatting sqref="Q196">
    <cfRule type="containsText" dxfId="14670" priority="13449" operator="containsText" text="Cancelado">
      <formula>NOT(ISERROR(SEARCH("Cancelado",Q196)))</formula>
    </cfRule>
  </conditionalFormatting>
  <conditionalFormatting sqref="S196">
    <cfRule type="cellIs" dxfId="14669" priority="13446" operator="equal">
      <formula>"Tramitando"</formula>
    </cfRule>
    <cfRule type="cellIs" dxfId="14668" priority="13447" operator="equal">
      <formula>"Deferido"</formula>
    </cfRule>
    <cfRule type="cellIs" dxfId="14667" priority="13448" operator="equal">
      <formula>"Indeferido"</formula>
    </cfRule>
  </conditionalFormatting>
  <conditionalFormatting sqref="S196">
    <cfRule type="containsText" dxfId="14666" priority="13445" operator="containsText" text="Cancelado">
      <formula>NOT(ISERROR(SEARCH("Cancelado",S196)))</formula>
    </cfRule>
  </conditionalFormatting>
  <conditionalFormatting sqref="J197">
    <cfRule type="cellIs" dxfId="14665" priority="13441" operator="equal">
      <formula>"Tramitando"</formula>
    </cfRule>
    <cfRule type="cellIs" dxfId="14664" priority="13442" operator="equal">
      <formula>"Deferido"</formula>
    </cfRule>
    <cfRule type="cellIs" dxfId="14663" priority="13443" operator="equal">
      <formula>"Indeferido"</formula>
    </cfRule>
  </conditionalFormatting>
  <conditionalFormatting sqref="J197">
    <cfRule type="containsText" dxfId="14662" priority="13440" operator="containsText" text="Cancelado">
      <formula>NOT(ISERROR(SEARCH("Cancelado",J197)))</formula>
    </cfRule>
  </conditionalFormatting>
  <conditionalFormatting sqref="M197">
    <cfRule type="cellIs" dxfId="14661" priority="13437" operator="equal">
      <formula>"Tramitando"</formula>
    </cfRule>
    <cfRule type="cellIs" dxfId="14660" priority="13438" operator="equal">
      <formula>"Deferido"</formula>
    </cfRule>
    <cfRule type="cellIs" dxfId="14659" priority="13439" operator="equal">
      <formula>"Indeferido"</formula>
    </cfRule>
  </conditionalFormatting>
  <conditionalFormatting sqref="M197">
    <cfRule type="containsText" dxfId="14658" priority="13436" operator="containsText" text="Cancelado">
      <formula>NOT(ISERROR(SEARCH("Cancelado",M197)))</formula>
    </cfRule>
  </conditionalFormatting>
  <conditionalFormatting sqref="O197">
    <cfRule type="cellIs" dxfId="14657" priority="13433" operator="equal">
      <formula>"Tramitando"</formula>
    </cfRule>
    <cfRule type="cellIs" dxfId="14656" priority="13434" operator="equal">
      <formula>"Deferido"</formula>
    </cfRule>
    <cfRule type="cellIs" dxfId="14655" priority="13435" operator="equal">
      <formula>"Indeferido"</formula>
    </cfRule>
  </conditionalFormatting>
  <conditionalFormatting sqref="O197">
    <cfRule type="containsText" dxfId="14654" priority="13432" operator="containsText" text="Cancelado">
      <formula>NOT(ISERROR(SEARCH("Cancelado",O197)))</formula>
    </cfRule>
  </conditionalFormatting>
  <conditionalFormatting sqref="Q197">
    <cfRule type="cellIs" dxfId="14653" priority="13429" operator="equal">
      <formula>"Tramitando"</formula>
    </cfRule>
    <cfRule type="cellIs" dxfId="14652" priority="13430" operator="equal">
      <formula>"Deferido"</formula>
    </cfRule>
    <cfRule type="cellIs" dxfId="14651" priority="13431" operator="equal">
      <formula>"Indeferido"</formula>
    </cfRule>
  </conditionalFormatting>
  <conditionalFormatting sqref="Q197">
    <cfRule type="containsText" dxfId="14650" priority="13428" operator="containsText" text="Cancelado">
      <formula>NOT(ISERROR(SEARCH("Cancelado",Q197)))</formula>
    </cfRule>
  </conditionalFormatting>
  <conditionalFormatting sqref="S197">
    <cfRule type="cellIs" dxfId="14649" priority="13425" operator="equal">
      <formula>"Tramitando"</formula>
    </cfRule>
    <cfRule type="cellIs" dxfId="14648" priority="13426" operator="equal">
      <formula>"Deferido"</formula>
    </cfRule>
    <cfRule type="cellIs" dxfId="14647" priority="13427" operator="equal">
      <formula>"Indeferido"</formula>
    </cfRule>
  </conditionalFormatting>
  <conditionalFormatting sqref="S197">
    <cfRule type="containsText" dxfId="14646" priority="13424" operator="containsText" text="Cancelado">
      <formula>NOT(ISERROR(SEARCH("Cancelado",S197)))</formula>
    </cfRule>
  </conditionalFormatting>
  <conditionalFormatting sqref="J198">
    <cfRule type="cellIs" dxfId="14645" priority="13419" operator="equal">
      <formula>"Tramitando"</formula>
    </cfRule>
    <cfRule type="cellIs" dxfId="14644" priority="13420" operator="equal">
      <formula>"Deferido"</formula>
    </cfRule>
    <cfRule type="cellIs" dxfId="14643" priority="13421" operator="equal">
      <formula>"Indeferido"</formula>
    </cfRule>
  </conditionalFormatting>
  <conditionalFormatting sqref="J198">
    <cfRule type="containsText" dxfId="14642" priority="13418" operator="containsText" text="Cancelado">
      <formula>NOT(ISERROR(SEARCH("Cancelado",J198)))</formula>
    </cfRule>
  </conditionalFormatting>
  <conditionalFormatting sqref="M198">
    <cfRule type="cellIs" dxfId="14641" priority="13415" operator="equal">
      <formula>"Tramitando"</formula>
    </cfRule>
    <cfRule type="cellIs" dxfId="14640" priority="13416" operator="equal">
      <formula>"Deferido"</formula>
    </cfRule>
    <cfRule type="cellIs" dxfId="14639" priority="13417" operator="equal">
      <formula>"Indeferido"</formula>
    </cfRule>
  </conditionalFormatting>
  <conditionalFormatting sqref="M198">
    <cfRule type="containsText" dxfId="14638" priority="13414" operator="containsText" text="Cancelado">
      <formula>NOT(ISERROR(SEARCH("Cancelado",M198)))</formula>
    </cfRule>
  </conditionalFormatting>
  <conditionalFormatting sqref="O198">
    <cfRule type="cellIs" dxfId="14637" priority="13411" operator="equal">
      <formula>"Tramitando"</formula>
    </cfRule>
    <cfRule type="cellIs" dxfId="14636" priority="13412" operator="equal">
      <formula>"Deferido"</formula>
    </cfRule>
    <cfRule type="cellIs" dxfId="14635" priority="13413" operator="equal">
      <formula>"Indeferido"</formula>
    </cfRule>
  </conditionalFormatting>
  <conditionalFormatting sqref="O198">
    <cfRule type="containsText" dxfId="14634" priority="13410" operator="containsText" text="Cancelado">
      <formula>NOT(ISERROR(SEARCH("Cancelado",O198)))</formula>
    </cfRule>
  </conditionalFormatting>
  <conditionalFormatting sqref="Q198">
    <cfRule type="cellIs" dxfId="14633" priority="13407" operator="equal">
      <formula>"Tramitando"</formula>
    </cfRule>
    <cfRule type="cellIs" dxfId="14632" priority="13408" operator="equal">
      <formula>"Deferido"</formula>
    </cfRule>
    <cfRule type="cellIs" dxfId="14631" priority="13409" operator="equal">
      <formula>"Indeferido"</formula>
    </cfRule>
  </conditionalFormatting>
  <conditionalFormatting sqref="Q198">
    <cfRule type="containsText" dxfId="14630" priority="13406" operator="containsText" text="Cancelado">
      <formula>NOT(ISERROR(SEARCH("Cancelado",Q198)))</formula>
    </cfRule>
  </conditionalFormatting>
  <conditionalFormatting sqref="S198">
    <cfRule type="cellIs" dxfId="14629" priority="13403" operator="equal">
      <formula>"Tramitando"</formula>
    </cfRule>
    <cfRule type="cellIs" dxfId="14628" priority="13404" operator="equal">
      <formula>"Deferido"</formula>
    </cfRule>
    <cfRule type="cellIs" dxfId="14627" priority="13405" operator="equal">
      <formula>"Indeferido"</formula>
    </cfRule>
  </conditionalFormatting>
  <conditionalFormatting sqref="S198">
    <cfRule type="containsText" dxfId="14626" priority="13402" operator="containsText" text="Cancelado">
      <formula>NOT(ISERROR(SEARCH("Cancelado",S198)))</formula>
    </cfRule>
  </conditionalFormatting>
  <conditionalFormatting sqref="J199">
    <cfRule type="cellIs" dxfId="14625" priority="13398" operator="equal">
      <formula>"Tramitando"</formula>
    </cfRule>
    <cfRule type="cellIs" dxfId="14624" priority="13399" operator="equal">
      <formula>"Deferido"</formula>
    </cfRule>
    <cfRule type="cellIs" dxfId="14623" priority="13400" operator="equal">
      <formula>"Indeferido"</formula>
    </cfRule>
  </conditionalFormatting>
  <conditionalFormatting sqref="J199">
    <cfRule type="containsText" dxfId="14622" priority="13397" operator="containsText" text="Cancelado">
      <formula>NOT(ISERROR(SEARCH("Cancelado",J199)))</formula>
    </cfRule>
  </conditionalFormatting>
  <conditionalFormatting sqref="M199">
    <cfRule type="cellIs" dxfId="14621" priority="13394" operator="equal">
      <formula>"Tramitando"</formula>
    </cfRule>
    <cfRule type="cellIs" dxfId="14620" priority="13395" operator="equal">
      <formula>"Deferido"</formula>
    </cfRule>
    <cfRule type="cellIs" dxfId="14619" priority="13396" operator="equal">
      <formula>"Indeferido"</formula>
    </cfRule>
  </conditionalFormatting>
  <conditionalFormatting sqref="M199">
    <cfRule type="containsText" dxfId="14618" priority="13393" operator="containsText" text="Cancelado">
      <formula>NOT(ISERROR(SEARCH("Cancelado",M199)))</formula>
    </cfRule>
  </conditionalFormatting>
  <conditionalFormatting sqref="O199">
    <cfRule type="cellIs" dxfId="14617" priority="13390" operator="equal">
      <formula>"Tramitando"</formula>
    </cfRule>
    <cfRule type="cellIs" dxfId="14616" priority="13391" operator="equal">
      <formula>"Deferido"</formula>
    </cfRule>
    <cfRule type="cellIs" dxfId="14615" priority="13392" operator="equal">
      <formula>"Indeferido"</formula>
    </cfRule>
  </conditionalFormatting>
  <conditionalFormatting sqref="O199">
    <cfRule type="containsText" dxfId="14614" priority="13389" operator="containsText" text="Cancelado">
      <formula>NOT(ISERROR(SEARCH("Cancelado",O199)))</formula>
    </cfRule>
  </conditionalFormatting>
  <conditionalFormatting sqref="Q199">
    <cfRule type="cellIs" dxfId="14613" priority="13386" operator="equal">
      <formula>"Tramitando"</formula>
    </cfRule>
    <cfRule type="cellIs" dxfId="14612" priority="13387" operator="equal">
      <formula>"Deferido"</formula>
    </cfRule>
    <cfRule type="cellIs" dxfId="14611" priority="13388" operator="equal">
      <formula>"Indeferido"</formula>
    </cfRule>
  </conditionalFormatting>
  <conditionalFormatting sqref="Q199">
    <cfRule type="containsText" dxfId="14610" priority="13385" operator="containsText" text="Cancelado">
      <formula>NOT(ISERROR(SEARCH("Cancelado",Q199)))</formula>
    </cfRule>
  </conditionalFormatting>
  <conditionalFormatting sqref="S199">
    <cfRule type="cellIs" dxfId="14609" priority="13382" operator="equal">
      <formula>"Tramitando"</formula>
    </cfRule>
    <cfRule type="cellIs" dxfId="14608" priority="13383" operator="equal">
      <formula>"Deferido"</formula>
    </cfRule>
    <cfRule type="cellIs" dxfId="14607" priority="13384" operator="equal">
      <formula>"Indeferido"</formula>
    </cfRule>
  </conditionalFormatting>
  <conditionalFormatting sqref="S199">
    <cfRule type="containsText" dxfId="14606" priority="13381" operator="containsText" text="Cancelado">
      <formula>NOT(ISERROR(SEARCH("Cancelado",S199)))</formula>
    </cfRule>
  </conditionalFormatting>
  <conditionalFormatting sqref="J200">
    <cfRule type="cellIs" dxfId="14605" priority="13377" operator="equal">
      <formula>"Tramitando"</formula>
    </cfRule>
    <cfRule type="cellIs" dxfId="14604" priority="13378" operator="equal">
      <formula>"Deferido"</formula>
    </cfRule>
    <cfRule type="cellIs" dxfId="14603" priority="13379" operator="equal">
      <formula>"Indeferido"</formula>
    </cfRule>
  </conditionalFormatting>
  <conditionalFormatting sqref="J200">
    <cfRule type="containsText" dxfId="14602" priority="13376" operator="containsText" text="Cancelado">
      <formula>NOT(ISERROR(SEARCH("Cancelado",J200)))</formula>
    </cfRule>
  </conditionalFormatting>
  <conditionalFormatting sqref="M200">
    <cfRule type="cellIs" dxfId="14601" priority="13373" operator="equal">
      <formula>"Tramitando"</formula>
    </cfRule>
    <cfRule type="cellIs" dxfId="14600" priority="13374" operator="equal">
      <formula>"Deferido"</formula>
    </cfRule>
    <cfRule type="cellIs" dxfId="14599" priority="13375" operator="equal">
      <formula>"Indeferido"</formula>
    </cfRule>
  </conditionalFormatting>
  <conditionalFormatting sqref="M200">
    <cfRule type="containsText" dxfId="14598" priority="13372" operator="containsText" text="Cancelado">
      <formula>NOT(ISERROR(SEARCH("Cancelado",M200)))</formula>
    </cfRule>
  </conditionalFormatting>
  <conditionalFormatting sqref="O200">
    <cfRule type="cellIs" dxfId="14597" priority="13369" operator="equal">
      <formula>"Tramitando"</formula>
    </cfRule>
    <cfRule type="cellIs" dxfId="14596" priority="13370" operator="equal">
      <formula>"Deferido"</formula>
    </cfRule>
    <cfRule type="cellIs" dxfId="14595" priority="13371" operator="equal">
      <formula>"Indeferido"</formula>
    </cfRule>
  </conditionalFormatting>
  <conditionalFormatting sqref="O200">
    <cfRule type="containsText" dxfId="14594" priority="13368" operator="containsText" text="Cancelado">
      <formula>NOT(ISERROR(SEARCH("Cancelado",O200)))</formula>
    </cfRule>
  </conditionalFormatting>
  <conditionalFormatting sqref="Q200">
    <cfRule type="cellIs" dxfId="14593" priority="13365" operator="equal">
      <formula>"Tramitando"</formula>
    </cfRule>
    <cfRule type="cellIs" dxfId="14592" priority="13366" operator="equal">
      <formula>"Deferido"</formula>
    </cfRule>
    <cfRule type="cellIs" dxfId="14591" priority="13367" operator="equal">
      <formula>"Indeferido"</formula>
    </cfRule>
  </conditionalFormatting>
  <conditionalFormatting sqref="Q200">
    <cfRule type="containsText" dxfId="14590" priority="13364" operator="containsText" text="Cancelado">
      <formula>NOT(ISERROR(SEARCH("Cancelado",Q200)))</formula>
    </cfRule>
  </conditionalFormatting>
  <conditionalFormatting sqref="S200">
    <cfRule type="cellIs" dxfId="14589" priority="13361" operator="equal">
      <formula>"Tramitando"</formula>
    </cfRule>
    <cfRule type="cellIs" dxfId="14588" priority="13362" operator="equal">
      <formula>"Deferido"</formula>
    </cfRule>
    <cfRule type="cellIs" dxfId="14587" priority="13363" operator="equal">
      <formula>"Indeferido"</formula>
    </cfRule>
  </conditionalFormatting>
  <conditionalFormatting sqref="S200">
    <cfRule type="containsText" dxfId="14586" priority="13360" operator="containsText" text="Cancelado">
      <formula>NOT(ISERROR(SEARCH("Cancelado",S200)))</formula>
    </cfRule>
  </conditionalFormatting>
  <conditionalFormatting sqref="J201">
    <cfRule type="cellIs" dxfId="14585" priority="13356" operator="equal">
      <formula>"Tramitando"</formula>
    </cfRule>
    <cfRule type="cellIs" dxfId="14584" priority="13357" operator="equal">
      <formula>"Deferido"</formula>
    </cfRule>
    <cfRule type="cellIs" dxfId="14583" priority="13358" operator="equal">
      <formula>"Indeferido"</formula>
    </cfRule>
  </conditionalFormatting>
  <conditionalFormatting sqref="J201">
    <cfRule type="containsText" dxfId="14582" priority="13355" operator="containsText" text="Cancelado">
      <formula>NOT(ISERROR(SEARCH("Cancelado",J201)))</formula>
    </cfRule>
  </conditionalFormatting>
  <conditionalFormatting sqref="M201">
    <cfRule type="cellIs" dxfId="14581" priority="13352" operator="equal">
      <formula>"Tramitando"</formula>
    </cfRule>
    <cfRule type="cellIs" dxfId="14580" priority="13353" operator="equal">
      <formula>"Deferido"</formula>
    </cfRule>
    <cfRule type="cellIs" dxfId="14579" priority="13354" operator="equal">
      <formula>"Indeferido"</formula>
    </cfRule>
  </conditionalFormatting>
  <conditionalFormatting sqref="M201">
    <cfRule type="containsText" dxfId="14578" priority="13351" operator="containsText" text="Cancelado">
      <formula>NOT(ISERROR(SEARCH("Cancelado",M201)))</formula>
    </cfRule>
  </conditionalFormatting>
  <conditionalFormatting sqref="O201">
    <cfRule type="cellIs" dxfId="14577" priority="13348" operator="equal">
      <formula>"Tramitando"</formula>
    </cfRule>
    <cfRule type="cellIs" dxfId="14576" priority="13349" operator="equal">
      <formula>"Deferido"</formula>
    </cfRule>
    <cfRule type="cellIs" dxfId="14575" priority="13350" operator="equal">
      <formula>"Indeferido"</formula>
    </cfRule>
  </conditionalFormatting>
  <conditionalFormatting sqref="O201">
    <cfRule type="containsText" dxfId="14574" priority="13347" operator="containsText" text="Cancelado">
      <formula>NOT(ISERROR(SEARCH("Cancelado",O201)))</formula>
    </cfRule>
  </conditionalFormatting>
  <conditionalFormatting sqref="Q201">
    <cfRule type="cellIs" dxfId="14573" priority="13344" operator="equal">
      <formula>"Tramitando"</formula>
    </cfRule>
    <cfRule type="cellIs" dxfId="14572" priority="13345" operator="equal">
      <formula>"Deferido"</formula>
    </cfRule>
    <cfRule type="cellIs" dxfId="14571" priority="13346" operator="equal">
      <formula>"Indeferido"</formula>
    </cfRule>
  </conditionalFormatting>
  <conditionalFormatting sqref="Q201">
    <cfRule type="containsText" dxfId="14570" priority="13343" operator="containsText" text="Cancelado">
      <formula>NOT(ISERROR(SEARCH("Cancelado",Q201)))</formula>
    </cfRule>
  </conditionalFormatting>
  <conditionalFormatting sqref="S201">
    <cfRule type="cellIs" dxfId="14569" priority="13340" operator="equal">
      <formula>"Tramitando"</formula>
    </cfRule>
    <cfRule type="cellIs" dxfId="14568" priority="13341" operator="equal">
      <formula>"Deferido"</formula>
    </cfRule>
    <cfRule type="cellIs" dxfId="14567" priority="13342" operator="equal">
      <formula>"Indeferido"</formula>
    </cfRule>
  </conditionalFormatting>
  <conditionalFormatting sqref="S201">
    <cfRule type="containsText" dxfId="14566" priority="13339" operator="containsText" text="Cancelado">
      <formula>NOT(ISERROR(SEARCH("Cancelado",S201)))</formula>
    </cfRule>
  </conditionalFormatting>
  <conditionalFormatting sqref="J202">
    <cfRule type="cellIs" dxfId="14565" priority="13335" operator="equal">
      <formula>"Tramitando"</formula>
    </cfRule>
    <cfRule type="cellIs" dxfId="14564" priority="13336" operator="equal">
      <formula>"Deferido"</formula>
    </cfRule>
    <cfRule type="cellIs" dxfId="14563" priority="13337" operator="equal">
      <formula>"Indeferido"</formula>
    </cfRule>
  </conditionalFormatting>
  <conditionalFormatting sqref="J202">
    <cfRule type="containsText" dxfId="14562" priority="13334" operator="containsText" text="Cancelado">
      <formula>NOT(ISERROR(SEARCH("Cancelado",J202)))</formula>
    </cfRule>
  </conditionalFormatting>
  <conditionalFormatting sqref="M202">
    <cfRule type="cellIs" dxfId="14561" priority="13331" operator="equal">
      <formula>"Tramitando"</formula>
    </cfRule>
    <cfRule type="cellIs" dxfId="14560" priority="13332" operator="equal">
      <formula>"Deferido"</formula>
    </cfRule>
    <cfRule type="cellIs" dxfId="14559" priority="13333" operator="equal">
      <formula>"Indeferido"</formula>
    </cfRule>
  </conditionalFormatting>
  <conditionalFormatting sqref="M202">
    <cfRule type="containsText" dxfId="14558" priority="13330" operator="containsText" text="Cancelado">
      <formula>NOT(ISERROR(SEARCH("Cancelado",M202)))</formula>
    </cfRule>
  </conditionalFormatting>
  <conditionalFormatting sqref="O202">
    <cfRule type="cellIs" dxfId="14557" priority="13327" operator="equal">
      <formula>"Tramitando"</formula>
    </cfRule>
    <cfRule type="cellIs" dxfId="14556" priority="13328" operator="equal">
      <formula>"Deferido"</formula>
    </cfRule>
    <cfRule type="cellIs" dxfId="14555" priority="13329" operator="equal">
      <formula>"Indeferido"</formula>
    </cfRule>
  </conditionalFormatting>
  <conditionalFormatting sqref="O202">
    <cfRule type="containsText" dxfId="14554" priority="13326" operator="containsText" text="Cancelado">
      <formula>NOT(ISERROR(SEARCH("Cancelado",O202)))</formula>
    </cfRule>
  </conditionalFormatting>
  <conditionalFormatting sqref="Q202">
    <cfRule type="cellIs" dxfId="14553" priority="13323" operator="equal">
      <formula>"Tramitando"</formula>
    </cfRule>
    <cfRule type="cellIs" dxfId="14552" priority="13324" operator="equal">
      <formula>"Deferido"</formula>
    </cfRule>
    <cfRule type="cellIs" dxfId="14551" priority="13325" operator="equal">
      <formula>"Indeferido"</formula>
    </cfRule>
  </conditionalFormatting>
  <conditionalFormatting sqref="Q202">
    <cfRule type="containsText" dxfId="14550" priority="13322" operator="containsText" text="Cancelado">
      <formula>NOT(ISERROR(SEARCH("Cancelado",Q202)))</formula>
    </cfRule>
  </conditionalFormatting>
  <conditionalFormatting sqref="S202">
    <cfRule type="cellIs" dxfId="14549" priority="13319" operator="equal">
      <formula>"Tramitando"</formula>
    </cfRule>
    <cfRule type="cellIs" dxfId="14548" priority="13320" operator="equal">
      <formula>"Deferido"</formula>
    </cfRule>
    <cfRule type="cellIs" dxfId="14547" priority="13321" operator="equal">
      <formula>"Indeferido"</formula>
    </cfRule>
  </conditionalFormatting>
  <conditionalFormatting sqref="S202">
    <cfRule type="containsText" dxfId="14546" priority="13318" operator="containsText" text="Cancelado">
      <formula>NOT(ISERROR(SEARCH("Cancelado",S202)))</formula>
    </cfRule>
  </conditionalFormatting>
  <conditionalFormatting sqref="J203:J204">
    <cfRule type="cellIs" dxfId="14545" priority="13313" operator="equal">
      <formula>"Tramitando"</formula>
    </cfRule>
    <cfRule type="cellIs" dxfId="14544" priority="13314" operator="equal">
      <formula>"Deferido"</formula>
    </cfRule>
    <cfRule type="cellIs" dxfId="14543" priority="13315" operator="equal">
      <formula>"Indeferido"</formula>
    </cfRule>
  </conditionalFormatting>
  <conditionalFormatting sqref="J203:J204">
    <cfRule type="containsText" dxfId="14542" priority="13312" operator="containsText" text="Cancelado">
      <formula>NOT(ISERROR(SEARCH("Cancelado",J203)))</formula>
    </cfRule>
  </conditionalFormatting>
  <conditionalFormatting sqref="M203:M204">
    <cfRule type="cellIs" dxfId="14541" priority="13309" operator="equal">
      <formula>"Tramitando"</formula>
    </cfRule>
    <cfRule type="cellIs" dxfId="14540" priority="13310" operator="equal">
      <formula>"Deferido"</formula>
    </cfRule>
    <cfRule type="cellIs" dxfId="14539" priority="13311" operator="equal">
      <formula>"Indeferido"</formula>
    </cfRule>
  </conditionalFormatting>
  <conditionalFormatting sqref="M203:M204">
    <cfRule type="containsText" dxfId="14538" priority="13308" operator="containsText" text="Cancelado">
      <formula>NOT(ISERROR(SEARCH("Cancelado",M203)))</formula>
    </cfRule>
  </conditionalFormatting>
  <conditionalFormatting sqref="O203:O204">
    <cfRule type="cellIs" dxfId="14537" priority="13305" operator="equal">
      <formula>"Tramitando"</formula>
    </cfRule>
    <cfRule type="cellIs" dxfId="14536" priority="13306" operator="equal">
      <formula>"Deferido"</formula>
    </cfRule>
    <cfRule type="cellIs" dxfId="14535" priority="13307" operator="equal">
      <formula>"Indeferido"</formula>
    </cfRule>
  </conditionalFormatting>
  <conditionalFormatting sqref="O203:O204">
    <cfRule type="containsText" dxfId="14534" priority="13304" operator="containsText" text="Cancelado">
      <formula>NOT(ISERROR(SEARCH("Cancelado",O203)))</formula>
    </cfRule>
  </conditionalFormatting>
  <conditionalFormatting sqref="Q203:Q204">
    <cfRule type="cellIs" dxfId="14533" priority="13301" operator="equal">
      <formula>"Tramitando"</formula>
    </cfRule>
    <cfRule type="cellIs" dxfId="14532" priority="13302" operator="equal">
      <formula>"Deferido"</formula>
    </cfRule>
    <cfRule type="cellIs" dxfId="14531" priority="13303" operator="equal">
      <formula>"Indeferido"</formula>
    </cfRule>
  </conditionalFormatting>
  <conditionalFormatting sqref="Q203:Q204">
    <cfRule type="containsText" dxfId="14530" priority="13300" operator="containsText" text="Cancelado">
      <formula>NOT(ISERROR(SEARCH("Cancelado",Q203)))</formula>
    </cfRule>
  </conditionalFormatting>
  <conditionalFormatting sqref="S203:S204">
    <cfRule type="cellIs" dxfId="14529" priority="13297" operator="equal">
      <formula>"Tramitando"</formula>
    </cfRule>
    <cfRule type="cellIs" dxfId="14528" priority="13298" operator="equal">
      <formula>"Deferido"</formula>
    </cfRule>
    <cfRule type="cellIs" dxfId="14527" priority="13299" operator="equal">
      <formula>"Indeferido"</formula>
    </cfRule>
  </conditionalFormatting>
  <conditionalFormatting sqref="S203:S204">
    <cfRule type="containsText" dxfId="14526" priority="13296" operator="containsText" text="Cancelado">
      <formula>NOT(ISERROR(SEARCH("Cancelado",S203)))</formula>
    </cfRule>
  </conditionalFormatting>
  <conditionalFormatting sqref="J205:J206">
    <cfRule type="cellIs" dxfId="14525" priority="13292" operator="equal">
      <formula>"Tramitando"</formula>
    </cfRule>
    <cfRule type="cellIs" dxfId="14524" priority="13293" operator="equal">
      <formula>"Deferido"</formula>
    </cfRule>
    <cfRule type="cellIs" dxfId="14523" priority="13294" operator="equal">
      <formula>"Indeferido"</formula>
    </cfRule>
  </conditionalFormatting>
  <conditionalFormatting sqref="J205:J206">
    <cfRule type="containsText" dxfId="14522" priority="13291" operator="containsText" text="Cancelado">
      <formula>NOT(ISERROR(SEARCH("Cancelado",J205)))</formula>
    </cfRule>
  </conditionalFormatting>
  <conditionalFormatting sqref="M205:M206">
    <cfRule type="cellIs" dxfId="14521" priority="13288" operator="equal">
      <formula>"Tramitando"</formula>
    </cfRule>
    <cfRule type="cellIs" dxfId="14520" priority="13289" operator="equal">
      <formula>"Deferido"</formula>
    </cfRule>
    <cfRule type="cellIs" dxfId="14519" priority="13290" operator="equal">
      <formula>"Indeferido"</formula>
    </cfRule>
  </conditionalFormatting>
  <conditionalFormatting sqref="M205:M206">
    <cfRule type="containsText" dxfId="14518" priority="13287" operator="containsText" text="Cancelado">
      <formula>NOT(ISERROR(SEARCH("Cancelado",M205)))</formula>
    </cfRule>
  </conditionalFormatting>
  <conditionalFormatting sqref="O205:O206">
    <cfRule type="cellIs" dxfId="14517" priority="13284" operator="equal">
      <formula>"Tramitando"</formula>
    </cfRule>
    <cfRule type="cellIs" dxfId="14516" priority="13285" operator="equal">
      <formula>"Deferido"</formula>
    </cfRule>
    <cfRule type="cellIs" dxfId="14515" priority="13286" operator="equal">
      <formula>"Indeferido"</formula>
    </cfRule>
  </conditionalFormatting>
  <conditionalFormatting sqref="O205:O206">
    <cfRule type="containsText" dxfId="14514" priority="13283" operator="containsText" text="Cancelado">
      <formula>NOT(ISERROR(SEARCH("Cancelado",O205)))</formula>
    </cfRule>
  </conditionalFormatting>
  <conditionalFormatting sqref="Q205:Q206">
    <cfRule type="cellIs" dxfId="14513" priority="13280" operator="equal">
      <formula>"Tramitando"</formula>
    </cfRule>
    <cfRule type="cellIs" dxfId="14512" priority="13281" operator="equal">
      <formula>"Deferido"</formula>
    </cfRule>
    <cfRule type="cellIs" dxfId="14511" priority="13282" operator="equal">
      <formula>"Indeferido"</formula>
    </cfRule>
  </conditionalFormatting>
  <conditionalFormatting sqref="Q205:Q206">
    <cfRule type="containsText" dxfId="14510" priority="13279" operator="containsText" text="Cancelado">
      <formula>NOT(ISERROR(SEARCH("Cancelado",Q205)))</formula>
    </cfRule>
  </conditionalFormatting>
  <conditionalFormatting sqref="S205:S206">
    <cfRule type="cellIs" dxfId="14509" priority="13276" operator="equal">
      <formula>"Tramitando"</formula>
    </cfRule>
    <cfRule type="cellIs" dxfId="14508" priority="13277" operator="equal">
      <formula>"Deferido"</formula>
    </cfRule>
    <cfRule type="cellIs" dxfId="14507" priority="13278" operator="equal">
      <formula>"Indeferido"</formula>
    </cfRule>
  </conditionalFormatting>
  <conditionalFormatting sqref="S205:S206">
    <cfRule type="containsText" dxfId="14506" priority="13275" operator="containsText" text="Cancelado">
      <formula>NOT(ISERROR(SEARCH("Cancelado",S205)))</formula>
    </cfRule>
  </conditionalFormatting>
  <conditionalFormatting sqref="J207:J208">
    <cfRule type="cellIs" dxfId="14505" priority="13271" operator="equal">
      <formula>"Tramitando"</formula>
    </cfRule>
    <cfRule type="cellIs" dxfId="14504" priority="13272" operator="equal">
      <formula>"Deferido"</formula>
    </cfRule>
    <cfRule type="cellIs" dxfId="14503" priority="13273" operator="equal">
      <formula>"Indeferido"</formula>
    </cfRule>
  </conditionalFormatting>
  <conditionalFormatting sqref="J207:J208">
    <cfRule type="containsText" dxfId="14502" priority="13270" operator="containsText" text="Cancelado">
      <formula>NOT(ISERROR(SEARCH("Cancelado",J207)))</formula>
    </cfRule>
  </conditionalFormatting>
  <conditionalFormatting sqref="M207:M208">
    <cfRule type="cellIs" dxfId="14501" priority="13267" operator="equal">
      <formula>"Tramitando"</formula>
    </cfRule>
    <cfRule type="cellIs" dxfId="14500" priority="13268" operator="equal">
      <formula>"Deferido"</formula>
    </cfRule>
    <cfRule type="cellIs" dxfId="14499" priority="13269" operator="equal">
      <formula>"Indeferido"</formula>
    </cfRule>
  </conditionalFormatting>
  <conditionalFormatting sqref="M207:M208">
    <cfRule type="containsText" dxfId="14498" priority="13266" operator="containsText" text="Cancelado">
      <formula>NOT(ISERROR(SEARCH("Cancelado",M207)))</formula>
    </cfRule>
  </conditionalFormatting>
  <conditionalFormatting sqref="O207:O208">
    <cfRule type="cellIs" dxfId="14497" priority="13263" operator="equal">
      <formula>"Tramitando"</formula>
    </cfRule>
    <cfRule type="cellIs" dxfId="14496" priority="13264" operator="equal">
      <formula>"Deferido"</formula>
    </cfRule>
    <cfRule type="cellIs" dxfId="14495" priority="13265" operator="equal">
      <formula>"Indeferido"</formula>
    </cfRule>
  </conditionalFormatting>
  <conditionalFormatting sqref="O207:O208">
    <cfRule type="containsText" dxfId="14494" priority="13262" operator="containsText" text="Cancelado">
      <formula>NOT(ISERROR(SEARCH("Cancelado",O207)))</formula>
    </cfRule>
  </conditionalFormatting>
  <conditionalFormatting sqref="Q207:Q208">
    <cfRule type="cellIs" dxfId="14493" priority="13259" operator="equal">
      <formula>"Tramitando"</formula>
    </cfRule>
    <cfRule type="cellIs" dxfId="14492" priority="13260" operator="equal">
      <formula>"Deferido"</formula>
    </cfRule>
    <cfRule type="cellIs" dxfId="14491" priority="13261" operator="equal">
      <formula>"Indeferido"</formula>
    </cfRule>
  </conditionalFormatting>
  <conditionalFormatting sqref="Q207:Q208">
    <cfRule type="containsText" dxfId="14490" priority="13258" operator="containsText" text="Cancelado">
      <formula>NOT(ISERROR(SEARCH("Cancelado",Q207)))</formula>
    </cfRule>
  </conditionalFormatting>
  <conditionalFormatting sqref="S207:S208">
    <cfRule type="cellIs" dxfId="14489" priority="13255" operator="equal">
      <formula>"Tramitando"</formula>
    </cfRule>
    <cfRule type="cellIs" dxfId="14488" priority="13256" operator="equal">
      <formula>"Deferido"</formula>
    </cfRule>
    <cfRule type="cellIs" dxfId="14487" priority="13257" operator="equal">
      <formula>"Indeferido"</formula>
    </cfRule>
  </conditionalFormatting>
  <conditionalFormatting sqref="S207:S208">
    <cfRule type="containsText" dxfId="14486" priority="13254" operator="containsText" text="Cancelado">
      <formula>NOT(ISERROR(SEARCH("Cancelado",S207)))</formula>
    </cfRule>
  </conditionalFormatting>
  <conditionalFormatting sqref="J209:J210">
    <cfRule type="cellIs" dxfId="14485" priority="13250" operator="equal">
      <formula>"Tramitando"</formula>
    </cfRule>
    <cfRule type="cellIs" dxfId="14484" priority="13251" operator="equal">
      <formula>"Deferido"</formula>
    </cfRule>
    <cfRule type="cellIs" dxfId="14483" priority="13252" operator="equal">
      <formula>"Indeferido"</formula>
    </cfRule>
  </conditionalFormatting>
  <conditionalFormatting sqref="J209:J210">
    <cfRule type="containsText" dxfId="14482" priority="13249" operator="containsText" text="Cancelado">
      <formula>NOT(ISERROR(SEARCH("Cancelado",J209)))</formula>
    </cfRule>
  </conditionalFormatting>
  <conditionalFormatting sqref="M209:M210">
    <cfRule type="cellIs" dxfId="14481" priority="13246" operator="equal">
      <formula>"Tramitando"</formula>
    </cfRule>
    <cfRule type="cellIs" dxfId="14480" priority="13247" operator="equal">
      <formula>"Deferido"</formula>
    </cfRule>
    <cfRule type="cellIs" dxfId="14479" priority="13248" operator="equal">
      <formula>"Indeferido"</formula>
    </cfRule>
  </conditionalFormatting>
  <conditionalFormatting sqref="M209:M210">
    <cfRule type="containsText" dxfId="14478" priority="13245" operator="containsText" text="Cancelado">
      <formula>NOT(ISERROR(SEARCH("Cancelado",M209)))</formula>
    </cfRule>
  </conditionalFormatting>
  <conditionalFormatting sqref="O209:O210">
    <cfRule type="cellIs" dxfId="14477" priority="13242" operator="equal">
      <formula>"Tramitando"</formula>
    </cfRule>
    <cfRule type="cellIs" dxfId="14476" priority="13243" operator="equal">
      <formula>"Deferido"</formula>
    </cfRule>
    <cfRule type="cellIs" dxfId="14475" priority="13244" operator="equal">
      <formula>"Indeferido"</formula>
    </cfRule>
  </conditionalFormatting>
  <conditionalFormatting sqref="O209:O210">
    <cfRule type="containsText" dxfId="14474" priority="13241" operator="containsText" text="Cancelado">
      <formula>NOT(ISERROR(SEARCH("Cancelado",O209)))</formula>
    </cfRule>
  </conditionalFormatting>
  <conditionalFormatting sqref="Q209:Q210">
    <cfRule type="cellIs" dxfId="14473" priority="13238" operator="equal">
      <formula>"Tramitando"</formula>
    </cfRule>
    <cfRule type="cellIs" dxfId="14472" priority="13239" operator="equal">
      <formula>"Deferido"</formula>
    </cfRule>
    <cfRule type="cellIs" dxfId="14471" priority="13240" operator="equal">
      <formula>"Indeferido"</formula>
    </cfRule>
  </conditionalFormatting>
  <conditionalFormatting sqref="Q209:Q210">
    <cfRule type="containsText" dxfId="14470" priority="13237" operator="containsText" text="Cancelado">
      <formula>NOT(ISERROR(SEARCH("Cancelado",Q209)))</formula>
    </cfRule>
  </conditionalFormatting>
  <conditionalFormatting sqref="S209:S210">
    <cfRule type="cellIs" dxfId="14469" priority="13234" operator="equal">
      <formula>"Tramitando"</formula>
    </cfRule>
    <cfRule type="cellIs" dxfId="14468" priority="13235" operator="equal">
      <formula>"Deferido"</formula>
    </cfRule>
    <cfRule type="cellIs" dxfId="14467" priority="13236" operator="equal">
      <formula>"Indeferido"</formula>
    </cfRule>
  </conditionalFormatting>
  <conditionalFormatting sqref="S209:S210">
    <cfRule type="containsText" dxfId="14466" priority="13233" operator="containsText" text="Cancelado">
      <formula>NOT(ISERROR(SEARCH("Cancelado",S209)))</formula>
    </cfRule>
  </conditionalFormatting>
  <conditionalFormatting sqref="J211">
    <cfRule type="cellIs" dxfId="14465" priority="13229" operator="equal">
      <formula>"Tramitando"</formula>
    </cfRule>
    <cfRule type="cellIs" dxfId="14464" priority="13230" operator="equal">
      <formula>"Deferido"</formula>
    </cfRule>
    <cfRule type="cellIs" dxfId="14463" priority="13231" operator="equal">
      <formula>"Indeferido"</formula>
    </cfRule>
  </conditionalFormatting>
  <conditionalFormatting sqref="J211">
    <cfRule type="containsText" dxfId="14462" priority="13228" operator="containsText" text="Cancelado">
      <formula>NOT(ISERROR(SEARCH("Cancelado",J211)))</formula>
    </cfRule>
  </conditionalFormatting>
  <conditionalFormatting sqref="M211">
    <cfRule type="cellIs" dxfId="14461" priority="13225" operator="equal">
      <formula>"Tramitando"</formula>
    </cfRule>
    <cfRule type="cellIs" dxfId="14460" priority="13226" operator="equal">
      <formula>"Deferido"</formula>
    </cfRule>
    <cfRule type="cellIs" dxfId="14459" priority="13227" operator="equal">
      <formula>"Indeferido"</formula>
    </cfRule>
  </conditionalFormatting>
  <conditionalFormatting sqref="M211">
    <cfRule type="containsText" dxfId="14458" priority="13224" operator="containsText" text="Cancelado">
      <formula>NOT(ISERROR(SEARCH("Cancelado",M211)))</formula>
    </cfRule>
  </conditionalFormatting>
  <conditionalFormatting sqref="O211">
    <cfRule type="cellIs" dxfId="14457" priority="13221" operator="equal">
      <formula>"Tramitando"</formula>
    </cfRule>
    <cfRule type="cellIs" dxfId="14456" priority="13222" operator="equal">
      <formula>"Deferido"</formula>
    </cfRule>
    <cfRule type="cellIs" dxfId="14455" priority="13223" operator="equal">
      <formula>"Indeferido"</formula>
    </cfRule>
  </conditionalFormatting>
  <conditionalFormatting sqref="O211">
    <cfRule type="containsText" dxfId="14454" priority="13220" operator="containsText" text="Cancelado">
      <formula>NOT(ISERROR(SEARCH("Cancelado",O211)))</formula>
    </cfRule>
  </conditionalFormatting>
  <conditionalFormatting sqref="Q211">
    <cfRule type="cellIs" dxfId="14453" priority="13217" operator="equal">
      <formula>"Tramitando"</formula>
    </cfRule>
    <cfRule type="cellIs" dxfId="14452" priority="13218" operator="equal">
      <formula>"Deferido"</formula>
    </cfRule>
    <cfRule type="cellIs" dxfId="14451" priority="13219" operator="equal">
      <formula>"Indeferido"</formula>
    </cfRule>
  </conditionalFormatting>
  <conditionalFormatting sqref="Q211">
    <cfRule type="containsText" dxfId="14450" priority="13216" operator="containsText" text="Cancelado">
      <formula>NOT(ISERROR(SEARCH("Cancelado",Q211)))</formula>
    </cfRule>
  </conditionalFormatting>
  <conditionalFormatting sqref="S211">
    <cfRule type="cellIs" dxfId="14449" priority="13213" operator="equal">
      <formula>"Tramitando"</formula>
    </cfRule>
    <cfRule type="cellIs" dxfId="14448" priority="13214" operator="equal">
      <formula>"Deferido"</formula>
    </cfRule>
    <cfRule type="cellIs" dxfId="14447" priority="13215" operator="equal">
      <formula>"Indeferido"</formula>
    </cfRule>
  </conditionalFormatting>
  <conditionalFormatting sqref="S211">
    <cfRule type="containsText" dxfId="14446" priority="13212" operator="containsText" text="Cancelado">
      <formula>NOT(ISERROR(SEARCH("Cancelado",S211)))</formula>
    </cfRule>
  </conditionalFormatting>
  <conditionalFormatting sqref="J212:J213">
    <cfRule type="cellIs" dxfId="14445" priority="13208" operator="equal">
      <formula>"Tramitando"</formula>
    </cfRule>
    <cfRule type="cellIs" dxfId="14444" priority="13209" operator="equal">
      <formula>"Deferido"</formula>
    </cfRule>
    <cfRule type="cellIs" dxfId="14443" priority="13210" operator="equal">
      <formula>"Indeferido"</formula>
    </cfRule>
  </conditionalFormatting>
  <conditionalFormatting sqref="J212:J213">
    <cfRule type="containsText" dxfId="14442" priority="13207" operator="containsText" text="Cancelado">
      <formula>NOT(ISERROR(SEARCH("Cancelado",J212)))</formula>
    </cfRule>
  </conditionalFormatting>
  <conditionalFormatting sqref="M212:M213">
    <cfRule type="cellIs" dxfId="14441" priority="13204" operator="equal">
      <formula>"Tramitando"</formula>
    </cfRule>
    <cfRule type="cellIs" dxfId="14440" priority="13205" operator="equal">
      <formula>"Deferido"</formula>
    </cfRule>
    <cfRule type="cellIs" dxfId="14439" priority="13206" operator="equal">
      <formula>"Indeferido"</formula>
    </cfRule>
  </conditionalFormatting>
  <conditionalFormatting sqref="M212:M213">
    <cfRule type="containsText" dxfId="14438" priority="13203" operator="containsText" text="Cancelado">
      <formula>NOT(ISERROR(SEARCH("Cancelado",M212)))</formula>
    </cfRule>
  </conditionalFormatting>
  <conditionalFormatting sqref="O212:O213">
    <cfRule type="cellIs" dxfId="14437" priority="13200" operator="equal">
      <formula>"Tramitando"</formula>
    </cfRule>
    <cfRule type="cellIs" dxfId="14436" priority="13201" operator="equal">
      <formula>"Deferido"</formula>
    </cfRule>
    <cfRule type="cellIs" dxfId="14435" priority="13202" operator="equal">
      <formula>"Indeferido"</formula>
    </cfRule>
  </conditionalFormatting>
  <conditionalFormatting sqref="O212:O213">
    <cfRule type="containsText" dxfId="14434" priority="13199" operator="containsText" text="Cancelado">
      <formula>NOT(ISERROR(SEARCH("Cancelado",O212)))</formula>
    </cfRule>
  </conditionalFormatting>
  <conditionalFormatting sqref="Q212:Q213">
    <cfRule type="cellIs" dxfId="14433" priority="13196" operator="equal">
      <formula>"Tramitando"</formula>
    </cfRule>
    <cfRule type="cellIs" dxfId="14432" priority="13197" operator="equal">
      <formula>"Deferido"</formula>
    </cfRule>
    <cfRule type="cellIs" dxfId="14431" priority="13198" operator="equal">
      <formula>"Indeferido"</formula>
    </cfRule>
  </conditionalFormatting>
  <conditionalFormatting sqref="Q212:Q213">
    <cfRule type="containsText" dxfId="14430" priority="13195" operator="containsText" text="Cancelado">
      <formula>NOT(ISERROR(SEARCH("Cancelado",Q212)))</formula>
    </cfRule>
  </conditionalFormatting>
  <conditionalFormatting sqref="S212:S213">
    <cfRule type="cellIs" dxfId="14429" priority="13192" operator="equal">
      <formula>"Tramitando"</formula>
    </cfRule>
    <cfRule type="cellIs" dxfId="14428" priority="13193" operator="equal">
      <formula>"Deferido"</formula>
    </cfRule>
    <cfRule type="cellIs" dxfId="14427" priority="13194" operator="equal">
      <formula>"Indeferido"</formula>
    </cfRule>
  </conditionalFormatting>
  <conditionalFormatting sqref="S212:S213">
    <cfRule type="containsText" dxfId="14426" priority="13191" operator="containsText" text="Cancelado">
      <formula>NOT(ISERROR(SEARCH("Cancelado",S212)))</formula>
    </cfRule>
  </conditionalFormatting>
  <conditionalFormatting sqref="J214">
    <cfRule type="cellIs" dxfId="14425" priority="13187" operator="equal">
      <formula>"Tramitando"</formula>
    </cfRule>
    <cfRule type="cellIs" dxfId="14424" priority="13188" operator="equal">
      <formula>"Deferido"</formula>
    </cfRule>
    <cfRule type="cellIs" dxfId="14423" priority="13189" operator="equal">
      <formula>"Indeferido"</formula>
    </cfRule>
  </conditionalFormatting>
  <conditionalFormatting sqref="J214">
    <cfRule type="containsText" dxfId="14422" priority="13186" operator="containsText" text="Cancelado">
      <formula>NOT(ISERROR(SEARCH("Cancelado",J214)))</formula>
    </cfRule>
  </conditionalFormatting>
  <conditionalFormatting sqref="M214">
    <cfRule type="cellIs" dxfId="14421" priority="13183" operator="equal">
      <formula>"Tramitando"</formula>
    </cfRule>
    <cfRule type="cellIs" dxfId="14420" priority="13184" operator="equal">
      <formula>"Deferido"</formula>
    </cfRule>
    <cfRule type="cellIs" dxfId="14419" priority="13185" operator="equal">
      <formula>"Indeferido"</formula>
    </cfRule>
  </conditionalFormatting>
  <conditionalFormatting sqref="M214">
    <cfRule type="containsText" dxfId="14418" priority="13182" operator="containsText" text="Cancelado">
      <formula>NOT(ISERROR(SEARCH("Cancelado",M214)))</formula>
    </cfRule>
  </conditionalFormatting>
  <conditionalFormatting sqref="O214">
    <cfRule type="cellIs" dxfId="14417" priority="13179" operator="equal">
      <formula>"Tramitando"</formula>
    </cfRule>
    <cfRule type="cellIs" dxfId="14416" priority="13180" operator="equal">
      <formula>"Deferido"</formula>
    </cfRule>
    <cfRule type="cellIs" dxfId="14415" priority="13181" operator="equal">
      <formula>"Indeferido"</formula>
    </cfRule>
  </conditionalFormatting>
  <conditionalFormatting sqref="O214">
    <cfRule type="containsText" dxfId="14414" priority="13178" operator="containsText" text="Cancelado">
      <formula>NOT(ISERROR(SEARCH("Cancelado",O214)))</formula>
    </cfRule>
  </conditionalFormatting>
  <conditionalFormatting sqref="Q214">
    <cfRule type="cellIs" dxfId="14413" priority="13175" operator="equal">
      <formula>"Tramitando"</formula>
    </cfRule>
    <cfRule type="cellIs" dxfId="14412" priority="13176" operator="equal">
      <formula>"Deferido"</formula>
    </cfRule>
    <cfRule type="cellIs" dxfId="14411" priority="13177" operator="equal">
      <formula>"Indeferido"</formula>
    </cfRule>
  </conditionalFormatting>
  <conditionalFormatting sqref="Q214">
    <cfRule type="containsText" dxfId="14410" priority="13174" operator="containsText" text="Cancelado">
      <formula>NOT(ISERROR(SEARCH("Cancelado",Q214)))</formula>
    </cfRule>
  </conditionalFormatting>
  <conditionalFormatting sqref="S214">
    <cfRule type="cellIs" dxfId="14409" priority="13171" operator="equal">
      <formula>"Tramitando"</formula>
    </cfRule>
    <cfRule type="cellIs" dxfId="14408" priority="13172" operator="equal">
      <formula>"Deferido"</formula>
    </cfRule>
    <cfRule type="cellIs" dxfId="14407" priority="13173" operator="equal">
      <formula>"Indeferido"</formula>
    </cfRule>
  </conditionalFormatting>
  <conditionalFormatting sqref="S214">
    <cfRule type="containsText" dxfId="14406" priority="13170" operator="containsText" text="Cancelado">
      <formula>NOT(ISERROR(SEARCH("Cancelado",S214)))</formula>
    </cfRule>
  </conditionalFormatting>
  <conditionalFormatting sqref="J215">
    <cfRule type="cellIs" dxfId="14405" priority="13164" operator="equal">
      <formula>"Tramitando"</formula>
    </cfRule>
    <cfRule type="cellIs" dxfId="14404" priority="13165" operator="equal">
      <formula>"Deferido"</formula>
    </cfRule>
    <cfRule type="cellIs" dxfId="14403" priority="13166" operator="equal">
      <formula>"Indeferido"</formula>
    </cfRule>
  </conditionalFormatting>
  <conditionalFormatting sqref="J215">
    <cfRule type="containsText" dxfId="14402" priority="13163" operator="containsText" text="Cancelado">
      <formula>NOT(ISERROR(SEARCH("Cancelado",J215)))</formula>
    </cfRule>
  </conditionalFormatting>
  <conditionalFormatting sqref="M215">
    <cfRule type="cellIs" dxfId="14401" priority="13160" operator="equal">
      <formula>"Tramitando"</formula>
    </cfRule>
    <cfRule type="cellIs" dxfId="14400" priority="13161" operator="equal">
      <formula>"Deferido"</formula>
    </cfRule>
    <cfRule type="cellIs" dxfId="14399" priority="13162" operator="equal">
      <formula>"Indeferido"</formula>
    </cfRule>
  </conditionalFormatting>
  <conditionalFormatting sqref="M215">
    <cfRule type="containsText" dxfId="14398" priority="13159" operator="containsText" text="Cancelado">
      <formula>NOT(ISERROR(SEARCH("Cancelado",M215)))</formula>
    </cfRule>
  </conditionalFormatting>
  <conditionalFormatting sqref="O215">
    <cfRule type="cellIs" dxfId="14397" priority="13156" operator="equal">
      <formula>"Tramitando"</formula>
    </cfRule>
    <cfRule type="cellIs" dxfId="14396" priority="13157" operator="equal">
      <formula>"Deferido"</formula>
    </cfRule>
    <cfRule type="cellIs" dxfId="14395" priority="13158" operator="equal">
      <formula>"Indeferido"</formula>
    </cfRule>
  </conditionalFormatting>
  <conditionalFormatting sqref="O215">
    <cfRule type="containsText" dxfId="14394" priority="13155" operator="containsText" text="Cancelado">
      <formula>NOT(ISERROR(SEARCH("Cancelado",O215)))</formula>
    </cfRule>
  </conditionalFormatting>
  <conditionalFormatting sqref="Q215">
    <cfRule type="cellIs" dxfId="14393" priority="13152" operator="equal">
      <formula>"Tramitando"</formula>
    </cfRule>
    <cfRule type="cellIs" dxfId="14392" priority="13153" operator="equal">
      <formula>"Deferido"</formula>
    </cfRule>
    <cfRule type="cellIs" dxfId="14391" priority="13154" operator="equal">
      <formula>"Indeferido"</formula>
    </cfRule>
  </conditionalFormatting>
  <conditionalFormatting sqref="Q215">
    <cfRule type="containsText" dxfId="14390" priority="13151" operator="containsText" text="Cancelado">
      <formula>NOT(ISERROR(SEARCH("Cancelado",Q215)))</formula>
    </cfRule>
  </conditionalFormatting>
  <conditionalFormatting sqref="S215">
    <cfRule type="cellIs" dxfId="14389" priority="13148" operator="equal">
      <formula>"Tramitando"</formula>
    </cfRule>
    <cfRule type="cellIs" dxfId="14388" priority="13149" operator="equal">
      <formula>"Deferido"</formula>
    </cfRule>
    <cfRule type="cellIs" dxfId="14387" priority="13150" operator="equal">
      <formula>"Indeferido"</formula>
    </cfRule>
  </conditionalFormatting>
  <conditionalFormatting sqref="S215">
    <cfRule type="containsText" dxfId="14386" priority="13147" operator="containsText" text="Cancelado">
      <formula>NOT(ISERROR(SEARCH("Cancelado",S215)))</formula>
    </cfRule>
  </conditionalFormatting>
  <conditionalFormatting sqref="J216">
    <cfRule type="cellIs" dxfId="14385" priority="13142" operator="equal">
      <formula>"Tramitando"</formula>
    </cfRule>
    <cfRule type="cellIs" dxfId="14384" priority="13143" operator="equal">
      <formula>"Deferido"</formula>
    </cfRule>
    <cfRule type="cellIs" dxfId="14383" priority="13144" operator="equal">
      <formula>"Indeferido"</formula>
    </cfRule>
  </conditionalFormatting>
  <conditionalFormatting sqref="J216">
    <cfRule type="containsText" dxfId="14382" priority="13141" operator="containsText" text="Cancelado">
      <formula>NOT(ISERROR(SEARCH("Cancelado",J216)))</formula>
    </cfRule>
  </conditionalFormatting>
  <conditionalFormatting sqref="M216">
    <cfRule type="cellIs" dxfId="14381" priority="13138" operator="equal">
      <formula>"Tramitando"</formula>
    </cfRule>
    <cfRule type="cellIs" dxfId="14380" priority="13139" operator="equal">
      <formula>"Deferido"</formula>
    </cfRule>
    <cfRule type="cellIs" dxfId="14379" priority="13140" operator="equal">
      <formula>"Indeferido"</formula>
    </cfRule>
  </conditionalFormatting>
  <conditionalFormatting sqref="M216">
    <cfRule type="containsText" dxfId="14378" priority="13137" operator="containsText" text="Cancelado">
      <formula>NOT(ISERROR(SEARCH("Cancelado",M216)))</formula>
    </cfRule>
  </conditionalFormatting>
  <conditionalFormatting sqref="O216">
    <cfRule type="cellIs" dxfId="14377" priority="13134" operator="equal">
      <formula>"Tramitando"</formula>
    </cfRule>
    <cfRule type="cellIs" dxfId="14376" priority="13135" operator="equal">
      <formula>"Deferido"</formula>
    </cfRule>
    <cfRule type="cellIs" dxfId="14375" priority="13136" operator="equal">
      <formula>"Indeferido"</formula>
    </cfRule>
  </conditionalFormatting>
  <conditionalFormatting sqref="O216">
    <cfRule type="containsText" dxfId="14374" priority="13133" operator="containsText" text="Cancelado">
      <formula>NOT(ISERROR(SEARCH("Cancelado",O216)))</formula>
    </cfRule>
  </conditionalFormatting>
  <conditionalFormatting sqref="Q216">
    <cfRule type="cellIs" dxfId="14373" priority="13130" operator="equal">
      <formula>"Tramitando"</formula>
    </cfRule>
    <cfRule type="cellIs" dxfId="14372" priority="13131" operator="equal">
      <formula>"Deferido"</formula>
    </cfRule>
    <cfRule type="cellIs" dxfId="14371" priority="13132" operator="equal">
      <formula>"Indeferido"</formula>
    </cfRule>
  </conditionalFormatting>
  <conditionalFormatting sqref="Q216">
    <cfRule type="containsText" dxfId="14370" priority="13129" operator="containsText" text="Cancelado">
      <formula>NOT(ISERROR(SEARCH("Cancelado",Q216)))</formula>
    </cfRule>
  </conditionalFormatting>
  <conditionalFormatting sqref="S216">
    <cfRule type="cellIs" dxfId="14369" priority="13126" operator="equal">
      <formula>"Tramitando"</formula>
    </cfRule>
    <cfRule type="cellIs" dxfId="14368" priority="13127" operator="equal">
      <formula>"Deferido"</formula>
    </cfRule>
    <cfRule type="cellIs" dxfId="14367" priority="13128" operator="equal">
      <formula>"Indeferido"</formula>
    </cfRule>
  </conditionalFormatting>
  <conditionalFormatting sqref="S216">
    <cfRule type="containsText" dxfId="14366" priority="13125" operator="containsText" text="Cancelado">
      <formula>NOT(ISERROR(SEARCH("Cancelado",S216)))</formula>
    </cfRule>
  </conditionalFormatting>
  <conditionalFormatting sqref="J217">
    <cfRule type="cellIs" dxfId="14365" priority="13121" operator="equal">
      <formula>"Tramitando"</formula>
    </cfRule>
    <cfRule type="cellIs" dxfId="14364" priority="13122" operator="equal">
      <formula>"Deferido"</formula>
    </cfRule>
    <cfRule type="cellIs" dxfId="14363" priority="13123" operator="equal">
      <formula>"Indeferido"</formula>
    </cfRule>
  </conditionalFormatting>
  <conditionalFormatting sqref="J217">
    <cfRule type="containsText" dxfId="14362" priority="13120" operator="containsText" text="Cancelado">
      <formula>NOT(ISERROR(SEARCH("Cancelado",J217)))</formula>
    </cfRule>
  </conditionalFormatting>
  <conditionalFormatting sqref="M217">
    <cfRule type="cellIs" dxfId="14361" priority="13117" operator="equal">
      <formula>"Tramitando"</formula>
    </cfRule>
    <cfRule type="cellIs" dxfId="14360" priority="13118" operator="equal">
      <formula>"Deferido"</formula>
    </cfRule>
    <cfRule type="cellIs" dxfId="14359" priority="13119" operator="equal">
      <formula>"Indeferido"</formula>
    </cfRule>
  </conditionalFormatting>
  <conditionalFormatting sqref="M217">
    <cfRule type="containsText" dxfId="14358" priority="13116" operator="containsText" text="Cancelado">
      <formula>NOT(ISERROR(SEARCH("Cancelado",M217)))</formula>
    </cfRule>
  </conditionalFormatting>
  <conditionalFormatting sqref="O217">
    <cfRule type="cellIs" dxfId="14357" priority="13113" operator="equal">
      <formula>"Tramitando"</formula>
    </cfRule>
    <cfRule type="cellIs" dxfId="14356" priority="13114" operator="equal">
      <formula>"Deferido"</formula>
    </cfRule>
    <cfRule type="cellIs" dxfId="14355" priority="13115" operator="equal">
      <formula>"Indeferido"</formula>
    </cfRule>
  </conditionalFormatting>
  <conditionalFormatting sqref="O217">
    <cfRule type="containsText" dxfId="14354" priority="13112" operator="containsText" text="Cancelado">
      <formula>NOT(ISERROR(SEARCH("Cancelado",O217)))</formula>
    </cfRule>
  </conditionalFormatting>
  <conditionalFormatting sqref="Q217">
    <cfRule type="cellIs" dxfId="14353" priority="13109" operator="equal">
      <formula>"Tramitando"</formula>
    </cfRule>
    <cfRule type="cellIs" dxfId="14352" priority="13110" operator="equal">
      <formula>"Deferido"</formula>
    </cfRule>
    <cfRule type="cellIs" dxfId="14351" priority="13111" operator="equal">
      <formula>"Indeferido"</formula>
    </cfRule>
  </conditionalFormatting>
  <conditionalFormatting sqref="Q217">
    <cfRule type="containsText" dxfId="14350" priority="13108" operator="containsText" text="Cancelado">
      <formula>NOT(ISERROR(SEARCH("Cancelado",Q217)))</formula>
    </cfRule>
  </conditionalFormatting>
  <conditionalFormatting sqref="S217">
    <cfRule type="cellIs" dxfId="14349" priority="13105" operator="equal">
      <formula>"Tramitando"</formula>
    </cfRule>
    <cfRule type="cellIs" dxfId="14348" priority="13106" operator="equal">
      <formula>"Deferido"</formula>
    </cfRule>
    <cfRule type="cellIs" dxfId="14347" priority="13107" operator="equal">
      <formula>"Indeferido"</formula>
    </cfRule>
  </conditionalFormatting>
  <conditionalFormatting sqref="S217">
    <cfRule type="containsText" dxfId="14346" priority="13104" operator="containsText" text="Cancelado">
      <formula>NOT(ISERROR(SEARCH("Cancelado",S217)))</formula>
    </cfRule>
  </conditionalFormatting>
  <conditionalFormatting sqref="J218">
    <cfRule type="cellIs" dxfId="14345" priority="13100" operator="equal">
      <formula>"Tramitando"</formula>
    </cfRule>
    <cfRule type="cellIs" dxfId="14344" priority="13101" operator="equal">
      <formula>"Deferido"</formula>
    </cfRule>
    <cfRule type="cellIs" dxfId="14343" priority="13102" operator="equal">
      <formula>"Indeferido"</formula>
    </cfRule>
  </conditionalFormatting>
  <conditionalFormatting sqref="J218">
    <cfRule type="containsText" dxfId="14342" priority="13099" operator="containsText" text="Cancelado">
      <formula>NOT(ISERROR(SEARCH("Cancelado",J218)))</formula>
    </cfRule>
  </conditionalFormatting>
  <conditionalFormatting sqref="M218">
    <cfRule type="cellIs" dxfId="14341" priority="13096" operator="equal">
      <formula>"Tramitando"</formula>
    </cfRule>
    <cfRule type="cellIs" dxfId="14340" priority="13097" operator="equal">
      <formula>"Deferido"</formula>
    </cfRule>
    <cfRule type="cellIs" dxfId="14339" priority="13098" operator="equal">
      <formula>"Indeferido"</formula>
    </cfRule>
  </conditionalFormatting>
  <conditionalFormatting sqref="M218">
    <cfRule type="containsText" dxfId="14338" priority="13095" operator="containsText" text="Cancelado">
      <formula>NOT(ISERROR(SEARCH("Cancelado",M218)))</formula>
    </cfRule>
  </conditionalFormatting>
  <conditionalFormatting sqref="O218">
    <cfRule type="cellIs" dxfId="14337" priority="13092" operator="equal">
      <formula>"Tramitando"</formula>
    </cfRule>
    <cfRule type="cellIs" dxfId="14336" priority="13093" operator="equal">
      <formula>"Deferido"</formula>
    </cfRule>
    <cfRule type="cellIs" dxfId="14335" priority="13094" operator="equal">
      <formula>"Indeferido"</formula>
    </cfRule>
  </conditionalFormatting>
  <conditionalFormatting sqref="O218">
    <cfRule type="containsText" dxfId="14334" priority="13091" operator="containsText" text="Cancelado">
      <formula>NOT(ISERROR(SEARCH("Cancelado",O218)))</formula>
    </cfRule>
  </conditionalFormatting>
  <conditionalFormatting sqref="Q218">
    <cfRule type="cellIs" dxfId="14333" priority="13088" operator="equal">
      <formula>"Tramitando"</formula>
    </cfRule>
    <cfRule type="cellIs" dxfId="14332" priority="13089" operator="equal">
      <formula>"Deferido"</formula>
    </cfRule>
    <cfRule type="cellIs" dxfId="14331" priority="13090" operator="equal">
      <formula>"Indeferido"</formula>
    </cfRule>
  </conditionalFormatting>
  <conditionalFormatting sqref="Q218">
    <cfRule type="containsText" dxfId="14330" priority="13087" operator="containsText" text="Cancelado">
      <formula>NOT(ISERROR(SEARCH("Cancelado",Q218)))</formula>
    </cfRule>
  </conditionalFormatting>
  <conditionalFormatting sqref="S218">
    <cfRule type="cellIs" dxfId="14329" priority="13084" operator="equal">
      <formula>"Tramitando"</formula>
    </cfRule>
    <cfRule type="cellIs" dxfId="14328" priority="13085" operator="equal">
      <formula>"Deferido"</formula>
    </cfRule>
    <cfRule type="cellIs" dxfId="14327" priority="13086" operator="equal">
      <formula>"Indeferido"</formula>
    </cfRule>
  </conditionalFormatting>
  <conditionalFormatting sqref="S218">
    <cfRule type="containsText" dxfId="14326" priority="13083" operator="containsText" text="Cancelado">
      <formula>NOT(ISERROR(SEARCH("Cancelado",S218)))</formula>
    </cfRule>
  </conditionalFormatting>
  <conditionalFormatting sqref="J219">
    <cfRule type="cellIs" dxfId="14325" priority="13078" operator="equal">
      <formula>"Tramitando"</formula>
    </cfRule>
    <cfRule type="cellIs" dxfId="14324" priority="13079" operator="equal">
      <formula>"Deferido"</formula>
    </cfRule>
    <cfRule type="cellIs" dxfId="14323" priority="13080" operator="equal">
      <formula>"Indeferido"</formula>
    </cfRule>
  </conditionalFormatting>
  <conditionalFormatting sqref="J219">
    <cfRule type="containsText" dxfId="14322" priority="13077" operator="containsText" text="Cancelado">
      <formula>NOT(ISERROR(SEARCH("Cancelado",J219)))</formula>
    </cfRule>
  </conditionalFormatting>
  <conditionalFormatting sqref="M219">
    <cfRule type="cellIs" dxfId="14321" priority="13074" operator="equal">
      <formula>"Tramitando"</formula>
    </cfRule>
    <cfRule type="cellIs" dxfId="14320" priority="13075" operator="equal">
      <formula>"Deferido"</formula>
    </cfRule>
    <cfRule type="cellIs" dxfId="14319" priority="13076" operator="equal">
      <formula>"Indeferido"</formula>
    </cfRule>
  </conditionalFormatting>
  <conditionalFormatting sqref="M219">
    <cfRule type="containsText" dxfId="14318" priority="13073" operator="containsText" text="Cancelado">
      <formula>NOT(ISERROR(SEARCH("Cancelado",M219)))</formula>
    </cfRule>
  </conditionalFormatting>
  <conditionalFormatting sqref="O219">
    <cfRule type="cellIs" dxfId="14317" priority="13070" operator="equal">
      <formula>"Tramitando"</formula>
    </cfRule>
    <cfRule type="cellIs" dxfId="14316" priority="13071" operator="equal">
      <formula>"Deferido"</formula>
    </cfRule>
    <cfRule type="cellIs" dxfId="14315" priority="13072" operator="equal">
      <formula>"Indeferido"</formula>
    </cfRule>
  </conditionalFormatting>
  <conditionalFormatting sqref="O219">
    <cfRule type="containsText" dxfId="14314" priority="13069" operator="containsText" text="Cancelado">
      <formula>NOT(ISERROR(SEARCH("Cancelado",O219)))</formula>
    </cfRule>
  </conditionalFormatting>
  <conditionalFormatting sqref="Q219">
    <cfRule type="cellIs" dxfId="14313" priority="13066" operator="equal">
      <formula>"Tramitando"</formula>
    </cfRule>
    <cfRule type="cellIs" dxfId="14312" priority="13067" operator="equal">
      <formula>"Deferido"</formula>
    </cfRule>
    <cfRule type="cellIs" dxfId="14311" priority="13068" operator="equal">
      <formula>"Indeferido"</formula>
    </cfRule>
  </conditionalFormatting>
  <conditionalFormatting sqref="Q219">
    <cfRule type="containsText" dxfId="14310" priority="13065" operator="containsText" text="Cancelado">
      <formula>NOT(ISERROR(SEARCH("Cancelado",Q219)))</formula>
    </cfRule>
  </conditionalFormatting>
  <conditionalFormatting sqref="S219">
    <cfRule type="cellIs" dxfId="14309" priority="13062" operator="equal">
      <formula>"Tramitando"</formula>
    </cfRule>
    <cfRule type="cellIs" dxfId="14308" priority="13063" operator="equal">
      <formula>"Deferido"</formula>
    </cfRule>
    <cfRule type="cellIs" dxfId="14307" priority="13064" operator="equal">
      <formula>"Indeferido"</formula>
    </cfRule>
  </conditionalFormatting>
  <conditionalFormatting sqref="S219">
    <cfRule type="containsText" dxfId="14306" priority="13061" operator="containsText" text="Cancelado">
      <formula>NOT(ISERROR(SEARCH("Cancelado",S219)))</formula>
    </cfRule>
  </conditionalFormatting>
  <conditionalFormatting sqref="J220">
    <cfRule type="cellIs" dxfId="14305" priority="13057" operator="equal">
      <formula>"Tramitando"</formula>
    </cfRule>
    <cfRule type="cellIs" dxfId="14304" priority="13058" operator="equal">
      <formula>"Deferido"</formula>
    </cfRule>
    <cfRule type="cellIs" dxfId="14303" priority="13059" operator="equal">
      <formula>"Indeferido"</formula>
    </cfRule>
  </conditionalFormatting>
  <conditionalFormatting sqref="J220">
    <cfRule type="containsText" dxfId="14302" priority="13056" operator="containsText" text="Cancelado">
      <formula>NOT(ISERROR(SEARCH("Cancelado",J220)))</formula>
    </cfRule>
  </conditionalFormatting>
  <conditionalFormatting sqref="M220">
    <cfRule type="cellIs" dxfId="14301" priority="13053" operator="equal">
      <formula>"Tramitando"</formula>
    </cfRule>
    <cfRule type="cellIs" dxfId="14300" priority="13054" operator="equal">
      <formula>"Deferido"</formula>
    </cfRule>
    <cfRule type="cellIs" dxfId="14299" priority="13055" operator="equal">
      <formula>"Indeferido"</formula>
    </cfRule>
  </conditionalFormatting>
  <conditionalFormatting sqref="M220">
    <cfRule type="containsText" dxfId="14298" priority="13052" operator="containsText" text="Cancelado">
      <formula>NOT(ISERROR(SEARCH("Cancelado",M220)))</formula>
    </cfRule>
  </conditionalFormatting>
  <conditionalFormatting sqref="O220">
    <cfRule type="cellIs" dxfId="14297" priority="13049" operator="equal">
      <formula>"Tramitando"</formula>
    </cfRule>
    <cfRule type="cellIs" dxfId="14296" priority="13050" operator="equal">
      <formula>"Deferido"</formula>
    </cfRule>
    <cfRule type="cellIs" dxfId="14295" priority="13051" operator="equal">
      <formula>"Indeferido"</formula>
    </cfRule>
  </conditionalFormatting>
  <conditionalFormatting sqref="O220">
    <cfRule type="containsText" dxfId="14294" priority="13048" operator="containsText" text="Cancelado">
      <formula>NOT(ISERROR(SEARCH("Cancelado",O220)))</formula>
    </cfRule>
  </conditionalFormatting>
  <conditionalFormatting sqref="Q220">
    <cfRule type="cellIs" dxfId="14293" priority="13045" operator="equal">
      <formula>"Tramitando"</formula>
    </cfRule>
    <cfRule type="cellIs" dxfId="14292" priority="13046" operator="equal">
      <formula>"Deferido"</formula>
    </cfRule>
    <cfRule type="cellIs" dxfId="14291" priority="13047" operator="equal">
      <formula>"Indeferido"</formula>
    </cfRule>
  </conditionalFormatting>
  <conditionalFormatting sqref="Q220">
    <cfRule type="containsText" dxfId="14290" priority="13044" operator="containsText" text="Cancelado">
      <formula>NOT(ISERROR(SEARCH("Cancelado",Q220)))</formula>
    </cfRule>
  </conditionalFormatting>
  <conditionalFormatting sqref="S220">
    <cfRule type="cellIs" dxfId="14289" priority="13041" operator="equal">
      <formula>"Tramitando"</formula>
    </cfRule>
    <cfRule type="cellIs" dxfId="14288" priority="13042" operator="equal">
      <formula>"Deferido"</formula>
    </cfRule>
    <cfRule type="cellIs" dxfId="14287" priority="13043" operator="equal">
      <formula>"Indeferido"</formula>
    </cfRule>
  </conditionalFormatting>
  <conditionalFormatting sqref="S220">
    <cfRule type="containsText" dxfId="14286" priority="13040" operator="containsText" text="Cancelado">
      <formula>NOT(ISERROR(SEARCH("Cancelado",S220)))</formula>
    </cfRule>
  </conditionalFormatting>
  <conditionalFormatting sqref="J221">
    <cfRule type="cellIs" dxfId="14285" priority="13036" operator="equal">
      <formula>"Tramitando"</formula>
    </cfRule>
    <cfRule type="cellIs" dxfId="14284" priority="13037" operator="equal">
      <formula>"Deferido"</formula>
    </cfRule>
    <cfRule type="cellIs" dxfId="14283" priority="13038" operator="equal">
      <formula>"Indeferido"</formula>
    </cfRule>
  </conditionalFormatting>
  <conditionalFormatting sqref="J221">
    <cfRule type="containsText" dxfId="14282" priority="13035" operator="containsText" text="Cancelado">
      <formula>NOT(ISERROR(SEARCH("Cancelado",J221)))</formula>
    </cfRule>
  </conditionalFormatting>
  <conditionalFormatting sqref="M221">
    <cfRule type="cellIs" dxfId="14281" priority="13032" operator="equal">
      <formula>"Tramitando"</formula>
    </cfRule>
    <cfRule type="cellIs" dxfId="14280" priority="13033" operator="equal">
      <formula>"Deferido"</formula>
    </cfRule>
    <cfRule type="cellIs" dxfId="14279" priority="13034" operator="equal">
      <formula>"Indeferido"</formula>
    </cfRule>
  </conditionalFormatting>
  <conditionalFormatting sqref="M221">
    <cfRule type="containsText" dxfId="14278" priority="13031" operator="containsText" text="Cancelado">
      <formula>NOT(ISERROR(SEARCH("Cancelado",M221)))</formula>
    </cfRule>
  </conditionalFormatting>
  <conditionalFormatting sqref="O221">
    <cfRule type="cellIs" dxfId="14277" priority="13028" operator="equal">
      <formula>"Tramitando"</formula>
    </cfRule>
    <cfRule type="cellIs" dxfId="14276" priority="13029" operator="equal">
      <formula>"Deferido"</formula>
    </cfRule>
    <cfRule type="cellIs" dxfId="14275" priority="13030" operator="equal">
      <formula>"Indeferido"</formula>
    </cfRule>
  </conditionalFormatting>
  <conditionalFormatting sqref="O221">
    <cfRule type="containsText" dxfId="14274" priority="13027" operator="containsText" text="Cancelado">
      <formula>NOT(ISERROR(SEARCH("Cancelado",O221)))</formula>
    </cfRule>
  </conditionalFormatting>
  <conditionalFormatting sqref="Q221">
    <cfRule type="cellIs" dxfId="14273" priority="13024" operator="equal">
      <formula>"Tramitando"</formula>
    </cfRule>
    <cfRule type="cellIs" dxfId="14272" priority="13025" operator="equal">
      <formula>"Deferido"</formula>
    </cfRule>
    <cfRule type="cellIs" dxfId="14271" priority="13026" operator="equal">
      <formula>"Indeferido"</formula>
    </cfRule>
  </conditionalFormatting>
  <conditionalFormatting sqref="Q221">
    <cfRule type="containsText" dxfId="14270" priority="13023" operator="containsText" text="Cancelado">
      <formula>NOT(ISERROR(SEARCH("Cancelado",Q221)))</formula>
    </cfRule>
  </conditionalFormatting>
  <conditionalFormatting sqref="S221">
    <cfRule type="cellIs" dxfId="14269" priority="13020" operator="equal">
      <formula>"Tramitando"</formula>
    </cfRule>
    <cfRule type="cellIs" dxfId="14268" priority="13021" operator="equal">
      <formula>"Deferido"</formula>
    </cfRule>
    <cfRule type="cellIs" dxfId="14267" priority="13022" operator="equal">
      <formula>"Indeferido"</formula>
    </cfRule>
  </conditionalFormatting>
  <conditionalFormatting sqref="S221">
    <cfRule type="containsText" dxfId="14266" priority="13019" operator="containsText" text="Cancelado">
      <formula>NOT(ISERROR(SEARCH("Cancelado",S221)))</formula>
    </cfRule>
  </conditionalFormatting>
  <conditionalFormatting sqref="J222">
    <cfRule type="cellIs" dxfId="14265" priority="13015" operator="equal">
      <formula>"Tramitando"</formula>
    </cfRule>
    <cfRule type="cellIs" dxfId="14264" priority="13016" operator="equal">
      <formula>"Deferido"</formula>
    </cfRule>
    <cfRule type="cellIs" dxfId="14263" priority="13017" operator="equal">
      <formula>"Indeferido"</formula>
    </cfRule>
  </conditionalFormatting>
  <conditionalFormatting sqref="J222">
    <cfRule type="containsText" dxfId="14262" priority="13014" operator="containsText" text="Cancelado">
      <formula>NOT(ISERROR(SEARCH("Cancelado",J222)))</formula>
    </cfRule>
  </conditionalFormatting>
  <conditionalFormatting sqref="M222">
    <cfRule type="cellIs" dxfId="14261" priority="13011" operator="equal">
      <formula>"Tramitando"</formula>
    </cfRule>
    <cfRule type="cellIs" dxfId="14260" priority="13012" operator="equal">
      <formula>"Deferido"</formula>
    </cfRule>
    <cfRule type="cellIs" dxfId="14259" priority="13013" operator="equal">
      <formula>"Indeferido"</formula>
    </cfRule>
  </conditionalFormatting>
  <conditionalFormatting sqref="M222">
    <cfRule type="containsText" dxfId="14258" priority="13010" operator="containsText" text="Cancelado">
      <formula>NOT(ISERROR(SEARCH("Cancelado",M222)))</formula>
    </cfRule>
  </conditionalFormatting>
  <conditionalFormatting sqref="O222">
    <cfRule type="cellIs" dxfId="14257" priority="13007" operator="equal">
      <formula>"Tramitando"</formula>
    </cfRule>
    <cfRule type="cellIs" dxfId="14256" priority="13008" operator="equal">
      <formula>"Deferido"</formula>
    </cfRule>
    <cfRule type="cellIs" dxfId="14255" priority="13009" operator="equal">
      <formula>"Indeferido"</formula>
    </cfRule>
  </conditionalFormatting>
  <conditionalFormatting sqref="O222">
    <cfRule type="containsText" dxfId="14254" priority="13006" operator="containsText" text="Cancelado">
      <formula>NOT(ISERROR(SEARCH("Cancelado",O222)))</formula>
    </cfRule>
  </conditionalFormatting>
  <conditionalFormatting sqref="Q222">
    <cfRule type="cellIs" dxfId="14253" priority="13003" operator="equal">
      <formula>"Tramitando"</formula>
    </cfRule>
    <cfRule type="cellIs" dxfId="14252" priority="13004" operator="equal">
      <formula>"Deferido"</formula>
    </cfRule>
    <cfRule type="cellIs" dxfId="14251" priority="13005" operator="equal">
      <formula>"Indeferido"</formula>
    </cfRule>
  </conditionalFormatting>
  <conditionalFormatting sqref="Q222">
    <cfRule type="containsText" dxfId="14250" priority="13002" operator="containsText" text="Cancelado">
      <formula>NOT(ISERROR(SEARCH("Cancelado",Q222)))</formula>
    </cfRule>
  </conditionalFormatting>
  <conditionalFormatting sqref="S222">
    <cfRule type="cellIs" dxfId="14249" priority="12999" operator="equal">
      <formula>"Tramitando"</formula>
    </cfRule>
    <cfRule type="cellIs" dxfId="14248" priority="13000" operator="equal">
      <formula>"Deferido"</formula>
    </cfRule>
    <cfRule type="cellIs" dxfId="14247" priority="13001" operator="equal">
      <formula>"Indeferido"</formula>
    </cfRule>
  </conditionalFormatting>
  <conditionalFormatting sqref="S222">
    <cfRule type="containsText" dxfId="14246" priority="12998" operator="containsText" text="Cancelado">
      <formula>NOT(ISERROR(SEARCH("Cancelado",S222)))</formula>
    </cfRule>
  </conditionalFormatting>
  <conditionalFormatting sqref="J223:J224">
    <cfRule type="cellIs" dxfId="14245" priority="12994" operator="equal">
      <formula>"Tramitando"</formula>
    </cfRule>
    <cfRule type="cellIs" dxfId="14244" priority="12995" operator="equal">
      <formula>"Deferido"</formula>
    </cfRule>
    <cfRule type="cellIs" dxfId="14243" priority="12996" operator="equal">
      <formula>"Indeferido"</formula>
    </cfRule>
  </conditionalFormatting>
  <conditionalFormatting sqref="J223:J224">
    <cfRule type="containsText" dxfId="14242" priority="12993" operator="containsText" text="Cancelado">
      <formula>NOT(ISERROR(SEARCH("Cancelado",J223)))</formula>
    </cfRule>
  </conditionalFormatting>
  <conditionalFormatting sqref="M223:M224">
    <cfRule type="cellIs" dxfId="14241" priority="12990" operator="equal">
      <formula>"Tramitando"</formula>
    </cfRule>
    <cfRule type="cellIs" dxfId="14240" priority="12991" operator="equal">
      <formula>"Deferido"</formula>
    </cfRule>
    <cfRule type="cellIs" dxfId="14239" priority="12992" operator="equal">
      <formula>"Indeferido"</formula>
    </cfRule>
  </conditionalFormatting>
  <conditionalFormatting sqref="M223:M224">
    <cfRule type="containsText" dxfId="14238" priority="12989" operator="containsText" text="Cancelado">
      <formula>NOT(ISERROR(SEARCH("Cancelado",M223)))</formula>
    </cfRule>
  </conditionalFormatting>
  <conditionalFormatting sqref="O223:O224">
    <cfRule type="cellIs" dxfId="14237" priority="12986" operator="equal">
      <formula>"Tramitando"</formula>
    </cfRule>
    <cfRule type="cellIs" dxfId="14236" priority="12987" operator="equal">
      <formula>"Deferido"</formula>
    </cfRule>
    <cfRule type="cellIs" dxfId="14235" priority="12988" operator="equal">
      <formula>"Indeferido"</formula>
    </cfRule>
  </conditionalFormatting>
  <conditionalFormatting sqref="O223:O224">
    <cfRule type="containsText" dxfId="14234" priority="12985" operator="containsText" text="Cancelado">
      <formula>NOT(ISERROR(SEARCH("Cancelado",O223)))</formula>
    </cfRule>
  </conditionalFormatting>
  <conditionalFormatting sqref="Q223:Q224">
    <cfRule type="cellIs" dxfId="14233" priority="12982" operator="equal">
      <formula>"Tramitando"</formula>
    </cfRule>
    <cfRule type="cellIs" dxfId="14232" priority="12983" operator="equal">
      <formula>"Deferido"</formula>
    </cfRule>
    <cfRule type="cellIs" dxfId="14231" priority="12984" operator="equal">
      <formula>"Indeferido"</formula>
    </cfRule>
  </conditionalFormatting>
  <conditionalFormatting sqref="Q223:Q224">
    <cfRule type="containsText" dxfId="14230" priority="12981" operator="containsText" text="Cancelado">
      <formula>NOT(ISERROR(SEARCH("Cancelado",Q223)))</formula>
    </cfRule>
  </conditionalFormatting>
  <conditionalFormatting sqref="S223:S224">
    <cfRule type="cellIs" dxfId="14229" priority="12978" operator="equal">
      <formula>"Tramitando"</formula>
    </cfRule>
    <cfRule type="cellIs" dxfId="14228" priority="12979" operator="equal">
      <formula>"Deferido"</formula>
    </cfRule>
    <cfRule type="cellIs" dxfId="14227" priority="12980" operator="equal">
      <formula>"Indeferido"</formula>
    </cfRule>
  </conditionalFormatting>
  <conditionalFormatting sqref="S223:S224">
    <cfRule type="containsText" dxfId="14226" priority="12977" operator="containsText" text="Cancelado">
      <formula>NOT(ISERROR(SEARCH("Cancelado",S223)))</formula>
    </cfRule>
  </conditionalFormatting>
  <conditionalFormatting sqref="J225">
    <cfRule type="cellIs" dxfId="14225" priority="12973" operator="equal">
      <formula>"Tramitando"</formula>
    </cfRule>
    <cfRule type="cellIs" dxfId="14224" priority="12974" operator="equal">
      <formula>"Deferido"</formula>
    </cfRule>
    <cfRule type="cellIs" dxfId="14223" priority="12975" operator="equal">
      <formula>"Indeferido"</formula>
    </cfRule>
  </conditionalFormatting>
  <conditionalFormatting sqref="J225">
    <cfRule type="containsText" dxfId="14222" priority="12972" operator="containsText" text="Cancelado">
      <formula>NOT(ISERROR(SEARCH("Cancelado",J225)))</formula>
    </cfRule>
  </conditionalFormatting>
  <conditionalFormatting sqref="M225">
    <cfRule type="cellIs" dxfId="14221" priority="12969" operator="equal">
      <formula>"Tramitando"</formula>
    </cfRule>
    <cfRule type="cellIs" dxfId="14220" priority="12970" operator="equal">
      <formula>"Deferido"</formula>
    </cfRule>
    <cfRule type="cellIs" dxfId="14219" priority="12971" operator="equal">
      <formula>"Indeferido"</formula>
    </cfRule>
  </conditionalFormatting>
  <conditionalFormatting sqref="M225">
    <cfRule type="containsText" dxfId="14218" priority="12968" operator="containsText" text="Cancelado">
      <formula>NOT(ISERROR(SEARCH("Cancelado",M225)))</formula>
    </cfRule>
  </conditionalFormatting>
  <conditionalFormatting sqref="O225">
    <cfRule type="cellIs" dxfId="14217" priority="12965" operator="equal">
      <formula>"Tramitando"</formula>
    </cfRule>
    <cfRule type="cellIs" dxfId="14216" priority="12966" operator="equal">
      <formula>"Deferido"</formula>
    </cfRule>
    <cfRule type="cellIs" dxfId="14215" priority="12967" operator="equal">
      <formula>"Indeferido"</formula>
    </cfRule>
  </conditionalFormatting>
  <conditionalFormatting sqref="O225">
    <cfRule type="containsText" dxfId="14214" priority="12964" operator="containsText" text="Cancelado">
      <formula>NOT(ISERROR(SEARCH("Cancelado",O225)))</formula>
    </cfRule>
  </conditionalFormatting>
  <conditionalFormatting sqref="Q225">
    <cfRule type="cellIs" dxfId="14213" priority="12961" operator="equal">
      <formula>"Tramitando"</formula>
    </cfRule>
    <cfRule type="cellIs" dxfId="14212" priority="12962" operator="equal">
      <formula>"Deferido"</formula>
    </cfRule>
    <cfRule type="cellIs" dxfId="14211" priority="12963" operator="equal">
      <formula>"Indeferido"</formula>
    </cfRule>
  </conditionalFormatting>
  <conditionalFormatting sqref="Q225">
    <cfRule type="containsText" dxfId="14210" priority="12960" operator="containsText" text="Cancelado">
      <formula>NOT(ISERROR(SEARCH("Cancelado",Q225)))</formula>
    </cfRule>
  </conditionalFormatting>
  <conditionalFormatting sqref="S225">
    <cfRule type="cellIs" dxfId="14209" priority="12957" operator="equal">
      <formula>"Tramitando"</formula>
    </cfRule>
    <cfRule type="cellIs" dxfId="14208" priority="12958" operator="equal">
      <formula>"Deferido"</formula>
    </cfRule>
    <cfRule type="cellIs" dxfId="14207" priority="12959" operator="equal">
      <formula>"Indeferido"</formula>
    </cfRule>
  </conditionalFormatting>
  <conditionalFormatting sqref="S225">
    <cfRule type="containsText" dxfId="14206" priority="12956" operator="containsText" text="Cancelado">
      <formula>NOT(ISERROR(SEARCH("Cancelado",S225)))</formula>
    </cfRule>
  </conditionalFormatting>
  <conditionalFormatting sqref="J226">
    <cfRule type="cellIs" dxfId="14205" priority="12952" operator="equal">
      <formula>"Tramitando"</formula>
    </cfRule>
    <cfRule type="cellIs" dxfId="14204" priority="12953" operator="equal">
      <formula>"Deferido"</formula>
    </cfRule>
    <cfRule type="cellIs" dxfId="14203" priority="12954" operator="equal">
      <formula>"Indeferido"</formula>
    </cfRule>
  </conditionalFormatting>
  <conditionalFormatting sqref="J226">
    <cfRule type="containsText" dxfId="14202" priority="12951" operator="containsText" text="Cancelado">
      <formula>NOT(ISERROR(SEARCH("Cancelado",J226)))</formula>
    </cfRule>
  </conditionalFormatting>
  <conditionalFormatting sqref="M226">
    <cfRule type="cellIs" dxfId="14201" priority="12948" operator="equal">
      <formula>"Tramitando"</formula>
    </cfRule>
    <cfRule type="cellIs" dxfId="14200" priority="12949" operator="equal">
      <formula>"Deferido"</formula>
    </cfRule>
    <cfRule type="cellIs" dxfId="14199" priority="12950" operator="equal">
      <formula>"Indeferido"</formula>
    </cfRule>
  </conditionalFormatting>
  <conditionalFormatting sqref="M226">
    <cfRule type="containsText" dxfId="14198" priority="12947" operator="containsText" text="Cancelado">
      <formula>NOT(ISERROR(SEARCH("Cancelado",M226)))</formula>
    </cfRule>
  </conditionalFormatting>
  <conditionalFormatting sqref="O226">
    <cfRule type="cellIs" dxfId="14197" priority="12944" operator="equal">
      <formula>"Tramitando"</formula>
    </cfRule>
    <cfRule type="cellIs" dxfId="14196" priority="12945" operator="equal">
      <formula>"Deferido"</formula>
    </cfRule>
    <cfRule type="cellIs" dxfId="14195" priority="12946" operator="equal">
      <formula>"Indeferido"</formula>
    </cfRule>
  </conditionalFormatting>
  <conditionalFormatting sqref="O226">
    <cfRule type="containsText" dxfId="14194" priority="12943" operator="containsText" text="Cancelado">
      <formula>NOT(ISERROR(SEARCH("Cancelado",O226)))</formula>
    </cfRule>
  </conditionalFormatting>
  <conditionalFormatting sqref="Q226">
    <cfRule type="cellIs" dxfId="14193" priority="12940" operator="equal">
      <formula>"Tramitando"</formula>
    </cfRule>
    <cfRule type="cellIs" dxfId="14192" priority="12941" operator="equal">
      <formula>"Deferido"</formula>
    </cfRule>
    <cfRule type="cellIs" dxfId="14191" priority="12942" operator="equal">
      <formula>"Indeferido"</formula>
    </cfRule>
  </conditionalFormatting>
  <conditionalFormatting sqref="Q226">
    <cfRule type="containsText" dxfId="14190" priority="12939" operator="containsText" text="Cancelado">
      <formula>NOT(ISERROR(SEARCH("Cancelado",Q226)))</formula>
    </cfRule>
  </conditionalFormatting>
  <conditionalFormatting sqref="S226">
    <cfRule type="cellIs" dxfId="14189" priority="12936" operator="equal">
      <formula>"Tramitando"</formula>
    </cfRule>
    <cfRule type="cellIs" dxfId="14188" priority="12937" operator="equal">
      <formula>"Deferido"</formula>
    </cfRule>
    <cfRule type="cellIs" dxfId="14187" priority="12938" operator="equal">
      <formula>"Indeferido"</formula>
    </cfRule>
  </conditionalFormatting>
  <conditionalFormatting sqref="S226">
    <cfRule type="containsText" dxfId="14186" priority="12935" operator="containsText" text="Cancelado">
      <formula>NOT(ISERROR(SEARCH("Cancelado",S226)))</formula>
    </cfRule>
  </conditionalFormatting>
  <conditionalFormatting sqref="J227">
    <cfRule type="cellIs" dxfId="14185" priority="12931" operator="equal">
      <formula>"Tramitando"</formula>
    </cfRule>
    <cfRule type="cellIs" dxfId="14184" priority="12932" operator="equal">
      <formula>"Deferido"</formula>
    </cfRule>
    <cfRule type="cellIs" dxfId="14183" priority="12933" operator="equal">
      <formula>"Indeferido"</formula>
    </cfRule>
  </conditionalFormatting>
  <conditionalFormatting sqref="J227">
    <cfRule type="containsText" dxfId="14182" priority="12930" operator="containsText" text="Cancelado">
      <formula>NOT(ISERROR(SEARCH("Cancelado",J227)))</formula>
    </cfRule>
  </conditionalFormatting>
  <conditionalFormatting sqref="M227">
    <cfRule type="cellIs" dxfId="14181" priority="12927" operator="equal">
      <formula>"Tramitando"</formula>
    </cfRule>
    <cfRule type="cellIs" dxfId="14180" priority="12928" operator="equal">
      <formula>"Deferido"</formula>
    </cfRule>
    <cfRule type="cellIs" dxfId="14179" priority="12929" operator="equal">
      <formula>"Indeferido"</formula>
    </cfRule>
  </conditionalFormatting>
  <conditionalFormatting sqref="M227">
    <cfRule type="containsText" dxfId="14178" priority="12926" operator="containsText" text="Cancelado">
      <formula>NOT(ISERROR(SEARCH("Cancelado",M227)))</formula>
    </cfRule>
  </conditionalFormatting>
  <conditionalFormatting sqref="O227">
    <cfRule type="cellIs" dxfId="14177" priority="12923" operator="equal">
      <formula>"Tramitando"</formula>
    </cfRule>
    <cfRule type="cellIs" dxfId="14176" priority="12924" operator="equal">
      <formula>"Deferido"</formula>
    </cfRule>
    <cfRule type="cellIs" dxfId="14175" priority="12925" operator="equal">
      <formula>"Indeferido"</formula>
    </cfRule>
  </conditionalFormatting>
  <conditionalFormatting sqref="O227">
    <cfRule type="containsText" dxfId="14174" priority="12922" operator="containsText" text="Cancelado">
      <formula>NOT(ISERROR(SEARCH("Cancelado",O227)))</formula>
    </cfRule>
  </conditionalFormatting>
  <conditionalFormatting sqref="Q227">
    <cfRule type="cellIs" dxfId="14173" priority="12919" operator="equal">
      <formula>"Tramitando"</formula>
    </cfRule>
    <cfRule type="cellIs" dxfId="14172" priority="12920" operator="equal">
      <formula>"Deferido"</formula>
    </cfRule>
    <cfRule type="cellIs" dxfId="14171" priority="12921" operator="equal">
      <formula>"Indeferido"</formula>
    </cfRule>
  </conditionalFormatting>
  <conditionalFormatting sqref="Q227">
    <cfRule type="containsText" dxfId="14170" priority="12918" operator="containsText" text="Cancelado">
      <formula>NOT(ISERROR(SEARCH("Cancelado",Q227)))</formula>
    </cfRule>
  </conditionalFormatting>
  <conditionalFormatting sqref="S227">
    <cfRule type="cellIs" dxfId="14169" priority="12915" operator="equal">
      <formula>"Tramitando"</formula>
    </cfRule>
    <cfRule type="cellIs" dxfId="14168" priority="12916" operator="equal">
      <formula>"Deferido"</formula>
    </cfRule>
    <cfRule type="cellIs" dxfId="14167" priority="12917" operator="equal">
      <formula>"Indeferido"</formula>
    </cfRule>
  </conditionalFormatting>
  <conditionalFormatting sqref="S227">
    <cfRule type="containsText" dxfId="14166" priority="12914" operator="containsText" text="Cancelado">
      <formula>NOT(ISERROR(SEARCH("Cancelado",S227)))</formula>
    </cfRule>
  </conditionalFormatting>
  <conditionalFormatting sqref="J228">
    <cfRule type="cellIs" dxfId="14165" priority="12910" operator="equal">
      <formula>"Tramitando"</formula>
    </cfRule>
    <cfRule type="cellIs" dxfId="14164" priority="12911" operator="equal">
      <formula>"Deferido"</formula>
    </cfRule>
    <cfRule type="cellIs" dxfId="14163" priority="12912" operator="equal">
      <formula>"Indeferido"</formula>
    </cfRule>
  </conditionalFormatting>
  <conditionalFormatting sqref="J228">
    <cfRule type="containsText" dxfId="14162" priority="12909" operator="containsText" text="Cancelado">
      <formula>NOT(ISERROR(SEARCH("Cancelado",J228)))</formula>
    </cfRule>
  </conditionalFormatting>
  <conditionalFormatting sqref="M228">
    <cfRule type="cellIs" dxfId="14161" priority="12906" operator="equal">
      <formula>"Tramitando"</formula>
    </cfRule>
    <cfRule type="cellIs" dxfId="14160" priority="12907" operator="equal">
      <formula>"Deferido"</formula>
    </cfRule>
    <cfRule type="cellIs" dxfId="14159" priority="12908" operator="equal">
      <formula>"Indeferido"</formula>
    </cfRule>
  </conditionalFormatting>
  <conditionalFormatting sqref="M228">
    <cfRule type="containsText" dxfId="14158" priority="12905" operator="containsText" text="Cancelado">
      <formula>NOT(ISERROR(SEARCH("Cancelado",M228)))</formula>
    </cfRule>
  </conditionalFormatting>
  <conditionalFormatting sqref="O228">
    <cfRule type="cellIs" dxfId="14157" priority="12902" operator="equal">
      <formula>"Tramitando"</formula>
    </cfRule>
    <cfRule type="cellIs" dxfId="14156" priority="12903" operator="equal">
      <formula>"Deferido"</formula>
    </cfRule>
    <cfRule type="cellIs" dxfId="14155" priority="12904" operator="equal">
      <formula>"Indeferido"</formula>
    </cfRule>
  </conditionalFormatting>
  <conditionalFormatting sqref="O228">
    <cfRule type="containsText" dxfId="14154" priority="12901" operator="containsText" text="Cancelado">
      <formula>NOT(ISERROR(SEARCH("Cancelado",O228)))</formula>
    </cfRule>
  </conditionalFormatting>
  <conditionalFormatting sqref="Q228">
    <cfRule type="cellIs" dxfId="14153" priority="12898" operator="equal">
      <formula>"Tramitando"</formula>
    </cfRule>
    <cfRule type="cellIs" dxfId="14152" priority="12899" operator="equal">
      <formula>"Deferido"</formula>
    </cfRule>
    <cfRule type="cellIs" dxfId="14151" priority="12900" operator="equal">
      <formula>"Indeferido"</formula>
    </cfRule>
  </conditionalFormatting>
  <conditionalFormatting sqref="Q228">
    <cfRule type="containsText" dxfId="14150" priority="12897" operator="containsText" text="Cancelado">
      <formula>NOT(ISERROR(SEARCH("Cancelado",Q228)))</formula>
    </cfRule>
  </conditionalFormatting>
  <conditionalFormatting sqref="S228">
    <cfRule type="cellIs" dxfId="14149" priority="12894" operator="equal">
      <formula>"Tramitando"</formula>
    </cfRule>
    <cfRule type="cellIs" dxfId="14148" priority="12895" operator="equal">
      <formula>"Deferido"</formula>
    </cfRule>
    <cfRule type="cellIs" dxfId="14147" priority="12896" operator="equal">
      <formula>"Indeferido"</formula>
    </cfRule>
  </conditionalFormatting>
  <conditionalFormatting sqref="S228">
    <cfRule type="containsText" dxfId="14146" priority="12893" operator="containsText" text="Cancelado">
      <formula>NOT(ISERROR(SEARCH("Cancelado",S228)))</formula>
    </cfRule>
  </conditionalFormatting>
  <conditionalFormatting sqref="J229">
    <cfRule type="cellIs" dxfId="14145" priority="12889" operator="equal">
      <formula>"Tramitando"</formula>
    </cfRule>
    <cfRule type="cellIs" dxfId="14144" priority="12890" operator="equal">
      <formula>"Deferido"</formula>
    </cfRule>
    <cfRule type="cellIs" dxfId="14143" priority="12891" operator="equal">
      <formula>"Indeferido"</formula>
    </cfRule>
  </conditionalFormatting>
  <conditionalFormatting sqref="J229">
    <cfRule type="containsText" dxfId="14142" priority="12888" operator="containsText" text="Cancelado">
      <formula>NOT(ISERROR(SEARCH("Cancelado",J229)))</formula>
    </cfRule>
  </conditionalFormatting>
  <conditionalFormatting sqref="M229">
    <cfRule type="cellIs" dxfId="14141" priority="12885" operator="equal">
      <formula>"Tramitando"</formula>
    </cfRule>
    <cfRule type="cellIs" dxfId="14140" priority="12886" operator="equal">
      <formula>"Deferido"</formula>
    </cfRule>
    <cfRule type="cellIs" dxfId="14139" priority="12887" operator="equal">
      <formula>"Indeferido"</formula>
    </cfRule>
  </conditionalFormatting>
  <conditionalFormatting sqref="M229">
    <cfRule type="containsText" dxfId="14138" priority="12884" operator="containsText" text="Cancelado">
      <formula>NOT(ISERROR(SEARCH("Cancelado",M229)))</formula>
    </cfRule>
  </conditionalFormatting>
  <conditionalFormatting sqref="O229">
    <cfRule type="cellIs" dxfId="14137" priority="12881" operator="equal">
      <formula>"Tramitando"</formula>
    </cfRule>
    <cfRule type="cellIs" dxfId="14136" priority="12882" operator="equal">
      <formula>"Deferido"</formula>
    </cfRule>
    <cfRule type="cellIs" dxfId="14135" priority="12883" operator="equal">
      <formula>"Indeferido"</formula>
    </cfRule>
  </conditionalFormatting>
  <conditionalFormatting sqref="O229">
    <cfRule type="containsText" dxfId="14134" priority="12880" operator="containsText" text="Cancelado">
      <formula>NOT(ISERROR(SEARCH("Cancelado",O229)))</formula>
    </cfRule>
  </conditionalFormatting>
  <conditionalFormatting sqref="Q229">
    <cfRule type="cellIs" dxfId="14133" priority="12877" operator="equal">
      <formula>"Tramitando"</formula>
    </cfRule>
    <cfRule type="cellIs" dxfId="14132" priority="12878" operator="equal">
      <formula>"Deferido"</formula>
    </cfRule>
    <cfRule type="cellIs" dxfId="14131" priority="12879" operator="equal">
      <formula>"Indeferido"</formula>
    </cfRule>
  </conditionalFormatting>
  <conditionalFormatting sqref="Q229">
    <cfRule type="containsText" dxfId="14130" priority="12876" operator="containsText" text="Cancelado">
      <formula>NOT(ISERROR(SEARCH("Cancelado",Q229)))</formula>
    </cfRule>
  </conditionalFormatting>
  <conditionalFormatting sqref="S229">
    <cfRule type="cellIs" dxfId="14129" priority="12873" operator="equal">
      <formula>"Tramitando"</formula>
    </cfRule>
    <cfRule type="cellIs" dxfId="14128" priority="12874" operator="equal">
      <formula>"Deferido"</formula>
    </cfRule>
    <cfRule type="cellIs" dxfId="14127" priority="12875" operator="equal">
      <formula>"Indeferido"</formula>
    </cfRule>
  </conditionalFormatting>
  <conditionalFormatting sqref="S229">
    <cfRule type="containsText" dxfId="14126" priority="12872" operator="containsText" text="Cancelado">
      <formula>NOT(ISERROR(SEARCH("Cancelado",S229)))</formula>
    </cfRule>
  </conditionalFormatting>
  <conditionalFormatting sqref="J230">
    <cfRule type="cellIs" dxfId="14125" priority="12868" operator="equal">
      <formula>"Tramitando"</formula>
    </cfRule>
    <cfRule type="cellIs" dxfId="14124" priority="12869" operator="equal">
      <formula>"Deferido"</formula>
    </cfRule>
    <cfRule type="cellIs" dxfId="14123" priority="12870" operator="equal">
      <formula>"Indeferido"</formula>
    </cfRule>
  </conditionalFormatting>
  <conditionalFormatting sqref="J230">
    <cfRule type="containsText" dxfId="14122" priority="12867" operator="containsText" text="Cancelado">
      <formula>NOT(ISERROR(SEARCH("Cancelado",J230)))</formula>
    </cfRule>
  </conditionalFormatting>
  <conditionalFormatting sqref="M230">
    <cfRule type="cellIs" dxfId="14121" priority="12864" operator="equal">
      <formula>"Tramitando"</formula>
    </cfRule>
    <cfRule type="cellIs" dxfId="14120" priority="12865" operator="equal">
      <formula>"Deferido"</formula>
    </cfRule>
    <cfRule type="cellIs" dxfId="14119" priority="12866" operator="equal">
      <formula>"Indeferido"</formula>
    </cfRule>
  </conditionalFormatting>
  <conditionalFormatting sqref="M230">
    <cfRule type="containsText" dxfId="14118" priority="12863" operator="containsText" text="Cancelado">
      <formula>NOT(ISERROR(SEARCH("Cancelado",M230)))</formula>
    </cfRule>
  </conditionalFormatting>
  <conditionalFormatting sqref="O230">
    <cfRule type="cellIs" dxfId="14117" priority="12860" operator="equal">
      <formula>"Tramitando"</formula>
    </cfRule>
    <cfRule type="cellIs" dxfId="14116" priority="12861" operator="equal">
      <formula>"Deferido"</formula>
    </cfRule>
    <cfRule type="cellIs" dxfId="14115" priority="12862" operator="equal">
      <formula>"Indeferido"</formula>
    </cfRule>
  </conditionalFormatting>
  <conditionalFormatting sqref="O230">
    <cfRule type="containsText" dxfId="14114" priority="12859" operator="containsText" text="Cancelado">
      <formula>NOT(ISERROR(SEARCH("Cancelado",O230)))</formula>
    </cfRule>
  </conditionalFormatting>
  <conditionalFormatting sqref="Q230">
    <cfRule type="cellIs" dxfId="14113" priority="12856" operator="equal">
      <formula>"Tramitando"</formula>
    </cfRule>
    <cfRule type="cellIs" dxfId="14112" priority="12857" operator="equal">
      <formula>"Deferido"</formula>
    </cfRule>
    <cfRule type="cellIs" dxfId="14111" priority="12858" operator="equal">
      <formula>"Indeferido"</formula>
    </cfRule>
  </conditionalFormatting>
  <conditionalFormatting sqref="Q230">
    <cfRule type="containsText" dxfId="14110" priority="12855" operator="containsText" text="Cancelado">
      <formula>NOT(ISERROR(SEARCH("Cancelado",Q230)))</formula>
    </cfRule>
  </conditionalFormatting>
  <conditionalFormatting sqref="S230">
    <cfRule type="cellIs" dxfId="14109" priority="12852" operator="equal">
      <formula>"Tramitando"</formula>
    </cfRule>
    <cfRule type="cellIs" dxfId="14108" priority="12853" operator="equal">
      <formula>"Deferido"</formula>
    </cfRule>
    <cfRule type="cellIs" dxfId="14107" priority="12854" operator="equal">
      <formula>"Indeferido"</formula>
    </cfRule>
  </conditionalFormatting>
  <conditionalFormatting sqref="S230">
    <cfRule type="containsText" dxfId="14106" priority="12851" operator="containsText" text="Cancelado">
      <formula>NOT(ISERROR(SEARCH("Cancelado",S230)))</formula>
    </cfRule>
  </conditionalFormatting>
  <conditionalFormatting sqref="J231">
    <cfRule type="cellIs" dxfId="14105" priority="12847" operator="equal">
      <formula>"Tramitando"</formula>
    </cfRule>
    <cfRule type="cellIs" dxfId="14104" priority="12848" operator="equal">
      <formula>"Deferido"</formula>
    </cfRule>
    <cfRule type="cellIs" dxfId="14103" priority="12849" operator="equal">
      <formula>"Indeferido"</formula>
    </cfRule>
  </conditionalFormatting>
  <conditionalFormatting sqref="J231">
    <cfRule type="containsText" dxfId="14102" priority="12846" operator="containsText" text="Cancelado">
      <formula>NOT(ISERROR(SEARCH("Cancelado",J231)))</formula>
    </cfRule>
  </conditionalFormatting>
  <conditionalFormatting sqref="M231">
    <cfRule type="cellIs" dxfId="14101" priority="12843" operator="equal">
      <formula>"Tramitando"</formula>
    </cfRule>
    <cfRule type="cellIs" dxfId="14100" priority="12844" operator="equal">
      <formula>"Deferido"</formula>
    </cfRule>
    <cfRule type="cellIs" dxfId="14099" priority="12845" operator="equal">
      <formula>"Indeferido"</formula>
    </cfRule>
  </conditionalFormatting>
  <conditionalFormatting sqref="M231">
    <cfRule type="containsText" dxfId="14098" priority="12842" operator="containsText" text="Cancelado">
      <formula>NOT(ISERROR(SEARCH("Cancelado",M231)))</formula>
    </cfRule>
  </conditionalFormatting>
  <conditionalFormatting sqref="O231">
    <cfRule type="cellIs" dxfId="14097" priority="12839" operator="equal">
      <formula>"Tramitando"</formula>
    </cfRule>
    <cfRule type="cellIs" dxfId="14096" priority="12840" operator="equal">
      <formula>"Deferido"</formula>
    </cfRule>
    <cfRule type="cellIs" dxfId="14095" priority="12841" operator="equal">
      <formula>"Indeferido"</formula>
    </cfRule>
  </conditionalFormatting>
  <conditionalFormatting sqref="O231">
    <cfRule type="containsText" dxfId="14094" priority="12838" operator="containsText" text="Cancelado">
      <formula>NOT(ISERROR(SEARCH("Cancelado",O231)))</formula>
    </cfRule>
  </conditionalFormatting>
  <conditionalFormatting sqref="Q231">
    <cfRule type="cellIs" dxfId="14093" priority="12835" operator="equal">
      <formula>"Tramitando"</formula>
    </cfRule>
    <cfRule type="cellIs" dxfId="14092" priority="12836" operator="equal">
      <formula>"Deferido"</formula>
    </cfRule>
    <cfRule type="cellIs" dxfId="14091" priority="12837" operator="equal">
      <formula>"Indeferido"</formula>
    </cfRule>
  </conditionalFormatting>
  <conditionalFormatting sqref="Q231">
    <cfRule type="containsText" dxfId="14090" priority="12834" operator="containsText" text="Cancelado">
      <formula>NOT(ISERROR(SEARCH("Cancelado",Q231)))</formula>
    </cfRule>
  </conditionalFormatting>
  <conditionalFormatting sqref="S231">
    <cfRule type="cellIs" dxfId="14089" priority="12831" operator="equal">
      <formula>"Tramitando"</formula>
    </cfRule>
    <cfRule type="cellIs" dxfId="14088" priority="12832" operator="equal">
      <formula>"Deferido"</formula>
    </cfRule>
    <cfRule type="cellIs" dxfId="14087" priority="12833" operator="equal">
      <formula>"Indeferido"</formula>
    </cfRule>
  </conditionalFormatting>
  <conditionalFormatting sqref="S231">
    <cfRule type="containsText" dxfId="14086" priority="12830" operator="containsText" text="Cancelado">
      <formula>NOT(ISERROR(SEARCH("Cancelado",S231)))</formula>
    </cfRule>
  </conditionalFormatting>
  <conditionalFormatting sqref="J232">
    <cfRule type="cellIs" dxfId="14085" priority="12826" operator="equal">
      <formula>"Tramitando"</formula>
    </cfRule>
    <cfRule type="cellIs" dxfId="14084" priority="12827" operator="equal">
      <formula>"Deferido"</formula>
    </cfRule>
    <cfRule type="cellIs" dxfId="14083" priority="12828" operator="equal">
      <formula>"Indeferido"</formula>
    </cfRule>
  </conditionalFormatting>
  <conditionalFormatting sqref="J232">
    <cfRule type="containsText" dxfId="14082" priority="12825" operator="containsText" text="Cancelado">
      <formula>NOT(ISERROR(SEARCH("Cancelado",J232)))</formula>
    </cfRule>
  </conditionalFormatting>
  <conditionalFormatting sqref="M232">
    <cfRule type="cellIs" dxfId="14081" priority="12822" operator="equal">
      <formula>"Tramitando"</formula>
    </cfRule>
    <cfRule type="cellIs" dxfId="14080" priority="12823" operator="equal">
      <formula>"Deferido"</formula>
    </cfRule>
    <cfRule type="cellIs" dxfId="14079" priority="12824" operator="equal">
      <formula>"Indeferido"</formula>
    </cfRule>
  </conditionalFormatting>
  <conditionalFormatting sqref="M232">
    <cfRule type="containsText" dxfId="14078" priority="12821" operator="containsText" text="Cancelado">
      <formula>NOT(ISERROR(SEARCH("Cancelado",M232)))</formula>
    </cfRule>
  </conditionalFormatting>
  <conditionalFormatting sqref="O232">
    <cfRule type="cellIs" dxfId="14077" priority="12818" operator="equal">
      <formula>"Tramitando"</formula>
    </cfRule>
    <cfRule type="cellIs" dxfId="14076" priority="12819" operator="equal">
      <formula>"Deferido"</formula>
    </cfRule>
    <cfRule type="cellIs" dxfId="14075" priority="12820" operator="equal">
      <formula>"Indeferido"</formula>
    </cfRule>
  </conditionalFormatting>
  <conditionalFormatting sqref="O232">
    <cfRule type="containsText" dxfId="14074" priority="12817" operator="containsText" text="Cancelado">
      <formula>NOT(ISERROR(SEARCH("Cancelado",O232)))</formula>
    </cfRule>
  </conditionalFormatting>
  <conditionalFormatting sqref="Q232">
    <cfRule type="cellIs" dxfId="14073" priority="12814" operator="equal">
      <formula>"Tramitando"</formula>
    </cfRule>
    <cfRule type="cellIs" dxfId="14072" priority="12815" operator="equal">
      <formula>"Deferido"</formula>
    </cfRule>
    <cfRule type="cellIs" dxfId="14071" priority="12816" operator="equal">
      <formula>"Indeferido"</formula>
    </cfRule>
  </conditionalFormatting>
  <conditionalFormatting sqref="Q232">
    <cfRule type="containsText" dxfId="14070" priority="12813" operator="containsText" text="Cancelado">
      <formula>NOT(ISERROR(SEARCH("Cancelado",Q232)))</formula>
    </cfRule>
  </conditionalFormatting>
  <conditionalFormatting sqref="S232">
    <cfRule type="cellIs" dxfId="14069" priority="12810" operator="equal">
      <formula>"Tramitando"</formula>
    </cfRule>
    <cfRule type="cellIs" dxfId="14068" priority="12811" operator="equal">
      <formula>"Deferido"</formula>
    </cfRule>
    <cfRule type="cellIs" dxfId="14067" priority="12812" operator="equal">
      <formula>"Indeferido"</formula>
    </cfRule>
  </conditionalFormatting>
  <conditionalFormatting sqref="S232">
    <cfRule type="containsText" dxfId="14066" priority="12809" operator="containsText" text="Cancelado">
      <formula>NOT(ISERROR(SEARCH("Cancelado",S232)))</formula>
    </cfRule>
  </conditionalFormatting>
  <conditionalFormatting sqref="J233">
    <cfRule type="cellIs" dxfId="14065" priority="12805" operator="equal">
      <formula>"Tramitando"</formula>
    </cfRule>
    <cfRule type="cellIs" dxfId="14064" priority="12806" operator="equal">
      <formula>"Deferido"</formula>
    </cfRule>
    <cfRule type="cellIs" dxfId="14063" priority="12807" operator="equal">
      <formula>"Indeferido"</formula>
    </cfRule>
  </conditionalFormatting>
  <conditionalFormatting sqref="J233">
    <cfRule type="containsText" dxfId="14062" priority="12804" operator="containsText" text="Cancelado">
      <formula>NOT(ISERROR(SEARCH("Cancelado",J233)))</formula>
    </cfRule>
  </conditionalFormatting>
  <conditionalFormatting sqref="M233">
    <cfRule type="cellIs" dxfId="14061" priority="12801" operator="equal">
      <formula>"Tramitando"</formula>
    </cfRule>
    <cfRule type="cellIs" dxfId="14060" priority="12802" operator="equal">
      <formula>"Deferido"</formula>
    </cfRule>
    <cfRule type="cellIs" dxfId="14059" priority="12803" operator="equal">
      <formula>"Indeferido"</formula>
    </cfRule>
  </conditionalFormatting>
  <conditionalFormatting sqref="M233">
    <cfRule type="containsText" dxfId="14058" priority="12800" operator="containsText" text="Cancelado">
      <formula>NOT(ISERROR(SEARCH("Cancelado",M233)))</formula>
    </cfRule>
  </conditionalFormatting>
  <conditionalFormatting sqref="O233">
    <cfRule type="cellIs" dxfId="14057" priority="12797" operator="equal">
      <formula>"Tramitando"</formula>
    </cfRule>
    <cfRule type="cellIs" dxfId="14056" priority="12798" operator="equal">
      <formula>"Deferido"</formula>
    </cfRule>
    <cfRule type="cellIs" dxfId="14055" priority="12799" operator="equal">
      <formula>"Indeferido"</formula>
    </cfRule>
  </conditionalFormatting>
  <conditionalFormatting sqref="O233">
    <cfRule type="containsText" dxfId="14054" priority="12796" operator="containsText" text="Cancelado">
      <formula>NOT(ISERROR(SEARCH("Cancelado",O233)))</formula>
    </cfRule>
  </conditionalFormatting>
  <conditionalFormatting sqref="Q233">
    <cfRule type="cellIs" dxfId="14053" priority="12793" operator="equal">
      <formula>"Tramitando"</formula>
    </cfRule>
    <cfRule type="cellIs" dxfId="14052" priority="12794" operator="equal">
      <formula>"Deferido"</formula>
    </cfRule>
    <cfRule type="cellIs" dxfId="14051" priority="12795" operator="equal">
      <formula>"Indeferido"</formula>
    </cfRule>
  </conditionalFormatting>
  <conditionalFormatting sqref="Q233">
    <cfRule type="containsText" dxfId="14050" priority="12792" operator="containsText" text="Cancelado">
      <formula>NOT(ISERROR(SEARCH("Cancelado",Q233)))</formula>
    </cfRule>
  </conditionalFormatting>
  <conditionalFormatting sqref="S233">
    <cfRule type="cellIs" dxfId="14049" priority="12789" operator="equal">
      <formula>"Tramitando"</formula>
    </cfRule>
    <cfRule type="cellIs" dxfId="14048" priority="12790" operator="equal">
      <formula>"Deferido"</formula>
    </cfRule>
    <cfRule type="cellIs" dxfId="14047" priority="12791" operator="equal">
      <formula>"Indeferido"</formula>
    </cfRule>
  </conditionalFormatting>
  <conditionalFormatting sqref="S233">
    <cfRule type="containsText" dxfId="14046" priority="12788" operator="containsText" text="Cancelado">
      <formula>NOT(ISERROR(SEARCH("Cancelado",S233)))</formula>
    </cfRule>
  </conditionalFormatting>
  <conditionalFormatting sqref="J234:J235">
    <cfRule type="cellIs" dxfId="14045" priority="12784" operator="equal">
      <formula>"Tramitando"</formula>
    </cfRule>
    <cfRule type="cellIs" dxfId="14044" priority="12785" operator="equal">
      <formula>"Deferido"</formula>
    </cfRule>
    <cfRule type="cellIs" dxfId="14043" priority="12786" operator="equal">
      <formula>"Indeferido"</formula>
    </cfRule>
  </conditionalFormatting>
  <conditionalFormatting sqref="J234:J235">
    <cfRule type="containsText" dxfId="14042" priority="12783" operator="containsText" text="Cancelado">
      <formula>NOT(ISERROR(SEARCH("Cancelado",J234)))</formula>
    </cfRule>
  </conditionalFormatting>
  <conditionalFormatting sqref="M234:M235">
    <cfRule type="cellIs" dxfId="14041" priority="12780" operator="equal">
      <formula>"Tramitando"</formula>
    </cfRule>
    <cfRule type="cellIs" dxfId="14040" priority="12781" operator="equal">
      <formula>"Deferido"</formula>
    </cfRule>
    <cfRule type="cellIs" dxfId="14039" priority="12782" operator="equal">
      <formula>"Indeferido"</formula>
    </cfRule>
  </conditionalFormatting>
  <conditionalFormatting sqref="M234:M235">
    <cfRule type="containsText" dxfId="14038" priority="12779" operator="containsText" text="Cancelado">
      <formula>NOT(ISERROR(SEARCH("Cancelado",M234)))</formula>
    </cfRule>
  </conditionalFormatting>
  <conditionalFormatting sqref="O234:O235">
    <cfRule type="cellIs" dxfId="14037" priority="12776" operator="equal">
      <formula>"Tramitando"</formula>
    </cfRule>
    <cfRule type="cellIs" dxfId="14036" priority="12777" operator="equal">
      <formula>"Deferido"</formula>
    </cfRule>
    <cfRule type="cellIs" dxfId="14035" priority="12778" operator="equal">
      <formula>"Indeferido"</formula>
    </cfRule>
  </conditionalFormatting>
  <conditionalFormatting sqref="O234:O235">
    <cfRule type="containsText" dxfId="14034" priority="12775" operator="containsText" text="Cancelado">
      <formula>NOT(ISERROR(SEARCH("Cancelado",O234)))</formula>
    </cfRule>
  </conditionalFormatting>
  <conditionalFormatting sqref="Q234:Q235">
    <cfRule type="cellIs" dxfId="14033" priority="12772" operator="equal">
      <formula>"Tramitando"</formula>
    </cfRule>
    <cfRule type="cellIs" dxfId="14032" priority="12773" operator="equal">
      <formula>"Deferido"</formula>
    </cfRule>
    <cfRule type="cellIs" dxfId="14031" priority="12774" operator="equal">
      <formula>"Indeferido"</formula>
    </cfRule>
  </conditionalFormatting>
  <conditionalFormatting sqref="Q234:Q235">
    <cfRule type="containsText" dxfId="14030" priority="12771" operator="containsText" text="Cancelado">
      <formula>NOT(ISERROR(SEARCH("Cancelado",Q234)))</formula>
    </cfRule>
  </conditionalFormatting>
  <conditionalFormatting sqref="S234:S235">
    <cfRule type="cellIs" dxfId="14029" priority="12768" operator="equal">
      <formula>"Tramitando"</formula>
    </cfRule>
    <cfRule type="cellIs" dxfId="14028" priority="12769" operator="equal">
      <formula>"Deferido"</formula>
    </cfRule>
    <cfRule type="cellIs" dxfId="14027" priority="12770" operator="equal">
      <formula>"Indeferido"</formula>
    </cfRule>
  </conditionalFormatting>
  <conditionalFormatting sqref="S234:S235">
    <cfRule type="containsText" dxfId="14026" priority="12767" operator="containsText" text="Cancelado">
      <formula>NOT(ISERROR(SEARCH("Cancelado",S234)))</formula>
    </cfRule>
  </conditionalFormatting>
  <conditionalFormatting sqref="J236">
    <cfRule type="cellIs" dxfId="14025" priority="12763" operator="equal">
      <formula>"Tramitando"</formula>
    </cfRule>
    <cfRule type="cellIs" dxfId="14024" priority="12764" operator="equal">
      <formula>"Deferido"</formula>
    </cfRule>
    <cfRule type="cellIs" dxfId="14023" priority="12765" operator="equal">
      <formula>"Indeferido"</formula>
    </cfRule>
  </conditionalFormatting>
  <conditionalFormatting sqref="J236">
    <cfRule type="containsText" dxfId="14022" priority="12762" operator="containsText" text="Cancelado">
      <formula>NOT(ISERROR(SEARCH("Cancelado",J236)))</formula>
    </cfRule>
  </conditionalFormatting>
  <conditionalFormatting sqref="M236">
    <cfRule type="cellIs" dxfId="14021" priority="12759" operator="equal">
      <formula>"Tramitando"</formula>
    </cfRule>
    <cfRule type="cellIs" dxfId="14020" priority="12760" operator="equal">
      <formula>"Deferido"</formula>
    </cfRule>
    <cfRule type="cellIs" dxfId="14019" priority="12761" operator="equal">
      <formula>"Indeferido"</formula>
    </cfRule>
  </conditionalFormatting>
  <conditionalFormatting sqref="M236">
    <cfRule type="containsText" dxfId="14018" priority="12758" operator="containsText" text="Cancelado">
      <formula>NOT(ISERROR(SEARCH("Cancelado",M236)))</formula>
    </cfRule>
  </conditionalFormatting>
  <conditionalFormatting sqref="O236">
    <cfRule type="cellIs" dxfId="14017" priority="12755" operator="equal">
      <formula>"Tramitando"</formula>
    </cfRule>
    <cfRule type="cellIs" dxfId="14016" priority="12756" operator="equal">
      <formula>"Deferido"</formula>
    </cfRule>
    <cfRule type="cellIs" dxfId="14015" priority="12757" operator="equal">
      <formula>"Indeferido"</formula>
    </cfRule>
  </conditionalFormatting>
  <conditionalFormatting sqref="O236">
    <cfRule type="containsText" dxfId="14014" priority="12754" operator="containsText" text="Cancelado">
      <formula>NOT(ISERROR(SEARCH("Cancelado",O236)))</formula>
    </cfRule>
  </conditionalFormatting>
  <conditionalFormatting sqref="Q236">
    <cfRule type="cellIs" dxfId="14013" priority="12751" operator="equal">
      <formula>"Tramitando"</formula>
    </cfRule>
    <cfRule type="cellIs" dxfId="14012" priority="12752" operator="equal">
      <formula>"Deferido"</formula>
    </cfRule>
    <cfRule type="cellIs" dxfId="14011" priority="12753" operator="equal">
      <formula>"Indeferido"</formula>
    </cfRule>
  </conditionalFormatting>
  <conditionalFormatting sqref="Q236">
    <cfRule type="containsText" dxfId="14010" priority="12750" operator="containsText" text="Cancelado">
      <formula>NOT(ISERROR(SEARCH("Cancelado",Q236)))</formula>
    </cfRule>
  </conditionalFormatting>
  <conditionalFormatting sqref="S236">
    <cfRule type="cellIs" dxfId="14009" priority="12747" operator="equal">
      <formula>"Tramitando"</formula>
    </cfRule>
    <cfRule type="cellIs" dxfId="14008" priority="12748" operator="equal">
      <formula>"Deferido"</formula>
    </cfRule>
    <cfRule type="cellIs" dxfId="14007" priority="12749" operator="equal">
      <formula>"Indeferido"</formula>
    </cfRule>
  </conditionalFormatting>
  <conditionalFormatting sqref="S236">
    <cfRule type="containsText" dxfId="14006" priority="12746" operator="containsText" text="Cancelado">
      <formula>NOT(ISERROR(SEARCH("Cancelado",S236)))</formula>
    </cfRule>
  </conditionalFormatting>
  <conditionalFormatting sqref="J237">
    <cfRule type="cellIs" dxfId="14005" priority="12742" operator="equal">
      <formula>"Tramitando"</formula>
    </cfRule>
    <cfRule type="cellIs" dxfId="14004" priority="12743" operator="equal">
      <formula>"Deferido"</formula>
    </cfRule>
    <cfRule type="cellIs" dxfId="14003" priority="12744" operator="equal">
      <formula>"Indeferido"</formula>
    </cfRule>
  </conditionalFormatting>
  <conditionalFormatting sqref="J237">
    <cfRule type="containsText" dxfId="14002" priority="12741" operator="containsText" text="Cancelado">
      <formula>NOT(ISERROR(SEARCH("Cancelado",J237)))</formula>
    </cfRule>
  </conditionalFormatting>
  <conditionalFormatting sqref="M237">
    <cfRule type="cellIs" dxfId="14001" priority="12738" operator="equal">
      <formula>"Tramitando"</formula>
    </cfRule>
    <cfRule type="cellIs" dxfId="14000" priority="12739" operator="equal">
      <formula>"Deferido"</formula>
    </cfRule>
    <cfRule type="cellIs" dxfId="13999" priority="12740" operator="equal">
      <formula>"Indeferido"</formula>
    </cfRule>
  </conditionalFormatting>
  <conditionalFormatting sqref="M237">
    <cfRule type="containsText" dxfId="13998" priority="12737" operator="containsText" text="Cancelado">
      <formula>NOT(ISERROR(SEARCH("Cancelado",M237)))</formula>
    </cfRule>
  </conditionalFormatting>
  <conditionalFormatting sqref="O237">
    <cfRule type="cellIs" dxfId="13997" priority="12734" operator="equal">
      <formula>"Tramitando"</formula>
    </cfRule>
    <cfRule type="cellIs" dxfId="13996" priority="12735" operator="equal">
      <formula>"Deferido"</formula>
    </cfRule>
    <cfRule type="cellIs" dxfId="13995" priority="12736" operator="equal">
      <formula>"Indeferido"</formula>
    </cfRule>
  </conditionalFormatting>
  <conditionalFormatting sqref="O237">
    <cfRule type="containsText" dxfId="13994" priority="12733" operator="containsText" text="Cancelado">
      <formula>NOT(ISERROR(SEARCH("Cancelado",O237)))</formula>
    </cfRule>
  </conditionalFormatting>
  <conditionalFormatting sqref="Q237">
    <cfRule type="cellIs" dxfId="13993" priority="12730" operator="equal">
      <formula>"Tramitando"</formula>
    </cfRule>
    <cfRule type="cellIs" dxfId="13992" priority="12731" operator="equal">
      <formula>"Deferido"</formula>
    </cfRule>
    <cfRule type="cellIs" dxfId="13991" priority="12732" operator="equal">
      <formula>"Indeferido"</formula>
    </cfRule>
  </conditionalFormatting>
  <conditionalFormatting sqref="Q237">
    <cfRule type="containsText" dxfId="13990" priority="12729" operator="containsText" text="Cancelado">
      <formula>NOT(ISERROR(SEARCH("Cancelado",Q237)))</formula>
    </cfRule>
  </conditionalFormatting>
  <conditionalFormatting sqref="S237">
    <cfRule type="cellIs" dxfId="13989" priority="12726" operator="equal">
      <formula>"Tramitando"</formula>
    </cfRule>
    <cfRule type="cellIs" dxfId="13988" priority="12727" operator="equal">
      <formula>"Deferido"</formula>
    </cfRule>
    <cfRule type="cellIs" dxfId="13987" priority="12728" operator="equal">
      <formula>"Indeferido"</formula>
    </cfRule>
  </conditionalFormatting>
  <conditionalFormatting sqref="S237">
    <cfRule type="containsText" dxfId="13986" priority="12725" operator="containsText" text="Cancelado">
      <formula>NOT(ISERROR(SEARCH("Cancelado",S237)))</formula>
    </cfRule>
  </conditionalFormatting>
  <conditionalFormatting sqref="J238">
    <cfRule type="cellIs" dxfId="13985" priority="12721" operator="equal">
      <formula>"Tramitando"</formula>
    </cfRule>
    <cfRule type="cellIs" dxfId="13984" priority="12722" operator="equal">
      <formula>"Deferido"</formula>
    </cfRule>
    <cfRule type="cellIs" dxfId="13983" priority="12723" operator="equal">
      <formula>"Indeferido"</formula>
    </cfRule>
  </conditionalFormatting>
  <conditionalFormatting sqref="J238">
    <cfRule type="containsText" dxfId="13982" priority="12720" operator="containsText" text="Cancelado">
      <formula>NOT(ISERROR(SEARCH("Cancelado",J238)))</formula>
    </cfRule>
  </conditionalFormatting>
  <conditionalFormatting sqref="M238">
    <cfRule type="cellIs" dxfId="13981" priority="12717" operator="equal">
      <formula>"Tramitando"</formula>
    </cfRule>
    <cfRule type="cellIs" dxfId="13980" priority="12718" operator="equal">
      <formula>"Deferido"</formula>
    </cfRule>
    <cfRule type="cellIs" dxfId="13979" priority="12719" operator="equal">
      <formula>"Indeferido"</formula>
    </cfRule>
  </conditionalFormatting>
  <conditionalFormatting sqref="M238">
    <cfRule type="containsText" dxfId="13978" priority="12716" operator="containsText" text="Cancelado">
      <formula>NOT(ISERROR(SEARCH("Cancelado",M238)))</formula>
    </cfRule>
  </conditionalFormatting>
  <conditionalFormatting sqref="O238">
    <cfRule type="cellIs" dxfId="13977" priority="12713" operator="equal">
      <formula>"Tramitando"</formula>
    </cfRule>
    <cfRule type="cellIs" dxfId="13976" priority="12714" operator="equal">
      <formula>"Deferido"</formula>
    </cfRule>
    <cfRule type="cellIs" dxfId="13975" priority="12715" operator="equal">
      <formula>"Indeferido"</formula>
    </cfRule>
  </conditionalFormatting>
  <conditionalFormatting sqref="O238">
    <cfRule type="containsText" dxfId="13974" priority="12712" operator="containsText" text="Cancelado">
      <formula>NOT(ISERROR(SEARCH("Cancelado",O238)))</formula>
    </cfRule>
  </conditionalFormatting>
  <conditionalFormatting sqref="Q238">
    <cfRule type="cellIs" dxfId="13973" priority="12709" operator="equal">
      <formula>"Tramitando"</formula>
    </cfRule>
    <cfRule type="cellIs" dxfId="13972" priority="12710" operator="equal">
      <formula>"Deferido"</formula>
    </cfRule>
    <cfRule type="cellIs" dxfId="13971" priority="12711" operator="equal">
      <formula>"Indeferido"</formula>
    </cfRule>
  </conditionalFormatting>
  <conditionalFormatting sqref="Q238">
    <cfRule type="containsText" dxfId="13970" priority="12708" operator="containsText" text="Cancelado">
      <formula>NOT(ISERROR(SEARCH("Cancelado",Q238)))</formula>
    </cfRule>
  </conditionalFormatting>
  <conditionalFormatting sqref="S238">
    <cfRule type="cellIs" dxfId="13969" priority="12705" operator="equal">
      <formula>"Tramitando"</formula>
    </cfRule>
    <cfRule type="cellIs" dxfId="13968" priority="12706" operator="equal">
      <formula>"Deferido"</formula>
    </cfRule>
    <cfRule type="cellIs" dxfId="13967" priority="12707" operator="equal">
      <formula>"Indeferido"</formula>
    </cfRule>
  </conditionalFormatting>
  <conditionalFormatting sqref="S238">
    <cfRule type="containsText" dxfId="13966" priority="12704" operator="containsText" text="Cancelado">
      <formula>NOT(ISERROR(SEARCH("Cancelado",S238)))</formula>
    </cfRule>
  </conditionalFormatting>
  <conditionalFormatting sqref="J239:J240">
    <cfRule type="cellIs" dxfId="13965" priority="12700" operator="equal">
      <formula>"Tramitando"</formula>
    </cfRule>
    <cfRule type="cellIs" dxfId="13964" priority="12701" operator="equal">
      <formula>"Deferido"</formula>
    </cfRule>
    <cfRule type="cellIs" dxfId="13963" priority="12702" operator="equal">
      <formula>"Indeferido"</formula>
    </cfRule>
  </conditionalFormatting>
  <conditionalFormatting sqref="J239:J240">
    <cfRule type="containsText" dxfId="13962" priority="12699" operator="containsText" text="Cancelado">
      <formula>NOT(ISERROR(SEARCH("Cancelado",J239)))</formula>
    </cfRule>
  </conditionalFormatting>
  <conditionalFormatting sqref="M239:M240">
    <cfRule type="cellIs" dxfId="13961" priority="12696" operator="equal">
      <formula>"Tramitando"</formula>
    </cfRule>
    <cfRule type="cellIs" dxfId="13960" priority="12697" operator="equal">
      <formula>"Deferido"</formula>
    </cfRule>
    <cfRule type="cellIs" dxfId="13959" priority="12698" operator="equal">
      <formula>"Indeferido"</formula>
    </cfRule>
  </conditionalFormatting>
  <conditionalFormatting sqref="M239:M240">
    <cfRule type="containsText" dxfId="13958" priority="12695" operator="containsText" text="Cancelado">
      <formula>NOT(ISERROR(SEARCH("Cancelado",M239)))</formula>
    </cfRule>
  </conditionalFormatting>
  <conditionalFormatting sqref="O239:O240">
    <cfRule type="cellIs" dxfId="13957" priority="12692" operator="equal">
      <formula>"Tramitando"</formula>
    </cfRule>
    <cfRule type="cellIs" dxfId="13956" priority="12693" operator="equal">
      <formula>"Deferido"</formula>
    </cfRule>
    <cfRule type="cellIs" dxfId="13955" priority="12694" operator="equal">
      <formula>"Indeferido"</formula>
    </cfRule>
  </conditionalFormatting>
  <conditionalFormatting sqref="O239:O240">
    <cfRule type="containsText" dxfId="13954" priority="12691" operator="containsText" text="Cancelado">
      <formula>NOT(ISERROR(SEARCH("Cancelado",O239)))</formula>
    </cfRule>
  </conditionalFormatting>
  <conditionalFormatting sqref="Q239:Q240">
    <cfRule type="cellIs" dxfId="13953" priority="12688" operator="equal">
      <formula>"Tramitando"</formula>
    </cfRule>
    <cfRule type="cellIs" dxfId="13952" priority="12689" operator="equal">
      <formula>"Deferido"</formula>
    </cfRule>
    <cfRule type="cellIs" dxfId="13951" priority="12690" operator="equal">
      <formula>"Indeferido"</formula>
    </cfRule>
  </conditionalFormatting>
  <conditionalFormatting sqref="Q239:Q240">
    <cfRule type="containsText" dxfId="13950" priority="12687" operator="containsText" text="Cancelado">
      <formula>NOT(ISERROR(SEARCH("Cancelado",Q239)))</formula>
    </cfRule>
  </conditionalFormatting>
  <conditionalFormatting sqref="S239:S240">
    <cfRule type="cellIs" dxfId="13949" priority="12684" operator="equal">
      <formula>"Tramitando"</formula>
    </cfRule>
    <cfRule type="cellIs" dxfId="13948" priority="12685" operator="equal">
      <formula>"Deferido"</formula>
    </cfRule>
    <cfRule type="cellIs" dxfId="13947" priority="12686" operator="equal">
      <formula>"Indeferido"</formula>
    </cfRule>
  </conditionalFormatting>
  <conditionalFormatting sqref="S239:S240">
    <cfRule type="containsText" dxfId="13946" priority="12683" operator="containsText" text="Cancelado">
      <formula>NOT(ISERROR(SEARCH("Cancelado",S239)))</formula>
    </cfRule>
  </conditionalFormatting>
  <conditionalFormatting sqref="J241">
    <cfRule type="cellIs" dxfId="13945" priority="12679" operator="equal">
      <formula>"Tramitando"</formula>
    </cfRule>
    <cfRule type="cellIs" dxfId="13944" priority="12680" operator="equal">
      <formula>"Deferido"</formula>
    </cfRule>
    <cfRule type="cellIs" dxfId="13943" priority="12681" operator="equal">
      <formula>"Indeferido"</formula>
    </cfRule>
  </conditionalFormatting>
  <conditionalFormatting sqref="J241">
    <cfRule type="containsText" dxfId="13942" priority="12678" operator="containsText" text="Cancelado">
      <formula>NOT(ISERROR(SEARCH("Cancelado",J241)))</formula>
    </cfRule>
  </conditionalFormatting>
  <conditionalFormatting sqref="M241">
    <cfRule type="cellIs" dxfId="13941" priority="12675" operator="equal">
      <formula>"Tramitando"</formula>
    </cfRule>
    <cfRule type="cellIs" dxfId="13940" priority="12676" operator="equal">
      <formula>"Deferido"</formula>
    </cfRule>
    <cfRule type="cellIs" dxfId="13939" priority="12677" operator="equal">
      <formula>"Indeferido"</formula>
    </cfRule>
  </conditionalFormatting>
  <conditionalFormatting sqref="M241">
    <cfRule type="containsText" dxfId="13938" priority="12674" operator="containsText" text="Cancelado">
      <formula>NOT(ISERROR(SEARCH("Cancelado",M241)))</formula>
    </cfRule>
  </conditionalFormatting>
  <conditionalFormatting sqref="O241">
    <cfRule type="cellIs" dxfId="13937" priority="12671" operator="equal">
      <formula>"Tramitando"</formula>
    </cfRule>
    <cfRule type="cellIs" dxfId="13936" priority="12672" operator="equal">
      <formula>"Deferido"</formula>
    </cfRule>
    <cfRule type="cellIs" dxfId="13935" priority="12673" operator="equal">
      <formula>"Indeferido"</formula>
    </cfRule>
  </conditionalFormatting>
  <conditionalFormatting sqref="O241">
    <cfRule type="containsText" dxfId="13934" priority="12670" operator="containsText" text="Cancelado">
      <formula>NOT(ISERROR(SEARCH("Cancelado",O241)))</formula>
    </cfRule>
  </conditionalFormatting>
  <conditionalFormatting sqref="Q241">
    <cfRule type="cellIs" dxfId="13933" priority="12667" operator="equal">
      <formula>"Tramitando"</formula>
    </cfRule>
    <cfRule type="cellIs" dxfId="13932" priority="12668" operator="equal">
      <formula>"Deferido"</formula>
    </cfRule>
    <cfRule type="cellIs" dxfId="13931" priority="12669" operator="equal">
      <formula>"Indeferido"</formula>
    </cfRule>
  </conditionalFormatting>
  <conditionalFormatting sqref="Q241">
    <cfRule type="containsText" dxfId="13930" priority="12666" operator="containsText" text="Cancelado">
      <formula>NOT(ISERROR(SEARCH("Cancelado",Q241)))</formula>
    </cfRule>
  </conditionalFormatting>
  <conditionalFormatting sqref="S241">
    <cfRule type="cellIs" dxfId="13929" priority="12663" operator="equal">
      <formula>"Tramitando"</formula>
    </cfRule>
    <cfRule type="cellIs" dxfId="13928" priority="12664" operator="equal">
      <formula>"Deferido"</formula>
    </cfRule>
    <cfRule type="cellIs" dxfId="13927" priority="12665" operator="equal">
      <formula>"Indeferido"</formula>
    </cfRule>
  </conditionalFormatting>
  <conditionalFormatting sqref="S241">
    <cfRule type="containsText" dxfId="13926" priority="12662" operator="containsText" text="Cancelado">
      <formula>NOT(ISERROR(SEARCH("Cancelado",S241)))</formula>
    </cfRule>
  </conditionalFormatting>
  <conditionalFormatting sqref="J242">
    <cfRule type="cellIs" dxfId="13925" priority="12658" operator="equal">
      <formula>"Tramitando"</formula>
    </cfRule>
    <cfRule type="cellIs" dxfId="13924" priority="12659" operator="equal">
      <formula>"Deferido"</formula>
    </cfRule>
    <cfRule type="cellIs" dxfId="13923" priority="12660" operator="equal">
      <formula>"Indeferido"</formula>
    </cfRule>
  </conditionalFormatting>
  <conditionalFormatting sqref="J242">
    <cfRule type="containsText" dxfId="13922" priority="12657" operator="containsText" text="Cancelado">
      <formula>NOT(ISERROR(SEARCH("Cancelado",J242)))</formula>
    </cfRule>
  </conditionalFormatting>
  <conditionalFormatting sqref="M242">
    <cfRule type="cellIs" dxfId="13921" priority="12654" operator="equal">
      <formula>"Tramitando"</formula>
    </cfRule>
    <cfRule type="cellIs" dxfId="13920" priority="12655" operator="equal">
      <formula>"Deferido"</formula>
    </cfRule>
    <cfRule type="cellIs" dxfId="13919" priority="12656" operator="equal">
      <formula>"Indeferido"</formula>
    </cfRule>
  </conditionalFormatting>
  <conditionalFormatting sqref="M242">
    <cfRule type="containsText" dxfId="13918" priority="12653" operator="containsText" text="Cancelado">
      <formula>NOT(ISERROR(SEARCH("Cancelado",M242)))</formula>
    </cfRule>
  </conditionalFormatting>
  <conditionalFormatting sqref="O242">
    <cfRule type="cellIs" dxfId="13917" priority="12650" operator="equal">
      <formula>"Tramitando"</formula>
    </cfRule>
    <cfRule type="cellIs" dxfId="13916" priority="12651" operator="equal">
      <formula>"Deferido"</formula>
    </cfRule>
    <cfRule type="cellIs" dxfId="13915" priority="12652" operator="equal">
      <formula>"Indeferido"</formula>
    </cfRule>
  </conditionalFormatting>
  <conditionalFormatting sqref="O242">
    <cfRule type="containsText" dxfId="13914" priority="12649" operator="containsText" text="Cancelado">
      <formula>NOT(ISERROR(SEARCH("Cancelado",O242)))</formula>
    </cfRule>
  </conditionalFormatting>
  <conditionalFormatting sqref="Q242">
    <cfRule type="cellIs" dxfId="13913" priority="12646" operator="equal">
      <formula>"Tramitando"</formula>
    </cfRule>
    <cfRule type="cellIs" dxfId="13912" priority="12647" operator="equal">
      <formula>"Deferido"</formula>
    </cfRule>
    <cfRule type="cellIs" dxfId="13911" priority="12648" operator="equal">
      <formula>"Indeferido"</formula>
    </cfRule>
  </conditionalFormatting>
  <conditionalFormatting sqref="Q242">
    <cfRule type="containsText" dxfId="13910" priority="12645" operator="containsText" text="Cancelado">
      <formula>NOT(ISERROR(SEARCH("Cancelado",Q242)))</formula>
    </cfRule>
  </conditionalFormatting>
  <conditionalFormatting sqref="S242">
    <cfRule type="cellIs" dxfId="13909" priority="12642" operator="equal">
      <formula>"Tramitando"</formula>
    </cfRule>
    <cfRule type="cellIs" dxfId="13908" priority="12643" operator="equal">
      <formula>"Deferido"</formula>
    </cfRule>
    <cfRule type="cellIs" dxfId="13907" priority="12644" operator="equal">
      <formula>"Indeferido"</formula>
    </cfRule>
  </conditionalFormatting>
  <conditionalFormatting sqref="S242">
    <cfRule type="containsText" dxfId="13906" priority="12641" operator="containsText" text="Cancelado">
      <formula>NOT(ISERROR(SEARCH("Cancelado",S242)))</formula>
    </cfRule>
  </conditionalFormatting>
  <conditionalFormatting sqref="J243">
    <cfRule type="cellIs" dxfId="13905" priority="12637" operator="equal">
      <formula>"Tramitando"</formula>
    </cfRule>
    <cfRule type="cellIs" dxfId="13904" priority="12638" operator="equal">
      <formula>"Deferido"</formula>
    </cfRule>
    <cfRule type="cellIs" dxfId="13903" priority="12639" operator="equal">
      <formula>"Indeferido"</formula>
    </cfRule>
  </conditionalFormatting>
  <conditionalFormatting sqref="J243">
    <cfRule type="containsText" dxfId="13902" priority="12636" operator="containsText" text="Cancelado">
      <formula>NOT(ISERROR(SEARCH("Cancelado",J243)))</formula>
    </cfRule>
  </conditionalFormatting>
  <conditionalFormatting sqref="M243">
    <cfRule type="cellIs" dxfId="13901" priority="12633" operator="equal">
      <formula>"Tramitando"</formula>
    </cfRule>
    <cfRule type="cellIs" dxfId="13900" priority="12634" operator="equal">
      <formula>"Deferido"</formula>
    </cfRule>
    <cfRule type="cellIs" dxfId="13899" priority="12635" operator="equal">
      <formula>"Indeferido"</formula>
    </cfRule>
  </conditionalFormatting>
  <conditionalFormatting sqref="M243">
    <cfRule type="containsText" dxfId="13898" priority="12632" operator="containsText" text="Cancelado">
      <formula>NOT(ISERROR(SEARCH("Cancelado",M243)))</formula>
    </cfRule>
  </conditionalFormatting>
  <conditionalFormatting sqref="O243">
    <cfRule type="cellIs" dxfId="13897" priority="12629" operator="equal">
      <formula>"Tramitando"</formula>
    </cfRule>
    <cfRule type="cellIs" dxfId="13896" priority="12630" operator="equal">
      <formula>"Deferido"</formula>
    </cfRule>
    <cfRule type="cellIs" dxfId="13895" priority="12631" operator="equal">
      <formula>"Indeferido"</formula>
    </cfRule>
  </conditionalFormatting>
  <conditionalFormatting sqref="O243">
    <cfRule type="containsText" dxfId="13894" priority="12628" operator="containsText" text="Cancelado">
      <formula>NOT(ISERROR(SEARCH("Cancelado",O243)))</formula>
    </cfRule>
  </conditionalFormatting>
  <conditionalFormatting sqref="Q243">
    <cfRule type="cellIs" dxfId="13893" priority="12625" operator="equal">
      <formula>"Tramitando"</formula>
    </cfRule>
    <cfRule type="cellIs" dxfId="13892" priority="12626" operator="equal">
      <formula>"Deferido"</formula>
    </cfRule>
    <cfRule type="cellIs" dxfId="13891" priority="12627" operator="equal">
      <formula>"Indeferido"</formula>
    </cfRule>
  </conditionalFormatting>
  <conditionalFormatting sqref="Q243">
    <cfRule type="containsText" dxfId="13890" priority="12624" operator="containsText" text="Cancelado">
      <formula>NOT(ISERROR(SEARCH("Cancelado",Q243)))</formula>
    </cfRule>
  </conditionalFormatting>
  <conditionalFormatting sqref="S243">
    <cfRule type="cellIs" dxfId="13889" priority="12621" operator="equal">
      <formula>"Tramitando"</formula>
    </cfRule>
    <cfRule type="cellIs" dxfId="13888" priority="12622" operator="equal">
      <formula>"Deferido"</formula>
    </cfRule>
    <cfRule type="cellIs" dxfId="13887" priority="12623" operator="equal">
      <formula>"Indeferido"</formula>
    </cfRule>
  </conditionalFormatting>
  <conditionalFormatting sqref="S243">
    <cfRule type="containsText" dxfId="13886" priority="12620" operator="containsText" text="Cancelado">
      <formula>NOT(ISERROR(SEARCH("Cancelado",S243)))</formula>
    </cfRule>
  </conditionalFormatting>
  <conditionalFormatting sqref="J244">
    <cfRule type="cellIs" dxfId="13885" priority="12616" operator="equal">
      <formula>"Tramitando"</formula>
    </cfRule>
    <cfRule type="cellIs" dxfId="13884" priority="12617" operator="equal">
      <formula>"Deferido"</formula>
    </cfRule>
    <cfRule type="cellIs" dxfId="13883" priority="12618" operator="equal">
      <formula>"Indeferido"</formula>
    </cfRule>
  </conditionalFormatting>
  <conditionalFormatting sqref="J244">
    <cfRule type="containsText" dxfId="13882" priority="12615" operator="containsText" text="Cancelado">
      <formula>NOT(ISERROR(SEARCH("Cancelado",J244)))</formula>
    </cfRule>
  </conditionalFormatting>
  <conditionalFormatting sqref="M244">
    <cfRule type="cellIs" dxfId="13881" priority="12612" operator="equal">
      <formula>"Tramitando"</formula>
    </cfRule>
    <cfRule type="cellIs" dxfId="13880" priority="12613" operator="equal">
      <formula>"Deferido"</formula>
    </cfRule>
    <cfRule type="cellIs" dxfId="13879" priority="12614" operator="equal">
      <formula>"Indeferido"</formula>
    </cfRule>
  </conditionalFormatting>
  <conditionalFormatting sqref="M244">
    <cfRule type="containsText" dxfId="13878" priority="12611" operator="containsText" text="Cancelado">
      <formula>NOT(ISERROR(SEARCH("Cancelado",M244)))</formula>
    </cfRule>
  </conditionalFormatting>
  <conditionalFormatting sqref="O244">
    <cfRule type="cellIs" dxfId="13877" priority="12608" operator="equal">
      <formula>"Tramitando"</formula>
    </cfRule>
    <cfRule type="cellIs" dxfId="13876" priority="12609" operator="equal">
      <formula>"Deferido"</formula>
    </cfRule>
    <cfRule type="cellIs" dxfId="13875" priority="12610" operator="equal">
      <formula>"Indeferido"</formula>
    </cfRule>
  </conditionalFormatting>
  <conditionalFormatting sqref="O244">
    <cfRule type="containsText" dxfId="13874" priority="12607" operator="containsText" text="Cancelado">
      <formula>NOT(ISERROR(SEARCH("Cancelado",O244)))</formula>
    </cfRule>
  </conditionalFormatting>
  <conditionalFormatting sqref="Q244">
    <cfRule type="cellIs" dxfId="13873" priority="12604" operator="equal">
      <formula>"Tramitando"</formula>
    </cfRule>
    <cfRule type="cellIs" dxfId="13872" priority="12605" operator="equal">
      <formula>"Deferido"</formula>
    </cfRule>
    <cfRule type="cellIs" dxfId="13871" priority="12606" operator="equal">
      <formula>"Indeferido"</formula>
    </cfRule>
  </conditionalFormatting>
  <conditionalFormatting sqref="Q244">
    <cfRule type="containsText" dxfId="13870" priority="12603" operator="containsText" text="Cancelado">
      <formula>NOT(ISERROR(SEARCH("Cancelado",Q244)))</formula>
    </cfRule>
  </conditionalFormatting>
  <conditionalFormatting sqref="S244">
    <cfRule type="cellIs" dxfId="13869" priority="12600" operator="equal">
      <formula>"Tramitando"</formula>
    </cfRule>
    <cfRule type="cellIs" dxfId="13868" priority="12601" operator="equal">
      <formula>"Deferido"</formula>
    </cfRule>
    <cfRule type="cellIs" dxfId="13867" priority="12602" operator="equal">
      <formula>"Indeferido"</formula>
    </cfRule>
  </conditionalFormatting>
  <conditionalFormatting sqref="S244">
    <cfRule type="containsText" dxfId="13866" priority="12599" operator="containsText" text="Cancelado">
      <formula>NOT(ISERROR(SEARCH("Cancelado",S244)))</formula>
    </cfRule>
  </conditionalFormatting>
  <conditionalFormatting sqref="J245">
    <cfRule type="cellIs" dxfId="13865" priority="12595" operator="equal">
      <formula>"Tramitando"</formula>
    </cfRule>
    <cfRule type="cellIs" dxfId="13864" priority="12596" operator="equal">
      <formula>"Deferido"</formula>
    </cfRule>
    <cfRule type="cellIs" dxfId="13863" priority="12597" operator="equal">
      <formula>"Indeferido"</formula>
    </cfRule>
  </conditionalFormatting>
  <conditionalFormatting sqref="J245">
    <cfRule type="containsText" dxfId="13862" priority="12594" operator="containsText" text="Cancelado">
      <formula>NOT(ISERROR(SEARCH("Cancelado",J245)))</formula>
    </cfRule>
  </conditionalFormatting>
  <conditionalFormatting sqref="M245">
    <cfRule type="cellIs" dxfId="13861" priority="12591" operator="equal">
      <formula>"Tramitando"</formula>
    </cfRule>
    <cfRule type="cellIs" dxfId="13860" priority="12592" operator="equal">
      <formula>"Deferido"</formula>
    </cfRule>
    <cfRule type="cellIs" dxfId="13859" priority="12593" operator="equal">
      <formula>"Indeferido"</formula>
    </cfRule>
  </conditionalFormatting>
  <conditionalFormatting sqref="M245">
    <cfRule type="containsText" dxfId="13858" priority="12590" operator="containsText" text="Cancelado">
      <formula>NOT(ISERROR(SEARCH("Cancelado",M245)))</formula>
    </cfRule>
  </conditionalFormatting>
  <conditionalFormatting sqref="O245">
    <cfRule type="cellIs" dxfId="13857" priority="12587" operator="equal">
      <formula>"Tramitando"</formula>
    </cfRule>
    <cfRule type="cellIs" dxfId="13856" priority="12588" operator="equal">
      <formula>"Deferido"</formula>
    </cfRule>
    <cfRule type="cellIs" dxfId="13855" priority="12589" operator="equal">
      <formula>"Indeferido"</formula>
    </cfRule>
  </conditionalFormatting>
  <conditionalFormatting sqref="O245">
    <cfRule type="containsText" dxfId="13854" priority="12586" operator="containsText" text="Cancelado">
      <formula>NOT(ISERROR(SEARCH("Cancelado",O245)))</formula>
    </cfRule>
  </conditionalFormatting>
  <conditionalFormatting sqref="Q245">
    <cfRule type="cellIs" dxfId="13853" priority="12583" operator="equal">
      <formula>"Tramitando"</formula>
    </cfRule>
    <cfRule type="cellIs" dxfId="13852" priority="12584" operator="equal">
      <formula>"Deferido"</formula>
    </cfRule>
    <cfRule type="cellIs" dxfId="13851" priority="12585" operator="equal">
      <formula>"Indeferido"</formula>
    </cfRule>
  </conditionalFormatting>
  <conditionalFormatting sqref="Q245">
    <cfRule type="containsText" dxfId="13850" priority="12582" operator="containsText" text="Cancelado">
      <formula>NOT(ISERROR(SEARCH("Cancelado",Q245)))</formula>
    </cfRule>
  </conditionalFormatting>
  <conditionalFormatting sqref="S245">
    <cfRule type="cellIs" dxfId="13849" priority="12579" operator="equal">
      <formula>"Tramitando"</formula>
    </cfRule>
    <cfRule type="cellIs" dxfId="13848" priority="12580" operator="equal">
      <formula>"Deferido"</formula>
    </cfRule>
    <cfRule type="cellIs" dxfId="13847" priority="12581" operator="equal">
      <formula>"Indeferido"</formula>
    </cfRule>
  </conditionalFormatting>
  <conditionalFormatting sqref="S245">
    <cfRule type="containsText" dxfId="13846" priority="12578" operator="containsText" text="Cancelado">
      <formula>NOT(ISERROR(SEARCH("Cancelado",S245)))</formula>
    </cfRule>
  </conditionalFormatting>
  <conditionalFormatting sqref="J246">
    <cfRule type="cellIs" dxfId="13845" priority="12574" operator="equal">
      <formula>"Tramitando"</formula>
    </cfRule>
    <cfRule type="cellIs" dxfId="13844" priority="12575" operator="equal">
      <formula>"Deferido"</formula>
    </cfRule>
    <cfRule type="cellIs" dxfId="13843" priority="12576" operator="equal">
      <formula>"Indeferido"</formula>
    </cfRule>
  </conditionalFormatting>
  <conditionalFormatting sqref="J246">
    <cfRule type="containsText" dxfId="13842" priority="12573" operator="containsText" text="Cancelado">
      <formula>NOT(ISERROR(SEARCH("Cancelado",J246)))</formula>
    </cfRule>
  </conditionalFormatting>
  <conditionalFormatting sqref="M246">
    <cfRule type="cellIs" dxfId="13841" priority="12570" operator="equal">
      <formula>"Tramitando"</formula>
    </cfRule>
    <cfRule type="cellIs" dxfId="13840" priority="12571" operator="equal">
      <formula>"Deferido"</formula>
    </cfRule>
    <cfRule type="cellIs" dxfId="13839" priority="12572" operator="equal">
      <formula>"Indeferido"</formula>
    </cfRule>
  </conditionalFormatting>
  <conditionalFormatting sqref="M246">
    <cfRule type="containsText" dxfId="13838" priority="12569" operator="containsText" text="Cancelado">
      <formula>NOT(ISERROR(SEARCH("Cancelado",M246)))</formula>
    </cfRule>
  </conditionalFormatting>
  <conditionalFormatting sqref="O246">
    <cfRule type="cellIs" dxfId="13837" priority="12566" operator="equal">
      <formula>"Tramitando"</formula>
    </cfRule>
    <cfRule type="cellIs" dxfId="13836" priority="12567" operator="equal">
      <formula>"Deferido"</formula>
    </cfRule>
    <cfRule type="cellIs" dxfId="13835" priority="12568" operator="equal">
      <formula>"Indeferido"</formula>
    </cfRule>
  </conditionalFormatting>
  <conditionalFormatting sqref="O246">
    <cfRule type="containsText" dxfId="13834" priority="12565" operator="containsText" text="Cancelado">
      <formula>NOT(ISERROR(SEARCH("Cancelado",O246)))</formula>
    </cfRule>
  </conditionalFormatting>
  <conditionalFormatting sqref="Q246">
    <cfRule type="cellIs" dxfId="13833" priority="12562" operator="equal">
      <formula>"Tramitando"</formula>
    </cfRule>
    <cfRule type="cellIs" dxfId="13832" priority="12563" operator="equal">
      <formula>"Deferido"</formula>
    </cfRule>
    <cfRule type="cellIs" dxfId="13831" priority="12564" operator="equal">
      <formula>"Indeferido"</formula>
    </cfRule>
  </conditionalFormatting>
  <conditionalFormatting sqref="Q246">
    <cfRule type="containsText" dxfId="13830" priority="12561" operator="containsText" text="Cancelado">
      <formula>NOT(ISERROR(SEARCH("Cancelado",Q246)))</formula>
    </cfRule>
  </conditionalFormatting>
  <conditionalFormatting sqref="S246">
    <cfRule type="cellIs" dxfId="13829" priority="12558" operator="equal">
      <formula>"Tramitando"</formula>
    </cfRule>
    <cfRule type="cellIs" dxfId="13828" priority="12559" operator="equal">
      <formula>"Deferido"</formula>
    </cfRule>
    <cfRule type="cellIs" dxfId="13827" priority="12560" operator="equal">
      <formula>"Indeferido"</formula>
    </cfRule>
  </conditionalFormatting>
  <conditionalFormatting sqref="S246">
    <cfRule type="containsText" dxfId="13826" priority="12557" operator="containsText" text="Cancelado">
      <formula>NOT(ISERROR(SEARCH("Cancelado",S246)))</formula>
    </cfRule>
  </conditionalFormatting>
  <conditionalFormatting sqref="J247">
    <cfRule type="cellIs" dxfId="13825" priority="12553" operator="equal">
      <formula>"Tramitando"</formula>
    </cfRule>
    <cfRule type="cellIs" dxfId="13824" priority="12554" operator="equal">
      <formula>"Deferido"</formula>
    </cfRule>
    <cfRule type="cellIs" dxfId="13823" priority="12555" operator="equal">
      <formula>"Indeferido"</formula>
    </cfRule>
  </conditionalFormatting>
  <conditionalFormatting sqref="J247">
    <cfRule type="containsText" dxfId="13822" priority="12552" operator="containsText" text="Cancelado">
      <formula>NOT(ISERROR(SEARCH("Cancelado",J247)))</formula>
    </cfRule>
  </conditionalFormatting>
  <conditionalFormatting sqref="M247">
    <cfRule type="cellIs" dxfId="13821" priority="12549" operator="equal">
      <formula>"Tramitando"</formula>
    </cfRule>
    <cfRule type="cellIs" dxfId="13820" priority="12550" operator="equal">
      <formula>"Deferido"</formula>
    </cfRule>
    <cfRule type="cellIs" dxfId="13819" priority="12551" operator="equal">
      <formula>"Indeferido"</formula>
    </cfRule>
  </conditionalFormatting>
  <conditionalFormatting sqref="M247">
    <cfRule type="containsText" dxfId="13818" priority="12548" operator="containsText" text="Cancelado">
      <formula>NOT(ISERROR(SEARCH("Cancelado",M247)))</formula>
    </cfRule>
  </conditionalFormatting>
  <conditionalFormatting sqref="O247">
    <cfRule type="cellIs" dxfId="13817" priority="12545" operator="equal">
      <formula>"Tramitando"</formula>
    </cfRule>
    <cfRule type="cellIs" dxfId="13816" priority="12546" operator="equal">
      <formula>"Deferido"</formula>
    </cfRule>
    <cfRule type="cellIs" dxfId="13815" priority="12547" operator="equal">
      <formula>"Indeferido"</formula>
    </cfRule>
  </conditionalFormatting>
  <conditionalFormatting sqref="O247">
    <cfRule type="containsText" dxfId="13814" priority="12544" operator="containsText" text="Cancelado">
      <formula>NOT(ISERROR(SEARCH("Cancelado",O247)))</formula>
    </cfRule>
  </conditionalFormatting>
  <conditionalFormatting sqref="Q247">
    <cfRule type="cellIs" dxfId="13813" priority="12541" operator="equal">
      <formula>"Tramitando"</formula>
    </cfRule>
    <cfRule type="cellIs" dxfId="13812" priority="12542" operator="equal">
      <formula>"Deferido"</formula>
    </cfRule>
    <cfRule type="cellIs" dxfId="13811" priority="12543" operator="equal">
      <formula>"Indeferido"</formula>
    </cfRule>
  </conditionalFormatting>
  <conditionalFormatting sqref="Q247">
    <cfRule type="containsText" dxfId="13810" priority="12540" operator="containsText" text="Cancelado">
      <formula>NOT(ISERROR(SEARCH("Cancelado",Q247)))</formula>
    </cfRule>
  </conditionalFormatting>
  <conditionalFormatting sqref="S247">
    <cfRule type="cellIs" dxfId="13809" priority="12537" operator="equal">
      <formula>"Tramitando"</formula>
    </cfRule>
    <cfRule type="cellIs" dxfId="13808" priority="12538" operator="equal">
      <formula>"Deferido"</formula>
    </cfRule>
    <cfRule type="cellIs" dxfId="13807" priority="12539" operator="equal">
      <formula>"Indeferido"</formula>
    </cfRule>
  </conditionalFormatting>
  <conditionalFormatting sqref="S247">
    <cfRule type="containsText" dxfId="13806" priority="12536" operator="containsText" text="Cancelado">
      <formula>NOT(ISERROR(SEARCH("Cancelado",S247)))</formula>
    </cfRule>
  </conditionalFormatting>
  <conditionalFormatting sqref="M248">
    <cfRule type="cellIs" dxfId="13805" priority="12528" operator="equal">
      <formula>"Tramitando"</formula>
    </cfRule>
    <cfRule type="cellIs" dxfId="13804" priority="12529" operator="equal">
      <formula>"Deferido"</formula>
    </cfRule>
    <cfRule type="cellIs" dxfId="13803" priority="12530" operator="equal">
      <formula>"Indeferido"</formula>
    </cfRule>
  </conditionalFormatting>
  <conditionalFormatting sqref="M248">
    <cfRule type="containsText" dxfId="13802" priority="12527" operator="containsText" text="Cancelado">
      <formula>NOT(ISERROR(SEARCH("Cancelado",M248)))</formula>
    </cfRule>
  </conditionalFormatting>
  <conditionalFormatting sqref="O248">
    <cfRule type="cellIs" dxfId="13801" priority="12524" operator="equal">
      <formula>"Tramitando"</formula>
    </cfRule>
    <cfRule type="cellIs" dxfId="13800" priority="12525" operator="equal">
      <formula>"Deferido"</formula>
    </cfRule>
    <cfRule type="cellIs" dxfId="13799" priority="12526" operator="equal">
      <formula>"Indeferido"</formula>
    </cfRule>
  </conditionalFormatting>
  <conditionalFormatting sqref="O248">
    <cfRule type="containsText" dxfId="13798" priority="12523" operator="containsText" text="Cancelado">
      <formula>NOT(ISERROR(SEARCH("Cancelado",O248)))</formula>
    </cfRule>
  </conditionalFormatting>
  <conditionalFormatting sqref="Q248">
    <cfRule type="cellIs" dxfId="13797" priority="12520" operator="equal">
      <formula>"Tramitando"</formula>
    </cfRule>
    <cfRule type="cellIs" dxfId="13796" priority="12521" operator="equal">
      <formula>"Deferido"</formula>
    </cfRule>
    <cfRule type="cellIs" dxfId="13795" priority="12522" operator="equal">
      <formula>"Indeferido"</formula>
    </cfRule>
  </conditionalFormatting>
  <conditionalFormatting sqref="Q248">
    <cfRule type="containsText" dxfId="13794" priority="12519" operator="containsText" text="Cancelado">
      <formula>NOT(ISERROR(SEARCH("Cancelado",Q248)))</formula>
    </cfRule>
  </conditionalFormatting>
  <conditionalFormatting sqref="S248">
    <cfRule type="cellIs" dxfId="13793" priority="12516" operator="equal">
      <formula>"Tramitando"</formula>
    </cfRule>
    <cfRule type="cellIs" dxfId="13792" priority="12517" operator="equal">
      <formula>"Deferido"</formula>
    </cfRule>
    <cfRule type="cellIs" dxfId="13791" priority="12518" operator="equal">
      <formula>"Indeferido"</formula>
    </cfRule>
  </conditionalFormatting>
  <conditionalFormatting sqref="S248">
    <cfRule type="containsText" dxfId="13790" priority="12515" operator="containsText" text="Cancelado">
      <formula>NOT(ISERROR(SEARCH("Cancelado",S248)))</formula>
    </cfRule>
  </conditionalFormatting>
  <conditionalFormatting sqref="J249">
    <cfRule type="cellIs" dxfId="13789" priority="12511" operator="equal">
      <formula>"Tramitando"</formula>
    </cfRule>
    <cfRule type="cellIs" dxfId="13788" priority="12512" operator="equal">
      <formula>"Deferido"</formula>
    </cfRule>
    <cfRule type="cellIs" dxfId="13787" priority="12513" operator="equal">
      <formula>"Indeferido"</formula>
    </cfRule>
  </conditionalFormatting>
  <conditionalFormatting sqref="J249">
    <cfRule type="containsText" dxfId="13786" priority="12510" operator="containsText" text="Cancelado">
      <formula>NOT(ISERROR(SEARCH("Cancelado",J249)))</formula>
    </cfRule>
  </conditionalFormatting>
  <conditionalFormatting sqref="M249">
    <cfRule type="cellIs" dxfId="13785" priority="12507" operator="equal">
      <formula>"Tramitando"</formula>
    </cfRule>
    <cfRule type="cellIs" dxfId="13784" priority="12508" operator="equal">
      <formula>"Deferido"</formula>
    </cfRule>
    <cfRule type="cellIs" dxfId="13783" priority="12509" operator="equal">
      <formula>"Indeferido"</formula>
    </cfRule>
  </conditionalFormatting>
  <conditionalFormatting sqref="M249">
    <cfRule type="containsText" dxfId="13782" priority="12506" operator="containsText" text="Cancelado">
      <formula>NOT(ISERROR(SEARCH("Cancelado",M249)))</formula>
    </cfRule>
  </conditionalFormatting>
  <conditionalFormatting sqref="O249">
    <cfRule type="cellIs" dxfId="13781" priority="12503" operator="equal">
      <formula>"Tramitando"</formula>
    </cfRule>
    <cfRule type="cellIs" dxfId="13780" priority="12504" operator="equal">
      <formula>"Deferido"</formula>
    </cfRule>
    <cfRule type="cellIs" dxfId="13779" priority="12505" operator="equal">
      <formula>"Indeferido"</formula>
    </cfRule>
  </conditionalFormatting>
  <conditionalFormatting sqref="O249">
    <cfRule type="containsText" dxfId="13778" priority="12502" operator="containsText" text="Cancelado">
      <formula>NOT(ISERROR(SEARCH("Cancelado",O249)))</formula>
    </cfRule>
  </conditionalFormatting>
  <conditionalFormatting sqref="Q249">
    <cfRule type="cellIs" dxfId="13777" priority="12499" operator="equal">
      <formula>"Tramitando"</formula>
    </cfRule>
    <cfRule type="cellIs" dxfId="13776" priority="12500" operator="equal">
      <formula>"Deferido"</formula>
    </cfRule>
    <cfRule type="cellIs" dxfId="13775" priority="12501" operator="equal">
      <formula>"Indeferido"</formula>
    </cfRule>
  </conditionalFormatting>
  <conditionalFormatting sqref="Q249">
    <cfRule type="containsText" dxfId="13774" priority="12498" operator="containsText" text="Cancelado">
      <formula>NOT(ISERROR(SEARCH("Cancelado",Q249)))</formula>
    </cfRule>
  </conditionalFormatting>
  <conditionalFormatting sqref="S249">
    <cfRule type="cellIs" dxfId="13773" priority="12495" operator="equal">
      <formula>"Tramitando"</formula>
    </cfRule>
    <cfRule type="cellIs" dxfId="13772" priority="12496" operator="equal">
      <formula>"Deferido"</formula>
    </cfRule>
    <cfRule type="cellIs" dxfId="13771" priority="12497" operator="equal">
      <formula>"Indeferido"</formula>
    </cfRule>
  </conditionalFormatting>
  <conditionalFormatting sqref="S249">
    <cfRule type="containsText" dxfId="13770" priority="12494" operator="containsText" text="Cancelado">
      <formula>NOT(ISERROR(SEARCH("Cancelado",S249)))</formula>
    </cfRule>
  </conditionalFormatting>
  <conditionalFormatting sqref="J250">
    <cfRule type="cellIs" dxfId="13769" priority="12490" operator="equal">
      <formula>"Tramitando"</formula>
    </cfRule>
    <cfRule type="cellIs" dxfId="13768" priority="12491" operator="equal">
      <formula>"Deferido"</formula>
    </cfRule>
    <cfRule type="cellIs" dxfId="13767" priority="12492" operator="equal">
      <formula>"Indeferido"</formula>
    </cfRule>
  </conditionalFormatting>
  <conditionalFormatting sqref="J250">
    <cfRule type="containsText" dxfId="13766" priority="12489" operator="containsText" text="Cancelado">
      <formula>NOT(ISERROR(SEARCH("Cancelado",J250)))</formula>
    </cfRule>
  </conditionalFormatting>
  <conditionalFormatting sqref="M250">
    <cfRule type="cellIs" dxfId="13765" priority="12486" operator="equal">
      <formula>"Tramitando"</formula>
    </cfRule>
    <cfRule type="cellIs" dxfId="13764" priority="12487" operator="equal">
      <formula>"Deferido"</formula>
    </cfRule>
    <cfRule type="cellIs" dxfId="13763" priority="12488" operator="equal">
      <formula>"Indeferido"</formula>
    </cfRule>
  </conditionalFormatting>
  <conditionalFormatting sqref="M250">
    <cfRule type="containsText" dxfId="13762" priority="12485" operator="containsText" text="Cancelado">
      <formula>NOT(ISERROR(SEARCH("Cancelado",M250)))</formula>
    </cfRule>
  </conditionalFormatting>
  <conditionalFormatting sqref="O250">
    <cfRule type="cellIs" dxfId="13761" priority="12482" operator="equal">
      <formula>"Tramitando"</formula>
    </cfRule>
    <cfRule type="cellIs" dxfId="13760" priority="12483" operator="equal">
      <formula>"Deferido"</formula>
    </cfRule>
    <cfRule type="cellIs" dxfId="13759" priority="12484" operator="equal">
      <formula>"Indeferido"</formula>
    </cfRule>
  </conditionalFormatting>
  <conditionalFormatting sqref="O250">
    <cfRule type="containsText" dxfId="13758" priority="12481" operator="containsText" text="Cancelado">
      <formula>NOT(ISERROR(SEARCH("Cancelado",O250)))</formula>
    </cfRule>
  </conditionalFormatting>
  <conditionalFormatting sqref="Q250">
    <cfRule type="cellIs" dxfId="13757" priority="12478" operator="equal">
      <formula>"Tramitando"</formula>
    </cfRule>
    <cfRule type="cellIs" dxfId="13756" priority="12479" operator="equal">
      <formula>"Deferido"</formula>
    </cfRule>
    <cfRule type="cellIs" dxfId="13755" priority="12480" operator="equal">
      <formula>"Indeferido"</formula>
    </cfRule>
  </conditionalFormatting>
  <conditionalFormatting sqref="Q250">
    <cfRule type="containsText" dxfId="13754" priority="12477" operator="containsText" text="Cancelado">
      <formula>NOT(ISERROR(SEARCH("Cancelado",Q250)))</formula>
    </cfRule>
  </conditionalFormatting>
  <conditionalFormatting sqref="S250">
    <cfRule type="cellIs" dxfId="13753" priority="12474" operator="equal">
      <formula>"Tramitando"</formula>
    </cfRule>
    <cfRule type="cellIs" dxfId="13752" priority="12475" operator="equal">
      <formula>"Deferido"</formula>
    </cfRule>
    <cfRule type="cellIs" dxfId="13751" priority="12476" operator="equal">
      <formula>"Indeferido"</formula>
    </cfRule>
  </conditionalFormatting>
  <conditionalFormatting sqref="S250">
    <cfRule type="containsText" dxfId="13750" priority="12473" operator="containsText" text="Cancelado">
      <formula>NOT(ISERROR(SEARCH("Cancelado",S250)))</formula>
    </cfRule>
  </conditionalFormatting>
  <conditionalFormatting sqref="J251">
    <cfRule type="cellIs" dxfId="13749" priority="12469" operator="equal">
      <formula>"Tramitando"</formula>
    </cfRule>
    <cfRule type="cellIs" dxfId="13748" priority="12470" operator="equal">
      <formula>"Deferido"</formula>
    </cfRule>
    <cfRule type="cellIs" dxfId="13747" priority="12471" operator="equal">
      <formula>"Indeferido"</formula>
    </cfRule>
  </conditionalFormatting>
  <conditionalFormatting sqref="J251">
    <cfRule type="containsText" dxfId="13746" priority="12468" operator="containsText" text="Cancelado">
      <formula>NOT(ISERROR(SEARCH("Cancelado",J251)))</formula>
    </cfRule>
  </conditionalFormatting>
  <conditionalFormatting sqref="M251">
    <cfRule type="cellIs" dxfId="13745" priority="12465" operator="equal">
      <formula>"Tramitando"</formula>
    </cfRule>
    <cfRule type="cellIs" dxfId="13744" priority="12466" operator="equal">
      <formula>"Deferido"</formula>
    </cfRule>
    <cfRule type="cellIs" dxfId="13743" priority="12467" operator="equal">
      <formula>"Indeferido"</formula>
    </cfRule>
  </conditionalFormatting>
  <conditionalFormatting sqref="M251">
    <cfRule type="containsText" dxfId="13742" priority="12464" operator="containsText" text="Cancelado">
      <formula>NOT(ISERROR(SEARCH("Cancelado",M251)))</formula>
    </cfRule>
  </conditionalFormatting>
  <conditionalFormatting sqref="O251">
    <cfRule type="cellIs" dxfId="13741" priority="12461" operator="equal">
      <formula>"Tramitando"</formula>
    </cfRule>
    <cfRule type="cellIs" dxfId="13740" priority="12462" operator="equal">
      <formula>"Deferido"</formula>
    </cfRule>
    <cfRule type="cellIs" dxfId="13739" priority="12463" operator="equal">
      <formula>"Indeferido"</formula>
    </cfRule>
  </conditionalFormatting>
  <conditionalFormatting sqref="O251">
    <cfRule type="containsText" dxfId="13738" priority="12460" operator="containsText" text="Cancelado">
      <formula>NOT(ISERROR(SEARCH("Cancelado",O251)))</formula>
    </cfRule>
  </conditionalFormatting>
  <conditionalFormatting sqref="Q251">
    <cfRule type="cellIs" dxfId="13737" priority="12457" operator="equal">
      <formula>"Tramitando"</formula>
    </cfRule>
    <cfRule type="cellIs" dxfId="13736" priority="12458" operator="equal">
      <formula>"Deferido"</formula>
    </cfRule>
    <cfRule type="cellIs" dxfId="13735" priority="12459" operator="equal">
      <formula>"Indeferido"</formula>
    </cfRule>
  </conditionalFormatting>
  <conditionalFormatting sqref="Q251">
    <cfRule type="containsText" dxfId="13734" priority="12456" operator="containsText" text="Cancelado">
      <formula>NOT(ISERROR(SEARCH("Cancelado",Q251)))</formula>
    </cfRule>
  </conditionalFormatting>
  <conditionalFormatting sqref="S251">
    <cfRule type="cellIs" dxfId="13733" priority="12453" operator="equal">
      <formula>"Tramitando"</formula>
    </cfRule>
    <cfRule type="cellIs" dxfId="13732" priority="12454" operator="equal">
      <formula>"Deferido"</formula>
    </cfRule>
    <cfRule type="cellIs" dxfId="13731" priority="12455" operator="equal">
      <formula>"Indeferido"</formula>
    </cfRule>
  </conditionalFormatting>
  <conditionalFormatting sqref="S251">
    <cfRule type="containsText" dxfId="13730" priority="12452" operator="containsText" text="Cancelado">
      <formula>NOT(ISERROR(SEARCH("Cancelado",S251)))</formula>
    </cfRule>
  </conditionalFormatting>
  <conditionalFormatting sqref="J252">
    <cfRule type="cellIs" dxfId="13729" priority="12448" operator="equal">
      <formula>"Tramitando"</formula>
    </cfRule>
    <cfRule type="cellIs" dxfId="13728" priority="12449" operator="equal">
      <formula>"Deferido"</formula>
    </cfRule>
    <cfRule type="cellIs" dxfId="13727" priority="12450" operator="equal">
      <formula>"Indeferido"</formula>
    </cfRule>
  </conditionalFormatting>
  <conditionalFormatting sqref="J252">
    <cfRule type="containsText" dxfId="13726" priority="12447" operator="containsText" text="Cancelado">
      <formula>NOT(ISERROR(SEARCH("Cancelado",J252)))</formula>
    </cfRule>
  </conditionalFormatting>
  <conditionalFormatting sqref="M252">
    <cfRule type="cellIs" dxfId="13725" priority="12444" operator="equal">
      <formula>"Tramitando"</formula>
    </cfRule>
    <cfRule type="cellIs" dxfId="13724" priority="12445" operator="equal">
      <formula>"Deferido"</formula>
    </cfRule>
    <cfRule type="cellIs" dxfId="13723" priority="12446" operator="equal">
      <formula>"Indeferido"</formula>
    </cfRule>
  </conditionalFormatting>
  <conditionalFormatting sqref="M252">
    <cfRule type="containsText" dxfId="13722" priority="12443" operator="containsText" text="Cancelado">
      <formula>NOT(ISERROR(SEARCH("Cancelado",M252)))</formula>
    </cfRule>
  </conditionalFormatting>
  <conditionalFormatting sqref="O252">
    <cfRule type="cellIs" dxfId="13721" priority="12440" operator="equal">
      <formula>"Tramitando"</formula>
    </cfRule>
    <cfRule type="cellIs" dxfId="13720" priority="12441" operator="equal">
      <formula>"Deferido"</formula>
    </cfRule>
    <cfRule type="cellIs" dxfId="13719" priority="12442" operator="equal">
      <formula>"Indeferido"</formula>
    </cfRule>
  </conditionalFormatting>
  <conditionalFormatting sqref="O252">
    <cfRule type="containsText" dxfId="13718" priority="12439" operator="containsText" text="Cancelado">
      <formula>NOT(ISERROR(SEARCH("Cancelado",O252)))</formula>
    </cfRule>
  </conditionalFormatting>
  <conditionalFormatting sqref="Q252">
    <cfRule type="cellIs" dxfId="13717" priority="12436" operator="equal">
      <formula>"Tramitando"</formula>
    </cfRule>
    <cfRule type="cellIs" dxfId="13716" priority="12437" operator="equal">
      <formula>"Deferido"</formula>
    </cfRule>
    <cfRule type="cellIs" dxfId="13715" priority="12438" operator="equal">
      <formula>"Indeferido"</formula>
    </cfRule>
  </conditionalFormatting>
  <conditionalFormatting sqref="Q252">
    <cfRule type="containsText" dxfId="13714" priority="12435" operator="containsText" text="Cancelado">
      <formula>NOT(ISERROR(SEARCH("Cancelado",Q252)))</formula>
    </cfRule>
  </conditionalFormatting>
  <conditionalFormatting sqref="S252">
    <cfRule type="cellIs" dxfId="13713" priority="12432" operator="equal">
      <formula>"Tramitando"</formula>
    </cfRule>
    <cfRule type="cellIs" dxfId="13712" priority="12433" operator="equal">
      <formula>"Deferido"</formula>
    </cfRule>
    <cfRule type="cellIs" dxfId="13711" priority="12434" operator="equal">
      <formula>"Indeferido"</formula>
    </cfRule>
  </conditionalFormatting>
  <conditionalFormatting sqref="S252">
    <cfRule type="containsText" dxfId="13710" priority="12431" operator="containsText" text="Cancelado">
      <formula>NOT(ISERROR(SEARCH("Cancelado",S252)))</formula>
    </cfRule>
  </conditionalFormatting>
  <conditionalFormatting sqref="J253">
    <cfRule type="cellIs" dxfId="13709" priority="12427" operator="equal">
      <formula>"Tramitando"</formula>
    </cfRule>
    <cfRule type="cellIs" dxfId="13708" priority="12428" operator="equal">
      <formula>"Deferido"</formula>
    </cfRule>
    <cfRule type="cellIs" dxfId="13707" priority="12429" operator="equal">
      <formula>"Indeferido"</formula>
    </cfRule>
  </conditionalFormatting>
  <conditionalFormatting sqref="J253">
    <cfRule type="containsText" dxfId="13706" priority="12426" operator="containsText" text="Cancelado">
      <formula>NOT(ISERROR(SEARCH("Cancelado",J253)))</formula>
    </cfRule>
  </conditionalFormatting>
  <conditionalFormatting sqref="M253">
    <cfRule type="cellIs" dxfId="13705" priority="12423" operator="equal">
      <formula>"Tramitando"</formula>
    </cfRule>
    <cfRule type="cellIs" dxfId="13704" priority="12424" operator="equal">
      <formula>"Deferido"</formula>
    </cfRule>
    <cfRule type="cellIs" dxfId="13703" priority="12425" operator="equal">
      <formula>"Indeferido"</formula>
    </cfRule>
  </conditionalFormatting>
  <conditionalFormatting sqref="M253">
    <cfRule type="containsText" dxfId="13702" priority="12422" operator="containsText" text="Cancelado">
      <formula>NOT(ISERROR(SEARCH("Cancelado",M253)))</formula>
    </cfRule>
  </conditionalFormatting>
  <conditionalFormatting sqref="O253">
    <cfRule type="cellIs" dxfId="13701" priority="12419" operator="equal">
      <formula>"Tramitando"</formula>
    </cfRule>
    <cfRule type="cellIs" dxfId="13700" priority="12420" operator="equal">
      <formula>"Deferido"</formula>
    </cfRule>
    <cfRule type="cellIs" dxfId="13699" priority="12421" operator="equal">
      <formula>"Indeferido"</formula>
    </cfRule>
  </conditionalFormatting>
  <conditionalFormatting sqref="O253">
    <cfRule type="containsText" dxfId="13698" priority="12418" operator="containsText" text="Cancelado">
      <formula>NOT(ISERROR(SEARCH("Cancelado",O253)))</formula>
    </cfRule>
  </conditionalFormatting>
  <conditionalFormatting sqref="Q253">
    <cfRule type="cellIs" dxfId="13697" priority="12415" operator="equal">
      <formula>"Tramitando"</formula>
    </cfRule>
    <cfRule type="cellIs" dxfId="13696" priority="12416" operator="equal">
      <formula>"Deferido"</formula>
    </cfRule>
    <cfRule type="cellIs" dxfId="13695" priority="12417" operator="equal">
      <formula>"Indeferido"</formula>
    </cfRule>
  </conditionalFormatting>
  <conditionalFormatting sqref="Q253">
    <cfRule type="containsText" dxfId="13694" priority="12414" operator="containsText" text="Cancelado">
      <formula>NOT(ISERROR(SEARCH("Cancelado",Q253)))</formula>
    </cfRule>
  </conditionalFormatting>
  <conditionalFormatting sqref="S253">
    <cfRule type="cellIs" dxfId="13693" priority="12411" operator="equal">
      <formula>"Tramitando"</formula>
    </cfRule>
    <cfRule type="cellIs" dxfId="13692" priority="12412" operator="equal">
      <formula>"Deferido"</formula>
    </cfRule>
    <cfRule type="cellIs" dxfId="13691" priority="12413" operator="equal">
      <formula>"Indeferido"</formula>
    </cfRule>
  </conditionalFormatting>
  <conditionalFormatting sqref="S253">
    <cfRule type="containsText" dxfId="13690" priority="12410" operator="containsText" text="Cancelado">
      <formula>NOT(ISERROR(SEARCH("Cancelado",S253)))</formula>
    </cfRule>
  </conditionalFormatting>
  <conditionalFormatting sqref="J254">
    <cfRule type="cellIs" dxfId="13689" priority="12406" operator="equal">
      <formula>"Tramitando"</formula>
    </cfRule>
    <cfRule type="cellIs" dxfId="13688" priority="12407" operator="equal">
      <formula>"Deferido"</formula>
    </cfRule>
    <cfRule type="cellIs" dxfId="13687" priority="12408" operator="equal">
      <formula>"Indeferido"</formula>
    </cfRule>
  </conditionalFormatting>
  <conditionalFormatting sqref="J254">
    <cfRule type="containsText" dxfId="13686" priority="12405" operator="containsText" text="Cancelado">
      <formula>NOT(ISERROR(SEARCH("Cancelado",J254)))</formula>
    </cfRule>
  </conditionalFormatting>
  <conditionalFormatting sqref="M254">
    <cfRule type="cellIs" dxfId="13685" priority="12402" operator="equal">
      <formula>"Tramitando"</formula>
    </cfRule>
    <cfRule type="cellIs" dxfId="13684" priority="12403" operator="equal">
      <formula>"Deferido"</formula>
    </cfRule>
    <cfRule type="cellIs" dxfId="13683" priority="12404" operator="equal">
      <formula>"Indeferido"</formula>
    </cfRule>
  </conditionalFormatting>
  <conditionalFormatting sqref="M254">
    <cfRule type="containsText" dxfId="13682" priority="12401" operator="containsText" text="Cancelado">
      <formula>NOT(ISERROR(SEARCH("Cancelado",M254)))</formula>
    </cfRule>
  </conditionalFormatting>
  <conditionalFormatting sqref="O254">
    <cfRule type="cellIs" dxfId="13681" priority="12398" operator="equal">
      <formula>"Tramitando"</formula>
    </cfRule>
    <cfRule type="cellIs" dxfId="13680" priority="12399" operator="equal">
      <formula>"Deferido"</formula>
    </cfRule>
    <cfRule type="cellIs" dxfId="13679" priority="12400" operator="equal">
      <formula>"Indeferido"</formula>
    </cfRule>
  </conditionalFormatting>
  <conditionalFormatting sqref="O254">
    <cfRule type="containsText" dxfId="13678" priority="12397" operator="containsText" text="Cancelado">
      <formula>NOT(ISERROR(SEARCH("Cancelado",O254)))</formula>
    </cfRule>
  </conditionalFormatting>
  <conditionalFormatting sqref="Q254">
    <cfRule type="cellIs" dxfId="13677" priority="12394" operator="equal">
      <formula>"Tramitando"</formula>
    </cfRule>
    <cfRule type="cellIs" dxfId="13676" priority="12395" operator="equal">
      <formula>"Deferido"</formula>
    </cfRule>
    <cfRule type="cellIs" dxfId="13675" priority="12396" operator="equal">
      <formula>"Indeferido"</formula>
    </cfRule>
  </conditionalFormatting>
  <conditionalFormatting sqref="Q254">
    <cfRule type="containsText" dxfId="13674" priority="12393" operator="containsText" text="Cancelado">
      <formula>NOT(ISERROR(SEARCH("Cancelado",Q254)))</formula>
    </cfRule>
  </conditionalFormatting>
  <conditionalFormatting sqref="S254">
    <cfRule type="cellIs" dxfId="13673" priority="12390" operator="equal">
      <formula>"Tramitando"</formula>
    </cfRule>
    <cfRule type="cellIs" dxfId="13672" priority="12391" operator="equal">
      <formula>"Deferido"</formula>
    </cfRule>
    <cfRule type="cellIs" dxfId="13671" priority="12392" operator="equal">
      <formula>"Indeferido"</formula>
    </cfRule>
  </conditionalFormatting>
  <conditionalFormatting sqref="S254">
    <cfRule type="containsText" dxfId="13670" priority="12389" operator="containsText" text="Cancelado">
      <formula>NOT(ISERROR(SEARCH("Cancelado",S254)))</formula>
    </cfRule>
  </conditionalFormatting>
  <conditionalFormatting sqref="J255">
    <cfRule type="cellIs" dxfId="13669" priority="12385" operator="equal">
      <formula>"Tramitando"</formula>
    </cfRule>
    <cfRule type="cellIs" dxfId="13668" priority="12386" operator="equal">
      <formula>"Deferido"</formula>
    </cfRule>
    <cfRule type="cellIs" dxfId="13667" priority="12387" operator="equal">
      <formula>"Indeferido"</formula>
    </cfRule>
  </conditionalFormatting>
  <conditionalFormatting sqref="J255">
    <cfRule type="containsText" dxfId="13666" priority="12384" operator="containsText" text="Cancelado">
      <formula>NOT(ISERROR(SEARCH("Cancelado",J255)))</formula>
    </cfRule>
  </conditionalFormatting>
  <conditionalFormatting sqref="M255">
    <cfRule type="cellIs" dxfId="13665" priority="12381" operator="equal">
      <formula>"Tramitando"</formula>
    </cfRule>
    <cfRule type="cellIs" dxfId="13664" priority="12382" operator="equal">
      <formula>"Deferido"</formula>
    </cfRule>
    <cfRule type="cellIs" dxfId="13663" priority="12383" operator="equal">
      <formula>"Indeferido"</formula>
    </cfRule>
  </conditionalFormatting>
  <conditionalFormatting sqref="M255">
    <cfRule type="containsText" dxfId="13662" priority="12380" operator="containsText" text="Cancelado">
      <formula>NOT(ISERROR(SEARCH("Cancelado",M255)))</formula>
    </cfRule>
  </conditionalFormatting>
  <conditionalFormatting sqref="O255">
    <cfRule type="cellIs" dxfId="13661" priority="12377" operator="equal">
      <formula>"Tramitando"</formula>
    </cfRule>
    <cfRule type="cellIs" dxfId="13660" priority="12378" operator="equal">
      <formula>"Deferido"</formula>
    </cfRule>
    <cfRule type="cellIs" dxfId="13659" priority="12379" operator="equal">
      <formula>"Indeferido"</formula>
    </cfRule>
  </conditionalFormatting>
  <conditionalFormatting sqref="O255">
    <cfRule type="containsText" dxfId="13658" priority="12376" operator="containsText" text="Cancelado">
      <formula>NOT(ISERROR(SEARCH("Cancelado",O255)))</formula>
    </cfRule>
  </conditionalFormatting>
  <conditionalFormatting sqref="Q255">
    <cfRule type="cellIs" dxfId="13657" priority="12373" operator="equal">
      <formula>"Tramitando"</formula>
    </cfRule>
    <cfRule type="cellIs" dxfId="13656" priority="12374" operator="equal">
      <formula>"Deferido"</formula>
    </cfRule>
    <cfRule type="cellIs" dxfId="13655" priority="12375" operator="equal">
      <formula>"Indeferido"</formula>
    </cfRule>
  </conditionalFormatting>
  <conditionalFormatting sqref="Q255">
    <cfRule type="containsText" dxfId="13654" priority="12372" operator="containsText" text="Cancelado">
      <formula>NOT(ISERROR(SEARCH("Cancelado",Q255)))</formula>
    </cfRule>
  </conditionalFormatting>
  <conditionalFormatting sqref="S255">
    <cfRule type="cellIs" dxfId="13653" priority="12369" operator="equal">
      <formula>"Tramitando"</formula>
    </cfRule>
    <cfRule type="cellIs" dxfId="13652" priority="12370" operator="equal">
      <formula>"Deferido"</formula>
    </cfRule>
    <cfRule type="cellIs" dxfId="13651" priority="12371" operator="equal">
      <formula>"Indeferido"</formula>
    </cfRule>
  </conditionalFormatting>
  <conditionalFormatting sqref="S255">
    <cfRule type="containsText" dxfId="13650" priority="12368" operator="containsText" text="Cancelado">
      <formula>NOT(ISERROR(SEARCH("Cancelado",S255)))</formula>
    </cfRule>
  </conditionalFormatting>
  <conditionalFormatting sqref="J256">
    <cfRule type="cellIs" dxfId="13649" priority="12364" operator="equal">
      <formula>"Tramitando"</formula>
    </cfRule>
    <cfRule type="cellIs" dxfId="13648" priority="12365" operator="equal">
      <formula>"Deferido"</formula>
    </cfRule>
    <cfRule type="cellIs" dxfId="13647" priority="12366" operator="equal">
      <formula>"Indeferido"</formula>
    </cfRule>
  </conditionalFormatting>
  <conditionalFormatting sqref="J256">
    <cfRule type="containsText" dxfId="13646" priority="12363" operator="containsText" text="Cancelado">
      <formula>NOT(ISERROR(SEARCH("Cancelado",J256)))</formula>
    </cfRule>
  </conditionalFormatting>
  <conditionalFormatting sqref="M256">
    <cfRule type="cellIs" dxfId="13645" priority="12360" operator="equal">
      <formula>"Tramitando"</formula>
    </cfRule>
    <cfRule type="cellIs" dxfId="13644" priority="12361" operator="equal">
      <formula>"Deferido"</formula>
    </cfRule>
    <cfRule type="cellIs" dxfId="13643" priority="12362" operator="equal">
      <formula>"Indeferido"</formula>
    </cfRule>
  </conditionalFormatting>
  <conditionalFormatting sqref="M256">
    <cfRule type="containsText" dxfId="13642" priority="12359" operator="containsText" text="Cancelado">
      <formula>NOT(ISERROR(SEARCH("Cancelado",M256)))</formula>
    </cfRule>
  </conditionalFormatting>
  <conditionalFormatting sqref="O256">
    <cfRule type="cellIs" dxfId="13641" priority="12356" operator="equal">
      <formula>"Tramitando"</formula>
    </cfRule>
    <cfRule type="cellIs" dxfId="13640" priority="12357" operator="equal">
      <formula>"Deferido"</formula>
    </cfRule>
    <cfRule type="cellIs" dxfId="13639" priority="12358" operator="equal">
      <formula>"Indeferido"</formula>
    </cfRule>
  </conditionalFormatting>
  <conditionalFormatting sqref="O256">
    <cfRule type="containsText" dxfId="13638" priority="12355" operator="containsText" text="Cancelado">
      <formula>NOT(ISERROR(SEARCH("Cancelado",O256)))</formula>
    </cfRule>
  </conditionalFormatting>
  <conditionalFormatting sqref="Q256">
    <cfRule type="cellIs" dxfId="13637" priority="12352" operator="equal">
      <formula>"Tramitando"</formula>
    </cfRule>
    <cfRule type="cellIs" dxfId="13636" priority="12353" operator="equal">
      <formula>"Deferido"</formula>
    </cfRule>
    <cfRule type="cellIs" dxfId="13635" priority="12354" operator="equal">
      <formula>"Indeferido"</formula>
    </cfRule>
  </conditionalFormatting>
  <conditionalFormatting sqref="Q256">
    <cfRule type="containsText" dxfId="13634" priority="12351" operator="containsText" text="Cancelado">
      <formula>NOT(ISERROR(SEARCH("Cancelado",Q256)))</formula>
    </cfRule>
  </conditionalFormatting>
  <conditionalFormatting sqref="S256">
    <cfRule type="cellIs" dxfId="13633" priority="12348" operator="equal">
      <formula>"Tramitando"</formula>
    </cfRule>
    <cfRule type="cellIs" dxfId="13632" priority="12349" operator="equal">
      <formula>"Deferido"</formula>
    </cfRule>
    <cfRule type="cellIs" dxfId="13631" priority="12350" operator="equal">
      <formula>"Indeferido"</formula>
    </cfRule>
  </conditionalFormatting>
  <conditionalFormatting sqref="S256">
    <cfRule type="containsText" dxfId="13630" priority="12347" operator="containsText" text="Cancelado">
      <formula>NOT(ISERROR(SEARCH("Cancelado",S256)))</formula>
    </cfRule>
  </conditionalFormatting>
  <conditionalFormatting sqref="J257">
    <cfRule type="cellIs" dxfId="13629" priority="12343" operator="equal">
      <formula>"Tramitando"</formula>
    </cfRule>
    <cfRule type="cellIs" dxfId="13628" priority="12344" operator="equal">
      <formula>"Deferido"</formula>
    </cfRule>
    <cfRule type="cellIs" dxfId="13627" priority="12345" operator="equal">
      <formula>"Indeferido"</formula>
    </cfRule>
  </conditionalFormatting>
  <conditionalFormatting sqref="J257">
    <cfRule type="containsText" dxfId="13626" priority="12342" operator="containsText" text="Cancelado">
      <formula>NOT(ISERROR(SEARCH("Cancelado",J257)))</formula>
    </cfRule>
  </conditionalFormatting>
  <conditionalFormatting sqref="M257">
    <cfRule type="cellIs" dxfId="13625" priority="12339" operator="equal">
      <formula>"Tramitando"</formula>
    </cfRule>
    <cfRule type="cellIs" dxfId="13624" priority="12340" operator="equal">
      <formula>"Deferido"</formula>
    </cfRule>
    <cfRule type="cellIs" dxfId="13623" priority="12341" operator="equal">
      <formula>"Indeferido"</formula>
    </cfRule>
  </conditionalFormatting>
  <conditionalFormatting sqref="M257">
    <cfRule type="containsText" dxfId="13622" priority="12338" operator="containsText" text="Cancelado">
      <formula>NOT(ISERROR(SEARCH("Cancelado",M257)))</formula>
    </cfRule>
  </conditionalFormatting>
  <conditionalFormatting sqref="O257">
    <cfRule type="cellIs" dxfId="13621" priority="12335" operator="equal">
      <formula>"Tramitando"</formula>
    </cfRule>
    <cfRule type="cellIs" dxfId="13620" priority="12336" operator="equal">
      <formula>"Deferido"</formula>
    </cfRule>
    <cfRule type="cellIs" dxfId="13619" priority="12337" operator="equal">
      <formula>"Indeferido"</formula>
    </cfRule>
  </conditionalFormatting>
  <conditionalFormatting sqref="O257">
    <cfRule type="containsText" dxfId="13618" priority="12334" operator="containsText" text="Cancelado">
      <formula>NOT(ISERROR(SEARCH("Cancelado",O257)))</formula>
    </cfRule>
  </conditionalFormatting>
  <conditionalFormatting sqref="Q257">
    <cfRule type="cellIs" dxfId="13617" priority="12331" operator="equal">
      <formula>"Tramitando"</formula>
    </cfRule>
    <cfRule type="cellIs" dxfId="13616" priority="12332" operator="equal">
      <formula>"Deferido"</formula>
    </cfRule>
    <cfRule type="cellIs" dxfId="13615" priority="12333" operator="equal">
      <formula>"Indeferido"</formula>
    </cfRule>
  </conditionalFormatting>
  <conditionalFormatting sqref="Q257">
    <cfRule type="containsText" dxfId="13614" priority="12330" operator="containsText" text="Cancelado">
      <formula>NOT(ISERROR(SEARCH("Cancelado",Q257)))</formula>
    </cfRule>
  </conditionalFormatting>
  <conditionalFormatting sqref="S257">
    <cfRule type="cellIs" dxfId="13613" priority="12327" operator="equal">
      <formula>"Tramitando"</formula>
    </cfRule>
    <cfRule type="cellIs" dxfId="13612" priority="12328" operator="equal">
      <formula>"Deferido"</formula>
    </cfRule>
    <cfRule type="cellIs" dxfId="13611" priority="12329" operator="equal">
      <formula>"Indeferido"</formula>
    </cfRule>
  </conditionalFormatting>
  <conditionalFormatting sqref="S257">
    <cfRule type="containsText" dxfId="13610" priority="12326" operator="containsText" text="Cancelado">
      <formula>NOT(ISERROR(SEARCH("Cancelado",S257)))</formula>
    </cfRule>
  </conditionalFormatting>
  <conditionalFormatting sqref="J258">
    <cfRule type="cellIs" dxfId="13609" priority="12322" operator="equal">
      <formula>"Tramitando"</formula>
    </cfRule>
    <cfRule type="cellIs" dxfId="13608" priority="12323" operator="equal">
      <formula>"Deferido"</formula>
    </cfRule>
    <cfRule type="cellIs" dxfId="13607" priority="12324" operator="equal">
      <formula>"Indeferido"</formula>
    </cfRule>
  </conditionalFormatting>
  <conditionalFormatting sqref="J258">
    <cfRule type="containsText" dxfId="13606" priority="12321" operator="containsText" text="Cancelado">
      <formula>NOT(ISERROR(SEARCH("Cancelado",J258)))</formula>
    </cfRule>
  </conditionalFormatting>
  <conditionalFormatting sqref="M258">
    <cfRule type="cellIs" dxfId="13605" priority="12318" operator="equal">
      <formula>"Tramitando"</formula>
    </cfRule>
    <cfRule type="cellIs" dxfId="13604" priority="12319" operator="equal">
      <formula>"Deferido"</formula>
    </cfRule>
    <cfRule type="cellIs" dxfId="13603" priority="12320" operator="equal">
      <formula>"Indeferido"</formula>
    </cfRule>
  </conditionalFormatting>
  <conditionalFormatting sqref="M258">
    <cfRule type="containsText" dxfId="13602" priority="12317" operator="containsText" text="Cancelado">
      <formula>NOT(ISERROR(SEARCH("Cancelado",M258)))</formula>
    </cfRule>
  </conditionalFormatting>
  <conditionalFormatting sqref="O258">
    <cfRule type="cellIs" dxfId="13601" priority="12314" operator="equal">
      <formula>"Tramitando"</formula>
    </cfRule>
    <cfRule type="cellIs" dxfId="13600" priority="12315" operator="equal">
      <formula>"Deferido"</formula>
    </cfRule>
    <cfRule type="cellIs" dxfId="13599" priority="12316" operator="equal">
      <formula>"Indeferido"</formula>
    </cfRule>
  </conditionalFormatting>
  <conditionalFormatting sqref="O258">
    <cfRule type="containsText" dxfId="13598" priority="12313" operator="containsText" text="Cancelado">
      <formula>NOT(ISERROR(SEARCH("Cancelado",O258)))</formula>
    </cfRule>
  </conditionalFormatting>
  <conditionalFormatting sqref="Q258">
    <cfRule type="cellIs" dxfId="13597" priority="12310" operator="equal">
      <formula>"Tramitando"</formula>
    </cfRule>
    <cfRule type="cellIs" dxfId="13596" priority="12311" operator="equal">
      <formula>"Deferido"</formula>
    </cfRule>
    <cfRule type="cellIs" dxfId="13595" priority="12312" operator="equal">
      <formula>"Indeferido"</formula>
    </cfRule>
  </conditionalFormatting>
  <conditionalFormatting sqref="Q258">
    <cfRule type="containsText" dxfId="13594" priority="12309" operator="containsText" text="Cancelado">
      <formula>NOT(ISERROR(SEARCH("Cancelado",Q258)))</formula>
    </cfRule>
  </conditionalFormatting>
  <conditionalFormatting sqref="S258">
    <cfRule type="cellIs" dxfId="13593" priority="12306" operator="equal">
      <formula>"Tramitando"</formula>
    </cfRule>
    <cfRule type="cellIs" dxfId="13592" priority="12307" operator="equal">
      <formula>"Deferido"</formula>
    </cfRule>
    <cfRule type="cellIs" dxfId="13591" priority="12308" operator="equal">
      <formula>"Indeferido"</formula>
    </cfRule>
  </conditionalFormatting>
  <conditionalFormatting sqref="S258">
    <cfRule type="containsText" dxfId="13590" priority="12305" operator="containsText" text="Cancelado">
      <formula>NOT(ISERROR(SEARCH("Cancelado",S258)))</formula>
    </cfRule>
  </conditionalFormatting>
  <conditionalFormatting sqref="J259">
    <cfRule type="cellIs" dxfId="13589" priority="12301" operator="equal">
      <formula>"Tramitando"</formula>
    </cfRule>
    <cfRule type="cellIs" dxfId="13588" priority="12302" operator="equal">
      <formula>"Deferido"</formula>
    </cfRule>
    <cfRule type="cellIs" dxfId="13587" priority="12303" operator="equal">
      <formula>"Indeferido"</formula>
    </cfRule>
  </conditionalFormatting>
  <conditionalFormatting sqref="J259">
    <cfRule type="containsText" dxfId="13586" priority="12300" operator="containsText" text="Cancelado">
      <formula>NOT(ISERROR(SEARCH("Cancelado",J259)))</formula>
    </cfRule>
  </conditionalFormatting>
  <conditionalFormatting sqref="M259">
    <cfRule type="cellIs" dxfId="13585" priority="12297" operator="equal">
      <formula>"Tramitando"</formula>
    </cfRule>
    <cfRule type="cellIs" dxfId="13584" priority="12298" operator="equal">
      <formula>"Deferido"</formula>
    </cfRule>
    <cfRule type="cellIs" dxfId="13583" priority="12299" operator="equal">
      <formula>"Indeferido"</formula>
    </cfRule>
  </conditionalFormatting>
  <conditionalFormatting sqref="M259">
    <cfRule type="containsText" dxfId="13582" priority="12296" operator="containsText" text="Cancelado">
      <formula>NOT(ISERROR(SEARCH("Cancelado",M259)))</formula>
    </cfRule>
  </conditionalFormatting>
  <conditionalFormatting sqref="O259">
    <cfRule type="cellIs" dxfId="13581" priority="12293" operator="equal">
      <formula>"Tramitando"</formula>
    </cfRule>
    <cfRule type="cellIs" dxfId="13580" priority="12294" operator="equal">
      <formula>"Deferido"</formula>
    </cfRule>
    <cfRule type="cellIs" dxfId="13579" priority="12295" operator="equal">
      <formula>"Indeferido"</formula>
    </cfRule>
  </conditionalFormatting>
  <conditionalFormatting sqref="O259">
    <cfRule type="containsText" dxfId="13578" priority="12292" operator="containsText" text="Cancelado">
      <formula>NOT(ISERROR(SEARCH("Cancelado",O259)))</formula>
    </cfRule>
  </conditionalFormatting>
  <conditionalFormatting sqref="Q259">
    <cfRule type="cellIs" dxfId="13577" priority="12289" operator="equal">
      <formula>"Tramitando"</formula>
    </cfRule>
    <cfRule type="cellIs" dxfId="13576" priority="12290" operator="equal">
      <formula>"Deferido"</formula>
    </cfRule>
    <cfRule type="cellIs" dxfId="13575" priority="12291" operator="equal">
      <formula>"Indeferido"</formula>
    </cfRule>
  </conditionalFormatting>
  <conditionalFormatting sqref="Q259">
    <cfRule type="containsText" dxfId="13574" priority="12288" operator="containsText" text="Cancelado">
      <formula>NOT(ISERROR(SEARCH("Cancelado",Q259)))</formula>
    </cfRule>
  </conditionalFormatting>
  <conditionalFormatting sqref="S259">
    <cfRule type="cellIs" dxfId="13573" priority="12285" operator="equal">
      <formula>"Tramitando"</formula>
    </cfRule>
    <cfRule type="cellIs" dxfId="13572" priority="12286" operator="equal">
      <formula>"Deferido"</formula>
    </cfRule>
    <cfRule type="cellIs" dxfId="13571" priority="12287" operator="equal">
      <formula>"Indeferido"</formula>
    </cfRule>
  </conditionalFormatting>
  <conditionalFormatting sqref="S259">
    <cfRule type="containsText" dxfId="13570" priority="12284" operator="containsText" text="Cancelado">
      <formula>NOT(ISERROR(SEARCH("Cancelado",S259)))</formula>
    </cfRule>
  </conditionalFormatting>
  <conditionalFormatting sqref="J260">
    <cfRule type="cellIs" dxfId="13569" priority="12280" operator="equal">
      <formula>"Tramitando"</formula>
    </cfRule>
    <cfRule type="cellIs" dxfId="13568" priority="12281" operator="equal">
      <formula>"Deferido"</formula>
    </cfRule>
    <cfRule type="cellIs" dxfId="13567" priority="12282" operator="equal">
      <formula>"Indeferido"</formula>
    </cfRule>
  </conditionalFormatting>
  <conditionalFormatting sqref="J260">
    <cfRule type="containsText" dxfId="13566" priority="12279" operator="containsText" text="Cancelado">
      <formula>NOT(ISERROR(SEARCH("Cancelado",J260)))</formula>
    </cfRule>
  </conditionalFormatting>
  <conditionalFormatting sqref="M260">
    <cfRule type="cellIs" dxfId="13565" priority="12276" operator="equal">
      <formula>"Tramitando"</formula>
    </cfRule>
    <cfRule type="cellIs" dxfId="13564" priority="12277" operator="equal">
      <formula>"Deferido"</formula>
    </cfRule>
    <cfRule type="cellIs" dxfId="13563" priority="12278" operator="equal">
      <formula>"Indeferido"</formula>
    </cfRule>
  </conditionalFormatting>
  <conditionalFormatting sqref="M260">
    <cfRule type="containsText" dxfId="13562" priority="12275" operator="containsText" text="Cancelado">
      <formula>NOT(ISERROR(SEARCH("Cancelado",M260)))</formula>
    </cfRule>
  </conditionalFormatting>
  <conditionalFormatting sqref="O260">
    <cfRule type="cellIs" dxfId="13561" priority="12272" operator="equal">
      <formula>"Tramitando"</formula>
    </cfRule>
    <cfRule type="cellIs" dxfId="13560" priority="12273" operator="equal">
      <formula>"Deferido"</formula>
    </cfRule>
    <cfRule type="cellIs" dxfId="13559" priority="12274" operator="equal">
      <formula>"Indeferido"</formula>
    </cfRule>
  </conditionalFormatting>
  <conditionalFormatting sqref="O260">
    <cfRule type="containsText" dxfId="13558" priority="12271" operator="containsText" text="Cancelado">
      <formula>NOT(ISERROR(SEARCH("Cancelado",O260)))</formula>
    </cfRule>
  </conditionalFormatting>
  <conditionalFormatting sqref="Q260">
    <cfRule type="cellIs" dxfId="13557" priority="12268" operator="equal">
      <formula>"Tramitando"</formula>
    </cfRule>
    <cfRule type="cellIs" dxfId="13556" priority="12269" operator="equal">
      <formula>"Deferido"</formula>
    </cfRule>
    <cfRule type="cellIs" dxfId="13555" priority="12270" operator="equal">
      <formula>"Indeferido"</formula>
    </cfRule>
  </conditionalFormatting>
  <conditionalFormatting sqref="Q260">
    <cfRule type="containsText" dxfId="13554" priority="12267" operator="containsText" text="Cancelado">
      <formula>NOT(ISERROR(SEARCH("Cancelado",Q260)))</formula>
    </cfRule>
  </conditionalFormatting>
  <conditionalFormatting sqref="S260">
    <cfRule type="cellIs" dxfId="13553" priority="12264" operator="equal">
      <formula>"Tramitando"</formula>
    </cfRule>
    <cfRule type="cellIs" dxfId="13552" priority="12265" operator="equal">
      <formula>"Deferido"</formula>
    </cfRule>
    <cfRule type="cellIs" dxfId="13551" priority="12266" operator="equal">
      <formula>"Indeferido"</formula>
    </cfRule>
  </conditionalFormatting>
  <conditionalFormatting sqref="S260">
    <cfRule type="containsText" dxfId="13550" priority="12263" operator="containsText" text="Cancelado">
      <formula>NOT(ISERROR(SEARCH("Cancelado",S260)))</formula>
    </cfRule>
  </conditionalFormatting>
  <conditionalFormatting sqref="J261">
    <cfRule type="cellIs" dxfId="13549" priority="12259" operator="equal">
      <formula>"Tramitando"</formula>
    </cfRule>
    <cfRule type="cellIs" dxfId="13548" priority="12260" operator="equal">
      <formula>"Deferido"</formula>
    </cfRule>
    <cfRule type="cellIs" dxfId="13547" priority="12261" operator="equal">
      <formula>"Indeferido"</formula>
    </cfRule>
  </conditionalFormatting>
  <conditionalFormatting sqref="J261">
    <cfRule type="containsText" dxfId="13546" priority="12258" operator="containsText" text="Cancelado">
      <formula>NOT(ISERROR(SEARCH("Cancelado",J261)))</formula>
    </cfRule>
  </conditionalFormatting>
  <conditionalFormatting sqref="M261">
    <cfRule type="cellIs" dxfId="13545" priority="12255" operator="equal">
      <formula>"Tramitando"</formula>
    </cfRule>
    <cfRule type="cellIs" dxfId="13544" priority="12256" operator="equal">
      <formula>"Deferido"</formula>
    </cfRule>
    <cfRule type="cellIs" dxfId="13543" priority="12257" operator="equal">
      <formula>"Indeferido"</formula>
    </cfRule>
  </conditionalFormatting>
  <conditionalFormatting sqref="M261">
    <cfRule type="containsText" dxfId="13542" priority="12254" operator="containsText" text="Cancelado">
      <formula>NOT(ISERROR(SEARCH("Cancelado",M261)))</formula>
    </cfRule>
  </conditionalFormatting>
  <conditionalFormatting sqref="O261">
    <cfRule type="cellIs" dxfId="13541" priority="12251" operator="equal">
      <formula>"Tramitando"</formula>
    </cfRule>
    <cfRule type="cellIs" dxfId="13540" priority="12252" operator="equal">
      <formula>"Deferido"</formula>
    </cfRule>
    <cfRule type="cellIs" dxfId="13539" priority="12253" operator="equal">
      <formula>"Indeferido"</formula>
    </cfRule>
  </conditionalFormatting>
  <conditionalFormatting sqref="O261">
    <cfRule type="containsText" dxfId="13538" priority="12250" operator="containsText" text="Cancelado">
      <formula>NOT(ISERROR(SEARCH("Cancelado",O261)))</formula>
    </cfRule>
  </conditionalFormatting>
  <conditionalFormatting sqref="Q261">
    <cfRule type="cellIs" dxfId="13537" priority="12247" operator="equal">
      <formula>"Tramitando"</formula>
    </cfRule>
    <cfRule type="cellIs" dxfId="13536" priority="12248" operator="equal">
      <formula>"Deferido"</formula>
    </cfRule>
    <cfRule type="cellIs" dxfId="13535" priority="12249" operator="equal">
      <formula>"Indeferido"</formula>
    </cfRule>
  </conditionalFormatting>
  <conditionalFormatting sqref="Q261">
    <cfRule type="containsText" dxfId="13534" priority="12246" operator="containsText" text="Cancelado">
      <formula>NOT(ISERROR(SEARCH("Cancelado",Q261)))</formula>
    </cfRule>
  </conditionalFormatting>
  <conditionalFormatting sqref="S261">
    <cfRule type="cellIs" dxfId="13533" priority="12243" operator="equal">
      <formula>"Tramitando"</formula>
    </cfRule>
    <cfRule type="cellIs" dxfId="13532" priority="12244" operator="equal">
      <formula>"Deferido"</formula>
    </cfRule>
    <cfRule type="cellIs" dxfId="13531" priority="12245" operator="equal">
      <formula>"Indeferido"</formula>
    </cfRule>
  </conditionalFormatting>
  <conditionalFormatting sqref="S261">
    <cfRule type="containsText" dxfId="13530" priority="12242" operator="containsText" text="Cancelado">
      <formula>NOT(ISERROR(SEARCH("Cancelado",S261)))</formula>
    </cfRule>
  </conditionalFormatting>
  <conditionalFormatting sqref="J262">
    <cfRule type="cellIs" dxfId="13529" priority="12238" operator="equal">
      <formula>"Tramitando"</formula>
    </cfRule>
    <cfRule type="cellIs" dxfId="13528" priority="12239" operator="equal">
      <formula>"Deferido"</formula>
    </cfRule>
    <cfRule type="cellIs" dxfId="13527" priority="12240" operator="equal">
      <formula>"Indeferido"</formula>
    </cfRule>
  </conditionalFormatting>
  <conditionalFormatting sqref="J262">
    <cfRule type="containsText" dxfId="13526" priority="12237" operator="containsText" text="Cancelado">
      <formula>NOT(ISERROR(SEARCH("Cancelado",J262)))</formula>
    </cfRule>
  </conditionalFormatting>
  <conditionalFormatting sqref="M262">
    <cfRule type="cellIs" dxfId="13525" priority="12234" operator="equal">
      <formula>"Tramitando"</formula>
    </cfRule>
    <cfRule type="cellIs" dxfId="13524" priority="12235" operator="equal">
      <formula>"Deferido"</formula>
    </cfRule>
    <cfRule type="cellIs" dxfId="13523" priority="12236" operator="equal">
      <formula>"Indeferido"</formula>
    </cfRule>
  </conditionalFormatting>
  <conditionalFormatting sqref="M262">
    <cfRule type="containsText" dxfId="13522" priority="12233" operator="containsText" text="Cancelado">
      <formula>NOT(ISERROR(SEARCH("Cancelado",M262)))</formula>
    </cfRule>
  </conditionalFormatting>
  <conditionalFormatting sqref="O262">
    <cfRule type="cellIs" dxfId="13521" priority="12230" operator="equal">
      <formula>"Tramitando"</formula>
    </cfRule>
    <cfRule type="cellIs" dxfId="13520" priority="12231" operator="equal">
      <formula>"Deferido"</formula>
    </cfRule>
    <cfRule type="cellIs" dxfId="13519" priority="12232" operator="equal">
      <formula>"Indeferido"</formula>
    </cfRule>
  </conditionalFormatting>
  <conditionalFormatting sqref="O262">
    <cfRule type="containsText" dxfId="13518" priority="12229" operator="containsText" text="Cancelado">
      <formula>NOT(ISERROR(SEARCH("Cancelado",O262)))</formula>
    </cfRule>
  </conditionalFormatting>
  <conditionalFormatting sqref="Q262">
    <cfRule type="cellIs" dxfId="13517" priority="12226" operator="equal">
      <formula>"Tramitando"</formula>
    </cfRule>
    <cfRule type="cellIs" dxfId="13516" priority="12227" operator="equal">
      <formula>"Deferido"</formula>
    </cfRule>
    <cfRule type="cellIs" dxfId="13515" priority="12228" operator="equal">
      <formula>"Indeferido"</formula>
    </cfRule>
  </conditionalFormatting>
  <conditionalFormatting sqref="Q262">
    <cfRule type="containsText" dxfId="13514" priority="12225" operator="containsText" text="Cancelado">
      <formula>NOT(ISERROR(SEARCH("Cancelado",Q262)))</formula>
    </cfRule>
  </conditionalFormatting>
  <conditionalFormatting sqref="S262">
    <cfRule type="cellIs" dxfId="13513" priority="12222" operator="equal">
      <formula>"Tramitando"</formula>
    </cfRule>
    <cfRule type="cellIs" dxfId="13512" priority="12223" operator="equal">
      <formula>"Deferido"</formula>
    </cfRule>
    <cfRule type="cellIs" dxfId="13511" priority="12224" operator="equal">
      <formula>"Indeferido"</formula>
    </cfRule>
  </conditionalFormatting>
  <conditionalFormatting sqref="S262">
    <cfRule type="containsText" dxfId="13510" priority="12221" operator="containsText" text="Cancelado">
      <formula>NOT(ISERROR(SEARCH("Cancelado",S262)))</formula>
    </cfRule>
  </conditionalFormatting>
  <conditionalFormatting sqref="J263">
    <cfRule type="cellIs" dxfId="13509" priority="12217" operator="equal">
      <formula>"Tramitando"</formula>
    </cfRule>
    <cfRule type="cellIs" dxfId="13508" priority="12218" operator="equal">
      <formula>"Deferido"</formula>
    </cfRule>
    <cfRule type="cellIs" dxfId="13507" priority="12219" operator="equal">
      <formula>"Indeferido"</formula>
    </cfRule>
  </conditionalFormatting>
  <conditionalFormatting sqref="J263">
    <cfRule type="containsText" dxfId="13506" priority="12216" operator="containsText" text="Cancelado">
      <formula>NOT(ISERROR(SEARCH("Cancelado",J263)))</formula>
    </cfRule>
  </conditionalFormatting>
  <conditionalFormatting sqref="M263">
    <cfRule type="cellIs" dxfId="13505" priority="12213" operator="equal">
      <formula>"Tramitando"</formula>
    </cfRule>
    <cfRule type="cellIs" dxfId="13504" priority="12214" operator="equal">
      <formula>"Deferido"</formula>
    </cfRule>
    <cfRule type="cellIs" dxfId="13503" priority="12215" operator="equal">
      <formula>"Indeferido"</formula>
    </cfRule>
  </conditionalFormatting>
  <conditionalFormatting sqref="M263">
    <cfRule type="containsText" dxfId="13502" priority="12212" operator="containsText" text="Cancelado">
      <formula>NOT(ISERROR(SEARCH("Cancelado",M263)))</formula>
    </cfRule>
  </conditionalFormatting>
  <conditionalFormatting sqref="O263">
    <cfRule type="cellIs" dxfId="13501" priority="12209" operator="equal">
      <formula>"Tramitando"</formula>
    </cfRule>
    <cfRule type="cellIs" dxfId="13500" priority="12210" operator="equal">
      <formula>"Deferido"</formula>
    </cfRule>
    <cfRule type="cellIs" dxfId="13499" priority="12211" operator="equal">
      <formula>"Indeferido"</formula>
    </cfRule>
  </conditionalFormatting>
  <conditionalFormatting sqref="O263">
    <cfRule type="containsText" dxfId="13498" priority="12208" operator="containsText" text="Cancelado">
      <formula>NOT(ISERROR(SEARCH("Cancelado",O263)))</formula>
    </cfRule>
  </conditionalFormatting>
  <conditionalFormatting sqref="Q263">
    <cfRule type="cellIs" dxfId="13497" priority="12205" operator="equal">
      <formula>"Tramitando"</formula>
    </cfRule>
    <cfRule type="cellIs" dxfId="13496" priority="12206" operator="equal">
      <formula>"Deferido"</formula>
    </cfRule>
    <cfRule type="cellIs" dxfId="13495" priority="12207" operator="equal">
      <formula>"Indeferido"</formula>
    </cfRule>
  </conditionalFormatting>
  <conditionalFormatting sqref="Q263">
    <cfRule type="containsText" dxfId="13494" priority="12204" operator="containsText" text="Cancelado">
      <formula>NOT(ISERROR(SEARCH("Cancelado",Q263)))</formula>
    </cfRule>
  </conditionalFormatting>
  <conditionalFormatting sqref="S263">
    <cfRule type="cellIs" dxfId="13493" priority="12201" operator="equal">
      <formula>"Tramitando"</formula>
    </cfRule>
    <cfRule type="cellIs" dxfId="13492" priority="12202" operator="equal">
      <formula>"Deferido"</formula>
    </cfRule>
    <cfRule type="cellIs" dxfId="13491" priority="12203" operator="equal">
      <formula>"Indeferido"</formula>
    </cfRule>
  </conditionalFormatting>
  <conditionalFormatting sqref="S263">
    <cfRule type="containsText" dxfId="13490" priority="12200" operator="containsText" text="Cancelado">
      <formula>NOT(ISERROR(SEARCH("Cancelado",S263)))</formula>
    </cfRule>
  </conditionalFormatting>
  <conditionalFormatting sqref="J264">
    <cfRule type="cellIs" dxfId="13489" priority="12195" operator="equal">
      <formula>"Tramitando"</formula>
    </cfRule>
    <cfRule type="cellIs" dxfId="13488" priority="12196" operator="equal">
      <formula>"Deferido"</formula>
    </cfRule>
    <cfRule type="cellIs" dxfId="13487" priority="12197" operator="equal">
      <formula>"Indeferido"</formula>
    </cfRule>
  </conditionalFormatting>
  <conditionalFormatting sqref="J264">
    <cfRule type="containsText" dxfId="13486" priority="12194" operator="containsText" text="Cancelado">
      <formula>NOT(ISERROR(SEARCH("Cancelado",J264)))</formula>
    </cfRule>
  </conditionalFormatting>
  <conditionalFormatting sqref="M264">
    <cfRule type="cellIs" dxfId="13485" priority="12191" operator="equal">
      <formula>"Tramitando"</formula>
    </cfRule>
    <cfRule type="cellIs" dxfId="13484" priority="12192" operator="equal">
      <formula>"Deferido"</formula>
    </cfRule>
    <cfRule type="cellIs" dxfId="13483" priority="12193" operator="equal">
      <formula>"Indeferido"</formula>
    </cfRule>
  </conditionalFormatting>
  <conditionalFormatting sqref="M264">
    <cfRule type="containsText" dxfId="13482" priority="12190" operator="containsText" text="Cancelado">
      <formula>NOT(ISERROR(SEARCH("Cancelado",M264)))</formula>
    </cfRule>
  </conditionalFormatting>
  <conditionalFormatting sqref="O264">
    <cfRule type="cellIs" dxfId="13481" priority="12187" operator="equal">
      <formula>"Tramitando"</formula>
    </cfRule>
    <cfRule type="cellIs" dxfId="13480" priority="12188" operator="equal">
      <formula>"Deferido"</formula>
    </cfRule>
    <cfRule type="cellIs" dxfId="13479" priority="12189" operator="equal">
      <formula>"Indeferido"</formula>
    </cfRule>
  </conditionalFormatting>
  <conditionalFormatting sqref="O264">
    <cfRule type="containsText" dxfId="13478" priority="12186" operator="containsText" text="Cancelado">
      <formula>NOT(ISERROR(SEARCH("Cancelado",O264)))</formula>
    </cfRule>
  </conditionalFormatting>
  <conditionalFormatting sqref="Q264">
    <cfRule type="cellIs" dxfId="13477" priority="12183" operator="equal">
      <formula>"Tramitando"</formula>
    </cfRule>
    <cfRule type="cellIs" dxfId="13476" priority="12184" operator="equal">
      <formula>"Deferido"</formula>
    </cfRule>
    <cfRule type="cellIs" dxfId="13475" priority="12185" operator="equal">
      <formula>"Indeferido"</formula>
    </cfRule>
  </conditionalFormatting>
  <conditionalFormatting sqref="Q264">
    <cfRule type="containsText" dxfId="13474" priority="12182" operator="containsText" text="Cancelado">
      <formula>NOT(ISERROR(SEARCH("Cancelado",Q264)))</formula>
    </cfRule>
  </conditionalFormatting>
  <conditionalFormatting sqref="S264">
    <cfRule type="cellIs" dxfId="13473" priority="12179" operator="equal">
      <formula>"Tramitando"</formula>
    </cfRule>
    <cfRule type="cellIs" dxfId="13472" priority="12180" operator="equal">
      <formula>"Deferido"</formula>
    </cfRule>
    <cfRule type="cellIs" dxfId="13471" priority="12181" operator="equal">
      <formula>"Indeferido"</formula>
    </cfRule>
  </conditionalFormatting>
  <conditionalFormatting sqref="S264">
    <cfRule type="containsText" dxfId="13470" priority="12178" operator="containsText" text="Cancelado">
      <formula>NOT(ISERROR(SEARCH("Cancelado",S264)))</formula>
    </cfRule>
  </conditionalFormatting>
  <conditionalFormatting sqref="J265:J266">
    <cfRule type="cellIs" dxfId="13469" priority="12173" operator="equal">
      <formula>"Tramitando"</formula>
    </cfRule>
    <cfRule type="cellIs" dxfId="13468" priority="12174" operator="equal">
      <formula>"Deferido"</formula>
    </cfRule>
    <cfRule type="cellIs" dxfId="13467" priority="12175" operator="equal">
      <formula>"Indeferido"</formula>
    </cfRule>
  </conditionalFormatting>
  <conditionalFormatting sqref="J265:J266">
    <cfRule type="containsText" dxfId="13466" priority="12172" operator="containsText" text="Cancelado">
      <formula>NOT(ISERROR(SEARCH("Cancelado",J265)))</formula>
    </cfRule>
  </conditionalFormatting>
  <conditionalFormatting sqref="M265:M266">
    <cfRule type="cellIs" dxfId="13465" priority="12169" operator="equal">
      <formula>"Tramitando"</formula>
    </cfRule>
    <cfRule type="cellIs" dxfId="13464" priority="12170" operator="equal">
      <formula>"Deferido"</formula>
    </cfRule>
    <cfRule type="cellIs" dxfId="13463" priority="12171" operator="equal">
      <formula>"Indeferido"</formula>
    </cfRule>
  </conditionalFormatting>
  <conditionalFormatting sqref="M265:M266">
    <cfRule type="containsText" dxfId="13462" priority="12168" operator="containsText" text="Cancelado">
      <formula>NOT(ISERROR(SEARCH("Cancelado",M265)))</formula>
    </cfRule>
  </conditionalFormatting>
  <conditionalFormatting sqref="O265:O266">
    <cfRule type="cellIs" dxfId="13461" priority="12165" operator="equal">
      <formula>"Tramitando"</formula>
    </cfRule>
    <cfRule type="cellIs" dxfId="13460" priority="12166" operator="equal">
      <formula>"Deferido"</formula>
    </cfRule>
    <cfRule type="cellIs" dxfId="13459" priority="12167" operator="equal">
      <formula>"Indeferido"</formula>
    </cfRule>
  </conditionalFormatting>
  <conditionalFormatting sqref="O265:O266">
    <cfRule type="containsText" dxfId="13458" priority="12164" operator="containsText" text="Cancelado">
      <formula>NOT(ISERROR(SEARCH("Cancelado",O265)))</formula>
    </cfRule>
  </conditionalFormatting>
  <conditionalFormatting sqref="Q265:Q266">
    <cfRule type="cellIs" dxfId="13457" priority="12161" operator="equal">
      <formula>"Tramitando"</formula>
    </cfRule>
    <cfRule type="cellIs" dxfId="13456" priority="12162" operator="equal">
      <formula>"Deferido"</formula>
    </cfRule>
    <cfRule type="cellIs" dxfId="13455" priority="12163" operator="equal">
      <formula>"Indeferido"</formula>
    </cfRule>
  </conditionalFormatting>
  <conditionalFormatting sqref="Q265:Q266">
    <cfRule type="containsText" dxfId="13454" priority="12160" operator="containsText" text="Cancelado">
      <formula>NOT(ISERROR(SEARCH("Cancelado",Q265)))</formula>
    </cfRule>
  </conditionalFormatting>
  <conditionalFormatting sqref="S265:S266">
    <cfRule type="cellIs" dxfId="13453" priority="12157" operator="equal">
      <formula>"Tramitando"</formula>
    </cfRule>
    <cfRule type="cellIs" dxfId="13452" priority="12158" operator="equal">
      <formula>"Deferido"</formula>
    </cfRule>
    <cfRule type="cellIs" dxfId="13451" priority="12159" operator="equal">
      <formula>"Indeferido"</formula>
    </cfRule>
  </conditionalFormatting>
  <conditionalFormatting sqref="S265:S266">
    <cfRule type="containsText" dxfId="13450" priority="12156" operator="containsText" text="Cancelado">
      <formula>NOT(ISERROR(SEARCH("Cancelado",S265)))</formula>
    </cfRule>
  </conditionalFormatting>
  <conditionalFormatting sqref="J267">
    <cfRule type="cellIs" dxfId="13449" priority="12152" operator="equal">
      <formula>"Tramitando"</formula>
    </cfRule>
    <cfRule type="cellIs" dxfId="13448" priority="12153" operator="equal">
      <formula>"Deferido"</formula>
    </cfRule>
    <cfRule type="cellIs" dxfId="13447" priority="12154" operator="equal">
      <formula>"Indeferido"</formula>
    </cfRule>
  </conditionalFormatting>
  <conditionalFormatting sqref="J267">
    <cfRule type="containsText" dxfId="13446" priority="12151" operator="containsText" text="Cancelado">
      <formula>NOT(ISERROR(SEARCH("Cancelado",J267)))</formula>
    </cfRule>
  </conditionalFormatting>
  <conditionalFormatting sqref="M267">
    <cfRule type="cellIs" dxfId="13445" priority="12148" operator="equal">
      <formula>"Tramitando"</formula>
    </cfRule>
    <cfRule type="cellIs" dxfId="13444" priority="12149" operator="equal">
      <formula>"Deferido"</formula>
    </cfRule>
    <cfRule type="cellIs" dxfId="13443" priority="12150" operator="equal">
      <formula>"Indeferido"</formula>
    </cfRule>
  </conditionalFormatting>
  <conditionalFormatting sqref="M267">
    <cfRule type="containsText" dxfId="13442" priority="12147" operator="containsText" text="Cancelado">
      <formula>NOT(ISERROR(SEARCH("Cancelado",M267)))</formula>
    </cfRule>
  </conditionalFormatting>
  <conditionalFormatting sqref="O267">
    <cfRule type="cellIs" dxfId="13441" priority="12144" operator="equal">
      <formula>"Tramitando"</formula>
    </cfRule>
    <cfRule type="cellIs" dxfId="13440" priority="12145" operator="equal">
      <formula>"Deferido"</formula>
    </cfRule>
    <cfRule type="cellIs" dxfId="13439" priority="12146" operator="equal">
      <formula>"Indeferido"</formula>
    </cfRule>
  </conditionalFormatting>
  <conditionalFormatting sqref="O267">
    <cfRule type="containsText" dxfId="13438" priority="12143" operator="containsText" text="Cancelado">
      <formula>NOT(ISERROR(SEARCH("Cancelado",O267)))</formula>
    </cfRule>
  </conditionalFormatting>
  <conditionalFormatting sqref="Q267">
    <cfRule type="cellIs" dxfId="13437" priority="12140" operator="equal">
      <formula>"Tramitando"</formula>
    </cfRule>
    <cfRule type="cellIs" dxfId="13436" priority="12141" operator="equal">
      <formula>"Deferido"</formula>
    </cfRule>
    <cfRule type="cellIs" dxfId="13435" priority="12142" operator="equal">
      <formula>"Indeferido"</formula>
    </cfRule>
  </conditionalFormatting>
  <conditionalFormatting sqref="Q267">
    <cfRule type="containsText" dxfId="13434" priority="12139" operator="containsText" text="Cancelado">
      <formula>NOT(ISERROR(SEARCH("Cancelado",Q267)))</formula>
    </cfRule>
  </conditionalFormatting>
  <conditionalFormatting sqref="S267">
    <cfRule type="cellIs" dxfId="13433" priority="12136" operator="equal">
      <formula>"Tramitando"</formula>
    </cfRule>
    <cfRule type="cellIs" dxfId="13432" priority="12137" operator="equal">
      <formula>"Deferido"</formula>
    </cfRule>
    <cfRule type="cellIs" dxfId="13431" priority="12138" operator="equal">
      <formula>"Indeferido"</formula>
    </cfRule>
  </conditionalFormatting>
  <conditionalFormatting sqref="S267">
    <cfRule type="containsText" dxfId="13430" priority="12135" operator="containsText" text="Cancelado">
      <formula>NOT(ISERROR(SEARCH("Cancelado",S267)))</formula>
    </cfRule>
  </conditionalFormatting>
  <conditionalFormatting sqref="J268">
    <cfRule type="cellIs" dxfId="13429" priority="12131" operator="equal">
      <formula>"Tramitando"</formula>
    </cfRule>
    <cfRule type="cellIs" dxfId="13428" priority="12132" operator="equal">
      <formula>"Deferido"</formula>
    </cfRule>
    <cfRule type="cellIs" dxfId="13427" priority="12133" operator="equal">
      <formula>"Indeferido"</formula>
    </cfRule>
  </conditionalFormatting>
  <conditionalFormatting sqref="J268">
    <cfRule type="containsText" dxfId="13426" priority="12130" operator="containsText" text="Cancelado">
      <formula>NOT(ISERROR(SEARCH("Cancelado",J268)))</formula>
    </cfRule>
  </conditionalFormatting>
  <conditionalFormatting sqref="M268">
    <cfRule type="cellIs" dxfId="13425" priority="12127" operator="equal">
      <formula>"Tramitando"</formula>
    </cfRule>
    <cfRule type="cellIs" dxfId="13424" priority="12128" operator="equal">
      <formula>"Deferido"</formula>
    </cfRule>
    <cfRule type="cellIs" dxfId="13423" priority="12129" operator="equal">
      <formula>"Indeferido"</formula>
    </cfRule>
  </conditionalFormatting>
  <conditionalFormatting sqref="M268">
    <cfRule type="containsText" dxfId="13422" priority="12126" operator="containsText" text="Cancelado">
      <formula>NOT(ISERROR(SEARCH("Cancelado",M268)))</formula>
    </cfRule>
  </conditionalFormatting>
  <conditionalFormatting sqref="O268">
    <cfRule type="cellIs" dxfId="13421" priority="12123" operator="equal">
      <formula>"Tramitando"</formula>
    </cfRule>
    <cfRule type="cellIs" dxfId="13420" priority="12124" operator="equal">
      <formula>"Deferido"</formula>
    </cfRule>
    <cfRule type="cellIs" dxfId="13419" priority="12125" operator="equal">
      <formula>"Indeferido"</formula>
    </cfRule>
  </conditionalFormatting>
  <conditionalFormatting sqref="O268">
    <cfRule type="containsText" dxfId="13418" priority="12122" operator="containsText" text="Cancelado">
      <formula>NOT(ISERROR(SEARCH("Cancelado",O268)))</formula>
    </cfRule>
  </conditionalFormatting>
  <conditionalFormatting sqref="Q268">
    <cfRule type="cellIs" dxfId="13417" priority="12119" operator="equal">
      <formula>"Tramitando"</formula>
    </cfRule>
    <cfRule type="cellIs" dxfId="13416" priority="12120" operator="equal">
      <formula>"Deferido"</formula>
    </cfRule>
    <cfRule type="cellIs" dxfId="13415" priority="12121" operator="equal">
      <formula>"Indeferido"</formula>
    </cfRule>
  </conditionalFormatting>
  <conditionalFormatting sqref="Q268">
    <cfRule type="containsText" dxfId="13414" priority="12118" operator="containsText" text="Cancelado">
      <formula>NOT(ISERROR(SEARCH("Cancelado",Q268)))</formula>
    </cfRule>
  </conditionalFormatting>
  <conditionalFormatting sqref="S268">
    <cfRule type="cellIs" dxfId="13413" priority="12115" operator="equal">
      <formula>"Tramitando"</formula>
    </cfRule>
    <cfRule type="cellIs" dxfId="13412" priority="12116" operator="equal">
      <formula>"Deferido"</formula>
    </cfRule>
    <cfRule type="cellIs" dxfId="13411" priority="12117" operator="equal">
      <formula>"Indeferido"</formula>
    </cfRule>
  </conditionalFormatting>
  <conditionalFormatting sqref="S268">
    <cfRule type="containsText" dxfId="13410" priority="12114" operator="containsText" text="Cancelado">
      <formula>NOT(ISERROR(SEARCH("Cancelado",S268)))</formula>
    </cfRule>
  </conditionalFormatting>
  <conditionalFormatting sqref="J269">
    <cfRule type="cellIs" dxfId="13409" priority="12108" operator="equal">
      <formula>"Tramitando"</formula>
    </cfRule>
    <cfRule type="cellIs" dxfId="13408" priority="12109" operator="equal">
      <formula>"Deferido"</formula>
    </cfRule>
    <cfRule type="cellIs" dxfId="13407" priority="12110" operator="equal">
      <formula>"Indeferido"</formula>
    </cfRule>
  </conditionalFormatting>
  <conditionalFormatting sqref="J269">
    <cfRule type="containsText" dxfId="13406" priority="12107" operator="containsText" text="Cancelado">
      <formula>NOT(ISERROR(SEARCH("Cancelado",J269)))</formula>
    </cfRule>
  </conditionalFormatting>
  <conditionalFormatting sqref="M269">
    <cfRule type="cellIs" dxfId="13405" priority="12104" operator="equal">
      <formula>"Tramitando"</formula>
    </cfRule>
    <cfRule type="cellIs" dxfId="13404" priority="12105" operator="equal">
      <formula>"Deferido"</formula>
    </cfRule>
    <cfRule type="cellIs" dxfId="13403" priority="12106" operator="equal">
      <formula>"Indeferido"</formula>
    </cfRule>
  </conditionalFormatting>
  <conditionalFormatting sqref="M269">
    <cfRule type="containsText" dxfId="13402" priority="12103" operator="containsText" text="Cancelado">
      <formula>NOT(ISERROR(SEARCH("Cancelado",M269)))</formula>
    </cfRule>
  </conditionalFormatting>
  <conditionalFormatting sqref="O269">
    <cfRule type="cellIs" dxfId="13401" priority="12100" operator="equal">
      <formula>"Tramitando"</formula>
    </cfRule>
    <cfRule type="cellIs" dxfId="13400" priority="12101" operator="equal">
      <formula>"Deferido"</formula>
    </cfRule>
    <cfRule type="cellIs" dxfId="13399" priority="12102" operator="equal">
      <formula>"Indeferido"</formula>
    </cfRule>
  </conditionalFormatting>
  <conditionalFormatting sqref="O269">
    <cfRule type="containsText" dxfId="13398" priority="12099" operator="containsText" text="Cancelado">
      <formula>NOT(ISERROR(SEARCH("Cancelado",O269)))</formula>
    </cfRule>
  </conditionalFormatting>
  <conditionalFormatting sqref="Q269">
    <cfRule type="cellIs" dxfId="13397" priority="12096" operator="equal">
      <formula>"Tramitando"</formula>
    </cfRule>
    <cfRule type="cellIs" dxfId="13396" priority="12097" operator="equal">
      <formula>"Deferido"</formula>
    </cfRule>
    <cfRule type="cellIs" dxfId="13395" priority="12098" operator="equal">
      <formula>"Indeferido"</formula>
    </cfRule>
  </conditionalFormatting>
  <conditionalFormatting sqref="Q269">
    <cfRule type="containsText" dxfId="13394" priority="12095" operator="containsText" text="Cancelado">
      <formula>NOT(ISERROR(SEARCH("Cancelado",Q269)))</formula>
    </cfRule>
  </conditionalFormatting>
  <conditionalFormatting sqref="S269">
    <cfRule type="cellIs" dxfId="13393" priority="12092" operator="equal">
      <formula>"Tramitando"</formula>
    </cfRule>
    <cfRule type="cellIs" dxfId="13392" priority="12093" operator="equal">
      <formula>"Deferido"</formula>
    </cfRule>
    <cfRule type="cellIs" dxfId="13391" priority="12094" operator="equal">
      <formula>"Indeferido"</formula>
    </cfRule>
  </conditionalFormatting>
  <conditionalFormatting sqref="S269">
    <cfRule type="containsText" dxfId="13390" priority="12091" operator="containsText" text="Cancelado">
      <formula>NOT(ISERROR(SEARCH("Cancelado",S269)))</formula>
    </cfRule>
  </conditionalFormatting>
  <conditionalFormatting sqref="J270">
    <cfRule type="cellIs" dxfId="13389" priority="12087" operator="equal">
      <formula>"Tramitando"</formula>
    </cfRule>
    <cfRule type="cellIs" dxfId="13388" priority="12088" operator="equal">
      <formula>"Deferido"</formula>
    </cfRule>
    <cfRule type="cellIs" dxfId="13387" priority="12089" operator="equal">
      <formula>"Indeferido"</formula>
    </cfRule>
  </conditionalFormatting>
  <conditionalFormatting sqref="J270">
    <cfRule type="containsText" dxfId="13386" priority="12086" operator="containsText" text="Cancelado">
      <formula>NOT(ISERROR(SEARCH("Cancelado",J270)))</formula>
    </cfRule>
  </conditionalFormatting>
  <conditionalFormatting sqref="M270">
    <cfRule type="cellIs" dxfId="13385" priority="12083" operator="equal">
      <formula>"Tramitando"</formula>
    </cfRule>
    <cfRule type="cellIs" dxfId="13384" priority="12084" operator="equal">
      <formula>"Deferido"</formula>
    </cfRule>
    <cfRule type="cellIs" dxfId="13383" priority="12085" operator="equal">
      <formula>"Indeferido"</formula>
    </cfRule>
  </conditionalFormatting>
  <conditionalFormatting sqref="M270">
    <cfRule type="containsText" dxfId="13382" priority="12082" operator="containsText" text="Cancelado">
      <formula>NOT(ISERROR(SEARCH("Cancelado",M270)))</formula>
    </cfRule>
  </conditionalFormatting>
  <conditionalFormatting sqref="O270">
    <cfRule type="cellIs" dxfId="13381" priority="12079" operator="equal">
      <formula>"Tramitando"</formula>
    </cfRule>
    <cfRule type="cellIs" dxfId="13380" priority="12080" operator="equal">
      <formula>"Deferido"</formula>
    </cfRule>
    <cfRule type="cellIs" dxfId="13379" priority="12081" operator="equal">
      <formula>"Indeferido"</formula>
    </cfRule>
  </conditionalFormatting>
  <conditionalFormatting sqref="O270">
    <cfRule type="containsText" dxfId="13378" priority="12078" operator="containsText" text="Cancelado">
      <formula>NOT(ISERROR(SEARCH("Cancelado",O270)))</formula>
    </cfRule>
  </conditionalFormatting>
  <conditionalFormatting sqref="Q270">
    <cfRule type="cellIs" dxfId="13377" priority="12075" operator="equal">
      <formula>"Tramitando"</formula>
    </cfRule>
    <cfRule type="cellIs" dxfId="13376" priority="12076" operator="equal">
      <formula>"Deferido"</formula>
    </cfRule>
    <cfRule type="cellIs" dxfId="13375" priority="12077" operator="equal">
      <formula>"Indeferido"</formula>
    </cfRule>
  </conditionalFormatting>
  <conditionalFormatting sqref="Q270">
    <cfRule type="containsText" dxfId="13374" priority="12074" operator="containsText" text="Cancelado">
      <formula>NOT(ISERROR(SEARCH("Cancelado",Q270)))</formula>
    </cfRule>
  </conditionalFormatting>
  <conditionalFormatting sqref="S270">
    <cfRule type="cellIs" dxfId="13373" priority="12071" operator="equal">
      <formula>"Tramitando"</formula>
    </cfRule>
    <cfRule type="cellIs" dxfId="13372" priority="12072" operator="equal">
      <formula>"Deferido"</formula>
    </cfRule>
    <cfRule type="cellIs" dxfId="13371" priority="12073" operator="equal">
      <formula>"Indeferido"</formula>
    </cfRule>
  </conditionalFormatting>
  <conditionalFormatting sqref="S270">
    <cfRule type="containsText" dxfId="13370" priority="12070" operator="containsText" text="Cancelado">
      <formula>NOT(ISERROR(SEARCH("Cancelado",S270)))</formula>
    </cfRule>
  </conditionalFormatting>
  <conditionalFormatting sqref="J271">
    <cfRule type="cellIs" dxfId="13369" priority="12066" operator="equal">
      <formula>"Tramitando"</formula>
    </cfRule>
    <cfRule type="cellIs" dxfId="13368" priority="12067" operator="equal">
      <formula>"Deferido"</formula>
    </cfRule>
    <cfRule type="cellIs" dxfId="13367" priority="12068" operator="equal">
      <formula>"Indeferido"</formula>
    </cfRule>
  </conditionalFormatting>
  <conditionalFormatting sqref="J271">
    <cfRule type="containsText" dxfId="13366" priority="12065" operator="containsText" text="Cancelado">
      <formula>NOT(ISERROR(SEARCH("Cancelado",J271)))</formula>
    </cfRule>
  </conditionalFormatting>
  <conditionalFormatting sqref="M271">
    <cfRule type="cellIs" dxfId="13365" priority="12062" operator="equal">
      <formula>"Tramitando"</formula>
    </cfRule>
    <cfRule type="cellIs" dxfId="13364" priority="12063" operator="equal">
      <formula>"Deferido"</formula>
    </cfRule>
    <cfRule type="cellIs" dxfId="13363" priority="12064" operator="equal">
      <formula>"Indeferido"</formula>
    </cfRule>
  </conditionalFormatting>
  <conditionalFormatting sqref="M271">
    <cfRule type="containsText" dxfId="13362" priority="12061" operator="containsText" text="Cancelado">
      <formula>NOT(ISERROR(SEARCH("Cancelado",M271)))</formula>
    </cfRule>
  </conditionalFormatting>
  <conditionalFormatting sqref="O271">
    <cfRule type="cellIs" dxfId="13361" priority="12058" operator="equal">
      <formula>"Tramitando"</formula>
    </cfRule>
    <cfRule type="cellIs" dxfId="13360" priority="12059" operator="equal">
      <formula>"Deferido"</formula>
    </cfRule>
    <cfRule type="cellIs" dxfId="13359" priority="12060" operator="equal">
      <formula>"Indeferido"</formula>
    </cfRule>
  </conditionalFormatting>
  <conditionalFormatting sqref="O271">
    <cfRule type="containsText" dxfId="13358" priority="12057" operator="containsText" text="Cancelado">
      <formula>NOT(ISERROR(SEARCH("Cancelado",O271)))</formula>
    </cfRule>
  </conditionalFormatting>
  <conditionalFormatting sqref="Q271">
    <cfRule type="cellIs" dxfId="13357" priority="12054" operator="equal">
      <formula>"Tramitando"</formula>
    </cfRule>
    <cfRule type="cellIs" dxfId="13356" priority="12055" operator="equal">
      <formula>"Deferido"</formula>
    </cfRule>
    <cfRule type="cellIs" dxfId="13355" priority="12056" operator="equal">
      <formula>"Indeferido"</formula>
    </cfRule>
  </conditionalFormatting>
  <conditionalFormatting sqref="Q271">
    <cfRule type="containsText" dxfId="13354" priority="12053" operator="containsText" text="Cancelado">
      <formula>NOT(ISERROR(SEARCH("Cancelado",Q271)))</formula>
    </cfRule>
  </conditionalFormatting>
  <conditionalFormatting sqref="S271">
    <cfRule type="cellIs" dxfId="13353" priority="12050" operator="equal">
      <formula>"Tramitando"</formula>
    </cfRule>
    <cfRule type="cellIs" dxfId="13352" priority="12051" operator="equal">
      <formula>"Deferido"</formula>
    </cfRule>
    <cfRule type="cellIs" dxfId="13351" priority="12052" operator="equal">
      <formula>"Indeferido"</formula>
    </cfRule>
  </conditionalFormatting>
  <conditionalFormatting sqref="S271">
    <cfRule type="containsText" dxfId="13350" priority="12049" operator="containsText" text="Cancelado">
      <formula>NOT(ISERROR(SEARCH("Cancelado",S271)))</formula>
    </cfRule>
  </conditionalFormatting>
  <conditionalFormatting sqref="J272">
    <cfRule type="cellIs" dxfId="13349" priority="12045" operator="equal">
      <formula>"Tramitando"</formula>
    </cfRule>
    <cfRule type="cellIs" dxfId="13348" priority="12046" operator="equal">
      <formula>"Deferido"</formula>
    </cfRule>
    <cfRule type="cellIs" dxfId="13347" priority="12047" operator="equal">
      <formula>"Indeferido"</formula>
    </cfRule>
  </conditionalFormatting>
  <conditionalFormatting sqref="J272">
    <cfRule type="containsText" dxfId="13346" priority="12044" operator="containsText" text="Cancelado">
      <formula>NOT(ISERROR(SEARCH("Cancelado",J272)))</formula>
    </cfRule>
  </conditionalFormatting>
  <conditionalFormatting sqref="M272">
    <cfRule type="cellIs" dxfId="13345" priority="12041" operator="equal">
      <formula>"Tramitando"</formula>
    </cfRule>
    <cfRule type="cellIs" dxfId="13344" priority="12042" operator="equal">
      <formula>"Deferido"</formula>
    </cfRule>
    <cfRule type="cellIs" dxfId="13343" priority="12043" operator="equal">
      <formula>"Indeferido"</formula>
    </cfRule>
  </conditionalFormatting>
  <conditionalFormatting sqref="M272">
    <cfRule type="containsText" dxfId="13342" priority="12040" operator="containsText" text="Cancelado">
      <formula>NOT(ISERROR(SEARCH("Cancelado",M272)))</formula>
    </cfRule>
  </conditionalFormatting>
  <conditionalFormatting sqref="O272">
    <cfRule type="cellIs" dxfId="13341" priority="12037" operator="equal">
      <formula>"Tramitando"</formula>
    </cfRule>
    <cfRule type="cellIs" dxfId="13340" priority="12038" operator="equal">
      <formula>"Deferido"</formula>
    </cfRule>
    <cfRule type="cellIs" dxfId="13339" priority="12039" operator="equal">
      <formula>"Indeferido"</formula>
    </cfRule>
  </conditionalFormatting>
  <conditionalFormatting sqref="O272">
    <cfRule type="containsText" dxfId="13338" priority="12036" operator="containsText" text="Cancelado">
      <formula>NOT(ISERROR(SEARCH("Cancelado",O272)))</formula>
    </cfRule>
  </conditionalFormatting>
  <conditionalFormatting sqref="Q272">
    <cfRule type="cellIs" dxfId="13337" priority="12033" operator="equal">
      <formula>"Tramitando"</formula>
    </cfRule>
    <cfRule type="cellIs" dxfId="13336" priority="12034" operator="equal">
      <formula>"Deferido"</formula>
    </cfRule>
    <cfRule type="cellIs" dxfId="13335" priority="12035" operator="equal">
      <formula>"Indeferido"</formula>
    </cfRule>
  </conditionalFormatting>
  <conditionalFormatting sqref="Q272">
    <cfRule type="containsText" dxfId="13334" priority="12032" operator="containsText" text="Cancelado">
      <formula>NOT(ISERROR(SEARCH("Cancelado",Q272)))</formula>
    </cfRule>
  </conditionalFormatting>
  <conditionalFormatting sqref="S272">
    <cfRule type="cellIs" dxfId="13333" priority="12029" operator="equal">
      <formula>"Tramitando"</formula>
    </cfRule>
    <cfRule type="cellIs" dxfId="13332" priority="12030" operator="equal">
      <formula>"Deferido"</formula>
    </cfRule>
    <cfRule type="cellIs" dxfId="13331" priority="12031" operator="equal">
      <formula>"Indeferido"</formula>
    </cfRule>
  </conditionalFormatting>
  <conditionalFormatting sqref="S272">
    <cfRule type="containsText" dxfId="13330" priority="12028" operator="containsText" text="Cancelado">
      <formula>NOT(ISERROR(SEARCH("Cancelado",S272)))</formula>
    </cfRule>
  </conditionalFormatting>
  <conditionalFormatting sqref="J273">
    <cfRule type="cellIs" dxfId="13329" priority="12024" operator="equal">
      <formula>"Tramitando"</formula>
    </cfRule>
    <cfRule type="cellIs" dxfId="13328" priority="12025" operator="equal">
      <formula>"Deferido"</formula>
    </cfRule>
    <cfRule type="cellIs" dxfId="13327" priority="12026" operator="equal">
      <formula>"Indeferido"</formula>
    </cfRule>
  </conditionalFormatting>
  <conditionalFormatting sqref="J273">
    <cfRule type="containsText" dxfId="13326" priority="12023" operator="containsText" text="Cancelado">
      <formula>NOT(ISERROR(SEARCH("Cancelado",J273)))</formula>
    </cfRule>
  </conditionalFormatting>
  <conditionalFormatting sqref="M273">
    <cfRule type="cellIs" dxfId="13325" priority="12020" operator="equal">
      <formula>"Tramitando"</formula>
    </cfRule>
    <cfRule type="cellIs" dxfId="13324" priority="12021" operator="equal">
      <formula>"Deferido"</formula>
    </cfRule>
    <cfRule type="cellIs" dxfId="13323" priority="12022" operator="equal">
      <formula>"Indeferido"</formula>
    </cfRule>
  </conditionalFormatting>
  <conditionalFormatting sqref="M273">
    <cfRule type="containsText" dxfId="13322" priority="12019" operator="containsText" text="Cancelado">
      <formula>NOT(ISERROR(SEARCH("Cancelado",M273)))</formula>
    </cfRule>
  </conditionalFormatting>
  <conditionalFormatting sqref="O273">
    <cfRule type="cellIs" dxfId="13321" priority="12016" operator="equal">
      <formula>"Tramitando"</formula>
    </cfRule>
    <cfRule type="cellIs" dxfId="13320" priority="12017" operator="equal">
      <formula>"Deferido"</formula>
    </cfRule>
    <cfRule type="cellIs" dxfId="13319" priority="12018" operator="equal">
      <formula>"Indeferido"</formula>
    </cfRule>
  </conditionalFormatting>
  <conditionalFormatting sqref="O273">
    <cfRule type="containsText" dxfId="13318" priority="12015" operator="containsText" text="Cancelado">
      <formula>NOT(ISERROR(SEARCH("Cancelado",O273)))</formula>
    </cfRule>
  </conditionalFormatting>
  <conditionalFormatting sqref="Q273">
    <cfRule type="cellIs" dxfId="13317" priority="12012" operator="equal">
      <formula>"Tramitando"</formula>
    </cfRule>
    <cfRule type="cellIs" dxfId="13316" priority="12013" operator="equal">
      <formula>"Deferido"</formula>
    </cfRule>
    <cfRule type="cellIs" dxfId="13315" priority="12014" operator="equal">
      <formula>"Indeferido"</formula>
    </cfRule>
  </conditionalFormatting>
  <conditionalFormatting sqref="Q273">
    <cfRule type="containsText" dxfId="13314" priority="12011" operator="containsText" text="Cancelado">
      <formula>NOT(ISERROR(SEARCH("Cancelado",Q273)))</formula>
    </cfRule>
  </conditionalFormatting>
  <conditionalFormatting sqref="S273">
    <cfRule type="cellIs" dxfId="13313" priority="12008" operator="equal">
      <formula>"Tramitando"</formula>
    </cfRule>
    <cfRule type="cellIs" dxfId="13312" priority="12009" operator="equal">
      <formula>"Deferido"</formula>
    </cfRule>
    <cfRule type="cellIs" dxfId="13311" priority="12010" operator="equal">
      <formula>"Indeferido"</formula>
    </cfRule>
  </conditionalFormatting>
  <conditionalFormatting sqref="S273">
    <cfRule type="containsText" dxfId="13310" priority="12007" operator="containsText" text="Cancelado">
      <formula>NOT(ISERROR(SEARCH("Cancelado",S273)))</formula>
    </cfRule>
  </conditionalFormatting>
  <conditionalFormatting sqref="J274">
    <cfRule type="cellIs" dxfId="13309" priority="12003" operator="equal">
      <formula>"Tramitando"</formula>
    </cfRule>
    <cfRule type="cellIs" dxfId="13308" priority="12004" operator="equal">
      <formula>"Deferido"</formula>
    </cfRule>
    <cfRule type="cellIs" dxfId="13307" priority="12005" operator="equal">
      <formula>"Indeferido"</formula>
    </cfRule>
  </conditionalFormatting>
  <conditionalFormatting sqref="J274">
    <cfRule type="containsText" dxfId="13306" priority="12002" operator="containsText" text="Cancelado">
      <formula>NOT(ISERROR(SEARCH("Cancelado",J274)))</formula>
    </cfRule>
  </conditionalFormatting>
  <conditionalFormatting sqref="M274">
    <cfRule type="cellIs" dxfId="13305" priority="11999" operator="equal">
      <formula>"Tramitando"</formula>
    </cfRule>
    <cfRule type="cellIs" dxfId="13304" priority="12000" operator="equal">
      <formula>"Deferido"</formula>
    </cfRule>
    <cfRule type="cellIs" dxfId="13303" priority="12001" operator="equal">
      <formula>"Indeferido"</formula>
    </cfRule>
  </conditionalFormatting>
  <conditionalFormatting sqref="M274">
    <cfRule type="containsText" dxfId="13302" priority="11998" operator="containsText" text="Cancelado">
      <formula>NOT(ISERROR(SEARCH("Cancelado",M274)))</formula>
    </cfRule>
  </conditionalFormatting>
  <conditionalFormatting sqref="O274">
    <cfRule type="cellIs" dxfId="13301" priority="11995" operator="equal">
      <formula>"Tramitando"</formula>
    </cfRule>
    <cfRule type="cellIs" dxfId="13300" priority="11996" operator="equal">
      <formula>"Deferido"</formula>
    </cfRule>
    <cfRule type="cellIs" dxfId="13299" priority="11997" operator="equal">
      <formula>"Indeferido"</formula>
    </cfRule>
  </conditionalFormatting>
  <conditionalFormatting sqref="O274">
    <cfRule type="containsText" dxfId="13298" priority="11994" operator="containsText" text="Cancelado">
      <formula>NOT(ISERROR(SEARCH("Cancelado",O274)))</formula>
    </cfRule>
  </conditionalFormatting>
  <conditionalFormatting sqref="Q274">
    <cfRule type="cellIs" dxfId="13297" priority="11991" operator="equal">
      <formula>"Tramitando"</formula>
    </cfRule>
    <cfRule type="cellIs" dxfId="13296" priority="11992" operator="equal">
      <formula>"Deferido"</formula>
    </cfRule>
    <cfRule type="cellIs" dxfId="13295" priority="11993" operator="equal">
      <formula>"Indeferido"</formula>
    </cfRule>
  </conditionalFormatting>
  <conditionalFormatting sqref="Q274">
    <cfRule type="containsText" dxfId="13294" priority="11990" operator="containsText" text="Cancelado">
      <formula>NOT(ISERROR(SEARCH("Cancelado",Q274)))</formula>
    </cfRule>
  </conditionalFormatting>
  <conditionalFormatting sqref="S274">
    <cfRule type="cellIs" dxfId="13293" priority="11987" operator="equal">
      <formula>"Tramitando"</formula>
    </cfRule>
    <cfRule type="cellIs" dxfId="13292" priority="11988" operator="equal">
      <formula>"Deferido"</formula>
    </cfRule>
    <cfRule type="cellIs" dxfId="13291" priority="11989" operator="equal">
      <formula>"Indeferido"</formula>
    </cfRule>
  </conditionalFormatting>
  <conditionalFormatting sqref="S274">
    <cfRule type="containsText" dxfId="13290" priority="11986" operator="containsText" text="Cancelado">
      <formula>NOT(ISERROR(SEARCH("Cancelado",S274)))</formula>
    </cfRule>
  </conditionalFormatting>
  <conditionalFormatting sqref="J275">
    <cfRule type="cellIs" dxfId="13289" priority="11982" operator="equal">
      <formula>"Tramitando"</formula>
    </cfRule>
    <cfRule type="cellIs" dxfId="13288" priority="11983" operator="equal">
      <formula>"Deferido"</formula>
    </cfRule>
    <cfRule type="cellIs" dxfId="13287" priority="11984" operator="equal">
      <formula>"Indeferido"</formula>
    </cfRule>
  </conditionalFormatting>
  <conditionalFormatting sqref="J275">
    <cfRule type="containsText" dxfId="13286" priority="11981" operator="containsText" text="Cancelado">
      <formula>NOT(ISERROR(SEARCH("Cancelado",J275)))</formula>
    </cfRule>
  </conditionalFormatting>
  <conditionalFormatting sqref="M275">
    <cfRule type="cellIs" dxfId="13285" priority="11978" operator="equal">
      <formula>"Tramitando"</formula>
    </cfRule>
    <cfRule type="cellIs" dxfId="13284" priority="11979" operator="equal">
      <formula>"Deferido"</formula>
    </cfRule>
    <cfRule type="cellIs" dxfId="13283" priority="11980" operator="equal">
      <formula>"Indeferido"</formula>
    </cfRule>
  </conditionalFormatting>
  <conditionalFormatting sqref="M275">
    <cfRule type="containsText" dxfId="13282" priority="11977" operator="containsText" text="Cancelado">
      <formula>NOT(ISERROR(SEARCH("Cancelado",M275)))</formula>
    </cfRule>
  </conditionalFormatting>
  <conditionalFormatting sqref="O275">
    <cfRule type="cellIs" dxfId="13281" priority="11974" operator="equal">
      <formula>"Tramitando"</formula>
    </cfRule>
    <cfRule type="cellIs" dxfId="13280" priority="11975" operator="equal">
      <formula>"Deferido"</formula>
    </cfRule>
    <cfRule type="cellIs" dxfId="13279" priority="11976" operator="equal">
      <formula>"Indeferido"</formula>
    </cfRule>
  </conditionalFormatting>
  <conditionalFormatting sqref="O275">
    <cfRule type="containsText" dxfId="13278" priority="11973" operator="containsText" text="Cancelado">
      <formula>NOT(ISERROR(SEARCH("Cancelado",O275)))</formula>
    </cfRule>
  </conditionalFormatting>
  <conditionalFormatting sqref="Q275">
    <cfRule type="cellIs" dxfId="13277" priority="11970" operator="equal">
      <formula>"Tramitando"</formula>
    </cfRule>
    <cfRule type="cellIs" dxfId="13276" priority="11971" operator="equal">
      <formula>"Deferido"</formula>
    </cfRule>
    <cfRule type="cellIs" dxfId="13275" priority="11972" operator="equal">
      <formula>"Indeferido"</formula>
    </cfRule>
  </conditionalFormatting>
  <conditionalFormatting sqref="Q275">
    <cfRule type="containsText" dxfId="13274" priority="11969" operator="containsText" text="Cancelado">
      <formula>NOT(ISERROR(SEARCH("Cancelado",Q275)))</formula>
    </cfRule>
  </conditionalFormatting>
  <conditionalFormatting sqref="S275">
    <cfRule type="cellIs" dxfId="13273" priority="11966" operator="equal">
      <formula>"Tramitando"</formula>
    </cfRule>
    <cfRule type="cellIs" dxfId="13272" priority="11967" operator="equal">
      <formula>"Deferido"</formula>
    </cfRule>
    <cfRule type="cellIs" dxfId="13271" priority="11968" operator="equal">
      <formula>"Indeferido"</formula>
    </cfRule>
  </conditionalFormatting>
  <conditionalFormatting sqref="S275">
    <cfRule type="containsText" dxfId="13270" priority="11965" operator="containsText" text="Cancelado">
      <formula>NOT(ISERROR(SEARCH("Cancelado",S275)))</formula>
    </cfRule>
  </conditionalFormatting>
  <conditionalFormatting sqref="J276:J277">
    <cfRule type="cellIs" dxfId="13269" priority="11961" operator="equal">
      <formula>"Tramitando"</formula>
    </cfRule>
    <cfRule type="cellIs" dxfId="13268" priority="11962" operator="equal">
      <formula>"Deferido"</formula>
    </cfRule>
    <cfRule type="cellIs" dxfId="13267" priority="11963" operator="equal">
      <formula>"Indeferido"</formula>
    </cfRule>
  </conditionalFormatting>
  <conditionalFormatting sqref="J276:J277">
    <cfRule type="containsText" dxfId="13266" priority="11960" operator="containsText" text="Cancelado">
      <formula>NOT(ISERROR(SEARCH("Cancelado",J276)))</formula>
    </cfRule>
  </conditionalFormatting>
  <conditionalFormatting sqref="M276:M277">
    <cfRule type="cellIs" dxfId="13265" priority="11957" operator="equal">
      <formula>"Tramitando"</formula>
    </cfRule>
    <cfRule type="cellIs" dxfId="13264" priority="11958" operator="equal">
      <formula>"Deferido"</formula>
    </cfRule>
    <cfRule type="cellIs" dxfId="13263" priority="11959" operator="equal">
      <formula>"Indeferido"</formula>
    </cfRule>
  </conditionalFormatting>
  <conditionalFormatting sqref="M276:M277">
    <cfRule type="containsText" dxfId="13262" priority="11956" operator="containsText" text="Cancelado">
      <formula>NOT(ISERROR(SEARCH("Cancelado",M276)))</formula>
    </cfRule>
  </conditionalFormatting>
  <conditionalFormatting sqref="O276:O277">
    <cfRule type="cellIs" dxfId="13261" priority="11953" operator="equal">
      <formula>"Tramitando"</formula>
    </cfRule>
    <cfRule type="cellIs" dxfId="13260" priority="11954" operator="equal">
      <formula>"Deferido"</formula>
    </cfRule>
    <cfRule type="cellIs" dxfId="13259" priority="11955" operator="equal">
      <formula>"Indeferido"</formula>
    </cfRule>
  </conditionalFormatting>
  <conditionalFormatting sqref="O276:O277">
    <cfRule type="containsText" dxfId="13258" priority="11952" operator="containsText" text="Cancelado">
      <formula>NOT(ISERROR(SEARCH("Cancelado",O276)))</formula>
    </cfRule>
  </conditionalFormatting>
  <conditionalFormatting sqref="Q276:Q277">
    <cfRule type="cellIs" dxfId="13257" priority="11949" operator="equal">
      <formula>"Tramitando"</formula>
    </cfRule>
    <cfRule type="cellIs" dxfId="13256" priority="11950" operator="equal">
      <formula>"Deferido"</formula>
    </cfRule>
    <cfRule type="cellIs" dxfId="13255" priority="11951" operator="equal">
      <formula>"Indeferido"</formula>
    </cfRule>
  </conditionalFormatting>
  <conditionalFormatting sqref="Q276:Q277">
    <cfRule type="containsText" dxfId="13254" priority="11948" operator="containsText" text="Cancelado">
      <formula>NOT(ISERROR(SEARCH("Cancelado",Q276)))</formula>
    </cfRule>
  </conditionalFormatting>
  <conditionalFormatting sqref="S276:S277">
    <cfRule type="cellIs" dxfId="13253" priority="11945" operator="equal">
      <formula>"Tramitando"</formula>
    </cfRule>
    <cfRule type="cellIs" dxfId="13252" priority="11946" operator="equal">
      <formula>"Deferido"</formula>
    </cfRule>
    <cfRule type="cellIs" dxfId="13251" priority="11947" operator="equal">
      <formula>"Indeferido"</formula>
    </cfRule>
  </conditionalFormatting>
  <conditionalFormatting sqref="S276:S277">
    <cfRule type="containsText" dxfId="13250" priority="11944" operator="containsText" text="Cancelado">
      <formula>NOT(ISERROR(SEARCH("Cancelado",S276)))</formula>
    </cfRule>
  </conditionalFormatting>
  <conditionalFormatting sqref="J278">
    <cfRule type="cellIs" dxfId="13249" priority="11940" operator="equal">
      <formula>"Tramitando"</formula>
    </cfRule>
    <cfRule type="cellIs" dxfId="13248" priority="11941" operator="equal">
      <formula>"Deferido"</formula>
    </cfRule>
    <cfRule type="cellIs" dxfId="13247" priority="11942" operator="equal">
      <formula>"Indeferido"</formula>
    </cfRule>
  </conditionalFormatting>
  <conditionalFormatting sqref="J278">
    <cfRule type="containsText" dxfId="13246" priority="11939" operator="containsText" text="Cancelado">
      <formula>NOT(ISERROR(SEARCH("Cancelado",J278)))</formula>
    </cfRule>
  </conditionalFormatting>
  <conditionalFormatting sqref="M278">
    <cfRule type="cellIs" dxfId="13245" priority="11936" operator="equal">
      <formula>"Tramitando"</formula>
    </cfRule>
    <cfRule type="cellIs" dxfId="13244" priority="11937" operator="equal">
      <formula>"Deferido"</formula>
    </cfRule>
    <cfRule type="cellIs" dxfId="13243" priority="11938" operator="equal">
      <formula>"Indeferido"</formula>
    </cfRule>
  </conditionalFormatting>
  <conditionalFormatting sqref="M278">
    <cfRule type="containsText" dxfId="13242" priority="11935" operator="containsText" text="Cancelado">
      <formula>NOT(ISERROR(SEARCH("Cancelado",M278)))</formula>
    </cfRule>
  </conditionalFormatting>
  <conditionalFormatting sqref="O278">
    <cfRule type="cellIs" dxfId="13241" priority="11932" operator="equal">
      <formula>"Tramitando"</formula>
    </cfRule>
    <cfRule type="cellIs" dxfId="13240" priority="11933" operator="equal">
      <formula>"Deferido"</formula>
    </cfRule>
    <cfRule type="cellIs" dxfId="13239" priority="11934" operator="equal">
      <formula>"Indeferido"</formula>
    </cfRule>
  </conditionalFormatting>
  <conditionalFormatting sqref="O278">
    <cfRule type="containsText" dxfId="13238" priority="11931" operator="containsText" text="Cancelado">
      <formula>NOT(ISERROR(SEARCH("Cancelado",O278)))</formula>
    </cfRule>
  </conditionalFormatting>
  <conditionalFormatting sqref="Q278">
    <cfRule type="cellIs" dxfId="13237" priority="11928" operator="equal">
      <formula>"Tramitando"</formula>
    </cfRule>
    <cfRule type="cellIs" dxfId="13236" priority="11929" operator="equal">
      <formula>"Deferido"</formula>
    </cfRule>
    <cfRule type="cellIs" dxfId="13235" priority="11930" operator="equal">
      <formula>"Indeferido"</formula>
    </cfRule>
  </conditionalFormatting>
  <conditionalFormatting sqref="Q278">
    <cfRule type="containsText" dxfId="13234" priority="11927" operator="containsText" text="Cancelado">
      <formula>NOT(ISERROR(SEARCH("Cancelado",Q278)))</formula>
    </cfRule>
  </conditionalFormatting>
  <conditionalFormatting sqref="S278">
    <cfRule type="cellIs" dxfId="13233" priority="11924" operator="equal">
      <formula>"Tramitando"</formula>
    </cfRule>
    <cfRule type="cellIs" dxfId="13232" priority="11925" operator="equal">
      <formula>"Deferido"</formula>
    </cfRule>
    <cfRule type="cellIs" dxfId="13231" priority="11926" operator="equal">
      <formula>"Indeferido"</formula>
    </cfRule>
  </conditionalFormatting>
  <conditionalFormatting sqref="S278">
    <cfRule type="containsText" dxfId="13230" priority="11923" operator="containsText" text="Cancelado">
      <formula>NOT(ISERROR(SEARCH("Cancelado",S278)))</formula>
    </cfRule>
  </conditionalFormatting>
  <conditionalFormatting sqref="J279">
    <cfRule type="cellIs" dxfId="13229" priority="11919" operator="equal">
      <formula>"Tramitando"</formula>
    </cfRule>
    <cfRule type="cellIs" dxfId="13228" priority="11920" operator="equal">
      <formula>"Deferido"</formula>
    </cfRule>
    <cfRule type="cellIs" dxfId="13227" priority="11921" operator="equal">
      <formula>"Indeferido"</formula>
    </cfRule>
  </conditionalFormatting>
  <conditionalFormatting sqref="J279">
    <cfRule type="containsText" dxfId="13226" priority="11918" operator="containsText" text="Cancelado">
      <formula>NOT(ISERROR(SEARCH("Cancelado",J279)))</formula>
    </cfRule>
  </conditionalFormatting>
  <conditionalFormatting sqref="M279">
    <cfRule type="cellIs" dxfId="13225" priority="11915" operator="equal">
      <formula>"Tramitando"</formula>
    </cfRule>
    <cfRule type="cellIs" dxfId="13224" priority="11916" operator="equal">
      <formula>"Deferido"</formula>
    </cfRule>
    <cfRule type="cellIs" dxfId="13223" priority="11917" operator="equal">
      <formula>"Indeferido"</formula>
    </cfRule>
  </conditionalFormatting>
  <conditionalFormatting sqref="M279">
    <cfRule type="containsText" dxfId="13222" priority="11914" operator="containsText" text="Cancelado">
      <formula>NOT(ISERROR(SEARCH("Cancelado",M279)))</formula>
    </cfRule>
  </conditionalFormatting>
  <conditionalFormatting sqref="O279">
    <cfRule type="cellIs" dxfId="13221" priority="11911" operator="equal">
      <formula>"Tramitando"</formula>
    </cfRule>
    <cfRule type="cellIs" dxfId="13220" priority="11912" operator="equal">
      <formula>"Deferido"</formula>
    </cfRule>
    <cfRule type="cellIs" dxfId="13219" priority="11913" operator="equal">
      <formula>"Indeferido"</formula>
    </cfRule>
  </conditionalFormatting>
  <conditionalFormatting sqref="O279">
    <cfRule type="containsText" dxfId="13218" priority="11910" operator="containsText" text="Cancelado">
      <formula>NOT(ISERROR(SEARCH("Cancelado",O279)))</formula>
    </cfRule>
  </conditionalFormatting>
  <conditionalFormatting sqref="Q279">
    <cfRule type="cellIs" dxfId="13217" priority="11907" operator="equal">
      <formula>"Tramitando"</formula>
    </cfRule>
    <cfRule type="cellIs" dxfId="13216" priority="11908" operator="equal">
      <formula>"Deferido"</formula>
    </cfRule>
    <cfRule type="cellIs" dxfId="13215" priority="11909" operator="equal">
      <formula>"Indeferido"</formula>
    </cfRule>
  </conditionalFormatting>
  <conditionalFormatting sqref="Q279">
    <cfRule type="containsText" dxfId="13214" priority="11906" operator="containsText" text="Cancelado">
      <formula>NOT(ISERROR(SEARCH("Cancelado",Q279)))</formula>
    </cfRule>
  </conditionalFormatting>
  <conditionalFormatting sqref="S279">
    <cfRule type="cellIs" dxfId="13213" priority="11903" operator="equal">
      <formula>"Tramitando"</formula>
    </cfRule>
    <cfRule type="cellIs" dxfId="13212" priority="11904" operator="equal">
      <formula>"Deferido"</formula>
    </cfRule>
    <cfRule type="cellIs" dxfId="13211" priority="11905" operator="equal">
      <formula>"Indeferido"</formula>
    </cfRule>
  </conditionalFormatting>
  <conditionalFormatting sqref="S279">
    <cfRule type="containsText" dxfId="13210" priority="11902" operator="containsText" text="Cancelado">
      <formula>NOT(ISERROR(SEARCH("Cancelado",S279)))</formula>
    </cfRule>
  </conditionalFormatting>
  <conditionalFormatting sqref="J280">
    <cfRule type="cellIs" dxfId="13209" priority="11898" operator="equal">
      <formula>"Tramitando"</formula>
    </cfRule>
    <cfRule type="cellIs" dxfId="13208" priority="11899" operator="equal">
      <formula>"Deferido"</formula>
    </cfRule>
    <cfRule type="cellIs" dxfId="13207" priority="11900" operator="equal">
      <formula>"Indeferido"</formula>
    </cfRule>
  </conditionalFormatting>
  <conditionalFormatting sqref="J280">
    <cfRule type="containsText" dxfId="13206" priority="11897" operator="containsText" text="Cancelado">
      <formula>NOT(ISERROR(SEARCH("Cancelado",J280)))</formula>
    </cfRule>
  </conditionalFormatting>
  <conditionalFormatting sqref="M280">
    <cfRule type="cellIs" dxfId="13205" priority="11894" operator="equal">
      <formula>"Tramitando"</formula>
    </cfRule>
    <cfRule type="cellIs" dxfId="13204" priority="11895" operator="equal">
      <formula>"Deferido"</formula>
    </cfRule>
    <cfRule type="cellIs" dxfId="13203" priority="11896" operator="equal">
      <formula>"Indeferido"</formula>
    </cfRule>
  </conditionalFormatting>
  <conditionalFormatting sqref="M280">
    <cfRule type="containsText" dxfId="13202" priority="11893" operator="containsText" text="Cancelado">
      <formula>NOT(ISERROR(SEARCH("Cancelado",M280)))</formula>
    </cfRule>
  </conditionalFormatting>
  <conditionalFormatting sqref="O280">
    <cfRule type="cellIs" dxfId="13201" priority="11890" operator="equal">
      <formula>"Tramitando"</formula>
    </cfRule>
    <cfRule type="cellIs" dxfId="13200" priority="11891" operator="equal">
      <formula>"Deferido"</formula>
    </cfRule>
    <cfRule type="cellIs" dxfId="13199" priority="11892" operator="equal">
      <formula>"Indeferido"</formula>
    </cfRule>
  </conditionalFormatting>
  <conditionalFormatting sqref="O280">
    <cfRule type="containsText" dxfId="13198" priority="11889" operator="containsText" text="Cancelado">
      <formula>NOT(ISERROR(SEARCH("Cancelado",O280)))</formula>
    </cfRule>
  </conditionalFormatting>
  <conditionalFormatting sqref="Q280">
    <cfRule type="cellIs" dxfId="13197" priority="11886" operator="equal">
      <formula>"Tramitando"</formula>
    </cfRule>
    <cfRule type="cellIs" dxfId="13196" priority="11887" operator="equal">
      <formula>"Deferido"</formula>
    </cfRule>
    <cfRule type="cellIs" dxfId="13195" priority="11888" operator="equal">
      <formula>"Indeferido"</formula>
    </cfRule>
  </conditionalFormatting>
  <conditionalFormatting sqref="Q280">
    <cfRule type="containsText" dxfId="13194" priority="11885" operator="containsText" text="Cancelado">
      <formula>NOT(ISERROR(SEARCH("Cancelado",Q280)))</formula>
    </cfRule>
  </conditionalFormatting>
  <conditionalFormatting sqref="S280">
    <cfRule type="cellIs" dxfId="13193" priority="11882" operator="equal">
      <formula>"Tramitando"</formula>
    </cfRule>
    <cfRule type="cellIs" dxfId="13192" priority="11883" operator="equal">
      <formula>"Deferido"</formula>
    </cfRule>
    <cfRule type="cellIs" dxfId="13191" priority="11884" operator="equal">
      <formula>"Indeferido"</formula>
    </cfRule>
  </conditionalFormatting>
  <conditionalFormatting sqref="S280">
    <cfRule type="containsText" dxfId="13190" priority="11881" operator="containsText" text="Cancelado">
      <formula>NOT(ISERROR(SEARCH("Cancelado",S280)))</formula>
    </cfRule>
  </conditionalFormatting>
  <conditionalFormatting sqref="J281:J282">
    <cfRule type="cellIs" dxfId="13189" priority="11877" operator="equal">
      <formula>"Tramitando"</formula>
    </cfRule>
    <cfRule type="cellIs" dxfId="13188" priority="11878" operator="equal">
      <formula>"Deferido"</formula>
    </cfRule>
    <cfRule type="cellIs" dxfId="13187" priority="11879" operator="equal">
      <formula>"Indeferido"</formula>
    </cfRule>
  </conditionalFormatting>
  <conditionalFormatting sqref="J281:J282">
    <cfRule type="containsText" dxfId="13186" priority="11876" operator="containsText" text="Cancelado">
      <formula>NOT(ISERROR(SEARCH("Cancelado",J281)))</formula>
    </cfRule>
  </conditionalFormatting>
  <conditionalFormatting sqref="M281:M282">
    <cfRule type="cellIs" dxfId="13185" priority="11873" operator="equal">
      <formula>"Tramitando"</formula>
    </cfRule>
    <cfRule type="cellIs" dxfId="13184" priority="11874" operator="equal">
      <formula>"Deferido"</formula>
    </cfRule>
    <cfRule type="cellIs" dxfId="13183" priority="11875" operator="equal">
      <formula>"Indeferido"</formula>
    </cfRule>
  </conditionalFormatting>
  <conditionalFormatting sqref="M281:M282">
    <cfRule type="containsText" dxfId="13182" priority="11872" operator="containsText" text="Cancelado">
      <formula>NOT(ISERROR(SEARCH("Cancelado",M281)))</formula>
    </cfRule>
  </conditionalFormatting>
  <conditionalFormatting sqref="O281:O282">
    <cfRule type="cellIs" dxfId="13181" priority="11869" operator="equal">
      <formula>"Tramitando"</formula>
    </cfRule>
    <cfRule type="cellIs" dxfId="13180" priority="11870" operator="equal">
      <formula>"Deferido"</formula>
    </cfRule>
    <cfRule type="cellIs" dxfId="13179" priority="11871" operator="equal">
      <formula>"Indeferido"</formula>
    </cfRule>
  </conditionalFormatting>
  <conditionalFormatting sqref="O281:O282">
    <cfRule type="containsText" dxfId="13178" priority="11868" operator="containsText" text="Cancelado">
      <formula>NOT(ISERROR(SEARCH("Cancelado",O281)))</formula>
    </cfRule>
  </conditionalFormatting>
  <conditionalFormatting sqref="Q281:Q282">
    <cfRule type="cellIs" dxfId="13177" priority="11865" operator="equal">
      <formula>"Tramitando"</formula>
    </cfRule>
    <cfRule type="cellIs" dxfId="13176" priority="11866" operator="equal">
      <formula>"Deferido"</formula>
    </cfRule>
    <cfRule type="cellIs" dxfId="13175" priority="11867" operator="equal">
      <formula>"Indeferido"</formula>
    </cfRule>
  </conditionalFormatting>
  <conditionalFormatting sqref="Q281:Q282">
    <cfRule type="containsText" dxfId="13174" priority="11864" operator="containsText" text="Cancelado">
      <formula>NOT(ISERROR(SEARCH("Cancelado",Q281)))</formula>
    </cfRule>
  </conditionalFormatting>
  <conditionalFormatting sqref="S281:S282">
    <cfRule type="cellIs" dxfId="13173" priority="11861" operator="equal">
      <formula>"Tramitando"</formula>
    </cfRule>
    <cfRule type="cellIs" dxfId="13172" priority="11862" operator="equal">
      <formula>"Deferido"</formula>
    </cfRule>
    <cfRule type="cellIs" dxfId="13171" priority="11863" operator="equal">
      <formula>"Indeferido"</formula>
    </cfRule>
  </conditionalFormatting>
  <conditionalFormatting sqref="S281:S282">
    <cfRule type="containsText" dxfId="13170" priority="11860" operator="containsText" text="Cancelado">
      <formula>NOT(ISERROR(SEARCH("Cancelado",S281)))</formula>
    </cfRule>
  </conditionalFormatting>
  <conditionalFormatting sqref="J283">
    <cfRule type="cellIs" dxfId="13169" priority="11856" operator="equal">
      <formula>"Tramitando"</formula>
    </cfRule>
    <cfRule type="cellIs" dxfId="13168" priority="11857" operator="equal">
      <formula>"Deferido"</formula>
    </cfRule>
    <cfRule type="cellIs" dxfId="13167" priority="11858" operator="equal">
      <formula>"Indeferido"</formula>
    </cfRule>
  </conditionalFormatting>
  <conditionalFormatting sqref="J283">
    <cfRule type="containsText" dxfId="13166" priority="11855" operator="containsText" text="Cancelado">
      <formula>NOT(ISERROR(SEARCH("Cancelado",J283)))</formula>
    </cfRule>
  </conditionalFormatting>
  <conditionalFormatting sqref="M283">
    <cfRule type="cellIs" dxfId="13165" priority="11852" operator="equal">
      <formula>"Tramitando"</formula>
    </cfRule>
    <cfRule type="cellIs" dxfId="13164" priority="11853" operator="equal">
      <formula>"Deferido"</formula>
    </cfRule>
    <cfRule type="cellIs" dxfId="13163" priority="11854" operator="equal">
      <formula>"Indeferido"</formula>
    </cfRule>
  </conditionalFormatting>
  <conditionalFormatting sqref="M283">
    <cfRule type="containsText" dxfId="13162" priority="11851" operator="containsText" text="Cancelado">
      <formula>NOT(ISERROR(SEARCH("Cancelado",M283)))</formula>
    </cfRule>
  </conditionalFormatting>
  <conditionalFormatting sqref="O283">
    <cfRule type="cellIs" dxfId="13161" priority="11848" operator="equal">
      <formula>"Tramitando"</formula>
    </cfRule>
    <cfRule type="cellIs" dxfId="13160" priority="11849" operator="equal">
      <formula>"Deferido"</formula>
    </cfRule>
    <cfRule type="cellIs" dxfId="13159" priority="11850" operator="equal">
      <formula>"Indeferido"</formula>
    </cfRule>
  </conditionalFormatting>
  <conditionalFormatting sqref="O283">
    <cfRule type="containsText" dxfId="13158" priority="11847" operator="containsText" text="Cancelado">
      <formula>NOT(ISERROR(SEARCH("Cancelado",O283)))</formula>
    </cfRule>
  </conditionalFormatting>
  <conditionalFormatting sqref="Q283">
    <cfRule type="cellIs" dxfId="13157" priority="11844" operator="equal">
      <formula>"Tramitando"</formula>
    </cfRule>
    <cfRule type="cellIs" dxfId="13156" priority="11845" operator="equal">
      <formula>"Deferido"</formula>
    </cfRule>
    <cfRule type="cellIs" dxfId="13155" priority="11846" operator="equal">
      <formula>"Indeferido"</formula>
    </cfRule>
  </conditionalFormatting>
  <conditionalFormatting sqref="Q283">
    <cfRule type="containsText" dxfId="13154" priority="11843" operator="containsText" text="Cancelado">
      <formula>NOT(ISERROR(SEARCH("Cancelado",Q283)))</formula>
    </cfRule>
  </conditionalFormatting>
  <conditionalFormatting sqref="S283">
    <cfRule type="cellIs" dxfId="13153" priority="11840" operator="equal">
      <formula>"Tramitando"</formula>
    </cfRule>
    <cfRule type="cellIs" dxfId="13152" priority="11841" operator="equal">
      <formula>"Deferido"</formula>
    </cfRule>
    <cfRule type="cellIs" dxfId="13151" priority="11842" operator="equal">
      <formula>"Indeferido"</formula>
    </cfRule>
  </conditionalFormatting>
  <conditionalFormatting sqref="S283">
    <cfRule type="containsText" dxfId="13150" priority="11839" operator="containsText" text="Cancelado">
      <formula>NOT(ISERROR(SEARCH("Cancelado",S283)))</formula>
    </cfRule>
  </conditionalFormatting>
  <conditionalFormatting sqref="J284">
    <cfRule type="cellIs" dxfId="13149" priority="11835" operator="equal">
      <formula>"Tramitando"</formula>
    </cfRule>
    <cfRule type="cellIs" dxfId="13148" priority="11836" operator="equal">
      <formula>"Deferido"</formula>
    </cfRule>
    <cfRule type="cellIs" dxfId="13147" priority="11837" operator="equal">
      <formula>"Indeferido"</formula>
    </cfRule>
  </conditionalFormatting>
  <conditionalFormatting sqref="J284">
    <cfRule type="containsText" dxfId="13146" priority="11834" operator="containsText" text="Cancelado">
      <formula>NOT(ISERROR(SEARCH("Cancelado",J284)))</formula>
    </cfRule>
  </conditionalFormatting>
  <conditionalFormatting sqref="M284">
    <cfRule type="cellIs" dxfId="13145" priority="11831" operator="equal">
      <formula>"Tramitando"</formula>
    </cfRule>
    <cfRule type="cellIs" dxfId="13144" priority="11832" operator="equal">
      <formula>"Deferido"</formula>
    </cfRule>
    <cfRule type="cellIs" dxfId="13143" priority="11833" operator="equal">
      <formula>"Indeferido"</formula>
    </cfRule>
  </conditionalFormatting>
  <conditionalFormatting sqref="M284">
    <cfRule type="containsText" dxfId="13142" priority="11830" operator="containsText" text="Cancelado">
      <formula>NOT(ISERROR(SEARCH("Cancelado",M284)))</formula>
    </cfRule>
  </conditionalFormatting>
  <conditionalFormatting sqref="O284">
    <cfRule type="cellIs" dxfId="13141" priority="11827" operator="equal">
      <formula>"Tramitando"</formula>
    </cfRule>
    <cfRule type="cellIs" dxfId="13140" priority="11828" operator="equal">
      <formula>"Deferido"</formula>
    </cfRule>
    <cfRule type="cellIs" dxfId="13139" priority="11829" operator="equal">
      <formula>"Indeferido"</formula>
    </cfRule>
  </conditionalFormatting>
  <conditionalFormatting sqref="O284">
    <cfRule type="containsText" dxfId="13138" priority="11826" operator="containsText" text="Cancelado">
      <formula>NOT(ISERROR(SEARCH("Cancelado",O284)))</formula>
    </cfRule>
  </conditionalFormatting>
  <conditionalFormatting sqref="Q284">
    <cfRule type="cellIs" dxfId="13137" priority="11823" operator="equal">
      <formula>"Tramitando"</formula>
    </cfRule>
    <cfRule type="cellIs" dxfId="13136" priority="11824" operator="equal">
      <formula>"Deferido"</formula>
    </cfRule>
    <cfRule type="cellIs" dxfId="13135" priority="11825" operator="equal">
      <formula>"Indeferido"</formula>
    </cfRule>
  </conditionalFormatting>
  <conditionalFormatting sqref="Q284">
    <cfRule type="containsText" dxfId="13134" priority="11822" operator="containsText" text="Cancelado">
      <formula>NOT(ISERROR(SEARCH("Cancelado",Q284)))</formula>
    </cfRule>
  </conditionalFormatting>
  <conditionalFormatting sqref="S284">
    <cfRule type="cellIs" dxfId="13133" priority="11819" operator="equal">
      <formula>"Tramitando"</formula>
    </cfRule>
    <cfRule type="cellIs" dxfId="13132" priority="11820" operator="equal">
      <formula>"Deferido"</formula>
    </cfRule>
    <cfRule type="cellIs" dxfId="13131" priority="11821" operator="equal">
      <formula>"Indeferido"</formula>
    </cfRule>
  </conditionalFormatting>
  <conditionalFormatting sqref="S284">
    <cfRule type="containsText" dxfId="13130" priority="11818" operator="containsText" text="Cancelado">
      <formula>NOT(ISERROR(SEARCH("Cancelado",S284)))</formula>
    </cfRule>
  </conditionalFormatting>
  <conditionalFormatting sqref="J285">
    <cfRule type="cellIs" dxfId="13129" priority="11814" operator="equal">
      <formula>"Tramitando"</formula>
    </cfRule>
    <cfRule type="cellIs" dxfId="13128" priority="11815" operator="equal">
      <formula>"Deferido"</formula>
    </cfRule>
    <cfRule type="cellIs" dxfId="13127" priority="11816" operator="equal">
      <formula>"Indeferido"</formula>
    </cfRule>
  </conditionalFormatting>
  <conditionalFormatting sqref="J285">
    <cfRule type="containsText" dxfId="13126" priority="11813" operator="containsText" text="Cancelado">
      <formula>NOT(ISERROR(SEARCH("Cancelado",J285)))</formula>
    </cfRule>
  </conditionalFormatting>
  <conditionalFormatting sqref="M285">
    <cfRule type="cellIs" dxfId="13125" priority="11810" operator="equal">
      <formula>"Tramitando"</formula>
    </cfRule>
    <cfRule type="cellIs" dxfId="13124" priority="11811" operator="equal">
      <formula>"Deferido"</formula>
    </cfRule>
    <cfRule type="cellIs" dxfId="13123" priority="11812" operator="equal">
      <formula>"Indeferido"</formula>
    </cfRule>
  </conditionalFormatting>
  <conditionalFormatting sqref="M285">
    <cfRule type="containsText" dxfId="13122" priority="11809" operator="containsText" text="Cancelado">
      <formula>NOT(ISERROR(SEARCH("Cancelado",M285)))</formula>
    </cfRule>
  </conditionalFormatting>
  <conditionalFormatting sqref="O285">
    <cfRule type="cellIs" dxfId="13121" priority="11806" operator="equal">
      <formula>"Tramitando"</formula>
    </cfRule>
    <cfRule type="cellIs" dxfId="13120" priority="11807" operator="equal">
      <formula>"Deferido"</formula>
    </cfRule>
    <cfRule type="cellIs" dxfId="13119" priority="11808" operator="equal">
      <formula>"Indeferido"</formula>
    </cfRule>
  </conditionalFormatting>
  <conditionalFormatting sqref="O285">
    <cfRule type="containsText" dxfId="13118" priority="11805" operator="containsText" text="Cancelado">
      <formula>NOT(ISERROR(SEARCH("Cancelado",O285)))</formula>
    </cfRule>
  </conditionalFormatting>
  <conditionalFormatting sqref="Q285">
    <cfRule type="cellIs" dxfId="13117" priority="11802" operator="equal">
      <formula>"Tramitando"</formula>
    </cfRule>
    <cfRule type="cellIs" dxfId="13116" priority="11803" operator="equal">
      <formula>"Deferido"</formula>
    </cfRule>
    <cfRule type="cellIs" dxfId="13115" priority="11804" operator="equal">
      <formula>"Indeferido"</formula>
    </cfRule>
  </conditionalFormatting>
  <conditionalFormatting sqref="Q285">
    <cfRule type="containsText" dxfId="13114" priority="11801" operator="containsText" text="Cancelado">
      <formula>NOT(ISERROR(SEARCH("Cancelado",Q285)))</formula>
    </cfRule>
  </conditionalFormatting>
  <conditionalFormatting sqref="S285">
    <cfRule type="cellIs" dxfId="13113" priority="11798" operator="equal">
      <formula>"Tramitando"</formula>
    </cfRule>
    <cfRule type="cellIs" dxfId="13112" priority="11799" operator="equal">
      <formula>"Deferido"</formula>
    </cfRule>
    <cfRule type="cellIs" dxfId="13111" priority="11800" operator="equal">
      <formula>"Indeferido"</formula>
    </cfRule>
  </conditionalFormatting>
  <conditionalFormatting sqref="S285">
    <cfRule type="containsText" dxfId="13110" priority="11797" operator="containsText" text="Cancelado">
      <formula>NOT(ISERROR(SEARCH("Cancelado",S285)))</formula>
    </cfRule>
  </conditionalFormatting>
  <conditionalFormatting sqref="J286">
    <cfRule type="cellIs" dxfId="13109" priority="11793" operator="equal">
      <formula>"Tramitando"</formula>
    </cfRule>
    <cfRule type="cellIs" dxfId="13108" priority="11794" operator="equal">
      <formula>"Deferido"</formula>
    </cfRule>
    <cfRule type="cellIs" dxfId="13107" priority="11795" operator="equal">
      <formula>"Indeferido"</formula>
    </cfRule>
  </conditionalFormatting>
  <conditionalFormatting sqref="J286">
    <cfRule type="containsText" dxfId="13106" priority="11792" operator="containsText" text="Cancelado">
      <formula>NOT(ISERROR(SEARCH("Cancelado",J286)))</formula>
    </cfRule>
  </conditionalFormatting>
  <conditionalFormatting sqref="M286">
    <cfRule type="cellIs" dxfId="13105" priority="11789" operator="equal">
      <formula>"Tramitando"</formula>
    </cfRule>
    <cfRule type="cellIs" dxfId="13104" priority="11790" operator="equal">
      <formula>"Deferido"</formula>
    </cfRule>
    <cfRule type="cellIs" dxfId="13103" priority="11791" operator="equal">
      <formula>"Indeferido"</formula>
    </cfRule>
  </conditionalFormatting>
  <conditionalFormatting sqref="M286">
    <cfRule type="containsText" dxfId="13102" priority="11788" operator="containsText" text="Cancelado">
      <formula>NOT(ISERROR(SEARCH("Cancelado",M286)))</formula>
    </cfRule>
  </conditionalFormatting>
  <conditionalFormatting sqref="O286">
    <cfRule type="cellIs" dxfId="13101" priority="11785" operator="equal">
      <formula>"Tramitando"</formula>
    </cfRule>
    <cfRule type="cellIs" dxfId="13100" priority="11786" operator="equal">
      <formula>"Deferido"</formula>
    </cfRule>
    <cfRule type="cellIs" dxfId="13099" priority="11787" operator="equal">
      <formula>"Indeferido"</formula>
    </cfRule>
  </conditionalFormatting>
  <conditionalFormatting sqref="O286">
    <cfRule type="containsText" dxfId="13098" priority="11784" operator="containsText" text="Cancelado">
      <formula>NOT(ISERROR(SEARCH("Cancelado",O286)))</formula>
    </cfRule>
  </conditionalFormatting>
  <conditionalFormatting sqref="Q286">
    <cfRule type="cellIs" dxfId="13097" priority="11781" operator="equal">
      <formula>"Tramitando"</formula>
    </cfRule>
    <cfRule type="cellIs" dxfId="13096" priority="11782" operator="equal">
      <formula>"Deferido"</formula>
    </cfRule>
    <cfRule type="cellIs" dxfId="13095" priority="11783" operator="equal">
      <formula>"Indeferido"</formula>
    </cfRule>
  </conditionalFormatting>
  <conditionalFormatting sqref="Q286">
    <cfRule type="containsText" dxfId="13094" priority="11780" operator="containsText" text="Cancelado">
      <formula>NOT(ISERROR(SEARCH("Cancelado",Q286)))</formula>
    </cfRule>
  </conditionalFormatting>
  <conditionalFormatting sqref="S286">
    <cfRule type="cellIs" dxfId="13093" priority="11777" operator="equal">
      <formula>"Tramitando"</formula>
    </cfRule>
    <cfRule type="cellIs" dxfId="13092" priority="11778" operator="equal">
      <formula>"Deferido"</formula>
    </cfRule>
    <cfRule type="cellIs" dxfId="13091" priority="11779" operator="equal">
      <formula>"Indeferido"</formula>
    </cfRule>
  </conditionalFormatting>
  <conditionalFormatting sqref="S286">
    <cfRule type="containsText" dxfId="13090" priority="11776" operator="containsText" text="Cancelado">
      <formula>NOT(ISERROR(SEARCH("Cancelado",S286)))</formula>
    </cfRule>
  </conditionalFormatting>
  <conditionalFormatting sqref="J287">
    <cfRule type="cellIs" dxfId="13089" priority="11772" operator="equal">
      <formula>"Tramitando"</formula>
    </cfRule>
    <cfRule type="cellIs" dxfId="13088" priority="11773" operator="equal">
      <formula>"Deferido"</formula>
    </cfRule>
    <cfRule type="cellIs" dxfId="13087" priority="11774" operator="equal">
      <formula>"Indeferido"</formula>
    </cfRule>
  </conditionalFormatting>
  <conditionalFormatting sqref="J287">
    <cfRule type="containsText" dxfId="13086" priority="11771" operator="containsText" text="Cancelado">
      <formula>NOT(ISERROR(SEARCH("Cancelado",J287)))</formula>
    </cfRule>
  </conditionalFormatting>
  <conditionalFormatting sqref="M287">
    <cfRule type="cellIs" dxfId="13085" priority="11768" operator="equal">
      <formula>"Tramitando"</formula>
    </cfRule>
    <cfRule type="cellIs" dxfId="13084" priority="11769" operator="equal">
      <formula>"Deferido"</formula>
    </cfRule>
    <cfRule type="cellIs" dxfId="13083" priority="11770" operator="equal">
      <formula>"Indeferido"</formula>
    </cfRule>
  </conditionalFormatting>
  <conditionalFormatting sqref="M287">
    <cfRule type="containsText" dxfId="13082" priority="11767" operator="containsText" text="Cancelado">
      <formula>NOT(ISERROR(SEARCH("Cancelado",M287)))</formula>
    </cfRule>
  </conditionalFormatting>
  <conditionalFormatting sqref="O287">
    <cfRule type="cellIs" dxfId="13081" priority="11764" operator="equal">
      <formula>"Tramitando"</formula>
    </cfRule>
    <cfRule type="cellIs" dxfId="13080" priority="11765" operator="equal">
      <formula>"Deferido"</formula>
    </cfRule>
    <cfRule type="cellIs" dxfId="13079" priority="11766" operator="equal">
      <formula>"Indeferido"</formula>
    </cfRule>
  </conditionalFormatting>
  <conditionalFormatting sqref="O287">
    <cfRule type="containsText" dxfId="13078" priority="11763" operator="containsText" text="Cancelado">
      <formula>NOT(ISERROR(SEARCH("Cancelado",O287)))</formula>
    </cfRule>
  </conditionalFormatting>
  <conditionalFormatting sqref="Q287">
    <cfRule type="cellIs" dxfId="13077" priority="11760" operator="equal">
      <formula>"Tramitando"</formula>
    </cfRule>
    <cfRule type="cellIs" dxfId="13076" priority="11761" operator="equal">
      <formula>"Deferido"</formula>
    </cfRule>
    <cfRule type="cellIs" dxfId="13075" priority="11762" operator="equal">
      <formula>"Indeferido"</formula>
    </cfRule>
  </conditionalFormatting>
  <conditionalFormatting sqref="Q287">
    <cfRule type="containsText" dxfId="13074" priority="11759" operator="containsText" text="Cancelado">
      <formula>NOT(ISERROR(SEARCH("Cancelado",Q287)))</formula>
    </cfRule>
  </conditionalFormatting>
  <conditionalFormatting sqref="S287">
    <cfRule type="cellIs" dxfId="13073" priority="11756" operator="equal">
      <formula>"Tramitando"</formula>
    </cfRule>
    <cfRule type="cellIs" dxfId="13072" priority="11757" operator="equal">
      <formula>"Deferido"</formula>
    </cfRule>
    <cfRule type="cellIs" dxfId="13071" priority="11758" operator="equal">
      <formula>"Indeferido"</formula>
    </cfRule>
  </conditionalFormatting>
  <conditionalFormatting sqref="S287">
    <cfRule type="containsText" dxfId="13070" priority="11755" operator="containsText" text="Cancelado">
      <formula>NOT(ISERROR(SEARCH("Cancelado",S287)))</formula>
    </cfRule>
  </conditionalFormatting>
  <conditionalFormatting sqref="J288">
    <cfRule type="cellIs" dxfId="13069" priority="11751" operator="equal">
      <formula>"Tramitando"</formula>
    </cfRule>
    <cfRule type="cellIs" dxfId="13068" priority="11752" operator="equal">
      <formula>"Deferido"</formula>
    </cfRule>
    <cfRule type="cellIs" dxfId="13067" priority="11753" operator="equal">
      <formula>"Indeferido"</formula>
    </cfRule>
  </conditionalFormatting>
  <conditionalFormatting sqref="J288">
    <cfRule type="containsText" dxfId="13066" priority="11750" operator="containsText" text="Cancelado">
      <formula>NOT(ISERROR(SEARCH("Cancelado",J288)))</formula>
    </cfRule>
  </conditionalFormatting>
  <conditionalFormatting sqref="M288">
    <cfRule type="cellIs" dxfId="13065" priority="11747" operator="equal">
      <formula>"Tramitando"</formula>
    </cfRule>
    <cfRule type="cellIs" dxfId="13064" priority="11748" operator="equal">
      <formula>"Deferido"</formula>
    </cfRule>
    <cfRule type="cellIs" dxfId="13063" priority="11749" operator="equal">
      <formula>"Indeferido"</formula>
    </cfRule>
  </conditionalFormatting>
  <conditionalFormatting sqref="M288">
    <cfRule type="containsText" dxfId="13062" priority="11746" operator="containsText" text="Cancelado">
      <formula>NOT(ISERROR(SEARCH("Cancelado",M288)))</formula>
    </cfRule>
  </conditionalFormatting>
  <conditionalFormatting sqref="O288">
    <cfRule type="cellIs" dxfId="13061" priority="11743" operator="equal">
      <formula>"Tramitando"</formula>
    </cfRule>
    <cfRule type="cellIs" dxfId="13060" priority="11744" operator="equal">
      <formula>"Deferido"</formula>
    </cfRule>
    <cfRule type="cellIs" dxfId="13059" priority="11745" operator="equal">
      <formula>"Indeferido"</formula>
    </cfRule>
  </conditionalFormatting>
  <conditionalFormatting sqref="O288">
    <cfRule type="containsText" dxfId="13058" priority="11742" operator="containsText" text="Cancelado">
      <formula>NOT(ISERROR(SEARCH("Cancelado",O288)))</formula>
    </cfRule>
  </conditionalFormatting>
  <conditionalFormatting sqref="Q288">
    <cfRule type="cellIs" dxfId="13057" priority="11739" operator="equal">
      <formula>"Tramitando"</formula>
    </cfRule>
    <cfRule type="cellIs" dxfId="13056" priority="11740" operator="equal">
      <formula>"Deferido"</formula>
    </cfRule>
    <cfRule type="cellIs" dxfId="13055" priority="11741" operator="equal">
      <formula>"Indeferido"</formula>
    </cfRule>
  </conditionalFormatting>
  <conditionalFormatting sqref="Q288">
    <cfRule type="containsText" dxfId="13054" priority="11738" operator="containsText" text="Cancelado">
      <formula>NOT(ISERROR(SEARCH("Cancelado",Q288)))</formula>
    </cfRule>
  </conditionalFormatting>
  <conditionalFormatting sqref="S288">
    <cfRule type="cellIs" dxfId="13053" priority="11735" operator="equal">
      <formula>"Tramitando"</formula>
    </cfRule>
    <cfRule type="cellIs" dxfId="13052" priority="11736" operator="equal">
      <formula>"Deferido"</formula>
    </cfRule>
    <cfRule type="cellIs" dxfId="13051" priority="11737" operator="equal">
      <formula>"Indeferido"</formula>
    </cfRule>
  </conditionalFormatting>
  <conditionalFormatting sqref="S288">
    <cfRule type="containsText" dxfId="13050" priority="11734" operator="containsText" text="Cancelado">
      <formula>NOT(ISERROR(SEARCH("Cancelado",S288)))</formula>
    </cfRule>
  </conditionalFormatting>
  <conditionalFormatting sqref="J289">
    <cfRule type="cellIs" dxfId="13049" priority="11729" operator="equal">
      <formula>"Tramitando"</formula>
    </cfRule>
    <cfRule type="cellIs" dxfId="13048" priority="11730" operator="equal">
      <formula>"Deferido"</formula>
    </cfRule>
    <cfRule type="cellIs" dxfId="13047" priority="11731" operator="equal">
      <formula>"Indeferido"</formula>
    </cfRule>
  </conditionalFormatting>
  <conditionalFormatting sqref="J289">
    <cfRule type="containsText" dxfId="13046" priority="11728" operator="containsText" text="Cancelado">
      <formula>NOT(ISERROR(SEARCH("Cancelado",J289)))</formula>
    </cfRule>
  </conditionalFormatting>
  <conditionalFormatting sqref="M289">
    <cfRule type="cellIs" dxfId="13045" priority="11725" operator="equal">
      <formula>"Tramitando"</formula>
    </cfRule>
    <cfRule type="cellIs" dxfId="13044" priority="11726" operator="equal">
      <formula>"Deferido"</formula>
    </cfRule>
    <cfRule type="cellIs" dxfId="13043" priority="11727" operator="equal">
      <formula>"Indeferido"</formula>
    </cfRule>
  </conditionalFormatting>
  <conditionalFormatting sqref="M289">
    <cfRule type="containsText" dxfId="13042" priority="11724" operator="containsText" text="Cancelado">
      <formula>NOT(ISERROR(SEARCH("Cancelado",M289)))</formula>
    </cfRule>
  </conditionalFormatting>
  <conditionalFormatting sqref="O289">
    <cfRule type="cellIs" dxfId="13041" priority="11721" operator="equal">
      <formula>"Tramitando"</formula>
    </cfRule>
    <cfRule type="cellIs" dxfId="13040" priority="11722" operator="equal">
      <formula>"Deferido"</formula>
    </cfRule>
    <cfRule type="cellIs" dxfId="13039" priority="11723" operator="equal">
      <formula>"Indeferido"</formula>
    </cfRule>
  </conditionalFormatting>
  <conditionalFormatting sqref="O289">
    <cfRule type="containsText" dxfId="13038" priority="11720" operator="containsText" text="Cancelado">
      <formula>NOT(ISERROR(SEARCH("Cancelado",O289)))</formula>
    </cfRule>
  </conditionalFormatting>
  <conditionalFormatting sqref="Q289">
    <cfRule type="cellIs" dxfId="13037" priority="11717" operator="equal">
      <formula>"Tramitando"</formula>
    </cfRule>
    <cfRule type="cellIs" dxfId="13036" priority="11718" operator="equal">
      <formula>"Deferido"</formula>
    </cfRule>
    <cfRule type="cellIs" dxfId="13035" priority="11719" operator="equal">
      <formula>"Indeferido"</formula>
    </cfRule>
  </conditionalFormatting>
  <conditionalFormatting sqref="Q289">
    <cfRule type="containsText" dxfId="13034" priority="11716" operator="containsText" text="Cancelado">
      <formula>NOT(ISERROR(SEARCH("Cancelado",Q289)))</formula>
    </cfRule>
  </conditionalFormatting>
  <conditionalFormatting sqref="S289">
    <cfRule type="cellIs" dxfId="13033" priority="11713" operator="equal">
      <formula>"Tramitando"</formula>
    </cfRule>
    <cfRule type="cellIs" dxfId="13032" priority="11714" operator="equal">
      <formula>"Deferido"</formula>
    </cfRule>
    <cfRule type="cellIs" dxfId="13031" priority="11715" operator="equal">
      <formula>"Indeferido"</formula>
    </cfRule>
  </conditionalFormatting>
  <conditionalFormatting sqref="S289">
    <cfRule type="containsText" dxfId="13030" priority="11712" operator="containsText" text="Cancelado">
      <formula>NOT(ISERROR(SEARCH("Cancelado",S289)))</formula>
    </cfRule>
  </conditionalFormatting>
  <conditionalFormatting sqref="J290">
    <cfRule type="cellIs" dxfId="13029" priority="11708" operator="equal">
      <formula>"Tramitando"</formula>
    </cfRule>
    <cfRule type="cellIs" dxfId="13028" priority="11709" operator="equal">
      <formula>"Deferido"</formula>
    </cfRule>
    <cfRule type="cellIs" dxfId="13027" priority="11710" operator="equal">
      <formula>"Indeferido"</formula>
    </cfRule>
  </conditionalFormatting>
  <conditionalFormatting sqref="J290">
    <cfRule type="containsText" dxfId="13026" priority="11707" operator="containsText" text="Cancelado">
      <formula>NOT(ISERROR(SEARCH("Cancelado",J290)))</formula>
    </cfRule>
  </conditionalFormatting>
  <conditionalFormatting sqref="M290">
    <cfRule type="cellIs" dxfId="13025" priority="11704" operator="equal">
      <formula>"Tramitando"</formula>
    </cfRule>
    <cfRule type="cellIs" dxfId="13024" priority="11705" operator="equal">
      <formula>"Deferido"</formula>
    </cfRule>
    <cfRule type="cellIs" dxfId="13023" priority="11706" operator="equal">
      <formula>"Indeferido"</formula>
    </cfRule>
  </conditionalFormatting>
  <conditionalFormatting sqref="M290">
    <cfRule type="containsText" dxfId="13022" priority="11703" operator="containsText" text="Cancelado">
      <formula>NOT(ISERROR(SEARCH("Cancelado",M290)))</formula>
    </cfRule>
  </conditionalFormatting>
  <conditionalFormatting sqref="O290">
    <cfRule type="cellIs" dxfId="13021" priority="11700" operator="equal">
      <formula>"Tramitando"</formula>
    </cfRule>
    <cfRule type="cellIs" dxfId="13020" priority="11701" operator="equal">
      <formula>"Deferido"</formula>
    </cfRule>
    <cfRule type="cellIs" dxfId="13019" priority="11702" operator="equal">
      <formula>"Indeferido"</formula>
    </cfRule>
  </conditionalFormatting>
  <conditionalFormatting sqref="O290">
    <cfRule type="containsText" dxfId="13018" priority="11699" operator="containsText" text="Cancelado">
      <formula>NOT(ISERROR(SEARCH("Cancelado",O290)))</formula>
    </cfRule>
  </conditionalFormatting>
  <conditionalFormatting sqref="Q290">
    <cfRule type="cellIs" dxfId="13017" priority="11696" operator="equal">
      <formula>"Tramitando"</formula>
    </cfRule>
    <cfRule type="cellIs" dxfId="13016" priority="11697" operator="equal">
      <formula>"Deferido"</formula>
    </cfRule>
    <cfRule type="cellIs" dxfId="13015" priority="11698" operator="equal">
      <formula>"Indeferido"</formula>
    </cfRule>
  </conditionalFormatting>
  <conditionalFormatting sqref="Q290">
    <cfRule type="containsText" dxfId="13014" priority="11695" operator="containsText" text="Cancelado">
      <formula>NOT(ISERROR(SEARCH("Cancelado",Q290)))</formula>
    </cfRule>
  </conditionalFormatting>
  <conditionalFormatting sqref="S290">
    <cfRule type="cellIs" dxfId="13013" priority="11692" operator="equal">
      <formula>"Tramitando"</formula>
    </cfRule>
    <cfRule type="cellIs" dxfId="13012" priority="11693" operator="equal">
      <formula>"Deferido"</formula>
    </cfRule>
    <cfRule type="cellIs" dxfId="13011" priority="11694" operator="equal">
      <formula>"Indeferido"</formula>
    </cfRule>
  </conditionalFormatting>
  <conditionalFormatting sqref="S290">
    <cfRule type="containsText" dxfId="13010" priority="11691" operator="containsText" text="Cancelado">
      <formula>NOT(ISERROR(SEARCH("Cancelado",S290)))</formula>
    </cfRule>
  </conditionalFormatting>
  <conditionalFormatting sqref="J291">
    <cfRule type="cellIs" dxfId="13009" priority="11687" operator="equal">
      <formula>"Tramitando"</formula>
    </cfRule>
    <cfRule type="cellIs" dxfId="13008" priority="11688" operator="equal">
      <formula>"Deferido"</formula>
    </cfRule>
    <cfRule type="cellIs" dxfId="13007" priority="11689" operator="equal">
      <formula>"Indeferido"</formula>
    </cfRule>
  </conditionalFormatting>
  <conditionalFormatting sqref="J291">
    <cfRule type="containsText" dxfId="13006" priority="11686" operator="containsText" text="Cancelado">
      <formula>NOT(ISERROR(SEARCH("Cancelado",J291)))</formula>
    </cfRule>
  </conditionalFormatting>
  <conditionalFormatting sqref="M291">
    <cfRule type="cellIs" dxfId="13005" priority="11683" operator="equal">
      <formula>"Tramitando"</formula>
    </cfRule>
    <cfRule type="cellIs" dxfId="13004" priority="11684" operator="equal">
      <formula>"Deferido"</formula>
    </cfRule>
    <cfRule type="cellIs" dxfId="13003" priority="11685" operator="equal">
      <formula>"Indeferido"</formula>
    </cfRule>
  </conditionalFormatting>
  <conditionalFormatting sqref="M291">
    <cfRule type="containsText" dxfId="13002" priority="11682" operator="containsText" text="Cancelado">
      <formula>NOT(ISERROR(SEARCH("Cancelado",M291)))</formula>
    </cfRule>
  </conditionalFormatting>
  <conditionalFormatting sqref="O291">
    <cfRule type="cellIs" dxfId="13001" priority="11679" operator="equal">
      <formula>"Tramitando"</formula>
    </cfRule>
    <cfRule type="cellIs" dxfId="13000" priority="11680" operator="equal">
      <formula>"Deferido"</formula>
    </cfRule>
    <cfRule type="cellIs" dxfId="12999" priority="11681" operator="equal">
      <formula>"Indeferido"</formula>
    </cfRule>
  </conditionalFormatting>
  <conditionalFormatting sqref="O291">
    <cfRule type="containsText" dxfId="12998" priority="11678" operator="containsText" text="Cancelado">
      <formula>NOT(ISERROR(SEARCH("Cancelado",O291)))</formula>
    </cfRule>
  </conditionalFormatting>
  <conditionalFormatting sqref="Q291">
    <cfRule type="cellIs" dxfId="12997" priority="11675" operator="equal">
      <formula>"Tramitando"</formula>
    </cfRule>
    <cfRule type="cellIs" dxfId="12996" priority="11676" operator="equal">
      <formula>"Deferido"</formula>
    </cfRule>
    <cfRule type="cellIs" dxfId="12995" priority="11677" operator="equal">
      <formula>"Indeferido"</formula>
    </cfRule>
  </conditionalFormatting>
  <conditionalFormatting sqref="Q291">
    <cfRule type="containsText" dxfId="12994" priority="11674" operator="containsText" text="Cancelado">
      <formula>NOT(ISERROR(SEARCH("Cancelado",Q291)))</formula>
    </cfRule>
  </conditionalFormatting>
  <conditionalFormatting sqref="S291">
    <cfRule type="cellIs" dxfId="12993" priority="11671" operator="equal">
      <formula>"Tramitando"</formula>
    </cfRule>
    <cfRule type="cellIs" dxfId="12992" priority="11672" operator="equal">
      <formula>"Deferido"</formula>
    </cfRule>
    <cfRule type="cellIs" dxfId="12991" priority="11673" operator="equal">
      <formula>"Indeferido"</formula>
    </cfRule>
  </conditionalFormatting>
  <conditionalFormatting sqref="S291">
    <cfRule type="containsText" dxfId="12990" priority="11670" operator="containsText" text="Cancelado">
      <formula>NOT(ISERROR(SEARCH("Cancelado",S291)))</formula>
    </cfRule>
  </conditionalFormatting>
  <conditionalFormatting sqref="J292">
    <cfRule type="cellIs" dxfId="12989" priority="11666" operator="equal">
      <formula>"Tramitando"</formula>
    </cfRule>
    <cfRule type="cellIs" dxfId="12988" priority="11667" operator="equal">
      <formula>"Deferido"</formula>
    </cfRule>
    <cfRule type="cellIs" dxfId="12987" priority="11668" operator="equal">
      <formula>"Indeferido"</formula>
    </cfRule>
  </conditionalFormatting>
  <conditionalFormatting sqref="J292">
    <cfRule type="containsText" dxfId="12986" priority="11665" operator="containsText" text="Cancelado">
      <formula>NOT(ISERROR(SEARCH("Cancelado",J292)))</formula>
    </cfRule>
  </conditionalFormatting>
  <conditionalFormatting sqref="M292">
    <cfRule type="cellIs" dxfId="12985" priority="11662" operator="equal">
      <formula>"Tramitando"</formula>
    </cfRule>
    <cfRule type="cellIs" dxfId="12984" priority="11663" operator="equal">
      <formula>"Deferido"</formula>
    </cfRule>
    <cfRule type="cellIs" dxfId="12983" priority="11664" operator="equal">
      <formula>"Indeferido"</formula>
    </cfRule>
  </conditionalFormatting>
  <conditionalFormatting sqref="M292">
    <cfRule type="containsText" dxfId="12982" priority="11661" operator="containsText" text="Cancelado">
      <formula>NOT(ISERROR(SEARCH("Cancelado",M292)))</formula>
    </cfRule>
  </conditionalFormatting>
  <conditionalFormatting sqref="O292">
    <cfRule type="cellIs" dxfId="12981" priority="11658" operator="equal">
      <formula>"Tramitando"</formula>
    </cfRule>
    <cfRule type="cellIs" dxfId="12980" priority="11659" operator="equal">
      <formula>"Deferido"</formula>
    </cfRule>
    <cfRule type="cellIs" dxfId="12979" priority="11660" operator="equal">
      <formula>"Indeferido"</formula>
    </cfRule>
  </conditionalFormatting>
  <conditionalFormatting sqref="O292">
    <cfRule type="containsText" dxfId="12978" priority="11657" operator="containsText" text="Cancelado">
      <formula>NOT(ISERROR(SEARCH("Cancelado",O292)))</formula>
    </cfRule>
  </conditionalFormatting>
  <conditionalFormatting sqref="Q292">
    <cfRule type="cellIs" dxfId="12977" priority="11654" operator="equal">
      <formula>"Tramitando"</formula>
    </cfRule>
    <cfRule type="cellIs" dxfId="12976" priority="11655" operator="equal">
      <formula>"Deferido"</formula>
    </cfRule>
    <cfRule type="cellIs" dxfId="12975" priority="11656" operator="equal">
      <formula>"Indeferido"</formula>
    </cfRule>
  </conditionalFormatting>
  <conditionalFormatting sqref="Q292">
    <cfRule type="containsText" dxfId="12974" priority="11653" operator="containsText" text="Cancelado">
      <formula>NOT(ISERROR(SEARCH("Cancelado",Q292)))</formula>
    </cfRule>
  </conditionalFormatting>
  <conditionalFormatting sqref="S292">
    <cfRule type="cellIs" dxfId="12973" priority="11650" operator="equal">
      <formula>"Tramitando"</formula>
    </cfRule>
    <cfRule type="cellIs" dxfId="12972" priority="11651" operator="equal">
      <formula>"Deferido"</formula>
    </cfRule>
    <cfRule type="cellIs" dxfId="12971" priority="11652" operator="equal">
      <formula>"Indeferido"</formula>
    </cfRule>
  </conditionalFormatting>
  <conditionalFormatting sqref="S292">
    <cfRule type="containsText" dxfId="12970" priority="11649" operator="containsText" text="Cancelado">
      <formula>NOT(ISERROR(SEARCH("Cancelado",S292)))</formula>
    </cfRule>
  </conditionalFormatting>
  <conditionalFormatting sqref="J293">
    <cfRule type="cellIs" dxfId="12969" priority="11645" operator="equal">
      <formula>"Tramitando"</formula>
    </cfRule>
    <cfRule type="cellIs" dxfId="12968" priority="11646" operator="equal">
      <formula>"Deferido"</formula>
    </cfRule>
    <cfRule type="cellIs" dxfId="12967" priority="11647" operator="equal">
      <formula>"Indeferido"</formula>
    </cfRule>
  </conditionalFormatting>
  <conditionalFormatting sqref="J293">
    <cfRule type="containsText" dxfId="12966" priority="11644" operator="containsText" text="Cancelado">
      <formula>NOT(ISERROR(SEARCH("Cancelado",J293)))</formula>
    </cfRule>
  </conditionalFormatting>
  <conditionalFormatting sqref="M293">
    <cfRule type="cellIs" dxfId="12965" priority="11641" operator="equal">
      <formula>"Tramitando"</formula>
    </cfRule>
    <cfRule type="cellIs" dxfId="12964" priority="11642" operator="equal">
      <formula>"Deferido"</formula>
    </cfRule>
    <cfRule type="cellIs" dxfId="12963" priority="11643" operator="equal">
      <formula>"Indeferido"</formula>
    </cfRule>
  </conditionalFormatting>
  <conditionalFormatting sqref="M293">
    <cfRule type="containsText" dxfId="12962" priority="11640" operator="containsText" text="Cancelado">
      <formula>NOT(ISERROR(SEARCH("Cancelado",M293)))</formula>
    </cfRule>
  </conditionalFormatting>
  <conditionalFormatting sqref="O293">
    <cfRule type="cellIs" dxfId="12961" priority="11637" operator="equal">
      <formula>"Tramitando"</formula>
    </cfRule>
    <cfRule type="cellIs" dxfId="12960" priority="11638" operator="equal">
      <formula>"Deferido"</formula>
    </cfRule>
    <cfRule type="cellIs" dxfId="12959" priority="11639" operator="equal">
      <formula>"Indeferido"</formula>
    </cfRule>
  </conditionalFormatting>
  <conditionalFormatting sqref="O293">
    <cfRule type="containsText" dxfId="12958" priority="11636" operator="containsText" text="Cancelado">
      <formula>NOT(ISERROR(SEARCH("Cancelado",O293)))</formula>
    </cfRule>
  </conditionalFormatting>
  <conditionalFormatting sqref="Q293">
    <cfRule type="cellIs" dxfId="12957" priority="11633" operator="equal">
      <formula>"Tramitando"</formula>
    </cfRule>
    <cfRule type="cellIs" dxfId="12956" priority="11634" operator="equal">
      <formula>"Deferido"</formula>
    </cfRule>
    <cfRule type="cellIs" dxfId="12955" priority="11635" operator="equal">
      <formula>"Indeferido"</formula>
    </cfRule>
  </conditionalFormatting>
  <conditionalFormatting sqref="Q293">
    <cfRule type="containsText" dxfId="12954" priority="11632" operator="containsText" text="Cancelado">
      <formula>NOT(ISERROR(SEARCH("Cancelado",Q293)))</formula>
    </cfRule>
  </conditionalFormatting>
  <conditionalFormatting sqref="S293">
    <cfRule type="cellIs" dxfId="12953" priority="11629" operator="equal">
      <formula>"Tramitando"</formula>
    </cfRule>
    <cfRule type="cellIs" dxfId="12952" priority="11630" operator="equal">
      <formula>"Deferido"</formula>
    </cfRule>
    <cfRule type="cellIs" dxfId="12951" priority="11631" operator="equal">
      <formula>"Indeferido"</formula>
    </cfRule>
  </conditionalFormatting>
  <conditionalFormatting sqref="S293">
    <cfRule type="containsText" dxfId="12950" priority="11628" operator="containsText" text="Cancelado">
      <formula>NOT(ISERROR(SEARCH("Cancelado",S293)))</formula>
    </cfRule>
  </conditionalFormatting>
  <conditionalFormatting sqref="J294">
    <cfRule type="cellIs" dxfId="12949" priority="11624" operator="equal">
      <formula>"Tramitando"</formula>
    </cfRule>
    <cfRule type="cellIs" dxfId="12948" priority="11625" operator="equal">
      <formula>"Deferido"</formula>
    </cfRule>
    <cfRule type="cellIs" dxfId="12947" priority="11626" operator="equal">
      <formula>"Indeferido"</formula>
    </cfRule>
  </conditionalFormatting>
  <conditionalFormatting sqref="J294">
    <cfRule type="containsText" dxfId="12946" priority="11623" operator="containsText" text="Cancelado">
      <formula>NOT(ISERROR(SEARCH("Cancelado",J294)))</formula>
    </cfRule>
  </conditionalFormatting>
  <conditionalFormatting sqref="M294">
    <cfRule type="cellIs" dxfId="12945" priority="11620" operator="equal">
      <formula>"Tramitando"</formula>
    </cfRule>
    <cfRule type="cellIs" dxfId="12944" priority="11621" operator="equal">
      <formula>"Deferido"</formula>
    </cfRule>
    <cfRule type="cellIs" dxfId="12943" priority="11622" operator="equal">
      <formula>"Indeferido"</formula>
    </cfRule>
  </conditionalFormatting>
  <conditionalFormatting sqref="M294">
    <cfRule type="containsText" dxfId="12942" priority="11619" operator="containsText" text="Cancelado">
      <formula>NOT(ISERROR(SEARCH("Cancelado",M294)))</formula>
    </cfRule>
  </conditionalFormatting>
  <conditionalFormatting sqref="O294">
    <cfRule type="cellIs" dxfId="12941" priority="11616" operator="equal">
      <formula>"Tramitando"</formula>
    </cfRule>
    <cfRule type="cellIs" dxfId="12940" priority="11617" operator="equal">
      <formula>"Deferido"</formula>
    </cfRule>
    <cfRule type="cellIs" dxfId="12939" priority="11618" operator="equal">
      <formula>"Indeferido"</formula>
    </cfRule>
  </conditionalFormatting>
  <conditionalFormatting sqref="O294">
    <cfRule type="containsText" dxfId="12938" priority="11615" operator="containsText" text="Cancelado">
      <formula>NOT(ISERROR(SEARCH("Cancelado",O294)))</formula>
    </cfRule>
  </conditionalFormatting>
  <conditionalFormatting sqref="Q294">
    <cfRule type="cellIs" dxfId="12937" priority="11612" operator="equal">
      <formula>"Tramitando"</formula>
    </cfRule>
    <cfRule type="cellIs" dxfId="12936" priority="11613" operator="equal">
      <formula>"Deferido"</formula>
    </cfRule>
    <cfRule type="cellIs" dxfId="12935" priority="11614" operator="equal">
      <formula>"Indeferido"</formula>
    </cfRule>
  </conditionalFormatting>
  <conditionalFormatting sqref="Q294">
    <cfRule type="containsText" dxfId="12934" priority="11611" operator="containsText" text="Cancelado">
      <formula>NOT(ISERROR(SEARCH("Cancelado",Q294)))</formula>
    </cfRule>
  </conditionalFormatting>
  <conditionalFormatting sqref="S294">
    <cfRule type="cellIs" dxfId="12933" priority="11608" operator="equal">
      <formula>"Tramitando"</formula>
    </cfRule>
    <cfRule type="cellIs" dxfId="12932" priority="11609" operator="equal">
      <formula>"Deferido"</formula>
    </cfRule>
    <cfRule type="cellIs" dxfId="12931" priority="11610" operator="equal">
      <formula>"Indeferido"</formula>
    </cfRule>
  </conditionalFormatting>
  <conditionalFormatting sqref="S294">
    <cfRule type="containsText" dxfId="12930" priority="11607" operator="containsText" text="Cancelado">
      <formula>NOT(ISERROR(SEARCH("Cancelado",S294)))</formula>
    </cfRule>
  </conditionalFormatting>
  <conditionalFormatting sqref="J295">
    <cfRule type="cellIs" dxfId="12929" priority="11603" operator="equal">
      <formula>"Tramitando"</formula>
    </cfRule>
    <cfRule type="cellIs" dxfId="12928" priority="11604" operator="equal">
      <formula>"Deferido"</formula>
    </cfRule>
    <cfRule type="cellIs" dxfId="12927" priority="11605" operator="equal">
      <formula>"Indeferido"</formula>
    </cfRule>
  </conditionalFormatting>
  <conditionalFormatting sqref="J295">
    <cfRule type="containsText" dxfId="12926" priority="11602" operator="containsText" text="Cancelado">
      <formula>NOT(ISERROR(SEARCH("Cancelado",J295)))</formula>
    </cfRule>
  </conditionalFormatting>
  <conditionalFormatting sqref="M295">
    <cfRule type="cellIs" dxfId="12925" priority="11599" operator="equal">
      <formula>"Tramitando"</formula>
    </cfRule>
    <cfRule type="cellIs" dxfId="12924" priority="11600" operator="equal">
      <formula>"Deferido"</formula>
    </cfRule>
    <cfRule type="cellIs" dxfId="12923" priority="11601" operator="equal">
      <formula>"Indeferido"</formula>
    </cfRule>
  </conditionalFormatting>
  <conditionalFormatting sqref="M295">
    <cfRule type="containsText" dxfId="12922" priority="11598" operator="containsText" text="Cancelado">
      <formula>NOT(ISERROR(SEARCH("Cancelado",M295)))</formula>
    </cfRule>
  </conditionalFormatting>
  <conditionalFormatting sqref="O295">
    <cfRule type="cellIs" dxfId="12921" priority="11595" operator="equal">
      <formula>"Tramitando"</formula>
    </cfRule>
    <cfRule type="cellIs" dxfId="12920" priority="11596" operator="equal">
      <formula>"Deferido"</formula>
    </cfRule>
    <cfRule type="cellIs" dxfId="12919" priority="11597" operator="equal">
      <formula>"Indeferido"</formula>
    </cfRule>
  </conditionalFormatting>
  <conditionalFormatting sqref="O295">
    <cfRule type="containsText" dxfId="12918" priority="11594" operator="containsText" text="Cancelado">
      <formula>NOT(ISERROR(SEARCH("Cancelado",O295)))</formula>
    </cfRule>
  </conditionalFormatting>
  <conditionalFormatting sqref="Q295">
    <cfRule type="cellIs" dxfId="12917" priority="11591" operator="equal">
      <formula>"Tramitando"</formula>
    </cfRule>
    <cfRule type="cellIs" dxfId="12916" priority="11592" operator="equal">
      <formula>"Deferido"</formula>
    </cfRule>
    <cfRule type="cellIs" dxfId="12915" priority="11593" operator="equal">
      <formula>"Indeferido"</formula>
    </cfRule>
  </conditionalFormatting>
  <conditionalFormatting sqref="Q295">
    <cfRule type="containsText" dxfId="12914" priority="11590" operator="containsText" text="Cancelado">
      <formula>NOT(ISERROR(SEARCH("Cancelado",Q295)))</formula>
    </cfRule>
  </conditionalFormatting>
  <conditionalFormatting sqref="S295">
    <cfRule type="cellIs" dxfId="12913" priority="11587" operator="equal">
      <formula>"Tramitando"</formula>
    </cfRule>
    <cfRule type="cellIs" dxfId="12912" priority="11588" operator="equal">
      <formula>"Deferido"</formula>
    </cfRule>
    <cfRule type="cellIs" dxfId="12911" priority="11589" operator="equal">
      <formula>"Indeferido"</formula>
    </cfRule>
  </conditionalFormatting>
  <conditionalFormatting sqref="S295">
    <cfRule type="containsText" dxfId="12910" priority="11586" operator="containsText" text="Cancelado">
      <formula>NOT(ISERROR(SEARCH("Cancelado",S295)))</formula>
    </cfRule>
  </conditionalFormatting>
  <conditionalFormatting sqref="J296:J297">
    <cfRule type="cellIs" dxfId="12909" priority="11582" operator="equal">
      <formula>"Tramitando"</formula>
    </cfRule>
    <cfRule type="cellIs" dxfId="12908" priority="11583" operator="equal">
      <formula>"Deferido"</formula>
    </cfRule>
    <cfRule type="cellIs" dxfId="12907" priority="11584" operator="equal">
      <formula>"Indeferido"</formula>
    </cfRule>
  </conditionalFormatting>
  <conditionalFormatting sqref="J296:J297">
    <cfRule type="containsText" dxfId="12906" priority="11581" operator="containsText" text="Cancelado">
      <formula>NOT(ISERROR(SEARCH("Cancelado",J296)))</formula>
    </cfRule>
  </conditionalFormatting>
  <conditionalFormatting sqref="M296:M297">
    <cfRule type="cellIs" dxfId="12905" priority="11578" operator="equal">
      <formula>"Tramitando"</formula>
    </cfRule>
    <cfRule type="cellIs" dxfId="12904" priority="11579" operator="equal">
      <formula>"Deferido"</formula>
    </cfRule>
    <cfRule type="cellIs" dxfId="12903" priority="11580" operator="equal">
      <formula>"Indeferido"</formula>
    </cfRule>
  </conditionalFormatting>
  <conditionalFormatting sqref="M296:M297">
    <cfRule type="containsText" dxfId="12902" priority="11577" operator="containsText" text="Cancelado">
      <formula>NOT(ISERROR(SEARCH("Cancelado",M296)))</formula>
    </cfRule>
  </conditionalFormatting>
  <conditionalFormatting sqref="O296:O297">
    <cfRule type="cellIs" dxfId="12901" priority="11574" operator="equal">
      <formula>"Tramitando"</formula>
    </cfRule>
    <cfRule type="cellIs" dxfId="12900" priority="11575" operator="equal">
      <formula>"Deferido"</formula>
    </cfRule>
    <cfRule type="cellIs" dxfId="12899" priority="11576" operator="equal">
      <formula>"Indeferido"</formula>
    </cfRule>
  </conditionalFormatting>
  <conditionalFormatting sqref="O296:O297">
    <cfRule type="containsText" dxfId="12898" priority="11573" operator="containsText" text="Cancelado">
      <formula>NOT(ISERROR(SEARCH("Cancelado",O296)))</formula>
    </cfRule>
  </conditionalFormatting>
  <conditionalFormatting sqref="Q296:Q297">
    <cfRule type="cellIs" dxfId="12897" priority="11570" operator="equal">
      <formula>"Tramitando"</formula>
    </cfRule>
    <cfRule type="cellIs" dxfId="12896" priority="11571" operator="equal">
      <formula>"Deferido"</formula>
    </cfRule>
    <cfRule type="cellIs" dxfId="12895" priority="11572" operator="equal">
      <formula>"Indeferido"</formula>
    </cfRule>
  </conditionalFormatting>
  <conditionalFormatting sqref="Q296:Q297">
    <cfRule type="containsText" dxfId="12894" priority="11569" operator="containsText" text="Cancelado">
      <formula>NOT(ISERROR(SEARCH("Cancelado",Q296)))</formula>
    </cfRule>
  </conditionalFormatting>
  <conditionalFormatting sqref="S296:S297">
    <cfRule type="cellIs" dxfId="12893" priority="11566" operator="equal">
      <formula>"Tramitando"</formula>
    </cfRule>
    <cfRule type="cellIs" dxfId="12892" priority="11567" operator="equal">
      <formula>"Deferido"</formula>
    </cfRule>
    <cfRule type="cellIs" dxfId="12891" priority="11568" operator="equal">
      <formula>"Indeferido"</formula>
    </cfRule>
  </conditionalFormatting>
  <conditionalFormatting sqref="S296:S297">
    <cfRule type="containsText" dxfId="12890" priority="11565" operator="containsText" text="Cancelado">
      <formula>NOT(ISERROR(SEARCH("Cancelado",S296)))</formula>
    </cfRule>
  </conditionalFormatting>
  <conditionalFormatting sqref="J298">
    <cfRule type="cellIs" dxfId="12889" priority="11560" operator="equal">
      <formula>"Tramitando"</formula>
    </cfRule>
    <cfRule type="cellIs" dxfId="12888" priority="11561" operator="equal">
      <formula>"Deferido"</formula>
    </cfRule>
    <cfRule type="cellIs" dxfId="12887" priority="11562" operator="equal">
      <formula>"Indeferido"</formula>
    </cfRule>
  </conditionalFormatting>
  <conditionalFormatting sqref="J298">
    <cfRule type="containsText" dxfId="12886" priority="11559" operator="containsText" text="Cancelado">
      <formula>NOT(ISERROR(SEARCH("Cancelado",J298)))</formula>
    </cfRule>
  </conditionalFormatting>
  <conditionalFormatting sqref="M298">
    <cfRule type="cellIs" dxfId="12885" priority="11556" operator="equal">
      <formula>"Tramitando"</formula>
    </cfRule>
    <cfRule type="cellIs" dxfId="12884" priority="11557" operator="equal">
      <formula>"Deferido"</formula>
    </cfRule>
    <cfRule type="cellIs" dxfId="12883" priority="11558" operator="equal">
      <formula>"Indeferido"</formula>
    </cfRule>
  </conditionalFormatting>
  <conditionalFormatting sqref="M298">
    <cfRule type="containsText" dxfId="12882" priority="11555" operator="containsText" text="Cancelado">
      <formula>NOT(ISERROR(SEARCH("Cancelado",M298)))</formula>
    </cfRule>
  </conditionalFormatting>
  <conditionalFormatting sqref="O298">
    <cfRule type="cellIs" dxfId="12881" priority="11552" operator="equal">
      <formula>"Tramitando"</formula>
    </cfRule>
    <cfRule type="cellIs" dxfId="12880" priority="11553" operator="equal">
      <formula>"Deferido"</formula>
    </cfRule>
    <cfRule type="cellIs" dxfId="12879" priority="11554" operator="equal">
      <formula>"Indeferido"</formula>
    </cfRule>
  </conditionalFormatting>
  <conditionalFormatting sqref="O298">
    <cfRule type="containsText" dxfId="12878" priority="11551" operator="containsText" text="Cancelado">
      <formula>NOT(ISERROR(SEARCH("Cancelado",O298)))</formula>
    </cfRule>
  </conditionalFormatting>
  <conditionalFormatting sqref="Q298">
    <cfRule type="cellIs" dxfId="12877" priority="11548" operator="equal">
      <formula>"Tramitando"</formula>
    </cfRule>
    <cfRule type="cellIs" dxfId="12876" priority="11549" operator="equal">
      <formula>"Deferido"</formula>
    </cfRule>
    <cfRule type="cellIs" dxfId="12875" priority="11550" operator="equal">
      <formula>"Indeferido"</formula>
    </cfRule>
  </conditionalFormatting>
  <conditionalFormatting sqref="Q298">
    <cfRule type="containsText" dxfId="12874" priority="11547" operator="containsText" text="Cancelado">
      <formula>NOT(ISERROR(SEARCH("Cancelado",Q298)))</formula>
    </cfRule>
  </conditionalFormatting>
  <conditionalFormatting sqref="S298">
    <cfRule type="cellIs" dxfId="12873" priority="11544" operator="equal">
      <formula>"Tramitando"</formula>
    </cfRule>
    <cfRule type="cellIs" dxfId="12872" priority="11545" operator="equal">
      <formula>"Deferido"</formula>
    </cfRule>
    <cfRule type="cellIs" dxfId="12871" priority="11546" operator="equal">
      <formula>"Indeferido"</formula>
    </cfRule>
  </conditionalFormatting>
  <conditionalFormatting sqref="S298">
    <cfRule type="containsText" dxfId="12870" priority="11543" operator="containsText" text="Cancelado">
      <formula>NOT(ISERROR(SEARCH("Cancelado",S298)))</formula>
    </cfRule>
  </conditionalFormatting>
  <conditionalFormatting sqref="J299">
    <cfRule type="cellIs" dxfId="12869" priority="11539" operator="equal">
      <formula>"Tramitando"</formula>
    </cfRule>
    <cfRule type="cellIs" dxfId="12868" priority="11540" operator="equal">
      <formula>"Deferido"</formula>
    </cfRule>
    <cfRule type="cellIs" dxfId="12867" priority="11541" operator="equal">
      <formula>"Indeferido"</formula>
    </cfRule>
  </conditionalFormatting>
  <conditionalFormatting sqref="J299">
    <cfRule type="containsText" dxfId="12866" priority="11538" operator="containsText" text="Cancelado">
      <formula>NOT(ISERROR(SEARCH("Cancelado",J299)))</formula>
    </cfRule>
  </conditionalFormatting>
  <conditionalFormatting sqref="M299">
    <cfRule type="cellIs" dxfId="12865" priority="11535" operator="equal">
      <formula>"Tramitando"</formula>
    </cfRule>
    <cfRule type="cellIs" dxfId="12864" priority="11536" operator="equal">
      <formula>"Deferido"</formula>
    </cfRule>
    <cfRule type="cellIs" dxfId="12863" priority="11537" operator="equal">
      <formula>"Indeferido"</formula>
    </cfRule>
  </conditionalFormatting>
  <conditionalFormatting sqref="M299">
    <cfRule type="containsText" dxfId="12862" priority="11534" operator="containsText" text="Cancelado">
      <formula>NOT(ISERROR(SEARCH("Cancelado",M299)))</formula>
    </cfRule>
  </conditionalFormatting>
  <conditionalFormatting sqref="O299">
    <cfRule type="cellIs" dxfId="12861" priority="11531" operator="equal">
      <formula>"Tramitando"</formula>
    </cfRule>
    <cfRule type="cellIs" dxfId="12860" priority="11532" operator="equal">
      <formula>"Deferido"</formula>
    </cfRule>
    <cfRule type="cellIs" dxfId="12859" priority="11533" operator="equal">
      <formula>"Indeferido"</formula>
    </cfRule>
  </conditionalFormatting>
  <conditionalFormatting sqref="O299">
    <cfRule type="containsText" dxfId="12858" priority="11530" operator="containsText" text="Cancelado">
      <formula>NOT(ISERROR(SEARCH("Cancelado",O299)))</formula>
    </cfRule>
  </conditionalFormatting>
  <conditionalFormatting sqref="Q299">
    <cfRule type="cellIs" dxfId="12857" priority="11527" operator="equal">
      <formula>"Tramitando"</formula>
    </cfRule>
    <cfRule type="cellIs" dxfId="12856" priority="11528" operator="equal">
      <formula>"Deferido"</formula>
    </cfRule>
    <cfRule type="cellIs" dxfId="12855" priority="11529" operator="equal">
      <formula>"Indeferido"</formula>
    </cfRule>
  </conditionalFormatting>
  <conditionalFormatting sqref="Q299">
    <cfRule type="containsText" dxfId="12854" priority="11526" operator="containsText" text="Cancelado">
      <formula>NOT(ISERROR(SEARCH("Cancelado",Q299)))</formula>
    </cfRule>
  </conditionalFormatting>
  <conditionalFormatting sqref="S299">
    <cfRule type="cellIs" dxfId="12853" priority="11523" operator="equal">
      <formula>"Tramitando"</formula>
    </cfRule>
    <cfRule type="cellIs" dxfId="12852" priority="11524" operator="equal">
      <formula>"Deferido"</formula>
    </cfRule>
    <cfRule type="cellIs" dxfId="12851" priority="11525" operator="equal">
      <formula>"Indeferido"</formula>
    </cfRule>
  </conditionalFormatting>
  <conditionalFormatting sqref="S299">
    <cfRule type="containsText" dxfId="12850" priority="11522" operator="containsText" text="Cancelado">
      <formula>NOT(ISERROR(SEARCH("Cancelado",S299)))</formula>
    </cfRule>
  </conditionalFormatting>
  <conditionalFormatting sqref="J300:J301">
    <cfRule type="cellIs" dxfId="12849" priority="11518" operator="equal">
      <formula>"Tramitando"</formula>
    </cfRule>
    <cfRule type="cellIs" dxfId="12848" priority="11519" operator="equal">
      <formula>"Deferido"</formula>
    </cfRule>
    <cfRule type="cellIs" dxfId="12847" priority="11520" operator="equal">
      <formula>"Indeferido"</formula>
    </cfRule>
  </conditionalFormatting>
  <conditionalFormatting sqref="J300:J301">
    <cfRule type="containsText" dxfId="12846" priority="11517" operator="containsText" text="Cancelado">
      <formula>NOT(ISERROR(SEARCH("Cancelado",J300)))</formula>
    </cfRule>
  </conditionalFormatting>
  <conditionalFormatting sqref="M300:M301">
    <cfRule type="cellIs" dxfId="12845" priority="11514" operator="equal">
      <formula>"Tramitando"</formula>
    </cfRule>
    <cfRule type="cellIs" dxfId="12844" priority="11515" operator="equal">
      <formula>"Deferido"</formula>
    </cfRule>
    <cfRule type="cellIs" dxfId="12843" priority="11516" operator="equal">
      <formula>"Indeferido"</formula>
    </cfRule>
  </conditionalFormatting>
  <conditionalFormatting sqref="M300:M301">
    <cfRule type="containsText" dxfId="12842" priority="11513" operator="containsText" text="Cancelado">
      <formula>NOT(ISERROR(SEARCH("Cancelado",M300)))</formula>
    </cfRule>
  </conditionalFormatting>
  <conditionalFormatting sqref="O300:O301">
    <cfRule type="cellIs" dxfId="12841" priority="11510" operator="equal">
      <formula>"Tramitando"</formula>
    </cfRule>
    <cfRule type="cellIs" dxfId="12840" priority="11511" operator="equal">
      <formula>"Deferido"</formula>
    </cfRule>
    <cfRule type="cellIs" dxfId="12839" priority="11512" operator="equal">
      <formula>"Indeferido"</formula>
    </cfRule>
  </conditionalFormatting>
  <conditionalFormatting sqref="O300:O301">
    <cfRule type="containsText" dxfId="12838" priority="11509" operator="containsText" text="Cancelado">
      <formula>NOT(ISERROR(SEARCH("Cancelado",O300)))</formula>
    </cfRule>
  </conditionalFormatting>
  <conditionalFormatting sqref="Q300:Q301">
    <cfRule type="cellIs" dxfId="12837" priority="11506" operator="equal">
      <formula>"Tramitando"</formula>
    </cfRule>
    <cfRule type="cellIs" dxfId="12836" priority="11507" operator="equal">
      <formula>"Deferido"</formula>
    </cfRule>
    <cfRule type="cellIs" dxfId="12835" priority="11508" operator="equal">
      <formula>"Indeferido"</formula>
    </cfRule>
  </conditionalFormatting>
  <conditionalFormatting sqref="Q300:Q301">
    <cfRule type="containsText" dxfId="12834" priority="11505" operator="containsText" text="Cancelado">
      <formula>NOT(ISERROR(SEARCH("Cancelado",Q300)))</formula>
    </cfRule>
  </conditionalFormatting>
  <conditionalFormatting sqref="S300:S301">
    <cfRule type="cellIs" dxfId="12833" priority="11502" operator="equal">
      <formula>"Tramitando"</formula>
    </cfRule>
    <cfRule type="cellIs" dxfId="12832" priority="11503" operator="equal">
      <formula>"Deferido"</formula>
    </cfRule>
    <cfRule type="cellIs" dxfId="12831" priority="11504" operator="equal">
      <formula>"Indeferido"</formula>
    </cfRule>
  </conditionalFormatting>
  <conditionalFormatting sqref="S300:S301">
    <cfRule type="containsText" dxfId="12830" priority="11501" operator="containsText" text="Cancelado">
      <formula>NOT(ISERROR(SEARCH("Cancelado",S300)))</formula>
    </cfRule>
  </conditionalFormatting>
  <conditionalFormatting sqref="J302">
    <cfRule type="cellIs" dxfId="12829" priority="11497" operator="equal">
      <formula>"Tramitando"</formula>
    </cfRule>
    <cfRule type="cellIs" dxfId="12828" priority="11498" operator="equal">
      <formula>"Deferido"</formula>
    </cfRule>
    <cfRule type="cellIs" dxfId="12827" priority="11499" operator="equal">
      <formula>"Indeferido"</formula>
    </cfRule>
  </conditionalFormatting>
  <conditionalFormatting sqref="J302">
    <cfRule type="containsText" dxfId="12826" priority="11496" operator="containsText" text="Cancelado">
      <formula>NOT(ISERROR(SEARCH("Cancelado",J302)))</formula>
    </cfRule>
  </conditionalFormatting>
  <conditionalFormatting sqref="M302">
    <cfRule type="cellIs" dxfId="12825" priority="11493" operator="equal">
      <formula>"Tramitando"</formula>
    </cfRule>
    <cfRule type="cellIs" dxfId="12824" priority="11494" operator="equal">
      <formula>"Deferido"</formula>
    </cfRule>
    <cfRule type="cellIs" dxfId="12823" priority="11495" operator="equal">
      <formula>"Indeferido"</formula>
    </cfRule>
  </conditionalFormatting>
  <conditionalFormatting sqref="M302">
    <cfRule type="containsText" dxfId="12822" priority="11492" operator="containsText" text="Cancelado">
      <formula>NOT(ISERROR(SEARCH("Cancelado",M302)))</formula>
    </cfRule>
  </conditionalFormatting>
  <conditionalFormatting sqref="O302">
    <cfRule type="cellIs" dxfId="12821" priority="11489" operator="equal">
      <formula>"Tramitando"</formula>
    </cfRule>
    <cfRule type="cellIs" dxfId="12820" priority="11490" operator="equal">
      <formula>"Deferido"</formula>
    </cfRule>
    <cfRule type="cellIs" dxfId="12819" priority="11491" operator="equal">
      <formula>"Indeferido"</formula>
    </cfRule>
  </conditionalFormatting>
  <conditionalFormatting sqref="O302">
    <cfRule type="containsText" dxfId="12818" priority="11488" operator="containsText" text="Cancelado">
      <formula>NOT(ISERROR(SEARCH("Cancelado",O302)))</formula>
    </cfRule>
  </conditionalFormatting>
  <conditionalFormatting sqref="Q302">
    <cfRule type="cellIs" dxfId="12817" priority="11485" operator="equal">
      <formula>"Tramitando"</formula>
    </cfRule>
    <cfRule type="cellIs" dxfId="12816" priority="11486" operator="equal">
      <formula>"Deferido"</formula>
    </cfRule>
    <cfRule type="cellIs" dxfId="12815" priority="11487" operator="equal">
      <formula>"Indeferido"</formula>
    </cfRule>
  </conditionalFormatting>
  <conditionalFormatting sqref="Q302">
    <cfRule type="containsText" dxfId="12814" priority="11484" operator="containsText" text="Cancelado">
      <formula>NOT(ISERROR(SEARCH("Cancelado",Q302)))</formula>
    </cfRule>
  </conditionalFormatting>
  <conditionalFormatting sqref="S302">
    <cfRule type="cellIs" dxfId="12813" priority="11481" operator="equal">
      <formula>"Tramitando"</formula>
    </cfRule>
    <cfRule type="cellIs" dxfId="12812" priority="11482" operator="equal">
      <formula>"Deferido"</formula>
    </cfRule>
    <cfRule type="cellIs" dxfId="12811" priority="11483" operator="equal">
      <formula>"Indeferido"</formula>
    </cfRule>
  </conditionalFormatting>
  <conditionalFormatting sqref="S302">
    <cfRule type="containsText" dxfId="12810" priority="11480" operator="containsText" text="Cancelado">
      <formula>NOT(ISERROR(SEARCH("Cancelado",S302)))</formula>
    </cfRule>
  </conditionalFormatting>
  <conditionalFormatting sqref="J303">
    <cfRule type="cellIs" dxfId="12809" priority="11476" operator="equal">
      <formula>"Tramitando"</formula>
    </cfRule>
    <cfRule type="cellIs" dxfId="12808" priority="11477" operator="equal">
      <formula>"Deferido"</formula>
    </cfRule>
    <cfRule type="cellIs" dxfId="12807" priority="11478" operator="equal">
      <formula>"Indeferido"</formula>
    </cfRule>
  </conditionalFormatting>
  <conditionalFormatting sqref="J303">
    <cfRule type="containsText" dxfId="12806" priority="11475" operator="containsText" text="Cancelado">
      <formula>NOT(ISERROR(SEARCH("Cancelado",J303)))</formula>
    </cfRule>
  </conditionalFormatting>
  <conditionalFormatting sqref="M303">
    <cfRule type="cellIs" dxfId="12805" priority="11472" operator="equal">
      <formula>"Tramitando"</formula>
    </cfRule>
    <cfRule type="cellIs" dxfId="12804" priority="11473" operator="equal">
      <formula>"Deferido"</formula>
    </cfRule>
    <cfRule type="cellIs" dxfId="12803" priority="11474" operator="equal">
      <formula>"Indeferido"</formula>
    </cfRule>
  </conditionalFormatting>
  <conditionalFormatting sqref="M303">
    <cfRule type="containsText" dxfId="12802" priority="11471" operator="containsText" text="Cancelado">
      <formula>NOT(ISERROR(SEARCH("Cancelado",M303)))</formula>
    </cfRule>
  </conditionalFormatting>
  <conditionalFormatting sqref="O303">
    <cfRule type="cellIs" dxfId="12801" priority="11468" operator="equal">
      <formula>"Tramitando"</formula>
    </cfRule>
    <cfRule type="cellIs" dxfId="12800" priority="11469" operator="equal">
      <formula>"Deferido"</formula>
    </cfRule>
    <cfRule type="cellIs" dxfId="12799" priority="11470" operator="equal">
      <formula>"Indeferido"</formula>
    </cfRule>
  </conditionalFormatting>
  <conditionalFormatting sqref="O303">
    <cfRule type="containsText" dxfId="12798" priority="11467" operator="containsText" text="Cancelado">
      <formula>NOT(ISERROR(SEARCH("Cancelado",O303)))</formula>
    </cfRule>
  </conditionalFormatting>
  <conditionalFormatting sqref="Q303">
    <cfRule type="cellIs" dxfId="12797" priority="11464" operator="equal">
      <formula>"Tramitando"</formula>
    </cfRule>
    <cfRule type="cellIs" dxfId="12796" priority="11465" operator="equal">
      <formula>"Deferido"</formula>
    </cfRule>
    <cfRule type="cellIs" dxfId="12795" priority="11466" operator="equal">
      <formula>"Indeferido"</formula>
    </cfRule>
  </conditionalFormatting>
  <conditionalFormatting sqref="Q303">
    <cfRule type="containsText" dxfId="12794" priority="11463" operator="containsText" text="Cancelado">
      <formula>NOT(ISERROR(SEARCH("Cancelado",Q303)))</formula>
    </cfRule>
  </conditionalFormatting>
  <conditionalFormatting sqref="S303">
    <cfRule type="cellIs" dxfId="12793" priority="11460" operator="equal">
      <formula>"Tramitando"</formula>
    </cfRule>
    <cfRule type="cellIs" dxfId="12792" priority="11461" operator="equal">
      <formula>"Deferido"</formula>
    </cfRule>
    <cfRule type="cellIs" dxfId="12791" priority="11462" operator="equal">
      <formula>"Indeferido"</formula>
    </cfRule>
  </conditionalFormatting>
  <conditionalFormatting sqref="S303">
    <cfRule type="containsText" dxfId="12790" priority="11459" operator="containsText" text="Cancelado">
      <formula>NOT(ISERROR(SEARCH("Cancelado",S303)))</formula>
    </cfRule>
  </conditionalFormatting>
  <conditionalFormatting sqref="J304">
    <cfRule type="cellIs" dxfId="12789" priority="11455" operator="equal">
      <formula>"Tramitando"</formula>
    </cfRule>
    <cfRule type="cellIs" dxfId="12788" priority="11456" operator="equal">
      <formula>"Deferido"</formula>
    </cfRule>
    <cfRule type="cellIs" dxfId="12787" priority="11457" operator="equal">
      <formula>"Indeferido"</formula>
    </cfRule>
  </conditionalFormatting>
  <conditionalFormatting sqref="J304">
    <cfRule type="containsText" dxfId="12786" priority="11454" operator="containsText" text="Cancelado">
      <formula>NOT(ISERROR(SEARCH("Cancelado",J304)))</formula>
    </cfRule>
  </conditionalFormatting>
  <conditionalFormatting sqref="M304">
    <cfRule type="cellIs" dxfId="12785" priority="11451" operator="equal">
      <formula>"Tramitando"</formula>
    </cfRule>
    <cfRule type="cellIs" dxfId="12784" priority="11452" operator="equal">
      <formula>"Deferido"</formula>
    </cfRule>
    <cfRule type="cellIs" dxfId="12783" priority="11453" operator="equal">
      <formula>"Indeferido"</formula>
    </cfRule>
  </conditionalFormatting>
  <conditionalFormatting sqref="M304">
    <cfRule type="containsText" dxfId="12782" priority="11450" operator="containsText" text="Cancelado">
      <formula>NOT(ISERROR(SEARCH("Cancelado",M304)))</formula>
    </cfRule>
  </conditionalFormatting>
  <conditionalFormatting sqref="O304">
    <cfRule type="cellIs" dxfId="12781" priority="11447" operator="equal">
      <formula>"Tramitando"</formula>
    </cfRule>
    <cfRule type="cellIs" dxfId="12780" priority="11448" operator="equal">
      <formula>"Deferido"</formula>
    </cfRule>
    <cfRule type="cellIs" dxfId="12779" priority="11449" operator="equal">
      <formula>"Indeferido"</formula>
    </cfRule>
  </conditionalFormatting>
  <conditionalFormatting sqref="O304">
    <cfRule type="containsText" dxfId="12778" priority="11446" operator="containsText" text="Cancelado">
      <formula>NOT(ISERROR(SEARCH("Cancelado",O304)))</formula>
    </cfRule>
  </conditionalFormatting>
  <conditionalFormatting sqref="Q304">
    <cfRule type="cellIs" dxfId="12777" priority="11443" operator="equal">
      <formula>"Tramitando"</formula>
    </cfRule>
    <cfRule type="cellIs" dxfId="12776" priority="11444" operator="equal">
      <formula>"Deferido"</formula>
    </cfRule>
    <cfRule type="cellIs" dxfId="12775" priority="11445" operator="equal">
      <formula>"Indeferido"</formula>
    </cfRule>
  </conditionalFormatting>
  <conditionalFormatting sqref="Q304">
    <cfRule type="containsText" dxfId="12774" priority="11442" operator="containsText" text="Cancelado">
      <formula>NOT(ISERROR(SEARCH("Cancelado",Q304)))</formula>
    </cfRule>
  </conditionalFormatting>
  <conditionalFormatting sqref="S304">
    <cfRule type="cellIs" dxfId="12773" priority="11439" operator="equal">
      <formula>"Tramitando"</formula>
    </cfRule>
    <cfRule type="cellIs" dxfId="12772" priority="11440" operator="equal">
      <formula>"Deferido"</formula>
    </cfRule>
    <cfRule type="cellIs" dxfId="12771" priority="11441" operator="equal">
      <formula>"Indeferido"</formula>
    </cfRule>
  </conditionalFormatting>
  <conditionalFormatting sqref="S304">
    <cfRule type="containsText" dxfId="12770" priority="11438" operator="containsText" text="Cancelado">
      <formula>NOT(ISERROR(SEARCH("Cancelado",S304)))</formula>
    </cfRule>
  </conditionalFormatting>
  <conditionalFormatting sqref="J305">
    <cfRule type="cellIs" dxfId="12769" priority="11434" operator="equal">
      <formula>"Tramitando"</formula>
    </cfRule>
    <cfRule type="cellIs" dxfId="12768" priority="11435" operator="equal">
      <formula>"Deferido"</formula>
    </cfRule>
    <cfRule type="cellIs" dxfId="12767" priority="11436" operator="equal">
      <formula>"Indeferido"</formula>
    </cfRule>
  </conditionalFormatting>
  <conditionalFormatting sqref="J305">
    <cfRule type="containsText" dxfId="12766" priority="11433" operator="containsText" text="Cancelado">
      <formula>NOT(ISERROR(SEARCH("Cancelado",J305)))</formula>
    </cfRule>
  </conditionalFormatting>
  <conditionalFormatting sqref="M305">
    <cfRule type="cellIs" dxfId="12765" priority="11430" operator="equal">
      <formula>"Tramitando"</formula>
    </cfRule>
    <cfRule type="cellIs" dxfId="12764" priority="11431" operator="equal">
      <formula>"Deferido"</formula>
    </cfRule>
    <cfRule type="cellIs" dxfId="12763" priority="11432" operator="equal">
      <formula>"Indeferido"</formula>
    </cfRule>
  </conditionalFormatting>
  <conditionalFormatting sqref="M305">
    <cfRule type="containsText" dxfId="12762" priority="11429" operator="containsText" text="Cancelado">
      <formula>NOT(ISERROR(SEARCH("Cancelado",M305)))</formula>
    </cfRule>
  </conditionalFormatting>
  <conditionalFormatting sqref="O305">
    <cfRule type="cellIs" dxfId="12761" priority="11426" operator="equal">
      <formula>"Tramitando"</formula>
    </cfRule>
    <cfRule type="cellIs" dxfId="12760" priority="11427" operator="equal">
      <formula>"Deferido"</formula>
    </cfRule>
    <cfRule type="cellIs" dxfId="12759" priority="11428" operator="equal">
      <formula>"Indeferido"</formula>
    </cfRule>
  </conditionalFormatting>
  <conditionalFormatting sqref="O305">
    <cfRule type="containsText" dxfId="12758" priority="11425" operator="containsText" text="Cancelado">
      <formula>NOT(ISERROR(SEARCH("Cancelado",O305)))</formula>
    </cfRule>
  </conditionalFormatting>
  <conditionalFormatting sqref="Q305">
    <cfRule type="cellIs" dxfId="12757" priority="11422" operator="equal">
      <formula>"Tramitando"</formula>
    </cfRule>
    <cfRule type="cellIs" dxfId="12756" priority="11423" operator="equal">
      <formula>"Deferido"</formula>
    </cfRule>
    <cfRule type="cellIs" dxfId="12755" priority="11424" operator="equal">
      <formula>"Indeferido"</formula>
    </cfRule>
  </conditionalFormatting>
  <conditionalFormatting sqref="Q305">
    <cfRule type="containsText" dxfId="12754" priority="11421" operator="containsText" text="Cancelado">
      <formula>NOT(ISERROR(SEARCH("Cancelado",Q305)))</formula>
    </cfRule>
  </conditionalFormatting>
  <conditionalFormatting sqref="S305">
    <cfRule type="cellIs" dxfId="12753" priority="11418" operator="equal">
      <formula>"Tramitando"</formula>
    </cfRule>
    <cfRule type="cellIs" dxfId="12752" priority="11419" operator="equal">
      <formula>"Deferido"</formula>
    </cfRule>
    <cfRule type="cellIs" dxfId="12751" priority="11420" operator="equal">
      <formula>"Indeferido"</formula>
    </cfRule>
  </conditionalFormatting>
  <conditionalFormatting sqref="S305">
    <cfRule type="containsText" dxfId="12750" priority="11417" operator="containsText" text="Cancelado">
      <formula>NOT(ISERROR(SEARCH("Cancelado",S305)))</formula>
    </cfRule>
  </conditionalFormatting>
  <conditionalFormatting sqref="J306">
    <cfRule type="cellIs" dxfId="12749" priority="11413" operator="equal">
      <formula>"Tramitando"</formula>
    </cfRule>
    <cfRule type="cellIs" dxfId="12748" priority="11414" operator="equal">
      <formula>"Deferido"</formula>
    </cfRule>
    <cfRule type="cellIs" dxfId="12747" priority="11415" operator="equal">
      <formula>"Indeferido"</formula>
    </cfRule>
  </conditionalFormatting>
  <conditionalFormatting sqref="J306">
    <cfRule type="containsText" dxfId="12746" priority="11412" operator="containsText" text="Cancelado">
      <formula>NOT(ISERROR(SEARCH("Cancelado",J306)))</formula>
    </cfRule>
  </conditionalFormatting>
  <conditionalFormatting sqref="M306">
    <cfRule type="cellIs" dxfId="12745" priority="11409" operator="equal">
      <formula>"Tramitando"</formula>
    </cfRule>
    <cfRule type="cellIs" dxfId="12744" priority="11410" operator="equal">
      <formula>"Deferido"</formula>
    </cfRule>
    <cfRule type="cellIs" dxfId="12743" priority="11411" operator="equal">
      <formula>"Indeferido"</formula>
    </cfRule>
  </conditionalFormatting>
  <conditionalFormatting sqref="M306">
    <cfRule type="containsText" dxfId="12742" priority="11408" operator="containsText" text="Cancelado">
      <formula>NOT(ISERROR(SEARCH("Cancelado",M306)))</formula>
    </cfRule>
  </conditionalFormatting>
  <conditionalFormatting sqref="O306">
    <cfRule type="cellIs" dxfId="12741" priority="11405" operator="equal">
      <formula>"Tramitando"</formula>
    </cfRule>
    <cfRule type="cellIs" dxfId="12740" priority="11406" operator="equal">
      <formula>"Deferido"</formula>
    </cfRule>
    <cfRule type="cellIs" dxfId="12739" priority="11407" operator="equal">
      <formula>"Indeferido"</formula>
    </cfRule>
  </conditionalFormatting>
  <conditionalFormatting sqref="O306">
    <cfRule type="containsText" dxfId="12738" priority="11404" operator="containsText" text="Cancelado">
      <formula>NOT(ISERROR(SEARCH("Cancelado",O306)))</formula>
    </cfRule>
  </conditionalFormatting>
  <conditionalFormatting sqref="Q306">
    <cfRule type="cellIs" dxfId="12737" priority="11401" operator="equal">
      <formula>"Tramitando"</formula>
    </cfRule>
    <cfRule type="cellIs" dxfId="12736" priority="11402" operator="equal">
      <formula>"Deferido"</formula>
    </cfRule>
    <cfRule type="cellIs" dxfId="12735" priority="11403" operator="equal">
      <formula>"Indeferido"</formula>
    </cfRule>
  </conditionalFormatting>
  <conditionalFormatting sqref="Q306">
    <cfRule type="containsText" dxfId="12734" priority="11400" operator="containsText" text="Cancelado">
      <formula>NOT(ISERROR(SEARCH("Cancelado",Q306)))</formula>
    </cfRule>
  </conditionalFormatting>
  <conditionalFormatting sqref="S306">
    <cfRule type="cellIs" dxfId="12733" priority="11397" operator="equal">
      <formula>"Tramitando"</formula>
    </cfRule>
    <cfRule type="cellIs" dxfId="12732" priority="11398" operator="equal">
      <formula>"Deferido"</formula>
    </cfRule>
    <cfRule type="cellIs" dxfId="12731" priority="11399" operator="equal">
      <formula>"Indeferido"</formula>
    </cfRule>
  </conditionalFormatting>
  <conditionalFormatting sqref="S306">
    <cfRule type="containsText" dxfId="12730" priority="11396" operator="containsText" text="Cancelado">
      <formula>NOT(ISERROR(SEARCH("Cancelado",S306)))</formula>
    </cfRule>
  </conditionalFormatting>
  <conditionalFormatting sqref="J307">
    <cfRule type="cellIs" dxfId="12729" priority="11391" operator="equal">
      <formula>"Tramitando"</formula>
    </cfRule>
    <cfRule type="cellIs" dxfId="12728" priority="11392" operator="equal">
      <formula>"Deferido"</formula>
    </cfRule>
    <cfRule type="cellIs" dxfId="12727" priority="11393" operator="equal">
      <formula>"Indeferido"</formula>
    </cfRule>
  </conditionalFormatting>
  <conditionalFormatting sqref="J307">
    <cfRule type="containsText" dxfId="12726" priority="11390" operator="containsText" text="Cancelado">
      <formula>NOT(ISERROR(SEARCH("Cancelado",J307)))</formula>
    </cfRule>
  </conditionalFormatting>
  <conditionalFormatting sqref="M307">
    <cfRule type="cellIs" dxfId="12725" priority="11387" operator="equal">
      <formula>"Tramitando"</formula>
    </cfRule>
    <cfRule type="cellIs" dxfId="12724" priority="11388" operator="equal">
      <formula>"Deferido"</formula>
    </cfRule>
    <cfRule type="cellIs" dxfId="12723" priority="11389" operator="equal">
      <formula>"Indeferido"</formula>
    </cfRule>
  </conditionalFormatting>
  <conditionalFormatting sqref="M307">
    <cfRule type="containsText" dxfId="12722" priority="11386" operator="containsText" text="Cancelado">
      <formula>NOT(ISERROR(SEARCH("Cancelado",M307)))</formula>
    </cfRule>
  </conditionalFormatting>
  <conditionalFormatting sqref="O307">
    <cfRule type="cellIs" dxfId="12721" priority="11383" operator="equal">
      <formula>"Tramitando"</formula>
    </cfRule>
    <cfRule type="cellIs" dxfId="12720" priority="11384" operator="equal">
      <formula>"Deferido"</formula>
    </cfRule>
    <cfRule type="cellIs" dxfId="12719" priority="11385" operator="equal">
      <formula>"Indeferido"</formula>
    </cfRule>
  </conditionalFormatting>
  <conditionalFormatting sqref="O307">
    <cfRule type="containsText" dxfId="12718" priority="11382" operator="containsText" text="Cancelado">
      <formula>NOT(ISERROR(SEARCH("Cancelado",O307)))</formula>
    </cfRule>
  </conditionalFormatting>
  <conditionalFormatting sqref="Q307">
    <cfRule type="cellIs" dxfId="12717" priority="11379" operator="equal">
      <formula>"Tramitando"</formula>
    </cfRule>
    <cfRule type="cellIs" dxfId="12716" priority="11380" operator="equal">
      <formula>"Deferido"</formula>
    </cfRule>
    <cfRule type="cellIs" dxfId="12715" priority="11381" operator="equal">
      <formula>"Indeferido"</formula>
    </cfRule>
  </conditionalFormatting>
  <conditionalFormatting sqref="Q307">
    <cfRule type="containsText" dxfId="12714" priority="11378" operator="containsText" text="Cancelado">
      <formula>NOT(ISERROR(SEARCH("Cancelado",Q307)))</formula>
    </cfRule>
  </conditionalFormatting>
  <conditionalFormatting sqref="S307">
    <cfRule type="cellIs" dxfId="12713" priority="11375" operator="equal">
      <formula>"Tramitando"</formula>
    </cfRule>
    <cfRule type="cellIs" dxfId="12712" priority="11376" operator="equal">
      <formula>"Deferido"</formula>
    </cfRule>
    <cfRule type="cellIs" dxfId="12711" priority="11377" operator="equal">
      <formula>"Indeferido"</formula>
    </cfRule>
  </conditionalFormatting>
  <conditionalFormatting sqref="S307">
    <cfRule type="containsText" dxfId="12710" priority="11374" operator="containsText" text="Cancelado">
      <formula>NOT(ISERROR(SEARCH("Cancelado",S307)))</formula>
    </cfRule>
  </conditionalFormatting>
  <conditionalFormatting sqref="J308">
    <cfRule type="cellIs" dxfId="12709" priority="11370" operator="equal">
      <formula>"Tramitando"</formula>
    </cfRule>
    <cfRule type="cellIs" dxfId="12708" priority="11371" operator="equal">
      <formula>"Deferido"</formula>
    </cfRule>
    <cfRule type="cellIs" dxfId="12707" priority="11372" operator="equal">
      <formula>"Indeferido"</formula>
    </cfRule>
  </conditionalFormatting>
  <conditionalFormatting sqref="J308">
    <cfRule type="containsText" dxfId="12706" priority="11369" operator="containsText" text="Cancelado">
      <formula>NOT(ISERROR(SEARCH("Cancelado",J308)))</formula>
    </cfRule>
  </conditionalFormatting>
  <conditionalFormatting sqref="M308">
    <cfRule type="cellIs" dxfId="12705" priority="11366" operator="equal">
      <formula>"Tramitando"</formula>
    </cfRule>
    <cfRule type="cellIs" dxfId="12704" priority="11367" operator="equal">
      <formula>"Deferido"</formula>
    </cfRule>
    <cfRule type="cellIs" dxfId="12703" priority="11368" operator="equal">
      <formula>"Indeferido"</formula>
    </cfRule>
  </conditionalFormatting>
  <conditionalFormatting sqref="M308">
    <cfRule type="containsText" dxfId="12702" priority="11365" operator="containsText" text="Cancelado">
      <formula>NOT(ISERROR(SEARCH("Cancelado",M308)))</formula>
    </cfRule>
  </conditionalFormatting>
  <conditionalFormatting sqref="O308">
    <cfRule type="cellIs" dxfId="12701" priority="11362" operator="equal">
      <formula>"Tramitando"</formula>
    </cfRule>
    <cfRule type="cellIs" dxfId="12700" priority="11363" operator="equal">
      <formula>"Deferido"</formula>
    </cfRule>
    <cfRule type="cellIs" dxfId="12699" priority="11364" operator="equal">
      <formula>"Indeferido"</formula>
    </cfRule>
  </conditionalFormatting>
  <conditionalFormatting sqref="O308">
    <cfRule type="containsText" dxfId="12698" priority="11361" operator="containsText" text="Cancelado">
      <formula>NOT(ISERROR(SEARCH("Cancelado",O308)))</formula>
    </cfRule>
  </conditionalFormatting>
  <conditionalFormatting sqref="Q308">
    <cfRule type="cellIs" dxfId="12697" priority="11358" operator="equal">
      <formula>"Tramitando"</formula>
    </cfRule>
    <cfRule type="cellIs" dxfId="12696" priority="11359" operator="equal">
      <formula>"Deferido"</formula>
    </cfRule>
    <cfRule type="cellIs" dxfId="12695" priority="11360" operator="equal">
      <formula>"Indeferido"</formula>
    </cfRule>
  </conditionalFormatting>
  <conditionalFormatting sqref="Q308">
    <cfRule type="containsText" dxfId="12694" priority="11357" operator="containsText" text="Cancelado">
      <formula>NOT(ISERROR(SEARCH("Cancelado",Q308)))</formula>
    </cfRule>
  </conditionalFormatting>
  <conditionalFormatting sqref="S308">
    <cfRule type="cellIs" dxfId="12693" priority="11354" operator="equal">
      <formula>"Tramitando"</formula>
    </cfRule>
    <cfRule type="cellIs" dxfId="12692" priority="11355" operator="equal">
      <formula>"Deferido"</formula>
    </cfRule>
    <cfRule type="cellIs" dxfId="12691" priority="11356" operator="equal">
      <formula>"Indeferido"</formula>
    </cfRule>
  </conditionalFormatting>
  <conditionalFormatting sqref="S308">
    <cfRule type="containsText" dxfId="12690" priority="11353" operator="containsText" text="Cancelado">
      <formula>NOT(ISERROR(SEARCH("Cancelado",S308)))</formula>
    </cfRule>
  </conditionalFormatting>
  <conditionalFormatting sqref="J309">
    <cfRule type="cellIs" dxfId="12689" priority="11347" operator="equal">
      <formula>"Tramitando"</formula>
    </cfRule>
    <cfRule type="cellIs" dxfId="12688" priority="11348" operator="equal">
      <formula>"Deferido"</formula>
    </cfRule>
    <cfRule type="cellIs" dxfId="12687" priority="11349" operator="equal">
      <formula>"Indeferido"</formula>
    </cfRule>
  </conditionalFormatting>
  <conditionalFormatting sqref="J309">
    <cfRule type="containsText" dxfId="12686" priority="11346" operator="containsText" text="Cancelado">
      <formula>NOT(ISERROR(SEARCH("Cancelado",J309)))</formula>
    </cfRule>
  </conditionalFormatting>
  <conditionalFormatting sqref="M309">
    <cfRule type="cellIs" dxfId="12685" priority="11343" operator="equal">
      <formula>"Tramitando"</formula>
    </cfRule>
    <cfRule type="cellIs" dxfId="12684" priority="11344" operator="equal">
      <formula>"Deferido"</formula>
    </cfRule>
    <cfRule type="cellIs" dxfId="12683" priority="11345" operator="equal">
      <formula>"Indeferido"</formula>
    </cfRule>
  </conditionalFormatting>
  <conditionalFormatting sqref="M309">
    <cfRule type="containsText" dxfId="12682" priority="11342" operator="containsText" text="Cancelado">
      <formula>NOT(ISERROR(SEARCH("Cancelado",M309)))</formula>
    </cfRule>
  </conditionalFormatting>
  <conditionalFormatting sqref="O309">
    <cfRule type="cellIs" dxfId="12681" priority="11339" operator="equal">
      <formula>"Tramitando"</formula>
    </cfRule>
    <cfRule type="cellIs" dxfId="12680" priority="11340" operator="equal">
      <formula>"Deferido"</formula>
    </cfRule>
    <cfRule type="cellIs" dxfId="12679" priority="11341" operator="equal">
      <formula>"Indeferido"</formula>
    </cfRule>
  </conditionalFormatting>
  <conditionalFormatting sqref="O309">
    <cfRule type="containsText" dxfId="12678" priority="11338" operator="containsText" text="Cancelado">
      <formula>NOT(ISERROR(SEARCH("Cancelado",O309)))</formula>
    </cfRule>
  </conditionalFormatting>
  <conditionalFormatting sqref="Q309">
    <cfRule type="cellIs" dxfId="12677" priority="11335" operator="equal">
      <formula>"Tramitando"</formula>
    </cfRule>
    <cfRule type="cellIs" dxfId="12676" priority="11336" operator="equal">
      <formula>"Deferido"</formula>
    </cfRule>
    <cfRule type="cellIs" dxfId="12675" priority="11337" operator="equal">
      <formula>"Indeferido"</formula>
    </cfRule>
  </conditionalFormatting>
  <conditionalFormatting sqref="Q309">
    <cfRule type="containsText" dxfId="12674" priority="11334" operator="containsText" text="Cancelado">
      <formula>NOT(ISERROR(SEARCH("Cancelado",Q309)))</formula>
    </cfRule>
  </conditionalFormatting>
  <conditionalFormatting sqref="S309">
    <cfRule type="cellIs" dxfId="12673" priority="11331" operator="equal">
      <formula>"Tramitando"</formula>
    </cfRule>
    <cfRule type="cellIs" dxfId="12672" priority="11332" operator="equal">
      <formula>"Deferido"</formula>
    </cfRule>
    <cfRule type="cellIs" dxfId="12671" priority="11333" operator="equal">
      <formula>"Indeferido"</formula>
    </cfRule>
  </conditionalFormatting>
  <conditionalFormatting sqref="S309">
    <cfRule type="containsText" dxfId="12670" priority="11330" operator="containsText" text="Cancelado">
      <formula>NOT(ISERROR(SEARCH("Cancelado",S309)))</formula>
    </cfRule>
  </conditionalFormatting>
  <conditionalFormatting sqref="J310">
    <cfRule type="cellIs" dxfId="12669" priority="11325" operator="equal">
      <formula>"Tramitando"</formula>
    </cfRule>
    <cfRule type="cellIs" dxfId="12668" priority="11326" operator="equal">
      <formula>"Deferido"</formula>
    </cfRule>
    <cfRule type="cellIs" dxfId="12667" priority="11327" operator="equal">
      <formula>"Indeferido"</formula>
    </cfRule>
  </conditionalFormatting>
  <conditionalFormatting sqref="J310">
    <cfRule type="containsText" dxfId="12666" priority="11324" operator="containsText" text="Cancelado">
      <formula>NOT(ISERROR(SEARCH("Cancelado",J310)))</formula>
    </cfRule>
  </conditionalFormatting>
  <conditionalFormatting sqref="M310">
    <cfRule type="cellIs" dxfId="12665" priority="11321" operator="equal">
      <formula>"Tramitando"</formula>
    </cfRule>
    <cfRule type="cellIs" dxfId="12664" priority="11322" operator="equal">
      <formula>"Deferido"</formula>
    </cfRule>
    <cfRule type="cellIs" dxfId="12663" priority="11323" operator="equal">
      <formula>"Indeferido"</formula>
    </cfRule>
  </conditionalFormatting>
  <conditionalFormatting sqref="M310">
    <cfRule type="containsText" dxfId="12662" priority="11320" operator="containsText" text="Cancelado">
      <formula>NOT(ISERROR(SEARCH("Cancelado",M310)))</formula>
    </cfRule>
  </conditionalFormatting>
  <conditionalFormatting sqref="O310">
    <cfRule type="cellIs" dxfId="12661" priority="11317" operator="equal">
      <formula>"Tramitando"</formula>
    </cfRule>
    <cfRule type="cellIs" dxfId="12660" priority="11318" operator="equal">
      <formula>"Deferido"</formula>
    </cfRule>
    <cfRule type="cellIs" dxfId="12659" priority="11319" operator="equal">
      <formula>"Indeferido"</formula>
    </cfRule>
  </conditionalFormatting>
  <conditionalFormatting sqref="O310">
    <cfRule type="containsText" dxfId="12658" priority="11316" operator="containsText" text="Cancelado">
      <formula>NOT(ISERROR(SEARCH("Cancelado",O310)))</formula>
    </cfRule>
  </conditionalFormatting>
  <conditionalFormatting sqref="Q310">
    <cfRule type="cellIs" dxfId="12657" priority="11313" operator="equal">
      <formula>"Tramitando"</formula>
    </cfRule>
    <cfRule type="cellIs" dxfId="12656" priority="11314" operator="equal">
      <formula>"Deferido"</formula>
    </cfRule>
    <cfRule type="cellIs" dxfId="12655" priority="11315" operator="equal">
      <formula>"Indeferido"</formula>
    </cfRule>
  </conditionalFormatting>
  <conditionalFormatting sqref="Q310">
    <cfRule type="containsText" dxfId="12654" priority="11312" operator="containsText" text="Cancelado">
      <formula>NOT(ISERROR(SEARCH("Cancelado",Q310)))</formula>
    </cfRule>
  </conditionalFormatting>
  <conditionalFormatting sqref="S310">
    <cfRule type="cellIs" dxfId="12653" priority="11309" operator="equal">
      <formula>"Tramitando"</formula>
    </cfRule>
    <cfRule type="cellIs" dxfId="12652" priority="11310" operator="equal">
      <formula>"Deferido"</formula>
    </cfRule>
    <cfRule type="cellIs" dxfId="12651" priority="11311" operator="equal">
      <formula>"Indeferido"</formula>
    </cfRule>
  </conditionalFormatting>
  <conditionalFormatting sqref="S310">
    <cfRule type="containsText" dxfId="12650" priority="11308" operator="containsText" text="Cancelado">
      <formula>NOT(ISERROR(SEARCH("Cancelado",S310)))</formula>
    </cfRule>
  </conditionalFormatting>
  <conditionalFormatting sqref="J311">
    <cfRule type="cellIs" dxfId="12649" priority="11304" operator="equal">
      <formula>"Tramitando"</formula>
    </cfRule>
    <cfRule type="cellIs" dxfId="12648" priority="11305" operator="equal">
      <formula>"Deferido"</formula>
    </cfRule>
    <cfRule type="cellIs" dxfId="12647" priority="11306" operator="equal">
      <formula>"Indeferido"</formula>
    </cfRule>
  </conditionalFormatting>
  <conditionalFormatting sqref="J311">
    <cfRule type="containsText" dxfId="12646" priority="11303" operator="containsText" text="Cancelado">
      <formula>NOT(ISERROR(SEARCH("Cancelado",J311)))</formula>
    </cfRule>
  </conditionalFormatting>
  <conditionalFormatting sqref="M311">
    <cfRule type="cellIs" dxfId="12645" priority="11300" operator="equal">
      <formula>"Tramitando"</formula>
    </cfRule>
    <cfRule type="cellIs" dxfId="12644" priority="11301" operator="equal">
      <formula>"Deferido"</formula>
    </cfRule>
    <cfRule type="cellIs" dxfId="12643" priority="11302" operator="equal">
      <formula>"Indeferido"</formula>
    </cfRule>
  </conditionalFormatting>
  <conditionalFormatting sqref="M311">
    <cfRule type="containsText" dxfId="12642" priority="11299" operator="containsText" text="Cancelado">
      <formula>NOT(ISERROR(SEARCH("Cancelado",M311)))</formula>
    </cfRule>
  </conditionalFormatting>
  <conditionalFormatting sqref="O311">
    <cfRule type="cellIs" dxfId="12641" priority="11296" operator="equal">
      <formula>"Tramitando"</formula>
    </cfRule>
    <cfRule type="cellIs" dxfId="12640" priority="11297" operator="equal">
      <formula>"Deferido"</formula>
    </cfRule>
    <cfRule type="cellIs" dxfId="12639" priority="11298" operator="equal">
      <formula>"Indeferido"</formula>
    </cfRule>
  </conditionalFormatting>
  <conditionalFormatting sqref="O311">
    <cfRule type="containsText" dxfId="12638" priority="11295" operator="containsText" text="Cancelado">
      <formula>NOT(ISERROR(SEARCH("Cancelado",O311)))</formula>
    </cfRule>
  </conditionalFormatting>
  <conditionalFormatting sqref="Q311">
    <cfRule type="cellIs" dxfId="12637" priority="11292" operator="equal">
      <formula>"Tramitando"</formula>
    </cfRule>
    <cfRule type="cellIs" dxfId="12636" priority="11293" operator="equal">
      <formula>"Deferido"</formula>
    </cfRule>
    <cfRule type="cellIs" dxfId="12635" priority="11294" operator="equal">
      <formula>"Indeferido"</formula>
    </cfRule>
  </conditionalFormatting>
  <conditionalFormatting sqref="Q311">
    <cfRule type="containsText" dxfId="12634" priority="11291" operator="containsText" text="Cancelado">
      <formula>NOT(ISERROR(SEARCH("Cancelado",Q311)))</formula>
    </cfRule>
  </conditionalFormatting>
  <conditionalFormatting sqref="S311">
    <cfRule type="cellIs" dxfId="12633" priority="11288" operator="equal">
      <formula>"Tramitando"</formula>
    </cfRule>
    <cfRule type="cellIs" dxfId="12632" priority="11289" operator="equal">
      <formula>"Deferido"</formula>
    </cfRule>
    <cfRule type="cellIs" dxfId="12631" priority="11290" operator="equal">
      <formula>"Indeferido"</formula>
    </cfRule>
  </conditionalFormatting>
  <conditionalFormatting sqref="S311">
    <cfRule type="containsText" dxfId="12630" priority="11287" operator="containsText" text="Cancelado">
      <formula>NOT(ISERROR(SEARCH("Cancelado",S311)))</formula>
    </cfRule>
  </conditionalFormatting>
  <conditionalFormatting sqref="J312">
    <cfRule type="cellIs" dxfId="12629" priority="11283" operator="equal">
      <formula>"Tramitando"</formula>
    </cfRule>
    <cfRule type="cellIs" dxfId="12628" priority="11284" operator="equal">
      <formula>"Deferido"</formula>
    </cfRule>
    <cfRule type="cellIs" dxfId="12627" priority="11285" operator="equal">
      <formula>"Indeferido"</formula>
    </cfRule>
  </conditionalFormatting>
  <conditionalFormatting sqref="J312">
    <cfRule type="containsText" dxfId="12626" priority="11282" operator="containsText" text="Cancelado">
      <formula>NOT(ISERROR(SEARCH("Cancelado",J312)))</formula>
    </cfRule>
  </conditionalFormatting>
  <conditionalFormatting sqref="M312">
    <cfRule type="cellIs" dxfId="12625" priority="11279" operator="equal">
      <formula>"Tramitando"</formula>
    </cfRule>
    <cfRule type="cellIs" dxfId="12624" priority="11280" operator="equal">
      <formula>"Deferido"</formula>
    </cfRule>
    <cfRule type="cellIs" dxfId="12623" priority="11281" operator="equal">
      <formula>"Indeferido"</formula>
    </cfRule>
  </conditionalFormatting>
  <conditionalFormatting sqref="M312">
    <cfRule type="containsText" dxfId="12622" priority="11278" operator="containsText" text="Cancelado">
      <formula>NOT(ISERROR(SEARCH("Cancelado",M312)))</formula>
    </cfRule>
  </conditionalFormatting>
  <conditionalFormatting sqref="O312">
    <cfRule type="cellIs" dxfId="12621" priority="11275" operator="equal">
      <formula>"Tramitando"</formula>
    </cfRule>
    <cfRule type="cellIs" dxfId="12620" priority="11276" operator="equal">
      <formula>"Deferido"</formula>
    </cfRule>
    <cfRule type="cellIs" dxfId="12619" priority="11277" operator="equal">
      <formula>"Indeferido"</formula>
    </cfRule>
  </conditionalFormatting>
  <conditionalFormatting sqref="O312">
    <cfRule type="containsText" dxfId="12618" priority="11274" operator="containsText" text="Cancelado">
      <formula>NOT(ISERROR(SEARCH("Cancelado",O312)))</formula>
    </cfRule>
  </conditionalFormatting>
  <conditionalFormatting sqref="Q312">
    <cfRule type="cellIs" dxfId="12617" priority="11271" operator="equal">
      <formula>"Tramitando"</formula>
    </cfRule>
    <cfRule type="cellIs" dxfId="12616" priority="11272" operator="equal">
      <formula>"Deferido"</formula>
    </cfRule>
    <cfRule type="cellIs" dxfId="12615" priority="11273" operator="equal">
      <formula>"Indeferido"</formula>
    </cfRule>
  </conditionalFormatting>
  <conditionalFormatting sqref="Q312">
    <cfRule type="containsText" dxfId="12614" priority="11270" operator="containsText" text="Cancelado">
      <formula>NOT(ISERROR(SEARCH("Cancelado",Q312)))</formula>
    </cfRule>
  </conditionalFormatting>
  <conditionalFormatting sqref="S312">
    <cfRule type="cellIs" dxfId="12613" priority="11267" operator="equal">
      <formula>"Tramitando"</formula>
    </cfRule>
    <cfRule type="cellIs" dxfId="12612" priority="11268" operator="equal">
      <formula>"Deferido"</formula>
    </cfRule>
    <cfRule type="cellIs" dxfId="12611" priority="11269" operator="equal">
      <formula>"Indeferido"</formula>
    </cfRule>
  </conditionalFormatting>
  <conditionalFormatting sqref="S312">
    <cfRule type="containsText" dxfId="12610" priority="11266" operator="containsText" text="Cancelado">
      <formula>NOT(ISERROR(SEARCH("Cancelado",S312)))</formula>
    </cfRule>
  </conditionalFormatting>
  <conditionalFormatting sqref="J313">
    <cfRule type="cellIs" dxfId="12609" priority="11261" operator="equal">
      <formula>"Tramitando"</formula>
    </cfRule>
    <cfRule type="cellIs" dxfId="12608" priority="11262" operator="equal">
      <formula>"Deferido"</formula>
    </cfRule>
    <cfRule type="cellIs" dxfId="12607" priority="11263" operator="equal">
      <formula>"Indeferido"</formula>
    </cfRule>
  </conditionalFormatting>
  <conditionalFormatting sqref="J313">
    <cfRule type="containsText" dxfId="12606" priority="11260" operator="containsText" text="Cancelado">
      <formula>NOT(ISERROR(SEARCH("Cancelado",J313)))</formula>
    </cfRule>
  </conditionalFormatting>
  <conditionalFormatting sqref="M313">
    <cfRule type="cellIs" dxfId="12605" priority="11257" operator="equal">
      <formula>"Tramitando"</formula>
    </cfRule>
    <cfRule type="cellIs" dxfId="12604" priority="11258" operator="equal">
      <formula>"Deferido"</formula>
    </cfRule>
    <cfRule type="cellIs" dxfId="12603" priority="11259" operator="equal">
      <formula>"Indeferido"</formula>
    </cfRule>
  </conditionalFormatting>
  <conditionalFormatting sqref="M313">
    <cfRule type="containsText" dxfId="12602" priority="11256" operator="containsText" text="Cancelado">
      <formula>NOT(ISERROR(SEARCH("Cancelado",M313)))</formula>
    </cfRule>
  </conditionalFormatting>
  <conditionalFormatting sqref="O313">
    <cfRule type="cellIs" dxfId="12601" priority="11253" operator="equal">
      <formula>"Tramitando"</formula>
    </cfRule>
    <cfRule type="cellIs" dxfId="12600" priority="11254" operator="equal">
      <formula>"Deferido"</formula>
    </cfRule>
    <cfRule type="cellIs" dxfId="12599" priority="11255" operator="equal">
      <formula>"Indeferido"</formula>
    </cfRule>
  </conditionalFormatting>
  <conditionalFormatting sqref="O313">
    <cfRule type="containsText" dxfId="12598" priority="11252" operator="containsText" text="Cancelado">
      <formula>NOT(ISERROR(SEARCH("Cancelado",O313)))</formula>
    </cfRule>
  </conditionalFormatting>
  <conditionalFormatting sqref="Q313">
    <cfRule type="cellIs" dxfId="12597" priority="11249" operator="equal">
      <formula>"Tramitando"</formula>
    </cfRule>
    <cfRule type="cellIs" dxfId="12596" priority="11250" operator="equal">
      <formula>"Deferido"</formula>
    </cfRule>
    <cfRule type="cellIs" dxfId="12595" priority="11251" operator="equal">
      <formula>"Indeferido"</formula>
    </cfRule>
  </conditionalFormatting>
  <conditionalFormatting sqref="Q313">
    <cfRule type="containsText" dxfId="12594" priority="11248" operator="containsText" text="Cancelado">
      <formula>NOT(ISERROR(SEARCH("Cancelado",Q313)))</formula>
    </cfRule>
  </conditionalFormatting>
  <conditionalFormatting sqref="S313">
    <cfRule type="cellIs" dxfId="12593" priority="11245" operator="equal">
      <formula>"Tramitando"</formula>
    </cfRule>
    <cfRule type="cellIs" dxfId="12592" priority="11246" operator="equal">
      <formula>"Deferido"</formula>
    </cfRule>
    <cfRule type="cellIs" dxfId="12591" priority="11247" operator="equal">
      <formula>"Indeferido"</formula>
    </cfRule>
  </conditionalFormatting>
  <conditionalFormatting sqref="S313">
    <cfRule type="containsText" dxfId="12590" priority="11244" operator="containsText" text="Cancelado">
      <formula>NOT(ISERROR(SEARCH("Cancelado",S313)))</formula>
    </cfRule>
  </conditionalFormatting>
  <conditionalFormatting sqref="J314">
    <cfRule type="cellIs" dxfId="12589" priority="11240" operator="equal">
      <formula>"Tramitando"</formula>
    </cfRule>
    <cfRule type="cellIs" dxfId="12588" priority="11241" operator="equal">
      <formula>"Deferido"</formula>
    </cfRule>
    <cfRule type="cellIs" dxfId="12587" priority="11242" operator="equal">
      <formula>"Indeferido"</formula>
    </cfRule>
  </conditionalFormatting>
  <conditionalFormatting sqref="J314">
    <cfRule type="containsText" dxfId="12586" priority="11239" operator="containsText" text="Cancelado">
      <formula>NOT(ISERROR(SEARCH("Cancelado",J314)))</formula>
    </cfRule>
  </conditionalFormatting>
  <conditionalFormatting sqref="M314">
    <cfRule type="cellIs" dxfId="12585" priority="11236" operator="equal">
      <formula>"Tramitando"</formula>
    </cfRule>
    <cfRule type="cellIs" dxfId="12584" priority="11237" operator="equal">
      <formula>"Deferido"</formula>
    </cfRule>
    <cfRule type="cellIs" dxfId="12583" priority="11238" operator="equal">
      <formula>"Indeferido"</formula>
    </cfRule>
  </conditionalFormatting>
  <conditionalFormatting sqref="M314">
    <cfRule type="containsText" dxfId="12582" priority="11235" operator="containsText" text="Cancelado">
      <formula>NOT(ISERROR(SEARCH("Cancelado",M314)))</formula>
    </cfRule>
  </conditionalFormatting>
  <conditionalFormatting sqref="O314">
    <cfRule type="cellIs" dxfId="12581" priority="11232" operator="equal">
      <formula>"Tramitando"</formula>
    </cfRule>
    <cfRule type="cellIs" dxfId="12580" priority="11233" operator="equal">
      <formula>"Deferido"</formula>
    </cfRule>
    <cfRule type="cellIs" dxfId="12579" priority="11234" operator="equal">
      <formula>"Indeferido"</formula>
    </cfRule>
  </conditionalFormatting>
  <conditionalFormatting sqref="O314">
    <cfRule type="containsText" dxfId="12578" priority="11231" operator="containsText" text="Cancelado">
      <formula>NOT(ISERROR(SEARCH("Cancelado",O314)))</formula>
    </cfRule>
  </conditionalFormatting>
  <conditionalFormatting sqref="Q314">
    <cfRule type="cellIs" dxfId="12577" priority="11228" operator="equal">
      <formula>"Tramitando"</formula>
    </cfRule>
    <cfRule type="cellIs" dxfId="12576" priority="11229" operator="equal">
      <formula>"Deferido"</formula>
    </cfRule>
    <cfRule type="cellIs" dxfId="12575" priority="11230" operator="equal">
      <formula>"Indeferido"</formula>
    </cfRule>
  </conditionalFormatting>
  <conditionalFormatting sqref="Q314">
    <cfRule type="containsText" dxfId="12574" priority="11227" operator="containsText" text="Cancelado">
      <formula>NOT(ISERROR(SEARCH("Cancelado",Q314)))</formula>
    </cfRule>
  </conditionalFormatting>
  <conditionalFormatting sqref="S314">
    <cfRule type="cellIs" dxfId="12573" priority="11224" operator="equal">
      <formula>"Tramitando"</formula>
    </cfRule>
    <cfRule type="cellIs" dxfId="12572" priority="11225" operator="equal">
      <formula>"Deferido"</formula>
    </cfRule>
    <cfRule type="cellIs" dxfId="12571" priority="11226" operator="equal">
      <formula>"Indeferido"</formula>
    </cfRule>
  </conditionalFormatting>
  <conditionalFormatting sqref="S314">
    <cfRule type="containsText" dxfId="12570" priority="11223" operator="containsText" text="Cancelado">
      <formula>NOT(ISERROR(SEARCH("Cancelado",S314)))</formula>
    </cfRule>
  </conditionalFormatting>
  <conditionalFormatting sqref="J315">
    <cfRule type="cellIs" dxfId="12569" priority="11219" operator="equal">
      <formula>"Tramitando"</formula>
    </cfRule>
    <cfRule type="cellIs" dxfId="12568" priority="11220" operator="equal">
      <formula>"Deferido"</formula>
    </cfRule>
    <cfRule type="cellIs" dxfId="12567" priority="11221" operator="equal">
      <formula>"Indeferido"</formula>
    </cfRule>
  </conditionalFormatting>
  <conditionalFormatting sqref="J315">
    <cfRule type="containsText" dxfId="12566" priority="11218" operator="containsText" text="Cancelado">
      <formula>NOT(ISERROR(SEARCH("Cancelado",J315)))</formula>
    </cfRule>
  </conditionalFormatting>
  <conditionalFormatting sqref="M315">
    <cfRule type="cellIs" dxfId="12565" priority="11215" operator="equal">
      <formula>"Tramitando"</formula>
    </cfRule>
    <cfRule type="cellIs" dxfId="12564" priority="11216" operator="equal">
      <formula>"Deferido"</formula>
    </cfRule>
    <cfRule type="cellIs" dxfId="12563" priority="11217" operator="equal">
      <formula>"Indeferido"</formula>
    </cfRule>
  </conditionalFormatting>
  <conditionalFormatting sqref="M315">
    <cfRule type="containsText" dxfId="12562" priority="11214" operator="containsText" text="Cancelado">
      <formula>NOT(ISERROR(SEARCH("Cancelado",M315)))</formula>
    </cfRule>
  </conditionalFormatting>
  <conditionalFormatting sqref="O315">
    <cfRule type="cellIs" dxfId="12561" priority="11211" operator="equal">
      <formula>"Tramitando"</formula>
    </cfRule>
    <cfRule type="cellIs" dxfId="12560" priority="11212" operator="equal">
      <formula>"Deferido"</formula>
    </cfRule>
    <cfRule type="cellIs" dxfId="12559" priority="11213" operator="equal">
      <formula>"Indeferido"</formula>
    </cfRule>
  </conditionalFormatting>
  <conditionalFormatting sqref="O315">
    <cfRule type="containsText" dxfId="12558" priority="11210" operator="containsText" text="Cancelado">
      <formula>NOT(ISERROR(SEARCH("Cancelado",O315)))</formula>
    </cfRule>
  </conditionalFormatting>
  <conditionalFormatting sqref="Q315">
    <cfRule type="cellIs" dxfId="12557" priority="11207" operator="equal">
      <formula>"Tramitando"</formula>
    </cfRule>
    <cfRule type="cellIs" dxfId="12556" priority="11208" operator="equal">
      <formula>"Deferido"</formula>
    </cfRule>
    <cfRule type="cellIs" dxfId="12555" priority="11209" operator="equal">
      <formula>"Indeferido"</formula>
    </cfRule>
  </conditionalFormatting>
  <conditionalFormatting sqref="Q315">
    <cfRule type="containsText" dxfId="12554" priority="11206" operator="containsText" text="Cancelado">
      <formula>NOT(ISERROR(SEARCH("Cancelado",Q315)))</formula>
    </cfRule>
  </conditionalFormatting>
  <conditionalFormatting sqref="S315">
    <cfRule type="cellIs" dxfId="12553" priority="11203" operator="equal">
      <formula>"Tramitando"</formula>
    </cfRule>
    <cfRule type="cellIs" dxfId="12552" priority="11204" operator="equal">
      <formula>"Deferido"</formula>
    </cfRule>
    <cfRule type="cellIs" dxfId="12551" priority="11205" operator="equal">
      <formula>"Indeferido"</formula>
    </cfRule>
  </conditionalFormatting>
  <conditionalFormatting sqref="S315">
    <cfRule type="containsText" dxfId="12550" priority="11202" operator="containsText" text="Cancelado">
      <formula>NOT(ISERROR(SEARCH("Cancelado",S315)))</formula>
    </cfRule>
  </conditionalFormatting>
  <conditionalFormatting sqref="J316">
    <cfRule type="cellIs" dxfId="12549" priority="11197" operator="equal">
      <formula>"Tramitando"</formula>
    </cfRule>
    <cfRule type="cellIs" dxfId="12548" priority="11198" operator="equal">
      <formula>"Deferido"</formula>
    </cfRule>
    <cfRule type="cellIs" dxfId="12547" priority="11199" operator="equal">
      <formula>"Indeferido"</formula>
    </cfRule>
  </conditionalFormatting>
  <conditionalFormatting sqref="J316">
    <cfRule type="containsText" dxfId="12546" priority="11196" operator="containsText" text="Cancelado">
      <formula>NOT(ISERROR(SEARCH("Cancelado",J316)))</formula>
    </cfRule>
  </conditionalFormatting>
  <conditionalFormatting sqref="M316">
    <cfRule type="cellIs" dxfId="12545" priority="11193" operator="equal">
      <formula>"Tramitando"</formula>
    </cfRule>
    <cfRule type="cellIs" dxfId="12544" priority="11194" operator="equal">
      <formula>"Deferido"</formula>
    </cfRule>
    <cfRule type="cellIs" dxfId="12543" priority="11195" operator="equal">
      <formula>"Indeferido"</formula>
    </cfRule>
  </conditionalFormatting>
  <conditionalFormatting sqref="M316">
    <cfRule type="containsText" dxfId="12542" priority="11192" operator="containsText" text="Cancelado">
      <formula>NOT(ISERROR(SEARCH("Cancelado",M316)))</formula>
    </cfRule>
  </conditionalFormatting>
  <conditionalFormatting sqref="O316">
    <cfRule type="cellIs" dxfId="12541" priority="11189" operator="equal">
      <formula>"Tramitando"</formula>
    </cfRule>
    <cfRule type="cellIs" dxfId="12540" priority="11190" operator="equal">
      <formula>"Deferido"</formula>
    </cfRule>
    <cfRule type="cellIs" dxfId="12539" priority="11191" operator="equal">
      <formula>"Indeferido"</formula>
    </cfRule>
  </conditionalFormatting>
  <conditionalFormatting sqref="O316">
    <cfRule type="containsText" dxfId="12538" priority="11188" operator="containsText" text="Cancelado">
      <formula>NOT(ISERROR(SEARCH("Cancelado",O316)))</formula>
    </cfRule>
  </conditionalFormatting>
  <conditionalFormatting sqref="Q316">
    <cfRule type="cellIs" dxfId="12537" priority="11185" operator="equal">
      <formula>"Tramitando"</formula>
    </cfRule>
    <cfRule type="cellIs" dxfId="12536" priority="11186" operator="equal">
      <formula>"Deferido"</formula>
    </cfRule>
    <cfRule type="cellIs" dxfId="12535" priority="11187" operator="equal">
      <formula>"Indeferido"</formula>
    </cfRule>
  </conditionalFormatting>
  <conditionalFormatting sqref="Q316">
    <cfRule type="containsText" dxfId="12534" priority="11184" operator="containsText" text="Cancelado">
      <formula>NOT(ISERROR(SEARCH("Cancelado",Q316)))</formula>
    </cfRule>
  </conditionalFormatting>
  <conditionalFormatting sqref="S316">
    <cfRule type="cellIs" dxfId="12533" priority="11181" operator="equal">
      <formula>"Tramitando"</formula>
    </cfRule>
    <cfRule type="cellIs" dxfId="12532" priority="11182" operator="equal">
      <formula>"Deferido"</formula>
    </cfRule>
    <cfRule type="cellIs" dxfId="12531" priority="11183" operator="equal">
      <formula>"Indeferido"</formula>
    </cfRule>
  </conditionalFormatting>
  <conditionalFormatting sqref="S316">
    <cfRule type="containsText" dxfId="12530" priority="11180" operator="containsText" text="Cancelado">
      <formula>NOT(ISERROR(SEARCH("Cancelado",S316)))</formula>
    </cfRule>
  </conditionalFormatting>
  <conditionalFormatting sqref="J317">
    <cfRule type="cellIs" dxfId="12529" priority="11176" operator="equal">
      <formula>"Tramitando"</formula>
    </cfRule>
    <cfRule type="cellIs" dxfId="12528" priority="11177" operator="equal">
      <formula>"Deferido"</formula>
    </cfRule>
    <cfRule type="cellIs" dxfId="12527" priority="11178" operator="equal">
      <formula>"Indeferido"</formula>
    </cfRule>
  </conditionalFormatting>
  <conditionalFormatting sqref="J317">
    <cfRule type="containsText" dxfId="12526" priority="11175" operator="containsText" text="Cancelado">
      <formula>NOT(ISERROR(SEARCH("Cancelado",J317)))</formula>
    </cfRule>
  </conditionalFormatting>
  <conditionalFormatting sqref="M317">
    <cfRule type="cellIs" dxfId="12525" priority="11172" operator="equal">
      <formula>"Tramitando"</formula>
    </cfRule>
    <cfRule type="cellIs" dxfId="12524" priority="11173" operator="equal">
      <formula>"Deferido"</formula>
    </cfRule>
    <cfRule type="cellIs" dxfId="12523" priority="11174" operator="equal">
      <formula>"Indeferido"</formula>
    </cfRule>
  </conditionalFormatting>
  <conditionalFormatting sqref="M317">
    <cfRule type="containsText" dxfId="12522" priority="11171" operator="containsText" text="Cancelado">
      <formula>NOT(ISERROR(SEARCH("Cancelado",M317)))</formula>
    </cfRule>
  </conditionalFormatting>
  <conditionalFormatting sqref="O317">
    <cfRule type="cellIs" dxfId="12521" priority="11168" operator="equal">
      <formula>"Tramitando"</formula>
    </cfRule>
    <cfRule type="cellIs" dxfId="12520" priority="11169" operator="equal">
      <formula>"Deferido"</formula>
    </cfRule>
    <cfRule type="cellIs" dxfId="12519" priority="11170" operator="equal">
      <formula>"Indeferido"</formula>
    </cfRule>
  </conditionalFormatting>
  <conditionalFormatting sqref="O317">
    <cfRule type="containsText" dxfId="12518" priority="11167" operator="containsText" text="Cancelado">
      <formula>NOT(ISERROR(SEARCH("Cancelado",O317)))</formula>
    </cfRule>
  </conditionalFormatting>
  <conditionalFormatting sqref="Q317">
    <cfRule type="cellIs" dxfId="12517" priority="11164" operator="equal">
      <formula>"Tramitando"</formula>
    </cfRule>
    <cfRule type="cellIs" dxfId="12516" priority="11165" operator="equal">
      <formula>"Deferido"</formula>
    </cfRule>
    <cfRule type="cellIs" dxfId="12515" priority="11166" operator="equal">
      <formula>"Indeferido"</formula>
    </cfRule>
  </conditionalFormatting>
  <conditionalFormatting sqref="Q317">
    <cfRule type="containsText" dxfId="12514" priority="11163" operator="containsText" text="Cancelado">
      <formula>NOT(ISERROR(SEARCH("Cancelado",Q317)))</formula>
    </cfRule>
  </conditionalFormatting>
  <conditionalFormatting sqref="S317">
    <cfRule type="cellIs" dxfId="12513" priority="11160" operator="equal">
      <formula>"Tramitando"</formula>
    </cfRule>
    <cfRule type="cellIs" dxfId="12512" priority="11161" operator="equal">
      <formula>"Deferido"</formula>
    </cfRule>
    <cfRule type="cellIs" dxfId="12511" priority="11162" operator="equal">
      <formula>"Indeferido"</formula>
    </cfRule>
  </conditionalFormatting>
  <conditionalFormatting sqref="S317">
    <cfRule type="containsText" dxfId="12510" priority="11159" operator="containsText" text="Cancelado">
      <formula>NOT(ISERROR(SEARCH("Cancelado",S317)))</formula>
    </cfRule>
  </conditionalFormatting>
  <conditionalFormatting sqref="J318">
    <cfRule type="cellIs" dxfId="12509" priority="11155" operator="equal">
      <formula>"Tramitando"</formula>
    </cfRule>
    <cfRule type="cellIs" dxfId="12508" priority="11156" operator="equal">
      <formula>"Deferido"</formula>
    </cfRule>
    <cfRule type="cellIs" dxfId="12507" priority="11157" operator="equal">
      <formula>"Indeferido"</formula>
    </cfRule>
  </conditionalFormatting>
  <conditionalFormatting sqref="J318">
    <cfRule type="containsText" dxfId="12506" priority="11154" operator="containsText" text="Cancelado">
      <formula>NOT(ISERROR(SEARCH("Cancelado",J318)))</formula>
    </cfRule>
  </conditionalFormatting>
  <conditionalFormatting sqref="M318">
    <cfRule type="cellIs" dxfId="12505" priority="11151" operator="equal">
      <formula>"Tramitando"</formula>
    </cfRule>
    <cfRule type="cellIs" dxfId="12504" priority="11152" operator="equal">
      <formula>"Deferido"</formula>
    </cfRule>
    <cfRule type="cellIs" dxfId="12503" priority="11153" operator="equal">
      <formula>"Indeferido"</formula>
    </cfRule>
  </conditionalFormatting>
  <conditionalFormatting sqref="M318">
    <cfRule type="containsText" dxfId="12502" priority="11150" operator="containsText" text="Cancelado">
      <formula>NOT(ISERROR(SEARCH("Cancelado",M318)))</formula>
    </cfRule>
  </conditionalFormatting>
  <conditionalFormatting sqref="O318">
    <cfRule type="cellIs" dxfId="12501" priority="11147" operator="equal">
      <formula>"Tramitando"</formula>
    </cfRule>
    <cfRule type="cellIs" dxfId="12500" priority="11148" operator="equal">
      <formula>"Deferido"</formula>
    </cfRule>
    <cfRule type="cellIs" dxfId="12499" priority="11149" operator="equal">
      <formula>"Indeferido"</formula>
    </cfRule>
  </conditionalFormatting>
  <conditionalFormatting sqref="O318">
    <cfRule type="containsText" dxfId="12498" priority="11146" operator="containsText" text="Cancelado">
      <formula>NOT(ISERROR(SEARCH("Cancelado",O318)))</formula>
    </cfRule>
  </conditionalFormatting>
  <conditionalFormatting sqref="Q318">
    <cfRule type="cellIs" dxfId="12497" priority="11143" operator="equal">
      <formula>"Tramitando"</formula>
    </cfRule>
    <cfRule type="cellIs" dxfId="12496" priority="11144" operator="equal">
      <formula>"Deferido"</formula>
    </cfRule>
    <cfRule type="cellIs" dxfId="12495" priority="11145" operator="equal">
      <formula>"Indeferido"</formula>
    </cfRule>
  </conditionalFormatting>
  <conditionalFormatting sqref="Q318">
    <cfRule type="containsText" dxfId="12494" priority="11142" operator="containsText" text="Cancelado">
      <formula>NOT(ISERROR(SEARCH("Cancelado",Q318)))</formula>
    </cfRule>
  </conditionalFormatting>
  <conditionalFormatting sqref="S318">
    <cfRule type="cellIs" dxfId="12493" priority="11139" operator="equal">
      <formula>"Tramitando"</formula>
    </cfRule>
    <cfRule type="cellIs" dxfId="12492" priority="11140" operator="equal">
      <formula>"Deferido"</formula>
    </cfRule>
    <cfRule type="cellIs" dxfId="12491" priority="11141" operator="equal">
      <formula>"Indeferido"</formula>
    </cfRule>
  </conditionalFormatting>
  <conditionalFormatting sqref="S318">
    <cfRule type="containsText" dxfId="12490" priority="11138" operator="containsText" text="Cancelado">
      <formula>NOT(ISERROR(SEARCH("Cancelado",S318)))</formula>
    </cfRule>
  </conditionalFormatting>
  <conditionalFormatting sqref="J319">
    <cfRule type="cellIs" dxfId="12489" priority="11134" operator="equal">
      <formula>"Tramitando"</formula>
    </cfRule>
    <cfRule type="cellIs" dxfId="12488" priority="11135" operator="equal">
      <formula>"Deferido"</formula>
    </cfRule>
    <cfRule type="cellIs" dxfId="12487" priority="11136" operator="equal">
      <formula>"Indeferido"</formula>
    </cfRule>
  </conditionalFormatting>
  <conditionalFormatting sqref="J319">
    <cfRule type="containsText" dxfId="12486" priority="11133" operator="containsText" text="Cancelado">
      <formula>NOT(ISERROR(SEARCH("Cancelado",J319)))</formula>
    </cfRule>
  </conditionalFormatting>
  <conditionalFormatting sqref="M319">
    <cfRule type="cellIs" dxfId="12485" priority="11130" operator="equal">
      <formula>"Tramitando"</formula>
    </cfRule>
    <cfRule type="cellIs" dxfId="12484" priority="11131" operator="equal">
      <formula>"Deferido"</formula>
    </cfRule>
    <cfRule type="cellIs" dxfId="12483" priority="11132" operator="equal">
      <formula>"Indeferido"</formula>
    </cfRule>
  </conditionalFormatting>
  <conditionalFormatting sqref="M319">
    <cfRule type="containsText" dxfId="12482" priority="11129" operator="containsText" text="Cancelado">
      <formula>NOT(ISERROR(SEARCH("Cancelado",M319)))</formula>
    </cfRule>
  </conditionalFormatting>
  <conditionalFormatting sqref="O319">
    <cfRule type="cellIs" dxfId="12481" priority="11126" operator="equal">
      <formula>"Tramitando"</formula>
    </cfRule>
    <cfRule type="cellIs" dxfId="12480" priority="11127" operator="equal">
      <formula>"Deferido"</formula>
    </cfRule>
    <cfRule type="cellIs" dxfId="12479" priority="11128" operator="equal">
      <formula>"Indeferido"</formula>
    </cfRule>
  </conditionalFormatting>
  <conditionalFormatting sqref="O319">
    <cfRule type="containsText" dxfId="12478" priority="11125" operator="containsText" text="Cancelado">
      <formula>NOT(ISERROR(SEARCH("Cancelado",O319)))</formula>
    </cfRule>
  </conditionalFormatting>
  <conditionalFormatting sqref="Q319">
    <cfRule type="cellIs" dxfId="12477" priority="11122" operator="equal">
      <formula>"Tramitando"</formula>
    </cfRule>
    <cfRule type="cellIs" dxfId="12476" priority="11123" operator="equal">
      <formula>"Deferido"</formula>
    </cfRule>
    <cfRule type="cellIs" dxfId="12475" priority="11124" operator="equal">
      <formula>"Indeferido"</formula>
    </cfRule>
  </conditionalFormatting>
  <conditionalFormatting sqref="Q319">
    <cfRule type="containsText" dxfId="12474" priority="11121" operator="containsText" text="Cancelado">
      <formula>NOT(ISERROR(SEARCH("Cancelado",Q319)))</formula>
    </cfRule>
  </conditionalFormatting>
  <conditionalFormatting sqref="S319">
    <cfRule type="cellIs" dxfId="12473" priority="11118" operator="equal">
      <formula>"Tramitando"</formula>
    </cfRule>
    <cfRule type="cellIs" dxfId="12472" priority="11119" operator="equal">
      <formula>"Deferido"</formula>
    </cfRule>
    <cfRule type="cellIs" dxfId="12471" priority="11120" operator="equal">
      <formula>"Indeferido"</formula>
    </cfRule>
  </conditionalFormatting>
  <conditionalFormatting sqref="S319">
    <cfRule type="containsText" dxfId="12470" priority="11117" operator="containsText" text="Cancelado">
      <formula>NOT(ISERROR(SEARCH("Cancelado",S319)))</formula>
    </cfRule>
  </conditionalFormatting>
  <conditionalFormatting sqref="J320">
    <cfRule type="cellIs" dxfId="12469" priority="11113" operator="equal">
      <formula>"Tramitando"</formula>
    </cfRule>
    <cfRule type="cellIs" dxfId="12468" priority="11114" operator="equal">
      <formula>"Deferido"</formula>
    </cfRule>
    <cfRule type="cellIs" dxfId="12467" priority="11115" operator="equal">
      <formula>"Indeferido"</formula>
    </cfRule>
  </conditionalFormatting>
  <conditionalFormatting sqref="J320">
    <cfRule type="containsText" dxfId="12466" priority="11112" operator="containsText" text="Cancelado">
      <formula>NOT(ISERROR(SEARCH("Cancelado",J320)))</formula>
    </cfRule>
  </conditionalFormatting>
  <conditionalFormatting sqref="M320">
    <cfRule type="cellIs" dxfId="12465" priority="11109" operator="equal">
      <formula>"Tramitando"</formula>
    </cfRule>
    <cfRule type="cellIs" dxfId="12464" priority="11110" operator="equal">
      <formula>"Deferido"</formula>
    </cfRule>
    <cfRule type="cellIs" dxfId="12463" priority="11111" operator="equal">
      <formula>"Indeferido"</formula>
    </cfRule>
  </conditionalFormatting>
  <conditionalFormatting sqref="M320">
    <cfRule type="containsText" dxfId="12462" priority="11108" operator="containsText" text="Cancelado">
      <formula>NOT(ISERROR(SEARCH("Cancelado",M320)))</formula>
    </cfRule>
  </conditionalFormatting>
  <conditionalFormatting sqref="O320">
    <cfRule type="cellIs" dxfId="12461" priority="11105" operator="equal">
      <formula>"Tramitando"</formula>
    </cfRule>
    <cfRule type="cellIs" dxfId="12460" priority="11106" operator="equal">
      <formula>"Deferido"</formula>
    </cfRule>
    <cfRule type="cellIs" dxfId="12459" priority="11107" operator="equal">
      <formula>"Indeferido"</formula>
    </cfRule>
  </conditionalFormatting>
  <conditionalFormatting sqref="O320">
    <cfRule type="containsText" dxfId="12458" priority="11104" operator="containsText" text="Cancelado">
      <formula>NOT(ISERROR(SEARCH("Cancelado",O320)))</formula>
    </cfRule>
  </conditionalFormatting>
  <conditionalFormatting sqref="Q320">
    <cfRule type="cellIs" dxfId="12457" priority="11101" operator="equal">
      <formula>"Tramitando"</formula>
    </cfRule>
    <cfRule type="cellIs" dxfId="12456" priority="11102" operator="equal">
      <formula>"Deferido"</formula>
    </cfRule>
    <cfRule type="cellIs" dxfId="12455" priority="11103" operator="equal">
      <formula>"Indeferido"</formula>
    </cfRule>
  </conditionalFormatting>
  <conditionalFormatting sqref="Q320">
    <cfRule type="containsText" dxfId="12454" priority="11100" operator="containsText" text="Cancelado">
      <formula>NOT(ISERROR(SEARCH("Cancelado",Q320)))</formula>
    </cfRule>
  </conditionalFormatting>
  <conditionalFormatting sqref="S320">
    <cfRule type="cellIs" dxfId="12453" priority="11097" operator="equal">
      <formula>"Tramitando"</formula>
    </cfRule>
    <cfRule type="cellIs" dxfId="12452" priority="11098" operator="equal">
      <formula>"Deferido"</formula>
    </cfRule>
    <cfRule type="cellIs" dxfId="12451" priority="11099" operator="equal">
      <formula>"Indeferido"</formula>
    </cfRule>
  </conditionalFormatting>
  <conditionalFormatting sqref="S320">
    <cfRule type="containsText" dxfId="12450" priority="11096" operator="containsText" text="Cancelado">
      <formula>NOT(ISERROR(SEARCH("Cancelado",S320)))</formula>
    </cfRule>
  </conditionalFormatting>
  <conditionalFormatting sqref="J321">
    <cfRule type="cellIs" dxfId="12449" priority="11092" operator="equal">
      <formula>"Tramitando"</formula>
    </cfRule>
    <cfRule type="cellIs" dxfId="12448" priority="11093" operator="equal">
      <formula>"Deferido"</formula>
    </cfRule>
    <cfRule type="cellIs" dxfId="12447" priority="11094" operator="equal">
      <formula>"Indeferido"</formula>
    </cfRule>
  </conditionalFormatting>
  <conditionalFormatting sqref="J321">
    <cfRule type="containsText" dxfId="12446" priority="11091" operator="containsText" text="Cancelado">
      <formula>NOT(ISERROR(SEARCH("Cancelado",J321)))</formula>
    </cfRule>
  </conditionalFormatting>
  <conditionalFormatting sqref="M321">
    <cfRule type="cellIs" dxfId="12445" priority="11088" operator="equal">
      <formula>"Tramitando"</formula>
    </cfRule>
    <cfRule type="cellIs" dxfId="12444" priority="11089" operator="equal">
      <formula>"Deferido"</formula>
    </cfRule>
    <cfRule type="cellIs" dxfId="12443" priority="11090" operator="equal">
      <formula>"Indeferido"</formula>
    </cfRule>
  </conditionalFormatting>
  <conditionalFormatting sqref="M321">
    <cfRule type="containsText" dxfId="12442" priority="11087" operator="containsText" text="Cancelado">
      <formula>NOT(ISERROR(SEARCH("Cancelado",M321)))</formula>
    </cfRule>
  </conditionalFormatting>
  <conditionalFormatting sqref="O321">
    <cfRule type="cellIs" dxfId="12441" priority="11084" operator="equal">
      <formula>"Tramitando"</formula>
    </cfRule>
    <cfRule type="cellIs" dxfId="12440" priority="11085" operator="equal">
      <formula>"Deferido"</formula>
    </cfRule>
    <cfRule type="cellIs" dxfId="12439" priority="11086" operator="equal">
      <formula>"Indeferido"</formula>
    </cfRule>
  </conditionalFormatting>
  <conditionalFormatting sqref="O321">
    <cfRule type="containsText" dxfId="12438" priority="11083" operator="containsText" text="Cancelado">
      <formula>NOT(ISERROR(SEARCH("Cancelado",O321)))</formula>
    </cfRule>
  </conditionalFormatting>
  <conditionalFormatting sqref="Q321">
    <cfRule type="cellIs" dxfId="12437" priority="11080" operator="equal">
      <formula>"Tramitando"</formula>
    </cfRule>
    <cfRule type="cellIs" dxfId="12436" priority="11081" operator="equal">
      <formula>"Deferido"</formula>
    </cfRule>
    <cfRule type="cellIs" dxfId="12435" priority="11082" operator="equal">
      <formula>"Indeferido"</formula>
    </cfRule>
  </conditionalFormatting>
  <conditionalFormatting sqref="Q321">
    <cfRule type="containsText" dxfId="12434" priority="11079" operator="containsText" text="Cancelado">
      <formula>NOT(ISERROR(SEARCH("Cancelado",Q321)))</formula>
    </cfRule>
  </conditionalFormatting>
  <conditionalFormatting sqref="S321">
    <cfRule type="cellIs" dxfId="12433" priority="11076" operator="equal">
      <formula>"Tramitando"</formula>
    </cfRule>
    <cfRule type="cellIs" dxfId="12432" priority="11077" operator="equal">
      <formula>"Deferido"</formula>
    </cfRule>
    <cfRule type="cellIs" dxfId="12431" priority="11078" operator="equal">
      <formula>"Indeferido"</formula>
    </cfRule>
  </conditionalFormatting>
  <conditionalFormatting sqref="S321">
    <cfRule type="containsText" dxfId="12430" priority="11075" operator="containsText" text="Cancelado">
      <formula>NOT(ISERROR(SEARCH("Cancelado",S321)))</formula>
    </cfRule>
  </conditionalFormatting>
  <conditionalFormatting sqref="J322">
    <cfRule type="cellIs" dxfId="12429" priority="11071" operator="equal">
      <formula>"Tramitando"</formula>
    </cfRule>
    <cfRule type="cellIs" dxfId="12428" priority="11072" operator="equal">
      <formula>"Deferido"</formula>
    </cfRule>
    <cfRule type="cellIs" dxfId="12427" priority="11073" operator="equal">
      <formula>"Indeferido"</formula>
    </cfRule>
  </conditionalFormatting>
  <conditionalFormatting sqref="J322">
    <cfRule type="containsText" dxfId="12426" priority="11070" operator="containsText" text="Cancelado">
      <formula>NOT(ISERROR(SEARCH("Cancelado",J322)))</formula>
    </cfRule>
  </conditionalFormatting>
  <conditionalFormatting sqref="M322">
    <cfRule type="cellIs" dxfId="12425" priority="11067" operator="equal">
      <formula>"Tramitando"</formula>
    </cfRule>
    <cfRule type="cellIs" dxfId="12424" priority="11068" operator="equal">
      <formula>"Deferido"</formula>
    </cfRule>
    <cfRule type="cellIs" dxfId="12423" priority="11069" operator="equal">
      <formula>"Indeferido"</formula>
    </cfRule>
  </conditionalFormatting>
  <conditionalFormatting sqref="M322">
    <cfRule type="containsText" dxfId="12422" priority="11066" operator="containsText" text="Cancelado">
      <formula>NOT(ISERROR(SEARCH("Cancelado",M322)))</formula>
    </cfRule>
  </conditionalFormatting>
  <conditionalFormatting sqref="O322">
    <cfRule type="cellIs" dxfId="12421" priority="11063" operator="equal">
      <formula>"Tramitando"</formula>
    </cfRule>
    <cfRule type="cellIs" dxfId="12420" priority="11064" operator="equal">
      <formula>"Deferido"</formula>
    </cfRule>
    <cfRule type="cellIs" dxfId="12419" priority="11065" operator="equal">
      <formula>"Indeferido"</formula>
    </cfRule>
  </conditionalFormatting>
  <conditionalFormatting sqref="O322">
    <cfRule type="containsText" dxfId="12418" priority="11062" operator="containsText" text="Cancelado">
      <formula>NOT(ISERROR(SEARCH("Cancelado",O322)))</formula>
    </cfRule>
  </conditionalFormatting>
  <conditionalFormatting sqref="Q322">
    <cfRule type="cellIs" dxfId="12417" priority="11059" operator="equal">
      <formula>"Tramitando"</formula>
    </cfRule>
    <cfRule type="cellIs" dxfId="12416" priority="11060" operator="equal">
      <formula>"Deferido"</formula>
    </cfRule>
    <cfRule type="cellIs" dxfId="12415" priority="11061" operator="equal">
      <formula>"Indeferido"</formula>
    </cfRule>
  </conditionalFormatting>
  <conditionalFormatting sqref="Q322">
    <cfRule type="containsText" dxfId="12414" priority="11058" operator="containsText" text="Cancelado">
      <formula>NOT(ISERROR(SEARCH("Cancelado",Q322)))</formula>
    </cfRule>
  </conditionalFormatting>
  <conditionalFormatting sqref="S322">
    <cfRule type="cellIs" dxfId="12413" priority="11055" operator="equal">
      <formula>"Tramitando"</formula>
    </cfRule>
    <cfRule type="cellIs" dxfId="12412" priority="11056" operator="equal">
      <formula>"Deferido"</formula>
    </cfRule>
    <cfRule type="cellIs" dxfId="12411" priority="11057" operator="equal">
      <formula>"Indeferido"</formula>
    </cfRule>
  </conditionalFormatting>
  <conditionalFormatting sqref="S322">
    <cfRule type="containsText" dxfId="12410" priority="11054" operator="containsText" text="Cancelado">
      <formula>NOT(ISERROR(SEARCH("Cancelado",S322)))</formula>
    </cfRule>
  </conditionalFormatting>
  <conditionalFormatting sqref="J323">
    <cfRule type="cellIs" dxfId="12409" priority="11050" operator="equal">
      <formula>"Tramitando"</formula>
    </cfRule>
    <cfRule type="cellIs" dxfId="12408" priority="11051" operator="equal">
      <formula>"Deferido"</formula>
    </cfRule>
    <cfRule type="cellIs" dxfId="12407" priority="11052" operator="equal">
      <formula>"Indeferido"</formula>
    </cfRule>
  </conditionalFormatting>
  <conditionalFormatting sqref="J323">
    <cfRule type="containsText" dxfId="12406" priority="11049" operator="containsText" text="Cancelado">
      <formula>NOT(ISERROR(SEARCH("Cancelado",J323)))</formula>
    </cfRule>
  </conditionalFormatting>
  <conditionalFormatting sqref="M323">
    <cfRule type="cellIs" dxfId="12405" priority="11046" operator="equal">
      <formula>"Tramitando"</formula>
    </cfRule>
    <cfRule type="cellIs" dxfId="12404" priority="11047" operator="equal">
      <formula>"Deferido"</formula>
    </cfRule>
    <cfRule type="cellIs" dxfId="12403" priority="11048" operator="equal">
      <formula>"Indeferido"</formula>
    </cfRule>
  </conditionalFormatting>
  <conditionalFormatting sqref="M323">
    <cfRule type="containsText" dxfId="12402" priority="11045" operator="containsText" text="Cancelado">
      <formula>NOT(ISERROR(SEARCH("Cancelado",M323)))</formula>
    </cfRule>
  </conditionalFormatting>
  <conditionalFormatting sqref="O323">
    <cfRule type="cellIs" dxfId="12401" priority="11042" operator="equal">
      <formula>"Tramitando"</formula>
    </cfRule>
    <cfRule type="cellIs" dxfId="12400" priority="11043" operator="equal">
      <formula>"Deferido"</formula>
    </cfRule>
    <cfRule type="cellIs" dxfId="12399" priority="11044" operator="equal">
      <formula>"Indeferido"</formula>
    </cfRule>
  </conditionalFormatting>
  <conditionalFormatting sqref="O323">
    <cfRule type="containsText" dxfId="12398" priority="11041" operator="containsText" text="Cancelado">
      <formula>NOT(ISERROR(SEARCH("Cancelado",O323)))</formula>
    </cfRule>
  </conditionalFormatting>
  <conditionalFormatting sqref="Q323">
    <cfRule type="cellIs" dxfId="12397" priority="11038" operator="equal">
      <formula>"Tramitando"</formula>
    </cfRule>
    <cfRule type="cellIs" dxfId="12396" priority="11039" operator="equal">
      <formula>"Deferido"</formula>
    </cfRule>
    <cfRule type="cellIs" dxfId="12395" priority="11040" operator="equal">
      <formula>"Indeferido"</formula>
    </cfRule>
  </conditionalFormatting>
  <conditionalFormatting sqref="Q323">
    <cfRule type="containsText" dxfId="12394" priority="11037" operator="containsText" text="Cancelado">
      <formula>NOT(ISERROR(SEARCH("Cancelado",Q323)))</formula>
    </cfRule>
  </conditionalFormatting>
  <conditionalFormatting sqref="S323">
    <cfRule type="cellIs" dxfId="12393" priority="11034" operator="equal">
      <formula>"Tramitando"</formula>
    </cfRule>
    <cfRule type="cellIs" dxfId="12392" priority="11035" operator="equal">
      <formula>"Deferido"</formula>
    </cfRule>
    <cfRule type="cellIs" dxfId="12391" priority="11036" operator="equal">
      <formula>"Indeferido"</formula>
    </cfRule>
  </conditionalFormatting>
  <conditionalFormatting sqref="S323">
    <cfRule type="containsText" dxfId="12390" priority="11033" operator="containsText" text="Cancelado">
      <formula>NOT(ISERROR(SEARCH("Cancelado",S323)))</formula>
    </cfRule>
  </conditionalFormatting>
  <conditionalFormatting sqref="J324">
    <cfRule type="cellIs" dxfId="12389" priority="11029" operator="equal">
      <formula>"Tramitando"</formula>
    </cfRule>
    <cfRule type="cellIs" dxfId="12388" priority="11030" operator="equal">
      <formula>"Deferido"</formula>
    </cfRule>
    <cfRule type="cellIs" dxfId="12387" priority="11031" operator="equal">
      <formula>"Indeferido"</formula>
    </cfRule>
  </conditionalFormatting>
  <conditionalFormatting sqref="J324">
    <cfRule type="containsText" dxfId="12386" priority="11028" operator="containsText" text="Cancelado">
      <formula>NOT(ISERROR(SEARCH("Cancelado",J324)))</formula>
    </cfRule>
  </conditionalFormatting>
  <conditionalFormatting sqref="M324">
    <cfRule type="cellIs" dxfId="12385" priority="11025" operator="equal">
      <formula>"Tramitando"</formula>
    </cfRule>
    <cfRule type="cellIs" dxfId="12384" priority="11026" operator="equal">
      <formula>"Deferido"</formula>
    </cfRule>
    <cfRule type="cellIs" dxfId="12383" priority="11027" operator="equal">
      <formula>"Indeferido"</formula>
    </cfRule>
  </conditionalFormatting>
  <conditionalFormatting sqref="M324">
    <cfRule type="containsText" dxfId="12382" priority="11024" operator="containsText" text="Cancelado">
      <formula>NOT(ISERROR(SEARCH("Cancelado",M324)))</formula>
    </cfRule>
  </conditionalFormatting>
  <conditionalFormatting sqref="O324">
    <cfRule type="cellIs" dxfId="12381" priority="11021" operator="equal">
      <formula>"Tramitando"</formula>
    </cfRule>
    <cfRule type="cellIs" dxfId="12380" priority="11022" operator="equal">
      <formula>"Deferido"</formula>
    </cfRule>
    <cfRule type="cellIs" dxfId="12379" priority="11023" operator="equal">
      <formula>"Indeferido"</formula>
    </cfRule>
  </conditionalFormatting>
  <conditionalFormatting sqref="O324">
    <cfRule type="containsText" dxfId="12378" priority="11020" operator="containsText" text="Cancelado">
      <formula>NOT(ISERROR(SEARCH("Cancelado",O324)))</formula>
    </cfRule>
  </conditionalFormatting>
  <conditionalFormatting sqref="Q324">
    <cfRule type="cellIs" dxfId="12377" priority="11017" operator="equal">
      <formula>"Tramitando"</formula>
    </cfRule>
    <cfRule type="cellIs" dxfId="12376" priority="11018" operator="equal">
      <formula>"Deferido"</formula>
    </cfRule>
    <cfRule type="cellIs" dxfId="12375" priority="11019" operator="equal">
      <formula>"Indeferido"</formula>
    </cfRule>
  </conditionalFormatting>
  <conditionalFormatting sqref="Q324">
    <cfRule type="containsText" dxfId="12374" priority="11016" operator="containsText" text="Cancelado">
      <formula>NOT(ISERROR(SEARCH("Cancelado",Q324)))</formula>
    </cfRule>
  </conditionalFormatting>
  <conditionalFormatting sqref="S324">
    <cfRule type="cellIs" dxfId="12373" priority="11013" operator="equal">
      <formula>"Tramitando"</formula>
    </cfRule>
    <cfRule type="cellIs" dxfId="12372" priority="11014" operator="equal">
      <formula>"Deferido"</formula>
    </cfRule>
    <cfRule type="cellIs" dxfId="12371" priority="11015" operator="equal">
      <formula>"Indeferido"</formula>
    </cfRule>
  </conditionalFormatting>
  <conditionalFormatting sqref="S324">
    <cfRule type="containsText" dxfId="12370" priority="11012" operator="containsText" text="Cancelado">
      <formula>NOT(ISERROR(SEARCH("Cancelado",S324)))</formula>
    </cfRule>
  </conditionalFormatting>
  <conditionalFormatting sqref="J325">
    <cfRule type="cellIs" dxfId="12369" priority="11008" operator="equal">
      <formula>"Tramitando"</formula>
    </cfRule>
    <cfRule type="cellIs" dxfId="12368" priority="11009" operator="equal">
      <formula>"Deferido"</formula>
    </cfRule>
    <cfRule type="cellIs" dxfId="12367" priority="11010" operator="equal">
      <formula>"Indeferido"</formula>
    </cfRule>
  </conditionalFormatting>
  <conditionalFormatting sqref="J325">
    <cfRule type="containsText" dxfId="12366" priority="11007" operator="containsText" text="Cancelado">
      <formula>NOT(ISERROR(SEARCH("Cancelado",J325)))</formula>
    </cfRule>
  </conditionalFormatting>
  <conditionalFormatting sqref="M325">
    <cfRule type="cellIs" dxfId="12365" priority="11004" operator="equal">
      <formula>"Tramitando"</formula>
    </cfRule>
    <cfRule type="cellIs" dxfId="12364" priority="11005" operator="equal">
      <formula>"Deferido"</formula>
    </cfRule>
    <cfRule type="cellIs" dxfId="12363" priority="11006" operator="equal">
      <formula>"Indeferido"</formula>
    </cfRule>
  </conditionalFormatting>
  <conditionalFormatting sqref="M325">
    <cfRule type="containsText" dxfId="12362" priority="11003" operator="containsText" text="Cancelado">
      <formula>NOT(ISERROR(SEARCH("Cancelado",M325)))</formula>
    </cfRule>
  </conditionalFormatting>
  <conditionalFormatting sqref="O325">
    <cfRule type="cellIs" dxfId="12361" priority="11000" operator="equal">
      <formula>"Tramitando"</formula>
    </cfRule>
    <cfRule type="cellIs" dxfId="12360" priority="11001" operator="equal">
      <formula>"Deferido"</formula>
    </cfRule>
    <cfRule type="cellIs" dxfId="12359" priority="11002" operator="equal">
      <formula>"Indeferido"</formula>
    </cfRule>
  </conditionalFormatting>
  <conditionalFormatting sqref="O325">
    <cfRule type="containsText" dxfId="12358" priority="10999" operator="containsText" text="Cancelado">
      <formula>NOT(ISERROR(SEARCH("Cancelado",O325)))</formula>
    </cfRule>
  </conditionalFormatting>
  <conditionalFormatting sqref="Q325">
    <cfRule type="cellIs" dxfId="12357" priority="10996" operator="equal">
      <formula>"Tramitando"</formula>
    </cfRule>
    <cfRule type="cellIs" dxfId="12356" priority="10997" operator="equal">
      <formula>"Deferido"</formula>
    </cfRule>
    <cfRule type="cellIs" dxfId="12355" priority="10998" operator="equal">
      <formula>"Indeferido"</formula>
    </cfRule>
  </conditionalFormatting>
  <conditionalFormatting sqref="Q325">
    <cfRule type="containsText" dxfId="12354" priority="10995" operator="containsText" text="Cancelado">
      <formula>NOT(ISERROR(SEARCH("Cancelado",Q325)))</formula>
    </cfRule>
  </conditionalFormatting>
  <conditionalFormatting sqref="S325">
    <cfRule type="cellIs" dxfId="12353" priority="10992" operator="equal">
      <formula>"Tramitando"</formula>
    </cfRule>
    <cfRule type="cellIs" dxfId="12352" priority="10993" operator="equal">
      <formula>"Deferido"</formula>
    </cfRule>
    <cfRule type="cellIs" dxfId="12351" priority="10994" operator="equal">
      <formula>"Indeferido"</formula>
    </cfRule>
  </conditionalFormatting>
  <conditionalFormatting sqref="S325">
    <cfRule type="containsText" dxfId="12350" priority="10991" operator="containsText" text="Cancelado">
      <formula>NOT(ISERROR(SEARCH("Cancelado",S325)))</formula>
    </cfRule>
  </conditionalFormatting>
  <conditionalFormatting sqref="J326">
    <cfRule type="cellIs" dxfId="12349" priority="10987" operator="equal">
      <formula>"Tramitando"</formula>
    </cfRule>
    <cfRule type="cellIs" dxfId="12348" priority="10988" operator="equal">
      <formula>"Deferido"</formula>
    </cfRule>
    <cfRule type="cellIs" dxfId="12347" priority="10989" operator="equal">
      <formula>"Indeferido"</formula>
    </cfRule>
  </conditionalFormatting>
  <conditionalFormatting sqref="J326">
    <cfRule type="containsText" dxfId="12346" priority="10986" operator="containsText" text="Cancelado">
      <formula>NOT(ISERROR(SEARCH("Cancelado",J326)))</formula>
    </cfRule>
  </conditionalFormatting>
  <conditionalFormatting sqref="M326">
    <cfRule type="cellIs" dxfId="12345" priority="10983" operator="equal">
      <formula>"Tramitando"</formula>
    </cfRule>
    <cfRule type="cellIs" dxfId="12344" priority="10984" operator="equal">
      <formula>"Deferido"</formula>
    </cfRule>
    <cfRule type="cellIs" dxfId="12343" priority="10985" operator="equal">
      <formula>"Indeferido"</formula>
    </cfRule>
  </conditionalFormatting>
  <conditionalFormatting sqref="M326">
    <cfRule type="containsText" dxfId="12342" priority="10982" operator="containsText" text="Cancelado">
      <formula>NOT(ISERROR(SEARCH("Cancelado",M326)))</formula>
    </cfRule>
  </conditionalFormatting>
  <conditionalFormatting sqref="O326">
    <cfRule type="cellIs" dxfId="12341" priority="10979" operator="equal">
      <formula>"Tramitando"</formula>
    </cfRule>
    <cfRule type="cellIs" dxfId="12340" priority="10980" operator="equal">
      <formula>"Deferido"</formula>
    </cfRule>
    <cfRule type="cellIs" dxfId="12339" priority="10981" operator="equal">
      <formula>"Indeferido"</formula>
    </cfRule>
  </conditionalFormatting>
  <conditionalFormatting sqref="O326">
    <cfRule type="containsText" dxfId="12338" priority="10978" operator="containsText" text="Cancelado">
      <formula>NOT(ISERROR(SEARCH("Cancelado",O326)))</formula>
    </cfRule>
  </conditionalFormatting>
  <conditionalFormatting sqref="Q326">
    <cfRule type="cellIs" dxfId="12337" priority="10975" operator="equal">
      <formula>"Tramitando"</formula>
    </cfRule>
    <cfRule type="cellIs" dxfId="12336" priority="10976" operator="equal">
      <formula>"Deferido"</formula>
    </cfRule>
    <cfRule type="cellIs" dxfId="12335" priority="10977" operator="equal">
      <formula>"Indeferido"</formula>
    </cfRule>
  </conditionalFormatting>
  <conditionalFormatting sqref="Q326">
    <cfRule type="containsText" dxfId="12334" priority="10974" operator="containsText" text="Cancelado">
      <formula>NOT(ISERROR(SEARCH("Cancelado",Q326)))</formula>
    </cfRule>
  </conditionalFormatting>
  <conditionalFormatting sqref="S326">
    <cfRule type="cellIs" dxfId="12333" priority="10971" operator="equal">
      <formula>"Tramitando"</formula>
    </cfRule>
    <cfRule type="cellIs" dxfId="12332" priority="10972" operator="equal">
      <formula>"Deferido"</formula>
    </cfRule>
    <cfRule type="cellIs" dxfId="12331" priority="10973" operator="equal">
      <formula>"Indeferido"</formula>
    </cfRule>
  </conditionalFormatting>
  <conditionalFormatting sqref="S326">
    <cfRule type="containsText" dxfId="12330" priority="10970" operator="containsText" text="Cancelado">
      <formula>NOT(ISERROR(SEARCH("Cancelado",S326)))</formula>
    </cfRule>
  </conditionalFormatting>
  <conditionalFormatting sqref="J327:J334">
    <cfRule type="cellIs" dxfId="12329" priority="10966" operator="equal">
      <formula>"Tramitando"</formula>
    </cfRule>
    <cfRule type="cellIs" dxfId="12328" priority="10967" operator="equal">
      <formula>"Deferido"</formula>
    </cfRule>
    <cfRule type="cellIs" dxfId="12327" priority="10968" operator="equal">
      <formula>"Indeferido"</formula>
    </cfRule>
  </conditionalFormatting>
  <conditionalFormatting sqref="J327:J334">
    <cfRule type="containsText" dxfId="12326" priority="10965" operator="containsText" text="Cancelado">
      <formula>NOT(ISERROR(SEARCH("Cancelado",J327)))</formula>
    </cfRule>
  </conditionalFormatting>
  <conditionalFormatting sqref="M327:M334">
    <cfRule type="cellIs" dxfId="12325" priority="10962" operator="equal">
      <formula>"Tramitando"</formula>
    </cfRule>
    <cfRule type="cellIs" dxfId="12324" priority="10963" operator="equal">
      <formula>"Deferido"</formula>
    </cfRule>
    <cfRule type="cellIs" dxfId="12323" priority="10964" operator="equal">
      <formula>"Indeferido"</formula>
    </cfRule>
  </conditionalFormatting>
  <conditionalFormatting sqref="M327:M334">
    <cfRule type="containsText" dxfId="12322" priority="10961" operator="containsText" text="Cancelado">
      <formula>NOT(ISERROR(SEARCH("Cancelado",M327)))</formula>
    </cfRule>
  </conditionalFormatting>
  <conditionalFormatting sqref="O327:O334">
    <cfRule type="cellIs" dxfId="12321" priority="10958" operator="equal">
      <formula>"Tramitando"</formula>
    </cfRule>
    <cfRule type="cellIs" dxfId="12320" priority="10959" operator="equal">
      <formula>"Deferido"</formula>
    </cfRule>
    <cfRule type="cellIs" dxfId="12319" priority="10960" operator="equal">
      <formula>"Indeferido"</formula>
    </cfRule>
  </conditionalFormatting>
  <conditionalFormatting sqref="O327:O334">
    <cfRule type="containsText" dxfId="12318" priority="10957" operator="containsText" text="Cancelado">
      <formula>NOT(ISERROR(SEARCH("Cancelado",O327)))</formula>
    </cfRule>
  </conditionalFormatting>
  <conditionalFormatting sqref="Q327:Q334">
    <cfRule type="cellIs" dxfId="12317" priority="10954" operator="equal">
      <formula>"Tramitando"</formula>
    </cfRule>
    <cfRule type="cellIs" dxfId="12316" priority="10955" operator="equal">
      <formula>"Deferido"</formula>
    </cfRule>
    <cfRule type="cellIs" dxfId="12315" priority="10956" operator="equal">
      <formula>"Indeferido"</formula>
    </cfRule>
  </conditionalFormatting>
  <conditionalFormatting sqref="Q327:Q334">
    <cfRule type="containsText" dxfId="12314" priority="10953" operator="containsText" text="Cancelado">
      <formula>NOT(ISERROR(SEARCH("Cancelado",Q327)))</formula>
    </cfRule>
  </conditionalFormatting>
  <conditionalFormatting sqref="S327:S334">
    <cfRule type="cellIs" dxfId="12313" priority="10950" operator="equal">
      <formula>"Tramitando"</formula>
    </cfRule>
    <cfRule type="cellIs" dxfId="12312" priority="10951" operator="equal">
      <formula>"Deferido"</formula>
    </cfRule>
    <cfRule type="cellIs" dxfId="12311" priority="10952" operator="equal">
      <formula>"Indeferido"</formula>
    </cfRule>
  </conditionalFormatting>
  <conditionalFormatting sqref="S327:S334">
    <cfRule type="containsText" dxfId="12310" priority="10949" operator="containsText" text="Cancelado">
      <formula>NOT(ISERROR(SEARCH("Cancelado",S327)))</formula>
    </cfRule>
  </conditionalFormatting>
  <conditionalFormatting sqref="J248">
    <cfRule type="cellIs" dxfId="12309" priority="10945" operator="equal">
      <formula>"Tramitando"</formula>
    </cfRule>
    <cfRule type="cellIs" dxfId="12308" priority="10946" operator="equal">
      <formula>"Deferido"</formula>
    </cfRule>
    <cfRule type="cellIs" dxfId="12307" priority="10947" operator="equal">
      <formula>"Indeferido"</formula>
    </cfRule>
  </conditionalFormatting>
  <conditionalFormatting sqref="J248">
    <cfRule type="containsText" dxfId="12306" priority="10944" operator="containsText" text="Cancelado">
      <formula>NOT(ISERROR(SEARCH("Cancelado",J248)))</formula>
    </cfRule>
  </conditionalFormatting>
  <conditionalFormatting sqref="J335:J336">
    <cfRule type="cellIs" dxfId="12305" priority="10940" operator="equal">
      <formula>"Tramitando"</formula>
    </cfRule>
    <cfRule type="cellIs" dxfId="12304" priority="10941" operator="equal">
      <formula>"Deferido"</formula>
    </cfRule>
    <cfRule type="cellIs" dxfId="12303" priority="10942" operator="equal">
      <formula>"Indeferido"</formula>
    </cfRule>
  </conditionalFormatting>
  <conditionalFormatting sqref="J335:J336">
    <cfRule type="containsText" dxfId="12302" priority="10939" operator="containsText" text="Cancelado">
      <formula>NOT(ISERROR(SEARCH("Cancelado",J335)))</formula>
    </cfRule>
  </conditionalFormatting>
  <conditionalFormatting sqref="M335:M336">
    <cfRule type="cellIs" dxfId="12301" priority="10936" operator="equal">
      <formula>"Tramitando"</formula>
    </cfRule>
    <cfRule type="cellIs" dxfId="12300" priority="10937" operator="equal">
      <formula>"Deferido"</formula>
    </cfRule>
    <cfRule type="cellIs" dxfId="12299" priority="10938" operator="equal">
      <formula>"Indeferido"</formula>
    </cfRule>
  </conditionalFormatting>
  <conditionalFormatting sqref="M335:M336">
    <cfRule type="containsText" dxfId="12298" priority="10935" operator="containsText" text="Cancelado">
      <formula>NOT(ISERROR(SEARCH("Cancelado",M335)))</formula>
    </cfRule>
  </conditionalFormatting>
  <conditionalFormatting sqref="O335:O336">
    <cfRule type="cellIs" dxfId="12297" priority="10932" operator="equal">
      <formula>"Tramitando"</formula>
    </cfRule>
    <cfRule type="cellIs" dxfId="12296" priority="10933" operator="equal">
      <formula>"Deferido"</formula>
    </cfRule>
    <cfRule type="cellIs" dxfId="12295" priority="10934" operator="equal">
      <formula>"Indeferido"</formula>
    </cfRule>
  </conditionalFormatting>
  <conditionalFormatting sqref="O335:O336">
    <cfRule type="containsText" dxfId="12294" priority="10931" operator="containsText" text="Cancelado">
      <formula>NOT(ISERROR(SEARCH("Cancelado",O335)))</formula>
    </cfRule>
  </conditionalFormatting>
  <conditionalFormatting sqref="Q335:Q336">
    <cfRule type="cellIs" dxfId="12293" priority="10928" operator="equal">
      <formula>"Tramitando"</formula>
    </cfRule>
    <cfRule type="cellIs" dxfId="12292" priority="10929" operator="equal">
      <formula>"Deferido"</formula>
    </cfRule>
    <cfRule type="cellIs" dxfId="12291" priority="10930" operator="equal">
      <formula>"Indeferido"</formula>
    </cfRule>
  </conditionalFormatting>
  <conditionalFormatting sqref="Q335:Q336">
    <cfRule type="containsText" dxfId="12290" priority="10927" operator="containsText" text="Cancelado">
      <formula>NOT(ISERROR(SEARCH("Cancelado",Q335)))</formula>
    </cfRule>
  </conditionalFormatting>
  <conditionalFormatting sqref="S335:S336">
    <cfRule type="cellIs" dxfId="12289" priority="10924" operator="equal">
      <formula>"Tramitando"</formula>
    </cfRule>
    <cfRule type="cellIs" dxfId="12288" priority="10925" operator="equal">
      <formula>"Deferido"</formula>
    </cfRule>
    <cfRule type="cellIs" dxfId="12287" priority="10926" operator="equal">
      <formula>"Indeferido"</formula>
    </cfRule>
  </conditionalFormatting>
  <conditionalFormatting sqref="S335:S336">
    <cfRule type="containsText" dxfId="12286" priority="10923" operator="containsText" text="Cancelado">
      <formula>NOT(ISERROR(SEARCH("Cancelado",S335)))</formula>
    </cfRule>
  </conditionalFormatting>
  <conditionalFormatting sqref="J337">
    <cfRule type="cellIs" dxfId="12285" priority="10919" operator="equal">
      <formula>"Tramitando"</formula>
    </cfRule>
    <cfRule type="cellIs" dxfId="12284" priority="10920" operator="equal">
      <formula>"Deferido"</formula>
    </cfRule>
    <cfRule type="cellIs" dxfId="12283" priority="10921" operator="equal">
      <formula>"Indeferido"</formula>
    </cfRule>
  </conditionalFormatting>
  <conditionalFormatting sqref="J337">
    <cfRule type="containsText" dxfId="12282" priority="10918" operator="containsText" text="Cancelado">
      <formula>NOT(ISERROR(SEARCH("Cancelado",J337)))</formula>
    </cfRule>
  </conditionalFormatting>
  <conditionalFormatting sqref="M337">
    <cfRule type="cellIs" dxfId="12281" priority="10915" operator="equal">
      <formula>"Tramitando"</formula>
    </cfRule>
    <cfRule type="cellIs" dxfId="12280" priority="10916" operator="equal">
      <formula>"Deferido"</formula>
    </cfRule>
    <cfRule type="cellIs" dxfId="12279" priority="10917" operator="equal">
      <formula>"Indeferido"</formula>
    </cfRule>
  </conditionalFormatting>
  <conditionalFormatting sqref="M337">
    <cfRule type="containsText" dxfId="12278" priority="10914" operator="containsText" text="Cancelado">
      <formula>NOT(ISERROR(SEARCH("Cancelado",M337)))</formula>
    </cfRule>
  </conditionalFormatting>
  <conditionalFormatting sqref="O337">
    <cfRule type="cellIs" dxfId="12277" priority="10911" operator="equal">
      <formula>"Tramitando"</formula>
    </cfRule>
    <cfRule type="cellIs" dxfId="12276" priority="10912" operator="equal">
      <formula>"Deferido"</formula>
    </cfRule>
    <cfRule type="cellIs" dxfId="12275" priority="10913" operator="equal">
      <formula>"Indeferido"</formula>
    </cfRule>
  </conditionalFormatting>
  <conditionalFormatting sqref="O337">
    <cfRule type="containsText" dxfId="12274" priority="10910" operator="containsText" text="Cancelado">
      <formula>NOT(ISERROR(SEARCH("Cancelado",O337)))</formula>
    </cfRule>
  </conditionalFormatting>
  <conditionalFormatting sqref="Q337">
    <cfRule type="cellIs" dxfId="12273" priority="10907" operator="equal">
      <formula>"Tramitando"</formula>
    </cfRule>
    <cfRule type="cellIs" dxfId="12272" priority="10908" operator="equal">
      <formula>"Deferido"</formula>
    </cfRule>
    <cfRule type="cellIs" dxfId="12271" priority="10909" operator="equal">
      <formula>"Indeferido"</formula>
    </cfRule>
  </conditionalFormatting>
  <conditionalFormatting sqref="Q337">
    <cfRule type="containsText" dxfId="12270" priority="10906" operator="containsText" text="Cancelado">
      <formula>NOT(ISERROR(SEARCH("Cancelado",Q337)))</formula>
    </cfRule>
  </conditionalFormatting>
  <conditionalFormatting sqref="S337">
    <cfRule type="cellIs" dxfId="12269" priority="10903" operator="equal">
      <formula>"Tramitando"</formula>
    </cfRule>
    <cfRule type="cellIs" dxfId="12268" priority="10904" operator="equal">
      <formula>"Deferido"</formula>
    </cfRule>
    <cfRule type="cellIs" dxfId="12267" priority="10905" operator="equal">
      <formula>"Indeferido"</formula>
    </cfRule>
  </conditionalFormatting>
  <conditionalFormatting sqref="S337">
    <cfRule type="containsText" dxfId="12266" priority="10902" operator="containsText" text="Cancelado">
      <formula>NOT(ISERROR(SEARCH("Cancelado",S337)))</formula>
    </cfRule>
  </conditionalFormatting>
  <conditionalFormatting sqref="J338">
    <cfRule type="cellIs" dxfId="12265" priority="10898" operator="equal">
      <formula>"Tramitando"</formula>
    </cfRule>
    <cfRule type="cellIs" dxfId="12264" priority="10899" operator="equal">
      <formula>"Deferido"</formula>
    </cfRule>
    <cfRule type="cellIs" dxfId="12263" priority="10900" operator="equal">
      <formula>"Indeferido"</formula>
    </cfRule>
  </conditionalFormatting>
  <conditionalFormatting sqref="J338">
    <cfRule type="containsText" dxfId="12262" priority="10897" operator="containsText" text="Cancelado">
      <formula>NOT(ISERROR(SEARCH("Cancelado",J338)))</formula>
    </cfRule>
  </conditionalFormatting>
  <conditionalFormatting sqref="M338">
    <cfRule type="cellIs" dxfId="12261" priority="10894" operator="equal">
      <formula>"Tramitando"</formula>
    </cfRule>
    <cfRule type="cellIs" dxfId="12260" priority="10895" operator="equal">
      <formula>"Deferido"</formula>
    </cfRule>
    <cfRule type="cellIs" dxfId="12259" priority="10896" operator="equal">
      <formula>"Indeferido"</formula>
    </cfRule>
  </conditionalFormatting>
  <conditionalFormatting sqref="M338">
    <cfRule type="containsText" dxfId="12258" priority="10893" operator="containsText" text="Cancelado">
      <formula>NOT(ISERROR(SEARCH("Cancelado",M338)))</formula>
    </cfRule>
  </conditionalFormatting>
  <conditionalFormatting sqref="O338">
    <cfRule type="cellIs" dxfId="12257" priority="10890" operator="equal">
      <formula>"Tramitando"</formula>
    </cfRule>
    <cfRule type="cellIs" dxfId="12256" priority="10891" operator="equal">
      <formula>"Deferido"</formula>
    </cfRule>
    <cfRule type="cellIs" dxfId="12255" priority="10892" operator="equal">
      <formula>"Indeferido"</formula>
    </cfRule>
  </conditionalFormatting>
  <conditionalFormatting sqref="O338">
    <cfRule type="containsText" dxfId="12254" priority="10889" operator="containsText" text="Cancelado">
      <formula>NOT(ISERROR(SEARCH("Cancelado",O338)))</formula>
    </cfRule>
  </conditionalFormatting>
  <conditionalFormatting sqref="Q338">
    <cfRule type="cellIs" dxfId="12253" priority="10886" operator="equal">
      <formula>"Tramitando"</formula>
    </cfRule>
    <cfRule type="cellIs" dxfId="12252" priority="10887" operator="equal">
      <formula>"Deferido"</formula>
    </cfRule>
    <cfRule type="cellIs" dxfId="12251" priority="10888" operator="equal">
      <formula>"Indeferido"</formula>
    </cfRule>
  </conditionalFormatting>
  <conditionalFormatting sqref="Q338">
    <cfRule type="containsText" dxfId="12250" priority="10885" operator="containsText" text="Cancelado">
      <formula>NOT(ISERROR(SEARCH("Cancelado",Q338)))</formula>
    </cfRule>
  </conditionalFormatting>
  <conditionalFormatting sqref="S338">
    <cfRule type="cellIs" dxfId="12249" priority="10882" operator="equal">
      <formula>"Tramitando"</formula>
    </cfRule>
    <cfRule type="cellIs" dxfId="12248" priority="10883" operator="equal">
      <formula>"Deferido"</formula>
    </cfRule>
    <cfRule type="cellIs" dxfId="12247" priority="10884" operator="equal">
      <formula>"Indeferido"</formula>
    </cfRule>
  </conditionalFormatting>
  <conditionalFormatting sqref="S338">
    <cfRule type="containsText" dxfId="12246" priority="10881" operator="containsText" text="Cancelado">
      <formula>NOT(ISERROR(SEARCH("Cancelado",S338)))</formula>
    </cfRule>
  </conditionalFormatting>
  <conditionalFormatting sqref="J339">
    <cfRule type="cellIs" dxfId="12245" priority="10877" operator="equal">
      <formula>"Tramitando"</formula>
    </cfRule>
    <cfRule type="cellIs" dxfId="12244" priority="10878" operator="equal">
      <formula>"Deferido"</formula>
    </cfRule>
    <cfRule type="cellIs" dxfId="12243" priority="10879" operator="equal">
      <formula>"Indeferido"</formula>
    </cfRule>
  </conditionalFormatting>
  <conditionalFormatting sqref="J339">
    <cfRule type="containsText" dxfId="12242" priority="10876" operator="containsText" text="Cancelado">
      <formula>NOT(ISERROR(SEARCH("Cancelado",J339)))</formula>
    </cfRule>
  </conditionalFormatting>
  <conditionalFormatting sqref="M339">
    <cfRule type="cellIs" dxfId="12241" priority="10873" operator="equal">
      <formula>"Tramitando"</formula>
    </cfRule>
    <cfRule type="cellIs" dxfId="12240" priority="10874" operator="equal">
      <formula>"Deferido"</formula>
    </cfRule>
    <cfRule type="cellIs" dxfId="12239" priority="10875" operator="equal">
      <formula>"Indeferido"</formula>
    </cfRule>
  </conditionalFormatting>
  <conditionalFormatting sqref="M339">
    <cfRule type="containsText" dxfId="12238" priority="10872" operator="containsText" text="Cancelado">
      <formula>NOT(ISERROR(SEARCH("Cancelado",M339)))</formula>
    </cfRule>
  </conditionalFormatting>
  <conditionalFormatting sqref="O339">
    <cfRule type="cellIs" dxfId="12237" priority="10869" operator="equal">
      <formula>"Tramitando"</formula>
    </cfRule>
    <cfRule type="cellIs" dxfId="12236" priority="10870" operator="equal">
      <formula>"Deferido"</formula>
    </cfRule>
    <cfRule type="cellIs" dxfId="12235" priority="10871" operator="equal">
      <formula>"Indeferido"</formula>
    </cfRule>
  </conditionalFormatting>
  <conditionalFormatting sqref="O339">
    <cfRule type="containsText" dxfId="12234" priority="10868" operator="containsText" text="Cancelado">
      <formula>NOT(ISERROR(SEARCH("Cancelado",O339)))</formula>
    </cfRule>
  </conditionalFormatting>
  <conditionalFormatting sqref="Q339">
    <cfRule type="cellIs" dxfId="12233" priority="10865" operator="equal">
      <formula>"Tramitando"</formula>
    </cfRule>
    <cfRule type="cellIs" dxfId="12232" priority="10866" operator="equal">
      <formula>"Deferido"</formula>
    </cfRule>
    <cfRule type="cellIs" dxfId="12231" priority="10867" operator="equal">
      <formula>"Indeferido"</formula>
    </cfRule>
  </conditionalFormatting>
  <conditionalFormatting sqref="Q339">
    <cfRule type="containsText" dxfId="12230" priority="10864" operator="containsText" text="Cancelado">
      <formula>NOT(ISERROR(SEARCH("Cancelado",Q339)))</formula>
    </cfRule>
  </conditionalFormatting>
  <conditionalFormatting sqref="S339">
    <cfRule type="cellIs" dxfId="12229" priority="10861" operator="equal">
      <formula>"Tramitando"</formula>
    </cfRule>
    <cfRule type="cellIs" dxfId="12228" priority="10862" operator="equal">
      <formula>"Deferido"</formula>
    </cfRule>
    <cfRule type="cellIs" dxfId="12227" priority="10863" operator="equal">
      <formula>"Indeferido"</formula>
    </cfRule>
  </conditionalFormatting>
  <conditionalFormatting sqref="S339">
    <cfRule type="containsText" dxfId="12226" priority="10860" operator="containsText" text="Cancelado">
      <formula>NOT(ISERROR(SEARCH("Cancelado",S339)))</formula>
    </cfRule>
  </conditionalFormatting>
  <conditionalFormatting sqref="J340:J341">
    <cfRule type="cellIs" dxfId="12225" priority="10856" operator="equal">
      <formula>"Tramitando"</formula>
    </cfRule>
    <cfRule type="cellIs" dxfId="12224" priority="10857" operator="equal">
      <formula>"Deferido"</formula>
    </cfRule>
    <cfRule type="cellIs" dxfId="12223" priority="10858" operator="equal">
      <formula>"Indeferido"</formula>
    </cfRule>
  </conditionalFormatting>
  <conditionalFormatting sqref="J340:J341">
    <cfRule type="containsText" dxfId="12222" priority="10855" operator="containsText" text="Cancelado">
      <formula>NOT(ISERROR(SEARCH("Cancelado",J340)))</formula>
    </cfRule>
  </conditionalFormatting>
  <conditionalFormatting sqref="M340:M341">
    <cfRule type="cellIs" dxfId="12221" priority="10852" operator="equal">
      <formula>"Tramitando"</formula>
    </cfRule>
    <cfRule type="cellIs" dxfId="12220" priority="10853" operator="equal">
      <formula>"Deferido"</formula>
    </cfRule>
    <cfRule type="cellIs" dxfId="12219" priority="10854" operator="equal">
      <formula>"Indeferido"</formula>
    </cfRule>
  </conditionalFormatting>
  <conditionalFormatting sqref="M340:M341">
    <cfRule type="containsText" dxfId="12218" priority="10851" operator="containsText" text="Cancelado">
      <formula>NOT(ISERROR(SEARCH("Cancelado",M340)))</formula>
    </cfRule>
  </conditionalFormatting>
  <conditionalFormatting sqref="O340:O341">
    <cfRule type="cellIs" dxfId="12217" priority="10848" operator="equal">
      <formula>"Tramitando"</formula>
    </cfRule>
    <cfRule type="cellIs" dxfId="12216" priority="10849" operator="equal">
      <formula>"Deferido"</formula>
    </cfRule>
    <cfRule type="cellIs" dxfId="12215" priority="10850" operator="equal">
      <formula>"Indeferido"</formula>
    </cfRule>
  </conditionalFormatting>
  <conditionalFormatting sqref="O340:O341">
    <cfRule type="containsText" dxfId="12214" priority="10847" operator="containsText" text="Cancelado">
      <formula>NOT(ISERROR(SEARCH("Cancelado",O340)))</formula>
    </cfRule>
  </conditionalFormatting>
  <conditionalFormatting sqref="Q340:Q341">
    <cfRule type="cellIs" dxfId="12213" priority="10844" operator="equal">
      <formula>"Tramitando"</formula>
    </cfRule>
    <cfRule type="cellIs" dxfId="12212" priority="10845" operator="equal">
      <formula>"Deferido"</formula>
    </cfRule>
    <cfRule type="cellIs" dxfId="12211" priority="10846" operator="equal">
      <formula>"Indeferido"</formula>
    </cfRule>
  </conditionalFormatting>
  <conditionalFormatting sqref="Q340:Q341">
    <cfRule type="containsText" dxfId="12210" priority="10843" operator="containsText" text="Cancelado">
      <formula>NOT(ISERROR(SEARCH("Cancelado",Q340)))</formula>
    </cfRule>
  </conditionalFormatting>
  <conditionalFormatting sqref="S340:S341">
    <cfRule type="cellIs" dxfId="12209" priority="10840" operator="equal">
      <formula>"Tramitando"</formula>
    </cfRule>
    <cfRule type="cellIs" dxfId="12208" priority="10841" operator="equal">
      <formula>"Deferido"</formula>
    </cfRule>
    <cfRule type="cellIs" dxfId="12207" priority="10842" operator="equal">
      <formula>"Indeferido"</formula>
    </cfRule>
  </conditionalFormatting>
  <conditionalFormatting sqref="S340:S341">
    <cfRule type="containsText" dxfId="12206" priority="10839" operator="containsText" text="Cancelado">
      <formula>NOT(ISERROR(SEARCH("Cancelado",S340)))</formula>
    </cfRule>
  </conditionalFormatting>
  <conditionalFormatting sqref="J342">
    <cfRule type="cellIs" dxfId="12205" priority="10835" operator="equal">
      <formula>"Tramitando"</formula>
    </cfRule>
    <cfRule type="cellIs" dxfId="12204" priority="10836" operator="equal">
      <formula>"Deferido"</formula>
    </cfRule>
    <cfRule type="cellIs" dxfId="12203" priority="10837" operator="equal">
      <formula>"Indeferido"</formula>
    </cfRule>
  </conditionalFormatting>
  <conditionalFormatting sqref="J342">
    <cfRule type="containsText" dxfId="12202" priority="10834" operator="containsText" text="Cancelado">
      <formula>NOT(ISERROR(SEARCH("Cancelado",J342)))</formula>
    </cfRule>
  </conditionalFormatting>
  <conditionalFormatting sqref="M342">
    <cfRule type="cellIs" dxfId="12201" priority="10831" operator="equal">
      <formula>"Tramitando"</formula>
    </cfRule>
    <cfRule type="cellIs" dxfId="12200" priority="10832" operator="equal">
      <formula>"Deferido"</formula>
    </cfRule>
    <cfRule type="cellIs" dxfId="12199" priority="10833" operator="equal">
      <formula>"Indeferido"</formula>
    </cfRule>
  </conditionalFormatting>
  <conditionalFormatting sqref="M342">
    <cfRule type="containsText" dxfId="12198" priority="10830" operator="containsText" text="Cancelado">
      <formula>NOT(ISERROR(SEARCH("Cancelado",M342)))</formula>
    </cfRule>
  </conditionalFormatting>
  <conditionalFormatting sqref="O342">
    <cfRule type="cellIs" dxfId="12197" priority="10827" operator="equal">
      <formula>"Tramitando"</formula>
    </cfRule>
    <cfRule type="cellIs" dxfId="12196" priority="10828" operator="equal">
      <formula>"Deferido"</formula>
    </cfRule>
    <cfRule type="cellIs" dxfId="12195" priority="10829" operator="equal">
      <formula>"Indeferido"</formula>
    </cfRule>
  </conditionalFormatting>
  <conditionalFormatting sqref="O342">
    <cfRule type="containsText" dxfId="12194" priority="10826" operator="containsText" text="Cancelado">
      <formula>NOT(ISERROR(SEARCH("Cancelado",O342)))</formula>
    </cfRule>
  </conditionalFormatting>
  <conditionalFormatting sqref="Q342">
    <cfRule type="cellIs" dxfId="12193" priority="10823" operator="equal">
      <formula>"Tramitando"</formula>
    </cfRule>
    <cfRule type="cellIs" dxfId="12192" priority="10824" operator="equal">
      <formula>"Deferido"</formula>
    </cfRule>
    <cfRule type="cellIs" dxfId="12191" priority="10825" operator="equal">
      <formula>"Indeferido"</formula>
    </cfRule>
  </conditionalFormatting>
  <conditionalFormatting sqref="Q342">
    <cfRule type="containsText" dxfId="12190" priority="10822" operator="containsText" text="Cancelado">
      <formula>NOT(ISERROR(SEARCH("Cancelado",Q342)))</formula>
    </cfRule>
  </conditionalFormatting>
  <conditionalFormatting sqref="S342">
    <cfRule type="cellIs" dxfId="12189" priority="10819" operator="equal">
      <formula>"Tramitando"</formula>
    </cfRule>
    <cfRule type="cellIs" dxfId="12188" priority="10820" operator="equal">
      <formula>"Deferido"</formula>
    </cfRule>
    <cfRule type="cellIs" dxfId="12187" priority="10821" operator="equal">
      <formula>"Indeferido"</formula>
    </cfRule>
  </conditionalFormatting>
  <conditionalFormatting sqref="S342">
    <cfRule type="containsText" dxfId="12186" priority="10818" operator="containsText" text="Cancelado">
      <formula>NOT(ISERROR(SEARCH("Cancelado",S342)))</formula>
    </cfRule>
  </conditionalFormatting>
  <conditionalFormatting sqref="J343">
    <cfRule type="cellIs" dxfId="12185" priority="10814" operator="equal">
      <formula>"Tramitando"</formula>
    </cfRule>
    <cfRule type="cellIs" dxfId="12184" priority="10815" operator="equal">
      <formula>"Deferido"</formula>
    </cfRule>
    <cfRule type="cellIs" dxfId="12183" priority="10816" operator="equal">
      <formula>"Indeferido"</formula>
    </cfRule>
  </conditionalFormatting>
  <conditionalFormatting sqref="J343">
    <cfRule type="containsText" dxfId="12182" priority="10813" operator="containsText" text="Cancelado">
      <formula>NOT(ISERROR(SEARCH("Cancelado",J343)))</formula>
    </cfRule>
  </conditionalFormatting>
  <conditionalFormatting sqref="M343">
    <cfRule type="cellIs" dxfId="12181" priority="10810" operator="equal">
      <formula>"Tramitando"</formula>
    </cfRule>
    <cfRule type="cellIs" dxfId="12180" priority="10811" operator="equal">
      <formula>"Deferido"</formula>
    </cfRule>
    <cfRule type="cellIs" dxfId="12179" priority="10812" operator="equal">
      <formula>"Indeferido"</formula>
    </cfRule>
  </conditionalFormatting>
  <conditionalFormatting sqref="M343">
    <cfRule type="containsText" dxfId="12178" priority="10809" operator="containsText" text="Cancelado">
      <formula>NOT(ISERROR(SEARCH("Cancelado",M343)))</formula>
    </cfRule>
  </conditionalFormatting>
  <conditionalFormatting sqref="O343">
    <cfRule type="cellIs" dxfId="12177" priority="10806" operator="equal">
      <formula>"Tramitando"</formula>
    </cfRule>
    <cfRule type="cellIs" dxfId="12176" priority="10807" operator="equal">
      <formula>"Deferido"</formula>
    </cfRule>
    <cfRule type="cellIs" dxfId="12175" priority="10808" operator="equal">
      <formula>"Indeferido"</formula>
    </cfRule>
  </conditionalFormatting>
  <conditionalFormatting sqref="O343">
    <cfRule type="containsText" dxfId="12174" priority="10805" operator="containsText" text="Cancelado">
      <formula>NOT(ISERROR(SEARCH("Cancelado",O343)))</formula>
    </cfRule>
  </conditionalFormatting>
  <conditionalFormatting sqref="Q343">
    <cfRule type="cellIs" dxfId="12173" priority="10802" operator="equal">
      <formula>"Tramitando"</formula>
    </cfRule>
    <cfRule type="cellIs" dxfId="12172" priority="10803" operator="equal">
      <formula>"Deferido"</formula>
    </cfRule>
    <cfRule type="cellIs" dxfId="12171" priority="10804" operator="equal">
      <formula>"Indeferido"</formula>
    </cfRule>
  </conditionalFormatting>
  <conditionalFormatting sqref="Q343">
    <cfRule type="containsText" dxfId="12170" priority="10801" operator="containsText" text="Cancelado">
      <formula>NOT(ISERROR(SEARCH("Cancelado",Q343)))</formula>
    </cfRule>
  </conditionalFormatting>
  <conditionalFormatting sqref="S343">
    <cfRule type="cellIs" dxfId="12169" priority="10798" operator="equal">
      <formula>"Tramitando"</formula>
    </cfRule>
    <cfRule type="cellIs" dxfId="12168" priority="10799" operator="equal">
      <formula>"Deferido"</formula>
    </cfRule>
    <cfRule type="cellIs" dxfId="12167" priority="10800" operator="equal">
      <formula>"Indeferido"</formula>
    </cfRule>
  </conditionalFormatting>
  <conditionalFormatting sqref="S343">
    <cfRule type="containsText" dxfId="12166" priority="10797" operator="containsText" text="Cancelado">
      <formula>NOT(ISERROR(SEARCH("Cancelado",S343)))</formula>
    </cfRule>
  </conditionalFormatting>
  <conditionalFormatting sqref="J344">
    <cfRule type="cellIs" dxfId="12165" priority="10793" operator="equal">
      <formula>"Tramitando"</formula>
    </cfRule>
    <cfRule type="cellIs" dxfId="12164" priority="10794" operator="equal">
      <formula>"Deferido"</formula>
    </cfRule>
    <cfRule type="cellIs" dxfId="12163" priority="10795" operator="equal">
      <formula>"Indeferido"</formula>
    </cfRule>
  </conditionalFormatting>
  <conditionalFormatting sqref="J344">
    <cfRule type="containsText" dxfId="12162" priority="10792" operator="containsText" text="Cancelado">
      <formula>NOT(ISERROR(SEARCH("Cancelado",J344)))</formula>
    </cfRule>
  </conditionalFormatting>
  <conditionalFormatting sqref="M344">
    <cfRule type="cellIs" dxfId="12161" priority="10789" operator="equal">
      <formula>"Tramitando"</formula>
    </cfRule>
    <cfRule type="cellIs" dxfId="12160" priority="10790" operator="equal">
      <formula>"Deferido"</formula>
    </cfRule>
    <cfRule type="cellIs" dxfId="12159" priority="10791" operator="equal">
      <formula>"Indeferido"</formula>
    </cfRule>
  </conditionalFormatting>
  <conditionalFormatting sqref="M344">
    <cfRule type="containsText" dxfId="12158" priority="10788" operator="containsText" text="Cancelado">
      <formula>NOT(ISERROR(SEARCH("Cancelado",M344)))</formula>
    </cfRule>
  </conditionalFormatting>
  <conditionalFormatting sqref="O344">
    <cfRule type="cellIs" dxfId="12157" priority="10785" operator="equal">
      <formula>"Tramitando"</formula>
    </cfRule>
    <cfRule type="cellIs" dxfId="12156" priority="10786" operator="equal">
      <formula>"Deferido"</formula>
    </cfRule>
    <cfRule type="cellIs" dxfId="12155" priority="10787" operator="equal">
      <formula>"Indeferido"</formula>
    </cfRule>
  </conditionalFormatting>
  <conditionalFormatting sqref="O344">
    <cfRule type="containsText" dxfId="12154" priority="10784" operator="containsText" text="Cancelado">
      <formula>NOT(ISERROR(SEARCH("Cancelado",O344)))</formula>
    </cfRule>
  </conditionalFormatting>
  <conditionalFormatting sqref="Q344">
    <cfRule type="cellIs" dxfId="12153" priority="10781" operator="equal">
      <formula>"Tramitando"</formula>
    </cfRule>
    <cfRule type="cellIs" dxfId="12152" priority="10782" operator="equal">
      <formula>"Deferido"</formula>
    </cfRule>
    <cfRule type="cellIs" dxfId="12151" priority="10783" operator="equal">
      <formula>"Indeferido"</formula>
    </cfRule>
  </conditionalFormatting>
  <conditionalFormatting sqref="Q344">
    <cfRule type="containsText" dxfId="12150" priority="10780" operator="containsText" text="Cancelado">
      <formula>NOT(ISERROR(SEARCH("Cancelado",Q344)))</formula>
    </cfRule>
  </conditionalFormatting>
  <conditionalFormatting sqref="S344">
    <cfRule type="cellIs" dxfId="12149" priority="10777" operator="equal">
      <formula>"Tramitando"</formula>
    </cfRule>
    <cfRule type="cellIs" dxfId="12148" priority="10778" operator="equal">
      <formula>"Deferido"</formula>
    </cfRule>
    <cfRule type="cellIs" dxfId="12147" priority="10779" operator="equal">
      <formula>"Indeferido"</formula>
    </cfRule>
  </conditionalFormatting>
  <conditionalFormatting sqref="S344">
    <cfRule type="containsText" dxfId="12146" priority="10776" operator="containsText" text="Cancelado">
      <formula>NOT(ISERROR(SEARCH("Cancelado",S344)))</formula>
    </cfRule>
  </conditionalFormatting>
  <conditionalFormatting sqref="M345">
    <cfRule type="cellIs" dxfId="12145" priority="10767" operator="equal">
      <formula>"Tramitando"</formula>
    </cfRule>
    <cfRule type="cellIs" dxfId="12144" priority="10768" operator="equal">
      <formula>"Deferido"</formula>
    </cfRule>
    <cfRule type="cellIs" dxfId="12143" priority="10769" operator="equal">
      <formula>"Indeferido"</formula>
    </cfRule>
  </conditionalFormatting>
  <conditionalFormatting sqref="M345">
    <cfRule type="containsText" dxfId="12142" priority="10766" operator="containsText" text="Cancelado">
      <formula>NOT(ISERROR(SEARCH("Cancelado",M345)))</formula>
    </cfRule>
  </conditionalFormatting>
  <conditionalFormatting sqref="O345">
    <cfRule type="cellIs" dxfId="12141" priority="10763" operator="equal">
      <formula>"Tramitando"</formula>
    </cfRule>
    <cfRule type="cellIs" dxfId="12140" priority="10764" operator="equal">
      <formula>"Deferido"</formula>
    </cfRule>
    <cfRule type="cellIs" dxfId="12139" priority="10765" operator="equal">
      <formula>"Indeferido"</formula>
    </cfRule>
  </conditionalFormatting>
  <conditionalFormatting sqref="O345">
    <cfRule type="containsText" dxfId="12138" priority="10762" operator="containsText" text="Cancelado">
      <formula>NOT(ISERROR(SEARCH("Cancelado",O345)))</formula>
    </cfRule>
  </conditionalFormatting>
  <conditionalFormatting sqref="Q345">
    <cfRule type="cellIs" dxfId="12137" priority="10759" operator="equal">
      <formula>"Tramitando"</formula>
    </cfRule>
    <cfRule type="cellIs" dxfId="12136" priority="10760" operator="equal">
      <formula>"Deferido"</formula>
    </cfRule>
    <cfRule type="cellIs" dxfId="12135" priority="10761" operator="equal">
      <formula>"Indeferido"</formula>
    </cfRule>
  </conditionalFormatting>
  <conditionalFormatting sqref="Q345">
    <cfRule type="containsText" dxfId="12134" priority="10758" operator="containsText" text="Cancelado">
      <formula>NOT(ISERROR(SEARCH("Cancelado",Q345)))</formula>
    </cfRule>
  </conditionalFormatting>
  <conditionalFormatting sqref="S345">
    <cfRule type="cellIs" dxfId="12133" priority="10755" operator="equal">
      <formula>"Tramitando"</formula>
    </cfRule>
    <cfRule type="cellIs" dxfId="12132" priority="10756" operator="equal">
      <formula>"Deferido"</formula>
    </cfRule>
    <cfRule type="cellIs" dxfId="12131" priority="10757" operator="equal">
      <formula>"Indeferido"</formula>
    </cfRule>
  </conditionalFormatting>
  <conditionalFormatting sqref="S345">
    <cfRule type="containsText" dxfId="12130" priority="10754" operator="containsText" text="Cancelado">
      <formula>NOT(ISERROR(SEARCH("Cancelado",S345)))</formula>
    </cfRule>
  </conditionalFormatting>
  <conditionalFormatting sqref="M346">
    <cfRule type="cellIs" dxfId="12129" priority="10746" operator="equal">
      <formula>"Tramitando"</formula>
    </cfRule>
    <cfRule type="cellIs" dxfId="12128" priority="10747" operator="equal">
      <formula>"Deferido"</formula>
    </cfRule>
    <cfRule type="cellIs" dxfId="12127" priority="10748" operator="equal">
      <formula>"Indeferido"</formula>
    </cfRule>
  </conditionalFormatting>
  <conditionalFormatting sqref="M346">
    <cfRule type="containsText" dxfId="12126" priority="10745" operator="containsText" text="Cancelado">
      <formula>NOT(ISERROR(SEARCH("Cancelado",M346)))</formula>
    </cfRule>
  </conditionalFormatting>
  <conditionalFormatting sqref="O346">
    <cfRule type="cellIs" dxfId="12125" priority="10742" operator="equal">
      <formula>"Tramitando"</formula>
    </cfRule>
    <cfRule type="cellIs" dxfId="12124" priority="10743" operator="equal">
      <formula>"Deferido"</formula>
    </cfRule>
    <cfRule type="cellIs" dxfId="12123" priority="10744" operator="equal">
      <formula>"Indeferido"</formula>
    </cfRule>
  </conditionalFormatting>
  <conditionalFormatting sqref="O346">
    <cfRule type="containsText" dxfId="12122" priority="10741" operator="containsText" text="Cancelado">
      <formula>NOT(ISERROR(SEARCH("Cancelado",O346)))</formula>
    </cfRule>
  </conditionalFormatting>
  <conditionalFormatting sqref="Q346">
    <cfRule type="cellIs" dxfId="12121" priority="10738" operator="equal">
      <formula>"Tramitando"</formula>
    </cfRule>
    <cfRule type="cellIs" dxfId="12120" priority="10739" operator="equal">
      <formula>"Deferido"</formula>
    </cfRule>
    <cfRule type="cellIs" dxfId="12119" priority="10740" operator="equal">
      <formula>"Indeferido"</formula>
    </cfRule>
  </conditionalFormatting>
  <conditionalFormatting sqref="Q346">
    <cfRule type="containsText" dxfId="12118" priority="10737" operator="containsText" text="Cancelado">
      <formula>NOT(ISERROR(SEARCH("Cancelado",Q346)))</formula>
    </cfRule>
  </conditionalFormatting>
  <conditionalFormatting sqref="S346">
    <cfRule type="cellIs" dxfId="12117" priority="10734" operator="equal">
      <formula>"Tramitando"</formula>
    </cfRule>
    <cfRule type="cellIs" dxfId="12116" priority="10735" operator="equal">
      <formula>"Deferido"</formula>
    </cfRule>
    <cfRule type="cellIs" dxfId="12115" priority="10736" operator="equal">
      <formula>"Indeferido"</formula>
    </cfRule>
  </conditionalFormatting>
  <conditionalFormatting sqref="S346">
    <cfRule type="containsText" dxfId="12114" priority="10733" operator="containsText" text="Cancelado">
      <formula>NOT(ISERROR(SEARCH("Cancelado",S346)))</formula>
    </cfRule>
  </conditionalFormatting>
  <conditionalFormatting sqref="J345">
    <cfRule type="cellIs" dxfId="12113" priority="10730" operator="equal">
      <formula>"Tramitando"</formula>
    </cfRule>
    <cfRule type="cellIs" dxfId="12112" priority="10731" operator="equal">
      <formula>"Deferido"</formula>
    </cfRule>
    <cfRule type="cellIs" dxfId="12111" priority="10732" operator="equal">
      <formula>"Indeferido"</formula>
    </cfRule>
  </conditionalFormatting>
  <conditionalFormatting sqref="J345">
    <cfRule type="containsText" dxfId="12110" priority="10729" operator="containsText" text="Cancelado">
      <formula>NOT(ISERROR(SEARCH("Cancelado",J345)))</formula>
    </cfRule>
  </conditionalFormatting>
  <conditionalFormatting sqref="J346">
    <cfRule type="cellIs" dxfId="12109" priority="10726" operator="equal">
      <formula>"Tramitando"</formula>
    </cfRule>
    <cfRule type="cellIs" dxfId="12108" priority="10727" operator="equal">
      <formula>"Deferido"</formula>
    </cfRule>
    <cfRule type="cellIs" dxfId="12107" priority="10728" operator="equal">
      <formula>"Indeferido"</formula>
    </cfRule>
  </conditionalFormatting>
  <conditionalFormatting sqref="J346">
    <cfRule type="containsText" dxfId="12106" priority="10725" operator="containsText" text="Cancelado">
      <formula>NOT(ISERROR(SEARCH("Cancelado",J346)))</formula>
    </cfRule>
  </conditionalFormatting>
  <conditionalFormatting sqref="J347:J348">
    <cfRule type="cellIs" dxfId="12105" priority="10721" operator="equal">
      <formula>"Tramitando"</formula>
    </cfRule>
    <cfRule type="cellIs" dxfId="12104" priority="10722" operator="equal">
      <formula>"Deferido"</formula>
    </cfRule>
    <cfRule type="cellIs" dxfId="12103" priority="10723" operator="equal">
      <formula>"Indeferido"</formula>
    </cfRule>
  </conditionalFormatting>
  <conditionalFormatting sqref="J347:J348">
    <cfRule type="containsText" dxfId="12102" priority="10720" operator="containsText" text="Cancelado">
      <formula>NOT(ISERROR(SEARCH("Cancelado",J347)))</formula>
    </cfRule>
  </conditionalFormatting>
  <conditionalFormatting sqref="M347:M348">
    <cfRule type="cellIs" dxfId="12101" priority="10717" operator="equal">
      <formula>"Tramitando"</formula>
    </cfRule>
    <cfRule type="cellIs" dxfId="12100" priority="10718" operator="equal">
      <formula>"Deferido"</formula>
    </cfRule>
    <cfRule type="cellIs" dxfId="12099" priority="10719" operator="equal">
      <formula>"Indeferido"</formula>
    </cfRule>
  </conditionalFormatting>
  <conditionalFormatting sqref="M347:M348">
    <cfRule type="containsText" dxfId="12098" priority="10716" operator="containsText" text="Cancelado">
      <formula>NOT(ISERROR(SEARCH("Cancelado",M347)))</formula>
    </cfRule>
  </conditionalFormatting>
  <conditionalFormatting sqref="O347:O348">
    <cfRule type="cellIs" dxfId="12097" priority="10713" operator="equal">
      <formula>"Tramitando"</formula>
    </cfRule>
    <cfRule type="cellIs" dxfId="12096" priority="10714" operator="equal">
      <formula>"Deferido"</formula>
    </cfRule>
    <cfRule type="cellIs" dxfId="12095" priority="10715" operator="equal">
      <formula>"Indeferido"</formula>
    </cfRule>
  </conditionalFormatting>
  <conditionalFormatting sqref="O347:O348">
    <cfRule type="containsText" dxfId="12094" priority="10712" operator="containsText" text="Cancelado">
      <formula>NOT(ISERROR(SEARCH("Cancelado",O347)))</formula>
    </cfRule>
  </conditionalFormatting>
  <conditionalFormatting sqref="Q347:Q348">
    <cfRule type="cellIs" dxfId="12093" priority="10709" operator="equal">
      <formula>"Tramitando"</formula>
    </cfRule>
    <cfRule type="cellIs" dxfId="12092" priority="10710" operator="equal">
      <formula>"Deferido"</formula>
    </cfRule>
    <cfRule type="cellIs" dxfId="12091" priority="10711" operator="equal">
      <formula>"Indeferido"</formula>
    </cfRule>
  </conditionalFormatting>
  <conditionalFormatting sqref="Q347:Q348">
    <cfRule type="containsText" dxfId="12090" priority="10708" operator="containsText" text="Cancelado">
      <formula>NOT(ISERROR(SEARCH("Cancelado",Q347)))</formula>
    </cfRule>
  </conditionalFormatting>
  <conditionalFormatting sqref="S347:S348">
    <cfRule type="cellIs" dxfId="12089" priority="10705" operator="equal">
      <formula>"Tramitando"</formula>
    </cfRule>
    <cfRule type="cellIs" dxfId="12088" priority="10706" operator="equal">
      <formula>"Deferido"</formula>
    </cfRule>
    <cfRule type="cellIs" dxfId="12087" priority="10707" operator="equal">
      <formula>"Indeferido"</formula>
    </cfRule>
  </conditionalFormatting>
  <conditionalFormatting sqref="S347:S348">
    <cfRule type="containsText" dxfId="12086" priority="10704" operator="containsText" text="Cancelado">
      <formula>NOT(ISERROR(SEARCH("Cancelado",S347)))</formula>
    </cfRule>
  </conditionalFormatting>
  <conditionalFormatting sqref="J349">
    <cfRule type="cellIs" dxfId="12085" priority="10700" operator="equal">
      <formula>"Tramitando"</formula>
    </cfRule>
    <cfRule type="cellIs" dxfId="12084" priority="10701" operator="equal">
      <formula>"Deferido"</formula>
    </cfRule>
    <cfRule type="cellIs" dxfId="12083" priority="10702" operator="equal">
      <formula>"Indeferido"</formula>
    </cfRule>
  </conditionalFormatting>
  <conditionalFormatting sqref="J349">
    <cfRule type="containsText" dxfId="12082" priority="10699" operator="containsText" text="Cancelado">
      <formula>NOT(ISERROR(SEARCH("Cancelado",J349)))</formula>
    </cfRule>
  </conditionalFormatting>
  <conditionalFormatting sqref="M349">
    <cfRule type="cellIs" dxfId="12081" priority="10696" operator="equal">
      <formula>"Tramitando"</formula>
    </cfRule>
    <cfRule type="cellIs" dxfId="12080" priority="10697" operator="equal">
      <formula>"Deferido"</formula>
    </cfRule>
    <cfRule type="cellIs" dxfId="12079" priority="10698" operator="equal">
      <formula>"Indeferido"</formula>
    </cfRule>
  </conditionalFormatting>
  <conditionalFormatting sqref="M349">
    <cfRule type="containsText" dxfId="12078" priority="10695" operator="containsText" text="Cancelado">
      <formula>NOT(ISERROR(SEARCH("Cancelado",M349)))</formula>
    </cfRule>
  </conditionalFormatting>
  <conditionalFormatting sqref="O349">
    <cfRule type="cellIs" dxfId="12077" priority="10692" operator="equal">
      <formula>"Tramitando"</formula>
    </cfRule>
    <cfRule type="cellIs" dxfId="12076" priority="10693" operator="equal">
      <formula>"Deferido"</formula>
    </cfRule>
    <cfRule type="cellIs" dxfId="12075" priority="10694" operator="equal">
      <formula>"Indeferido"</formula>
    </cfRule>
  </conditionalFormatting>
  <conditionalFormatting sqref="O349">
    <cfRule type="containsText" dxfId="12074" priority="10691" operator="containsText" text="Cancelado">
      <formula>NOT(ISERROR(SEARCH("Cancelado",O349)))</formula>
    </cfRule>
  </conditionalFormatting>
  <conditionalFormatting sqref="Q349">
    <cfRule type="cellIs" dxfId="12073" priority="10688" operator="equal">
      <formula>"Tramitando"</formula>
    </cfRule>
    <cfRule type="cellIs" dxfId="12072" priority="10689" operator="equal">
      <formula>"Deferido"</formula>
    </cfRule>
    <cfRule type="cellIs" dxfId="12071" priority="10690" operator="equal">
      <formula>"Indeferido"</formula>
    </cfRule>
  </conditionalFormatting>
  <conditionalFormatting sqref="Q349">
    <cfRule type="containsText" dxfId="12070" priority="10687" operator="containsText" text="Cancelado">
      <formula>NOT(ISERROR(SEARCH("Cancelado",Q349)))</formula>
    </cfRule>
  </conditionalFormatting>
  <conditionalFormatting sqref="S349">
    <cfRule type="cellIs" dxfId="12069" priority="10684" operator="equal">
      <formula>"Tramitando"</formula>
    </cfRule>
    <cfRule type="cellIs" dxfId="12068" priority="10685" operator="equal">
      <formula>"Deferido"</formula>
    </cfRule>
    <cfRule type="cellIs" dxfId="12067" priority="10686" operator="equal">
      <formula>"Indeferido"</formula>
    </cfRule>
  </conditionalFormatting>
  <conditionalFormatting sqref="S349">
    <cfRule type="containsText" dxfId="12066" priority="10683" operator="containsText" text="Cancelado">
      <formula>NOT(ISERROR(SEARCH("Cancelado",S349)))</formula>
    </cfRule>
  </conditionalFormatting>
  <conditionalFormatting sqref="J350">
    <cfRule type="cellIs" dxfId="12065" priority="10679" operator="equal">
      <formula>"Tramitando"</formula>
    </cfRule>
    <cfRule type="cellIs" dxfId="12064" priority="10680" operator="equal">
      <formula>"Deferido"</formula>
    </cfRule>
    <cfRule type="cellIs" dxfId="12063" priority="10681" operator="equal">
      <formula>"Indeferido"</formula>
    </cfRule>
  </conditionalFormatting>
  <conditionalFormatting sqref="J350">
    <cfRule type="containsText" dxfId="12062" priority="10678" operator="containsText" text="Cancelado">
      <formula>NOT(ISERROR(SEARCH("Cancelado",J350)))</formula>
    </cfRule>
  </conditionalFormatting>
  <conditionalFormatting sqref="M350">
    <cfRule type="cellIs" dxfId="12061" priority="10675" operator="equal">
      <formula>"Tramitando"</formula>
    </cfRule>
    <cfRule type="cellIs" dxfId="12060" priority="10676" operator="equal">
      <formula>"Deferido"</formula>
    </cfRule>
    <cfRule type="cellIs" dxfId="12059" priority="10677" operator="equal">
      <formula>"Indeferido"</formula>
    </cfRule>
  </conditionalFormatting>
  <conditionalFormatting sqref="M350">
    <cfRule type="containsText" dxfId="12058" priority="10674" operator="containsText" text="Cancelado">
      <formula>NOT(ISERROR(SEARCH("Cancelado",M350)))</formula>
    </cfRule>
  </conditionalFormatting>
  <conditionalFormatting sqref="O350">
    <cfRule type="cellIs" dxfId="12057" priority="10671" operator="equal">
      <formula>"Tramitando"</formula>
    </cfRule>
    <cfRule type="cellIs" dxfId="12056" priority="10672" operator="equal">
      <formula>"Deferido"</formula>
    </cfRule>
    <cfRule type="cellIs" dxfId="12055" priority="10673" operator="equal">
      <formula>"Indeferido"</formula>
    </cfRule>
  </conditionalFormatting>
  <conditionalFormatting sqref="O350">
    <cfRule type="containsText" dxfId="12054" priority="10670" operator="containsText" text="Cancelado">
      <formula>NOT(ISERROR(SEARCH("Cancelado",O350)))</formula>
    </cfRule>
  </conditionalFormatting>
  <conditionalFormatting sqref="Q350">
    <cfRule type="cellIs" dxfId="12053" priority="10667" operator="equal">
      <formula>"Tramitando"</formula>
    </cfRule>
    <cfRule type="cellIs" dxfId="12052" priority="10668" operator="equal">
      <formula>"Deferido"</formula>
    </cfRule>
    <cfRule type="cellIs" dxfId="12051" priority="10669" operator="equal">
      <formula>"Indeferido"</formula>
    </cfRule>
  </conditionalFormatting>
  <conditionalFormatting sqref="Q350">
    <cfRule type="containsText" dxfId="12050" priority="10666" operator="containsText" text="Cancelado">
      <formula>NOT(ISERROR(SEARCH("Cancelado",Q350)))</formula>
    </cfRule>
  </conditionalFormatting>
  <conditionalFormatting sqref="S350">
    <cfRule type="cellIs" dxfId="12049" priority="10663" operator="equal">
      <formula>"Tramitando"</formula>
    </cfRule>
    <cfRule type="cellIs" dxfId="12048" priority="10664" operator="equal">
      <formula>"Deferido"</formula>
    </cfRule>
    <cfRule type="cellIs" dxfId="12047" priority="10665" operator="equal">
      <formula>"Indeferido"</formula>
    </cfRule>
  </conditionalFormatting>
  <conditionalFormatting sqref="S350">
    <cfRule type="containsText" dxfId="12046" priority="10662" operator="containsText" text="Cancelado">
      <formula>NOT(ISERROR(SEARCH("Cancelado",S350)))</formula>
    </cfRule>
  </conditionalFormatting>
  <conditionalFormatting sqref="J351">
    <cfRule type="cellIs" dxfId="12045" priority="10657" operator="equal">
      <formula>"Tramitando"</formula>
    </cfRule>
    <cfRule type="cellIs" dxfId="12044" priority="10658" operator="equal">
      <formula>"Deferido"</formula>
    </cfRule>
    <cfRule type="cellIs" dxfId="12043" priority="10659" operator="equal">
      <formula>"Indeferido"</formula>
    </cfRule>
  </conditionalFormatting>
  <conditionalFormatting sqref="J351">
    <cfRule type="containsText" dxfId="12042" priority="10656" operator="containsText" text="Cancelado">
      <formula>NOT(ISERROR(SEARCH("Cancelado",J351)))</formula>
    </cfRule>
  </conditionalFormatting>
  <conditionalFormatting sqref="M351">
    <cfRule type="cellIs" dxfId="12041" priority="10653" operator="equal">
      <formula>"Tramitando"</formula>
    </cfRule>
    <cfRule type="cellIs" dxfId="12040" priority="10654" operator="equal">
      <formula>"Deferido"</formula>
    </cfRule>
    <cfRule type="cellIs" dxfId="12039" priority="10655" operator="equal">
      <formula>"Indeferido"</formula>
    </cfRule>
  </conditionalFormatting>
  <conditionalFormatting sqref="M351">
    <cfRule type="containsText" dxfId="12038" priority="10652" operator="containsText" text="Cancelado">
      <formula>NOT(ISERROR(SEARCH("Cancelado",M351)))</formula>
    </cfRule>
  </conditionalFormatting>
  <conditionalFormatting sqref="O351">
    <cfRule type="cellIs" dxfId="12037" priority="10649" operator="equal">
      <formula>"Tramitando"</formula>
    </cfRule>
    <cfRule type="cellIs" dxfId="12036" priority="10650" operator="equal">
      <formula>"Deferido"</formula>
    </cfRule>
    <cfRule type="cellIs" dxfId="12035" priority="10651" operator="equal">
      <formula>"Indeferido"</formula>
    </cfRule>
  </conditionalFormatting>
  <conditionalFormatting sqref="O351">
    <cfRule type="containsText" dxfId="12034" priority="10648" operator="containsText" text="Cancelado">
      <formula>NOT(ISERROR(SEARCH("Cancelado",O351)))</formula>
    </cfRule>
  </conditionalFormatting>
  <conditionalFormatting sqref="Q351">
    <cfRule type="cellIs" dxfId="12033" priority="10645" operator="equal">
      <formula>"Tramitando"</formula>
    </cfRule>
    <cfRule type="cellIs" dxfId="12032" priority="10646" operator="equal">
      <formula>"Deferido"</formula>
    </cfRule>
    <cfRule type="cellIs" dxfId="12031" priority="10647" operator="equal">
      <formula>"Indeferido"</formula>
    </cfRule>
  </conditionalFormatting>
  <conditionalFormatting sqref="Q351">
    <cfRule type="containsText" dxfId="12030" priority="10644" operator="containsText" text="Cancelado">
      <formula>NOT(ISERROR(SEARCH("Cancelado",Q351)))</formula>
    </cfRule>
  </conditionalFormatting>
  <conditionalFormatting sqref="S351">
    <cfRule type="cellIs" dxfId="12029" priority="10641" operator="equal">
      <formula>"Tramitando"</formula>
    </cfRule>
    <cfRule type="cellIs" dxfId="12028" priority="10642" operator="equal">
      <formula>"Deferido"</formula>
    </cfRule>
    <cfRule type="cellIs" dxfId="12027" priority="10643" operator="equal">
      <formula>"Indeferido"</formula>
    </cfRule>
  </conditionalFormatting>
  <conditionalFormatting sqref="S351">
    <cfRule type="containsText" dxfId="12026" priority="10640" operator="containsText" text="Cancelado">
      <formula>NOT(ISERROR(SEARCH("Cancelado",S351)))</formula>
    </cfRule>
  </conditionalFormatting>
  <conditionalFormatting sqref="J352:J353">
    <cfRule type="cellIs" dxfId="12025" priority="10636" operator="equal">
      <formula>"Tramitando"</formula>
    </cfRule>
    <cfRule type="cellIs" dxfId="12024" priority="10637" operator="equal">
      <formula>"Deferido"</formula>
    </cfRule>
    <cfRule type="cellIs" dxfId="12023" priority="10638" operator="equal">
      <formula>"Indeferido"</formula>
    </cfRule>
  </conditionalFormatting>
  <conditionalFormatting sqref="J352:J353">
    <cfRule type="containsText" dxfId="12022" priority="10635" operator="containsText" text="Cancelado">
      <formula>NOT(ISERROR(SEARCH("Cancelado",J352)))</formula>
    </cfRule>
  </conditionalFormatting>
  <conditionalFormatting sqref="M352:M353">
    <cfRule type="cellIs" dxfId="12021" priority="10632" operator="equal">
      <formula>"Tramitando"</formula>
    </cfRule>
    <cfRule type="cellIs" dxfId="12020" priority="10633" operator="equal">
      <formula>"Deferido"</formula>
    </cfRule>
    <cfRule type="cellIs" dxfId="12019" priority="10634" operator="equal">
      <formula>"Indeferido"</formula>
    </cfRule>
  </conditionalFormatting>
  <conditionalFormatting sqref="M352:M353">
    <cfRule type="containsText" dxfId="12018" priority="10631" operator="containsText" text="Cancelado">
      <formula>NOT(ISERROR(SEARCH("Cancelado",M352)))</formula>
    </cfRule>
  </conditionalFormatting>
  <conditionalFormatting sqref="O352:O353">
    <cfRule type="cellIs" dxfId="12017" priority="10628" operator="equal">
      <formula>"Tramitando"</formula>
    </cfRule>
    <cfRule type="cellIs" dxfId="12016" priority="10629" operator="equal">
      <formula>"Deferido"</formula>
    </cfRule>
    <cfRule type="cellIs" dxfId="12015" priority="10630" operator="equal">
      <formula>"Indeferido"</formula>
    </cfRule>
  </conditionalFormatting>
  <conditionalFormatting sqref="O352:O353">
    <cfRule type="containsText" dxfId="12014" priority="10627" operator="containsText" text="Cancelado">
      <formula>NOT(ISERROR(SEARCH("Cancelado",O352)))</formula>
    </cfRule>
  </conditionalFormatting>
  <conditionalFormatting sqref="Q352:Q353">
    <cfRule type="cellIs" dxfId="12013" priority="10624" operator="equal">
      <formula>"Tramitando"</formula>
    </cfRule>
    <cfRule type="cellIs" dxfId="12012" priority="10625" operator="equal">
      <formula>"Deferido"</formula>
    </cfRule>
    <cfRule type="cellIs" dxfId="12011" priority="10626" operator="equal">
      <formula>"Indeferido"</formula>
    </cfRule>
  </conditionalFormatting>
  <conditionalFormatting sqref="Q352:Q353">
    <cfRule type="containsText" dxfId="12010" priority="10623" operator="containsText" text="Cancelado">
      <formula>NOT(ISERROR(SEARCH("Cancelado",Q352)))</formula>
    </cfRule>
  </conditionalFormatting>
  <conditionalFormatting sqref="S352:S353">
    <cfRule type="cellIs" dxfId="12009" priority="10620" operator="equal">
      <formula>"Tramitando"</formula>
    </cfRule>
    <cfRule type="cellIs" dxfId="12008" priority="10621" operator="equal">
      <formula>"Deferido"</formula>
    </cfRule>
    <cfRule type="cellIs" dxfId="12007" priority="10622" operator="equal">
      <formula>"Indeferido"</formula>
    </cfRule>
  </conditionalFormatting>
  <conditionalFormatting sqref="S352:S353">
    <cfRule type="containsText" dxfId="12006" priority="10619" operator="containsText" text="Cancelado">
      <formula>NOT(ISERROR(SEARCH("Cancelado",S352)))</formula>
    </cfRule>
  </conditionalFormatting>
  <conditionalFormatting sqref="J354:J355">
    <cfRule type="cellIs" dxfId="12005" priority="10615" operator="equal">
      <formula>"Tramitando"</formula>
    </cfRule>
    <cfRule type="cellIs" dxfId="12004" priority="10616" operator="equal">
      <formula>"Deferido"</formula>
    </cfRule>
    <cfRule type="cellIs" dxfId="12003" priority="10617" operator="equal">
      <formula>"Indeferido"</formula>
    </cfRule>
  </conditionalFormatting>
  <conditionalFormatting sqref="J354:J355">
    <cfRule type="containsText" dxfId="12002" priority="10614" operator="containsText" text="Cancelado">
      <formula>NOT(ISERROR(SEARCH("Cancelado",J354)))</formula>
    </cfRule>
  </conditionalFormatting>
  <conditionalFormatting sqref="M354:M355">
    <cfRule type="cellIs" dxfId="12001" priority="10611" operator="equal">
      <formula>"Tramitando"</formula>
    </cfRule>
    <cfRule type="cellIs" dxfId="12000" priority="10612" operator="equal">
      <formula>"Deferido"</formula>
    </cfRule>
    <cfRule type="cellIs" dxfId="11999" priority="10613" operator="equal">
      <formula>"Indeferido"</formula>
    </cfRule>
  </conditionalFormatting>
  <conditionalFormatting sqref="M354:M355">
    <cfRule type="containsText" dxfId="11998" priority="10610" operator="containsText" text="Cancelado">
      <formula>NOT(ISERROR(SEARCH("Cancelado",M354)))</formula>
    </cfRule>
  </conditionalFormatting>
  <conditionalFormatting sqref="O354:O355">
    <cfRule type="cellIs" dxfId="11997" priority="10607" operator="equal">
      <formula>"Tramitando"</formula>
    </cfRule>
    <cfRule type="cellIs" dxfId="11996" priority="10608" operator="equal">
      <formula>"Deferido"</formula>
    </cfRule>
    <cfRule type="cellIs" dxfId="11995" priority="10609" operator="equal">
      <formula>"Indeferido"</formula>
    </cfRule>
  </conditionalFormatting>
  <conditionalFormatting sqref="O354:O355">
    <cfRule type="containsText" dxfId="11994" priority="10606" operator="containsText" text="Cancelado">
      <formula>NOT(ISERROR(SEARCH("Cancelado",O354)))</formula>
    </cfRule>
  </conditionalFormatting>
  <conditionalFormatting sqref="Q354:Q355">
    <cfRule type="cellIs" dxfId="11993" priority="10603" operator="equal">
      <formula>"Tramitando"</formula>
    </cfRule>
    <cfRule type="cellIs" dxfId="11992" priority="10604" operator="equal">
      <formula>"Deferido"</formula>
    </cfRule>
    <cfRule type="cellIs" dxfId="11991" priority="10605" operator="equal">
      <formula>"Indeferido"</formula>
    </cfRule>
  </conditionalFormatting>
  <conditionalFormatting sqref="Q354:Q355">
    <cfRule type="containsText" dxfId="11990" priority="10602" operator="containsText" text="Cancelado">
      <formula>NOT(ISERROR(SEARCH("Cancelado",Q354)))</formula>
    </cfRule>
  </conditionalFormatting>
  <conditionalFormatting sqref="S354:S355">
    <cfRule type="cellIs" dxfId="11989" priority="10599" operator="equal">
      <formula>"Tramitando"</formula>
    </cfRule>
    <cfRule type="cellIs" dxfId="11988" priority="10600" operator="equal">
      <formula>"Deferido"</formula>
    </cfRule>
    <cfRule type="cellIs" dxfId="11987" priority="10601" operator="equal">
      <formula>"Indeferido"</formula>
    </cfRule>
  </conditionalFormatting>
  <conditionalFormatting sqref="S354:S355">
    <cfRule type="containsText" dxfId="11986" priority="10598" operator="containsText" text="Cancelado">
      <formula>NOT(ISERROR(SEARCH("Cancelado",S354)))</formula>
    </cfRule>
  </conditionalFormatting>
  <conditionalFormatting sqref="J356:J357">
    <cfRule type="cellIs" dxfId="11985" priority="10594" operator="equal">
      <formula>"Tramitando"</formula>
    </cfRule>
    <cfRule type="cellIs" dxfId="11984" priority="10595" operator="equal">
      <formula>"Deferido"</formula>
    </cfRule>
    <cfRule type="cellIs" dxfId="11983" priority="10596" operator="equal">
      <formula>"Indeferido"</formula>
    </cfRule>
  </conditionalFormatting>
  <conditionalFormatting sqref="J356:J357">
    <cfRule type="containsText" dxfId="11982" priority="10593" operator="containsText" text="Cancelado">
      <formula>NOT(ISERROR(SEARCH("Cancelado",J356)))</formula>
    </cfRule>
  </conditionalFormatting>
  <conditionalFormatting sqref="M356:M357">
    <cfRule type="cellIs" dxfId="11981" priority="10590" operator="equal">
      <formula>"Tramitando"</formula>
    </cfRule>
    <cfRule type="cellIs" dxfId="11980" priority="10591" operator="equal">
      <formula>"Deferido"</formula>
    </cfRule>
    <cfRule type="cellIs" dxfId="11979" priority="10592" operator="equal">
      <formula>"Indeferido"</formula>
    </cfRule>
  </conditionalFormatting>
  <conditionalFormatting sqref="M356:M357">
    <cfRule type="containsText" dxfId="11978" priority="10589" operator="containsText" text="Cancelado">
      <formula>NOT(ISERROR(SEARCH("Cancelado",M356)))</formula>
    </cfRule>
  </conditionalFormatting>
  <conditionalFormatting sqref="O356:O357">
    <cfRule type="cellIs" dxfId="11977" priority="10586" operator="equal">
      <formula>"Tramitando"</formula>
    </cfRule>
    <cfRule type="cellIs" dxfId="11976" priority="10587" operator="equal">
      <formula>"Deferido"</formula>
    </cfRule>
    <cfRule type="cellIs" dxfId="11975" priority="10588" operator="equal">
      <formula>"Indeferido"</formula>
    </cfRule>
  </conditionalFormatting>
  <conditionalFormatting sqref="O356:O357">
    <cfRule type="containsText" dxfId="11974" priority="10585" operator="containsText" text="Cancelado">
      <formula>NOT(ISERROR(SEARCH("Cancelado",O356)))</formula>
    </cfRule>
  </conditionalFormatting>
  <conditionalFormatting sqref="Q356:Q357">
    <cfRule type="cellIs" dxfId="11973" priority="10582" operator="equal">
      <formula>"Tramitando"</formula>
    </cfRule>
    <cfRule type="cellIs" dxfId="11972" priority="10583" operator="equal">
      <formula>"Deferido"</formula>
    </cfRule>
    <cfRule type="cellIs" dxfId="11971" priority="10584" operator="equal">
      <formula>"Indeferido"</formula>
    </cfRule>
  </conditionalFormatting>
  <conditionalFormatting sqref="Q356:Q357">
    <cfRule type="containsText" dxfId="11970" priority="10581" operator="containsText" text="Cancelado">
      <formula>NOT(ISERROR(SEARCH("Cancelado",Q356)))</formula>
    </cfRule>
  </conditionalFormatting>
  <conditionalFormatting sqref="S356:S357">
    <cfRule type="cellIs" dxfId="11969" priority="10578" operator="equal">
      <formula>"Tramitando"</formula>
    </cfRule>
    <cfRule type="cellIs" dxfId="11968" priority="10579" operator="equal">
      <formula>"Deferido"</formula>
    </cfRule>
    <cfRule type="cellIs" dxfId="11967" priority="10580" operator="equal">
      <formula>"Indeferido"</formula>
    </cfRule>
  </conditionalFormatting>
  <conditionalFormatting sqref="S356:S357">
    <cfRule type="containsText" dxfId="11966" priority="10577" operator="containsText" text="Cancelado">
      <formula>NOT(ISERROR(SEARCH("Cancelado",S356)))</formula>
    </cfRule>
  </conditionalFormatting>
  <conditionalFormatting sqref="J358">
    <cfRule type="cellIs" dxfId="11965" priority="10573" operator="equal">
      <formula>"Tramitando"</formula>
    </cfRule>
    <cfRule type="cellIs" dxfId="11964" priority="10574" operator="equal">
      <formula>"Deferido"</formula>
    </cfRule>
    <cfRule type="cellIs" dxfId="11963" priority="10575" operator="equal">
      <formula>"Indeferido"</formula>
    </cfRule>
  </conditionalFormatting>
  <conditionalFormatting sqref="J358">
    <cfRule type="containsText" dxfId="11962" priority="10572" operator="containsText" text="Cancelado">
      <formula>NOT(ISERROR(SEARCH("Cancelado",J358)))</formula>
    </cfRule>
  </conditionalFormatting>
  <conditionalFormatting sqref="M358">
    <cfRule type="cellIs" dxfId="11961" priority="10569" operator="equal">
      <formula>"Tramitando"</formula>
    </cfRule>
    <cfRule type="cellIs" dxfId="11960" priority="10570" operator="equal">
      <formula>"Deferido"</formula>
    </cfRule>
    <cfRule type="cellIs" dxfId="11959" priority="10571" operator="equal">
      <formula>"Indeferido"</formula>
    </cfRule>
  </conditionalFormatting>
  <conditionalFormatting sqref="M358">
    <cfRule type="containsText" dxfId="11958" priority="10568" operator="containsText" text="Cancelado">
      <formula>NOT(ISERROR(SEARCH("Cancelado",M358)))</formula>
    </cfRule>
  </conditionalFormatting>
  <conditionalFormatting sqref="O358">
    <cfRule type="cellIs" dxfId="11957" priority="10565" operator="equal">
      <formula>"Tramitando"</formula>
    </cfRule>
    <cfRule type="cellIs" dxfId="11956" priority="10566" operator="equal">
      <formula>"Deferido"</formula>
    </cfRule>
    <cfRule type="cellIs" dxfId="11955" priority="10567" operator="equal">
      <formula>"Indeferido"</formula>
    </cfRule>
  </conditionalFormatting>
  <conditionalFormatting sqref="O358">
    <cfRule type="containsText" dxfId="11954" priority="10564" operator="containsText" text="Cancelado">
      <formula>NOT(ISERROR(SEARCH("Cancelado",O358)))</formula>
    </cfRule>
  </conditionalFormatting>
  <conditionalFormatting sqref="Q358">
    <cfRule type="cellIs" dxfId="11953" priority="10561" operator="equal">
      <formula>"Tramitando"</formula>
    </cfRule>
    <cfRule type="cellIs" dxfId="11952" priority="10562" operator="equal">
      <formula>"Deferido"</formula>
    </cfRule>
    <cfRule type="cellIs" dxfId="11951" priority="10563" operator="equal">
      <formula>"Indeferido"</formula>
    </cfRule>
  </conditionalFormatting>
  <conditionalFormatting sqref="Q358">
    <cfRule type="containsText" dxfId="11950" priority="10560" operator="containsText" text="Cancelado">
      <formula>NOT(ISERROR(SEARCH("Cancelado",Q358)))</formula>
    </cfRule>
  </conditionalFormatting>
  <conditionalFormatting sqref="S358">
    <cfRule type="cellIs" dxfId="11949" priority="10557" operator="equal">
      <formula>"Tramitando"</formula>
    </cfRule>
    <cfRule type="cellIs" dxfId="11948" priority="10558" operator="equal">
      <formula>"Deferido"</formula>
    </cfRule>
    <cfRule type="cellIs" dxfId="11947" priority="10559" operator="equal">
      <formula>"Indeferido"</formula>
    </cfRule>
  </conditionalFormatting>
  <conditionalFormatting sqref="S358">
    <cfRule type="containsText" dxfId="11946" priority="10556" operator="containsText" text="Cancelado">
      <formula>NOT(ISERROR(SEARCH("Cancelado",S358)))</formula>
    </cfRule>
  </conditionalFormatting>
  <conditionalFormatting sqref="J359">
    <cfRule type="cellIs" dxfId="11945" priority="10552" operator="equal">
      <formula>"Tramitando"</formula>
    </cfRule>
    <cfRule type="cellIs" dxfId="11944" priority="10553" operator="equal">
      <formula>"Deferido"</formula>
    </cfRule>
    <cfRule type="cellIs" dxfId="11943" priority="10554" operator="equal">
      <formula>"Indeferido"</formula>
    </cfRule>
  </conditionalFormatting>
  <conditionalFormatting sqref="J359">
    <cfRule type="containsText" dxfId="11942" priority="10551" operator="containsText" text="Cancelado">
      <formula>NOT(ISERROR(SEARCH("Cancelado",J359)))</formula>
    </cfRule>
  </conditionalFormatting>
  <conditionalFormatting sqref="M359">
    <cfRule type="cellIs" dxfId="11941" priority="10548" operator="equal">
      <formula>"Tramitando"</formula>
    </cfRule>
    <cfRule type="cellIs" dxfId="11940" priority="10549" operator="equal">
      <formula>"Deferido"</formula>
    </cfRule>
    <cfRule type="cellIs" dxfId="11939" priority="10550" operator="equal">
      <formula>"Indeferido"</formula>
    </cfRule>
  </conditionalFormatting>
  <conditionalFormatting sqref="M359">
    <cfRule type="containsText" dxfId="11938" priority="10547" operator="containsText" text="Cancelado">
      <formula>NOT(ISERROR(SEARCH("Cancelado",M359)))</formula>
    </cfRule>
  </conditionalFormatting>
  <conditionalFormatting sqref="O359">
    <cfRule type="cellIs" dxfId="11937" priority="10544" operator="equal">
      <formula>"Tramitando"</formula>
    </cfRule>
    <cfRule type="cellIs" dxfId="11936" priority="10545" operator="equal">
      <formula>"Deferido"</formula>
    </cfRule>
    <cfRule type="cellIs" dxfId="11935" priority="10546" operator="equal">
      <formula>"Indeferido"</formula>
    </cfRule>
  </conditionalFormatting>
  <conditionalFormatting sqref="O359">
    <cfRule type="containsText" dxfId="11934" priority="10543" operator="containsText" text="Cancelado">
      <formula>NOT(ISERROR(SEARCH("Cancelado",O359)))</formula>
    </cfRule>
  </conditionalFormatting>
  <conditionalFormatting sqref="Q359">
    <cfRule type="cellIs" dxfId="11933" priority="10540" operator="equal">
      <formula>"Tramitando"</formula>
    </cfRule>
    <cfRule type="cellIs" dxfId="11932" priority="10541" operator="equal">
      <formula>"Deferido"</formula>
    </cfRule>
    <cfRule type="cellIs" dxfId="11931" priority="10542" operator="equal">
      <formula>"Indeferido"</formula>
    </cfRule>
  </conditionalFormatting>
  <conditionalFormatting sqref="Q359">
    <cfRule type="containsText" dxfId="11930" priority="10539" operator="containsText" text="Cancelado">
      <formula>NOT(ISERROR(SEARCH("Cancelado",Q359)))</formula>
    </cfRule>
  </conditionalFormatting>
  <conditionalFormatting sqref="S359">
    <cfRule type="cellIs" dxfId="11929" priority="10536" operator="equal">
      <formula>"Tramitando"</formula>
    </cfRule>
    <cfRule type="cellIs" dxfId="11928" priority="10537" operator="equal">
      <formula>"Deferido"</formula>
    </cfRule>
    <cfRule type="cellIs" dxfId="11927" priority="10538" operator="equal">
      <formula>"Indeferido"</formula>
    </cfRule>
  </conditionalFormatting>
  <conditionalFormatting sqref="S359">
    <cfRule type="containsText" dxfId="11926" priority="10535" operator="containsText" text="Cancelado">
      <formula>NOT(ISERROR(SEARCH("Cancelado",S359)))</formula>
    </cfRule>
  </conditionalFormatting>
  <conditionalFormatting sqref="J360">
    <cfRule type="cellIs" dxfId="11925" priority="10531" operator="equal">
      <formula>"Tramitando"</formula>
    </cfRule>
    <cfRule type="cellIs" dxfId="11924" priority="10532" operator="equal">
      <formula>"Deferido"</formula>
    </cfRule>
    <cfRule type="cellIs" dxfId="11923" priority="10533" operator="equal">
      <formula>"Indeferido"</formula>
    </cfRule>
  </conditionalFormatting>
  <conditionalFormatting sqref="J360">
    <cfRule type="containsText" dxfId="11922" priority="10530" operator="containsText" text="Cancelado">
      <formula>NOT(ISERROR(SEARCH("Cancelado",J360)))</formula>
    </cfRule>
  </conditionalFormatting>
  <conditionalFormatting sqref="M360">
    <cfRule type="cellIs" dxfId="11921" priority="10527" operator="equal">
      <formula>"Tramitando"</formula>
    </cfRule>
    <cfRule type="cellIs" dxfId="11920" priority="10528" operator="equal">
      <formula>"Deferido"</formula>
    </cfRule>
    <cfRule type="cellIs" dxfId="11919" priority="10529" operator="equal">
      <formula>"Indeferido"</formula>
    </cfRule>
  </conditionalFormatting>
  <conditionalFormatting sqref="M360">
    <cfRule type="containsText" dxfId="11918" priority="10526" operator="containsText" text="Cancelado">
      <formula>NOT(ISERROR(SEARCH("Cancelado",M360)))</formula>
    </cfRule>
  </conditionalFormatting>
  <conditionalFormatting sqref="O360">
    <cfRule type="cellIs" dxfId="11917" priority="10523" operator="equal">
      <formula>"Tramitando"</formula>
    </cfRule>
    <cfRule type="cellIs" dxfId="11916" priority="10524" operator="equal">
      <formula>"Deferido"</formula>
    </cfRule>
    <cfRule type="cellIs" dxfId="11915" priority="10525" operator="equal">
      <formula>"Indeferido"</formula>
    </cfRule>
  </conditionalFormatting>
  <conditionalFormatting sqref="O360">
    <cfRule type="containsText" dxfId="11914" priority="10522" operator="containsText" text="Cancelado">
      <formula>NOT(ISERROR(SEARCH("Cancelado",O360)))</formula>
    </cfRule>
  </conditionalFormatting>
  <conditionalFormatting sqref="Q360">
    <cfRule type="cellIs" dxfId="11913" priority="10519" operator="equal">
      <formula>"Tramitando"</formula>
    </cfRule>
    <cfRule type="cellIs" dxfId="11912" priority="10520" operator="equal">
      <formula>"Deferido"</formula>
    </cfRule>
    <cfRule type="cellIs" dxfId="11911" priority="10521" operator="equal">
      <formula>"Indeferido"</formula>
    </cfRule>
  </conditionalFormatting>
  <conditionalFormatting sqref="Q360">
    <cfRule type="containsText" dxfId="11910" priority="10518" operator="containsText" text="Cancelado">
      <formula>NOT(ISERROR(SEARCH("Cancelado",Q360)))</formula>
    </cfRule>
  </conditionalFormatting>
  <conditionalFormatting sqref="S360">
    <cfRule type="cellIs" dxfId="11909" priority="10515" operator="equal">
      <formula>"Tramitando"</formula>
    </cfRule>
    <cfRule type="cellIs" dxfId="11908" priority="10516" operator="equal">
      <formula>"Deferido"</formula>
    </cfRule>
    <cfRule type="cellIs" dxfId="11907" priority="10517" operator="equal">
      <formula>"Indeferido"</formula>
    </cfRule>
  </conditionalFormatting>
  <conditionalFormatting sqref="S360">
    <cfRule type="containsText" dxfId="11906" priority="10514" operator="containsText" text="Cancelado">
      <formula>NOT(ISERROR(SEARCH("Cancelado",S360)))</formula>
    </cfRule>
  </conditionalFormatting>
  <conditionalFormatting sqref="J361">
    <cfRule type="cellIs" dxfId="11905" priority="10510" operator="equal">
      <formula>"Tramitando"</formula>
    </cfRule>
    <cfRule type="cellIs" dxfId="11904" priority="10511" operator="equal">
      <formula>"Deferido"</formula>
    </cfRule>
    <cfRule type="cellIs" dxfId="11903" priority="10512" operator="equal">
      <formula>"Indeferido"</formula>
    </cfRule>
  </conditionalFormatting>
  <conditionalFormatting sqref="J361">
    <cfRule type="containsText" dxfId="11902" priority="10509" operator="containsText" text="Cancelado">
      <formula>NOT(ISERROR(SEARCH("Cancelado",J361)))</formula>
    </cfRule>
  </conditionalFormatting>
  <conditionalFormatting sqref="M361">
    <cfRule type="cellIs" dxfId="11901" priority="10506" operator="equal">
      <formula>"Tramitando"</formula>
    </cfRule>
    <cfRule type="cellIs" dxfId="11900" priority="10507" operator="equal">
      <formula>"Deferido"</formula>
    </cfRule>
    <cfRule type="cellIs" dxfId="11899" priority="10508" operator="equal">
      <formula>"Indeferido"</formula>
    </cfRule>
  </conditionalFormatting>
  <conditionalFormatting sqref="M361">
    <cfRule type="containsText" dxfId="11898" priority="10505" operator="containsText" text="Cancelado">
      <formula>NOT(ISERROR(SEARCH("Cancelado",M361)))</formula>
    </cfRule>
  </conditionalFormatting>
  <conditionalFormatting sqref="O361">
    <cfRule type="cellIs" dxfId="11897" priority="10502" operator="equal">
      <formula>"Tramitando"</formula>
    </cfRule>
    <cfRule type="cellIs" dxfId="11896" priority="10503" operator="equal">
      <formula>"Deferido"</formula>
    </cfRule>
    <cfRule type="cellIs" dxfId="11895" priority="10504" operator="equal">
      <formula>"Indeferido"</formula>
    </cfRule>
  </conditionalFormatting>
  <conditionalFormatting sqref="O361">
    <cfRule type="containsText" dxfId="11894" priority="10501" operator="containsText" text="Cancelado">
      <formula>NOT(ISERROR(SEARCH("Cancelado",O361)))</formula>
    </cfRule>
  </conditionalFormatting>
  <conditionalFormatting sqref="Q361">
    <cfRule type="cellIs" dxfId="11893" priority="10498" operator="equal">
      <formula>"Tramitando"</formula>
    </cfRule>
    <cfRule type="cellIs" dxfId="11892" priority="10499" operator="equal">
      <formula>"Deferido"</formula>
    </cfRule>
    <cfRule type="cellIs" dxfId="11891" priority="10500" operator="equal">
      <formula>"Indeferido"</formula>
    </cfRule>
  </conditionalFormatting>
  <conditionalFormatting sqref="Q361">
    <cfRule type="containsText" dxfId="11890" priority="10497" operator="containsText" text="Cancelado">
      <formula>NOT(ISERROR(SEARCH("Cancelado",Q361)))</formula>
    </cfRule>
  </conditionalFormatting>
  <conditionalFormatting sqref="S361">
    <cfRule type="cellIs" dxfId="11889" priority="10494" operator="equal">
      <formula>"Tramitando"</formula>
    </cfRule>
    <cfRule type="cellIs" dxfId="11888" priority="10495" operator="equal">
      <formula>"Deferido"</formula>
    </cfRule>
    <cfRule type="cellIs" dxfId="11887" priority="10496" operator="equal">
      <formula>"Indeferido"</formula>
    </cfRule>
  </conditionalFormatting>
  <conditionalFormatting sqref="S361">
    <cfRule type="containsText" dxfId="11886" priority="10493" operator="containsText" text="Cancelado">
      <formula>NOT(ISERROR(SEARCH("Cancelado",S361)))</formula>
    </cfRule>
  </conditionalFormatting>
  <conditionalFormatting sqref="J362">
    <cfRule type="cellIs" dxfId="11885" priority="10489" operator="equal">
      <formula>"Tramitando"</formula>
    </cfRule>
    <cfRule type="cellIs" dxfId="11884" priority="10490" operator="equal">
      <formula>"Deferido"</formula>
    </cfRule>
    <cfRule type="cellIs" dxfId="11883" priority="10491" operator="equal">
      <formula>"Indeferido"</formula>
    </cfRule>
  </conditionalFormatting>
  <conditionalFormatting sqref="J362">
    <cfRule type="containsText" dxfId="11882" priority="10488" operator="containsText" text="Cancelado">
      <formula>NOT(ISERROR(SEARCH("Cancelado",J362)))</formula>
    </cfRule>
  </conditionalFormatting>
  <conditionalFormatting sqref="M362">
    <cfRule type="cellIs" dxfId="11881" priority="10485" operator="equal">
      <formula>"Tramitando"</formula>
    </cfRule>
    <cfRule type="cellIs" dxfId="11880" priority="10486" operator="equal">
      <formula>"Deferido"</formula>
    </cfRule>
    <cfRule type="cellIs" dxfId="11879" priority="10487" operator="equal">
      <formula>"Indeferido"</formula>
    </cfRule>
  </conditionalFormatting>
  <conditionalFormatting sqref="M362">
    <cfRule type="containsText" dxfId="11878" priority="10484" operator="containsText" text="Cancelado">
      <formula>NOT(ISERROR(SEARCH("Cancelado",M362)))</formula>
    </cfRule>
  </conditionalFormatting>
  <conditionalFormatting sqref="O362">
    <cfRule type="cellIs" dxfId="11877" priority="10481" operator="equal">
      <formula>"Tramitando"</formula>
    </cfRule>
    <cfRule type="cellIs" dxfId="11876" priority="10482" operator="equal">
      <formula>"Deferido"</formula>
    </cfRule>
    <cfRule type="cellIs" dxfId="11875" priority="10483" operator="equal">
      <formula>"Indeferido"</formula>
    </cfRule>
  </conditionalFormatting>
  <conditionalFormatting sqref="O362">
    <cfRule type="containsText" dxfId="11874" priority="10480" operator="containsText" text="Cancelado">
      <formula>NOT(ISERROR(SEARCH("Cancelado",O362)))</formula>
    </cfRule>
  </conditionalFormatting>
  <conditionalFormatting sqref="Q362">
    <cfRule type="cellIs" dxfId="11873" priority="10477" operator="equal">
      <formula>"Tramitando"</formula>
    </cfRule>
    <cfRule type="cellIs" dxfId="11872" priority="10478" operator="equal">
      <formula>"Deferido"</formula>
    </cfRule>
    <cfRule type="cellIs" dxfId="11871" priority="10479" operator="equal">
      <formula>"Indeferido"</formula>
    </cfRule>
  </conditionalFormatting>
  <conditionalFormatting sqref="Q362">
    <cfRule type="containsText" dxfId="11870" priority="10476" operator="containsText" text="Cancelado">
      <formula>NOT(ISERROR(SEARCH("Cancelado",Q362)))</formula>
    </cfRule>
  </conditionalFormatting>
  <conditionalFormatting sqref="S362">
    <cfRule type="cellIs" dxfId="11869" priority="10473" operator="equal">
      <formula>"Tramitando"</formula>
    </cfRule>
    <cfRule type="cellIs" dxfId="11868" priority="10474" operator="equal">
      <formula>"Deferido"</formula>
    </cfRule>
    <cfRule type="cellIs" dxfId="11867" priority="10475" operator="equal">
      <formula>"Indeferido"</formula>
    </cfRule>
  </conditionalFormatting>
  <conditionalFormatting sqref="S362">
    <cfRule type="containsText" dxfId="11866" priority="10472" operator="containsText" text="Cancelado">
      <formula>NOT(ISERROR(SEARCH("Cancelado",S362)))</formula>
    </cfRule>
  </conditionalFormatting>
  <conditionalFormatting sqref="J363">
    <cfRule type="cellIs" dxfId="11865" priority="10468" operator="equal">
      <formula>"Tramitando"</formula>
    </cfRule>
    <cfRule type="cellIs" dxfId="11864" priority="10469" operator="equal">
      <formula>"Deferido"</formula>
    </cfRule>
    <cfRule type="cellIs" dxfId="11863" priority="10470" operator="equal">
      <formula>"Indeferido"</formula>
    </cfRule>
  </conditionalFormatting>
  <conditionalFormatting sqref="J363">
    <cfRule type="containsText" dxfId="11862" priority="10467" operator="containsText" text="Cancelado">
      <formula>NOT(ISERROR(SEARCH("Cancelado",J363)))</formula>
    </cfRule>
  </conditionalFormatting>
  <conditionalFormatting sqref="M363">
    <cfRule type="cellIs" dxfId="11861" priority="10464" operator="equal">
      <formula>"Tramitando"</formula>
    </cfRule>
    <cfRule type="cellIs" dxfId="11860" priority="10465" operator="equal">
      <formula>"Deferido"</formula>
    </cfRule>
    <cfRule type="cellIs" dxfId="11859" priority="10466" operator="equal">
      <formula>"Indeferido"</formula>
    </cfRule>
  </conditionalFormatting>
  <conditionalFormatting sqref="M363">
    <cfRule type="containsText" dxfId="11858" priority="10463" operator="containsText" text="Cancelado">
      <formula>NOT(ISERROR(SEARCH("Cancelado",M363)))</formula>
    </cfRule>
  </conditionalFormatting>
  <conditionalFormatting sqref="O363">
    <cfRule type="cellIs" dxfId="11857" priority="10460" operator="equal">
      <formula>"Tramitando"</formula>
    </cfRule>
    <cfRule type="cellIs" dxfId="11856" priority="10461" operator="equal">
      <formula>"Deferido"</formula>
    </cfRule>
    <cfRule type="cellIs" dxfId="11855" priority="10462" operator="equal">
      <formula>"Indeferido"</formula>
    </cfRule>
  </conditionalFormatting>
  <conditionalFormatting sqref="O363">
    <cfRule type="containsText" dxfId="11854" priority="10459" operator="containsText" text="Cancelado">
      <formula>NOT(ISERROR(SEARCH("Cancelado",O363)))</formula>
    </cfRule>
  </conditionalFormatting>
  <conditionalFormatting sqref="Q363">
    <cfRule type="cellIs" dxfId="11853" priority="10456" operator="equal">
      <formula>"Tramitando"</formula>
    </cfRule>
    <cfRule type="cellIs" dxfId="11852" priority="10457" operator="equal">
      <formula>"Deferido"</formula>
    </cfRule>
    <cfRule type="cellIs" dxfId="11851" priority="10458" operator="equal">
      <formula>"Indeferido"</formula>
    </cfRule>
  </conditionalFormatting>
  <conditionalFormatting sqref="Q363">
    <cfRule type="containsText" dxfId="11850" priority="10455" operator="containsText" text="Cancelado">
      <formula>NOT(ISERROR(SEARCH("Cancelado",Q363)))</formula>
    </cfRule>
  </conditionalFormatting>
  <conditionalFormatting sqref="S363">
    <cfRule type="cellIs" dxfId="11849" priority="10452" operator="equal">
      <formula>"Tramitando"</formula>
    </cfRule>
    <cfRule type="cellIs" dxfId="11848" priority="10453" operator="equal">
      <formula>"Deferido"</formula>
    </cfRule>
    <cfRule type="cellIs" dxfId="11847" priority="10454" operator="equal">
      <formula>"Indeferido"</formula>
    </cfRule>
  </conditionalFormatting>
  <conditionalFormatting sqref="S363">
    <cfRule type="containsText" dxfId="11846" priority="10451" operator="containsText" text="Cancelado">
      <formula>NOT(ISERROR(SEARCH("Cancelado",S363)))</formula>
    </cfRule>
  </conditionalFormatting>
  <conditionalFormatting sqref="J364:J365">
    <cfRule type="cellIs" dxfId="11845" priority="10447" operator="equal">
      <formula>"Tramitando"</formula>
    </cfRule>
    <cfRule type="cellIs" dxfId="11844" priority="10448" operator="equal">
      <formula>"Deferido"</formula>
    </cfRule>
    <cfRule type="cellIs" dxfId="11843" priority="10449" operator="equal">
      <formula>"Indeferido"</formula>
    </cfRule>
  </conditionalFormatting>
  <conditionalFormatting sqref="J364:J365">
    <cfRule type="containsText" dxfId="11842" priority="10446" operator="containsText" text="Cancelado">
      <formula>NOT(ISERROR(SEARCH("Cancelado",J364)))</formula>
    </cfRule>
  </conditionalFormatting>
  <conditionalFormatting sqref="M364:M365">
    <cfRule type="cellIs" dxfId="11841" priority="10443" operator="equal">
      <formula>"Tramitando"</formula>
    </cfRule>
    <cfRule type="cellIs" dxfId="11840" priority="10444" operator="equal">
      <formula>"Deferido"</formula>
    </cfRule>
    <cfRule type="cellIs" dxfId="11839" priority="10445" operator="equal">
      <formula>"Indeferido"</formula>
    </cfRule>
  </conditionalFormatting>
  <conditionalFormatting sqref="M364:M365">
    <cfRule type="containsText" dxfId="11838" priority="10442" operator="containsText" text="Cancelado">
      <formula>NOT(ISERROR(SEARCH("Cancelado",M364)))</formula>
    </cfRule>
  </conditionalFormatting>
  <conditionalFormatting sqref="O364:O365">
    <cfRule type="cellIs" dxfId="11837" priority="10439" operator="equal">
      <formula>"Tramitando"</formula>
    </cfRule>
    <cfRule type="cellIs" dxfId="11836" priority="10440" operator="equal">
      <formula>"Deferido"</formula>
    </cfRule>
    <cfRule type="cellIs" dxfId="11835" priority="10441" operator="equal">
      <formula>"Indeferido"</formula>
    </cfRule>
  </conditionalFormatting>
  <conditionalFormatting sqref="O364:O365">
    <cfRule type="containsText" dxfId="11834" priority="10438" operator="containsText" text="Cancelado">
      <formula>NOT(ISERROR(SEARCH("Cancelado",O364)))</formula>
    </cfRule>
  </conditionalFormatting>
  <conditionalFormatting sqref="Q364:Q365">
    <cfRule type="cellIs" dxfId="11833" priority="10435" operator="equal">
      <formula>"Tramitando"</formula>
    </cfRule>
    <cfRule type="cellIs" dxfId="11832" priority="10436" operator="equal">
      <formula>"Deferido"</formula>
    </cfRule>
    <cfRule type="cellIs" dxfId="11831" priority="10437" operator="equal">
      <formula>"Indeferido"</formula>
    </cfRule>
  </conditionalFormatting>
  <conditionalFormatting sqref="Q364:Q365">
    <cfRule type="containsText" dxfId="11830" priority="10434" operator="containsText" text="Cancelado">
      <formula>NOT(ISERROR(SEARCH("Cancelado",Q364)))</formula>
    </cfRule>
  </conditionalFormatting>
  <conditionalFormatting sqref="S364:S365">
    <cfRule type="cellIs" dxfId="11829" priority="10431" operator="equal">
      <formula>"Tramitando"</formula>
    </cfRule>
    <cfRule type="cellIs" dxfId="11828" priority="10432" operator="equal">
      <formula>"Deferido"</formula>
    </cfRule>
    <cfRule type="cellIs" dxfId="11827" priority="10433" operator="equal">
      <formula>"Indeferido"</formula>
    </cfRule>
  </conditionalFormatting>
  <conditionalFormatting sqref="S364:S365">
    <cfRule type="containsText" dxfId="11826" priority="10430" operator="containsText" text="Cancelado">
      <formula>NOT(ISERROR(SEARCH("Cancelado",S364)))</formula>
    </cfRule>
  </conditionalFormatting>
  <conditionalFormatting sqref="J366">
    <cfRule type="cellIs" dxfId="11825" priority="10425" operator="equal">
      <formula>"Tramitando"</formula>
    </cfRule>
    <cfRule type="cellIs" dxfId="11824" priority="10426" operator="equal">
      <formula>"Deferido"</formula>
    </cfRule>
    <cfRule type="cellIs" dxfId="11823" priority="10427" operator="equal">
      <formula>"Indeferido"</formula>
    </cfRule>
  </conditionalFormatting>
  <conditionalFormatting sqref="J366">
    <cfRule type="containsText" dxfId="11822" priority="10424" operator="containsText" text="Cancelado">
      <formula>NOT(ISERROR(SEARCH("Cancelado",J366)))</formula>
    </cfRule>
  </conditionalFormatting>
  <conditionalFormatting sqref="M366">
    <cfRule type="cellIs" dxfId="11821" priority="10421" operator="equal">
      <formula>"Tramitando"</formula>
    </cfRule>
    <cfRule type="cellIs" dxfId="11820" priority="10422" operator="equal">
      <formula>"Deferido"</formula>
    </cfRule>
    <cfRule type="cellIs" dxfId="11819" priority="10423" operator="equal">
      <formula>"Indeferido"</formula>
    </cfRule>
  </conditionalFormatting>
  <conditionalFormatting sqref="M366">
    <cfRule type="containsText" dxfId="11818" priority="10420" operator="containsText" text="Cancelado">
      <formula>NOT(ISERROR(SEARCH("Cancelado",M366)))</formula>
    </cfRule>
  </conditionalFormatting>
  <conditionalFormatting sqref="O366">
    <cfRule type="cellIs" dxfId="11817" priority="10417" operator="equal">
      <formula>"Tramitando"</formula>
    </cfRule>
    <cfRule type="cellIs" dxfId="11816" priority="10418" operator="equal">
      <formula>"Deferido"</formula>
    </cfRule>
    <cfRule type="cellIs" dxfId="11815" priority="10419" operator="equal">
      <formula>"Indeferido"</formula>
    </cfRule>
  </conditionalFormatting>
  <conditionalFormatting sqref="O366">
    <cfRule type="containsText" dxfId="11814" priority="10416" operator="containsText" text="Cancelado">
      <formula>NOT(ISERROR(SEARCH("Cancelado",O366)))</formula>
    </cfRule>
  </conditionalFormatting>
  <conditionalFormatting sqref="Q366">
    <cfRule type="cellIs" dxfId="11813" priority="10413" operator="equal">
      <formula>"Tramitando"</formula>
    </cfRule>
    <cfRule type="cellIs" dxfId="11812" priority="10414" operator="equal">
      <formula>"Deferido"</formula>
    </cfRule>
    <cfRule type="cellIs" dxfId="11811" priority="10415" operator="equal">
      <formula>"Indeferido"</formula>
    </cfRule>
  </conditionalFormatting>
  <conditionalFormatting sqref="Q366">
    <cfRule type="containsText" dxfId="11810" priority="10412" operator="containsText" text="Cancelado">
      <formula>NOT(ISERROR(SEARCH("Cancelado",Q366)))</formula>
    </cfRule>
  </conditionalFormatting>
  <conditionalFormatting sqref="S366">
    <cfRule type="cellIs" dxfId="11809" priority="10409" operator="equal">
      <formula>"Tramitando"</formula>
    </cfRule>
    <cfRule type="cellIs" dxfId="11808" priority="10410" operator="equal">
      <formula>"Deferido"</formula>
    </cfRule>
    <cfRule type="cellIs" dxfId="11807" priority="10411" operator="equal">
      <formula>"Indeferido"</formula>
    </cfRule>
  </conditionalFormatting>
  <conditionalFormatting sqref="S366">
    <cfRule type="containsText" dxfId="11806" priority="10408" operator="containsText" text="Cancelado">
      <formula>NOT(ISERROR(SEARCH("Cancelado",S366)))</formula>
    </cfRule>
  </conditionalFormatting>
  <conditionalFormatting sqref="J367">
    <cfRule type="cellIs" dxfId="11805" priority="10404" operator="equal">
      <formula>"Tramitando"</formula>
    </cfRule>
    <cfRule type="cellIs" dxfId="11804" priority="10405" operator="equal">
      <formula>"Deferido"</formula>
    </cfRule>
    <cfRule type="cellIs" dxfId="11803" priority="10406" operator="equal">
      <formula>"Indeferido"</formula>
    </cfRule>
  </conditionalFormatting>
  <conditionalFormatting sqref="J367">
    <cfRule type="containsText" dxfId="11802" priority="10403" operator="containsText" text="Cancelado">
      <formula>NOT(ISERROR(SEARCH("Cancelado",J367)))</formula>
    </cfRule>
  </conditionalFormatting>
  <conditionalFormatting sqref="M367">
    <cfRule type="cellIs" dxfId="11801" priority="10400" operator="equal">
      <formula>"Tramitando"</formula>
    </cfRule>
    <cfRule type="cellIs" dxfId="11800" priority="10401" operator="equal">
      <formula>"Deferido"</formula>
    </cfRule>
    <cfRule type="cellIs" dxfId="11799" priority="10402" operator="equal">
      <formula>"Indeferido"</formula>
    </cfRule>
  </conditionalFormatting>
  <conditionalFormatting sqref="M367">
    <cfRule type="containsText" dxfId="11798" priority="10399" operator="containsText" text="Cancelado">
      <formula>NOT(ISERROR(SEARCH("Cancelado",M367)))</formula>
    </cfRule>
  </conditionalFormatting>
  <conditionalFormatting sqref="O367">
    <cfRule type="cellIs" dxfId="11797" priority="10396" operator="equal">
      <formula>"Tramitando"</formula>
    </cfRule>
    <cfRule type="cellIs" dxfId="11796" priority="10397" operator="equal">
      <formula>"Deferido"</formula>
    </cfRule>
    <cfRule type="cellIs" dxfId="11795" priority="10398" operator="equal">
      <formula>"Indeferido"</formula>
    </cfRule>
  </conditionalFormatting>
  <conditionalFormatting sqref="O367">
    <cfRule type="containsText" dxfId="11794" priority="10395" operator="containsText" text="Cancelado">
      <formula>NOT(ISERROR(SEARCH("Cancelado",O367)))</formula>
    </cfRule>
  </conditionalFormatting>
  <conditionalFormatting sqref="Q367">
    <cfRule type="cellIs" dxfId="11793" priority="10392" operator="equal">
      <formula>"Tramitando"</formula>
    </cfRule>
    <cfRule type="cellIs" dxfId="11792" priority="10393" operator="equal">
      <formula>"Deferido"</formula>
    </cfRule>
    <cfRule type="cellIs" dxfId="11791" priority="10394" operator="equal">
      <formula>"Indeferido"</formula>
    </cfRule>
  </conditionalFormatting>
  <conditionalFormatting sqref="Q367">
    <cfRule type="containsText" dxfId="11790" priority="10391" operator="containsText" text="Cancelado">
      <formula>NOT(ISERROR(SEARCH("Cancelado",Q367)))</formula>
    </cfRule>
  </conditionalFormatting>
  <conditionalFormatting sqref="S367">
    <cfRule type="cellIs" dxfId="11789" priority="10388" operator="equal">
      <formula>"Tramitando"</formula>
    </cfRule>
    <cfRule type="cellIs" dxfId="11788" priority="10389" operator="equal">
      <formula>"Deferido"</formula>
    </cfRule>
    <cfRule type="cellIs" dxfId="11787" priority="10390" operator="equal">
      <formula>"Indeferido"</formula>
    </cfRule>
  </conditionalFormatting>
  <conditionalFormatting sqref="S367">
    <cfRule type="containsText" dxfId="11786" priority="10387" operator="containsText" text="Cancelado">
      <formula>NOT(ISERROR(SEARCH("Cancelado",S367)))</formula>
    </cfRule>
  </conditionalFormatting>
  <conditionalFormatting sqref="J368">
    <cfRule type="cellIs" dxfId="11785" priority="10383" operator="equal">
      <formula>"Tramitando"</formula>
    </cfRule>
    <cfRule type="cellIs" dxfId="11784" priority="10384" operator="equal">
      <formula>"Deferido"</formula>
    </cfRule>
    <cfRule type="cellIs" dxfId="11783" priority="10385" operator="equal">
      <formula>"Indeferido"</formula>
    </cfRule>
  </conditionalFormatting>
  <conditionalFormatting sqref="J368">
    <cfRule type="containsText" dxfId="11782" priority="10382" operator="containsText" text="Cancelado">
      <formula>NOT(ISERROR(SEARCH("Cancelado",J368)))</formula>
    </cfRule>
  </conditionalFormatting>
  <conditionalFormatting sqref="M368">
    <cfRule type="cellIs" dxfId="11781" priority="10379" operator="equal">
      <formula>"Tramitando"</formula>
    </cfRule>
    <cfRule type="cellIs" dxfId="11780" priority="10380" operator="equal">
      <formula>"Deferido"</formula>
    </cfRule>
    <cfRule type="cellIs" dxfId="11779" priority="10381" operator="equal">
      <formula>"Indeferido"</formula>
    </cfRule>
  </conditionalFormatting>
  <conditionalFormatting sqref="M368">
    <cfRule type="containsText" dxfId="11778" priority="10378" operator="containsText" text="Cancelado">
      <formula>NOT(ISERROR(SEARCH("Cancelado",M368)))</formula>
    </cfRule>
  </conditionalFormatting>
  <conditionalFormatting sqref="O368">
    <cfRule type="cellIs" dxfId="11777" priority="10375" operator="equal">
      <formula>"Tramitando"</formula>
    </cfRule>
    <cfRule type="cellIs" dxfId="11776" priority="10376" operator="equal">
      <formula>"Deferido"</formula>
    </cfRule>
    <cfRule type="cellIs" dxfId="11775" priority="10377" operator="equal">
      <formula>"Indeferido"</formula>
    </cfRule>
  </conditionalFormatting>
  <conditionalFormatting sqref="O368">
    <cfRule type="containsText" dxfId="11774" priority="10374" operator="containsText" text="Cancelado">
      <formula>NOT(ISERROR(SEARCH("Cancelado",O368)))</formula>
    </cfRule>
  </conditionalFormatting>
  <conditionalFormatting sqref="Q368">
    <cfRule type="cellIs" dxfId="11773" priority="10371" operator="equal">
      <formula>"Tramitando"</formula>
    </cfRule>
    <cfRule type="cellIs" dxfId="11772" priority="10372" operator="equal">
      <formula>"Deferido"</formula>
    </cfRule>
    <cfRule type="cellIs" dxfId="11771" priority="10373" operator="equal">
      <formula>"Indeferido"</formula>
    </cfRule>
  </conditionalFormatting>
  <conditionalFormatting sqref="Q368">
    <cfRule type="containsText" dxfId="11770" priority="10370" operator="containsText" text="Cancelado">
      <formula>NOT(ISERROR(SEARCH("Cancelado",Q368)))</formula>
    </cfRule>
  </conditionalFormatting>
  <conditionalFormatting sqref="S368">
    <cfRule type="cellIs" dxfId="11769" priority="10367" operator="equal">
      <formula>"Tramitando"</formula>
    </cfRule>
    <cfRule type="cellIs" dxfId="11768" priority="10368" operator="equal">
      <formula>"Deferido"</formula>
    </cfRule>
    <cfRule type="cellIs" dxfId="11767" priority="10369" operator="equal">
      <formula>"Indeferido"</formula>
    </cfRule>
  </conditionalFormatting>
  <conditionalFormatting sqref="S368">
    <cfRule type="containsText" dxfId="11766" priority="10366" operator="containsText" text="Cancelado">
      <formula>NOT(ISERROR(SEARCH("Cancelado",S368)))</formula>
    </cfRule>
  </conditionalFormatting>
  <conditionalFormatting sqref="J369">
    <cfRule type="cellIs" dxfId="11765" priority="10362" operator="equal">
      <formula>"Tramitando"</formula>
    </cfRule>
    <cfRule type="cellIs" dxfId="11764" priority="10363" operator="equal">
      <formula>"Deferido"</formula>
    </cfRule>
    <cfRule type="cellIs" dxfId="11763" priority="10364" operator="equal">
      <formula>"Indeferido"</formula>
    </cfRule>
  </conditionalFormatting>
  <conditionalFormatting sqref="J369">
    <cfRule type="containsText" dxfId="11762" priority="10361" operator="containsText" text="Cancelado">
      <formula>NOT(ISERROR(SEARCH("Cancelado",J369)))</formula>
    </cfRule>
  </conditionalFormatting>
  <conditionalFormatting sqref="M369">
    <cfRule type="cellIs" dxfId="11761" priority="10358" operator="equal">
      <formula>"Tramitando"</formula>
    </cfRule>
    <cfRule type="cellIs" dxfId="11760" priority="10359" operator="equal">
      <formula>"Deferido"</formula>
    </cfRule>
    <cfRule type="cellIs" dxfId="11759" priority="10360" operator="equal">
      <formula>"Indeferido"</formula>
    </cfRule>
  </conditionalFormatting>
  <conditionalFormatting sqref="M369">
    <cfRule type="containsText" dxfId="11758" priority="10357" operator="containsText" text="Cancelado">
      <formula>NOT(ISERROR(SEARCH("Cancelado",M369)))</formula>
    </cfRule>
  </conditionalFormatting>
  <conditionalFormatting sqref="O369">
    <cfRule type="cellIs" dxfId="11757" priority="10354" operator="equal">
      <formula>"Tramitando"</formula>
    </cfRule>
    <cfRule type="cellIs" dxfId="11756" priority="10355" operator="equal">
      <formula>"Deferido"</formula>
    </cfRule>
    <cfRule type="cellIs" dxfId="11755" priority="10356" operator="equal">
      <formula>"Indeferido"</formula>
    </cfRule>
  </conditionalFormatting>
  <conditionalFormatting sqref="O369">
    <cfRule type="containsText" dxfId="11754" priority="10353" operator="containsText" text="Cancelado">
      <formula>NOT(ISERROR(SEARCH("Cancelado",O369)))</formula>
    </cfRule>
  </conditionalFormatting>
  <conditionalFormatting sqref="Q369">
    <cfRule type="cellIs" dxfId="11753" priority="10350" operator="equal">
      <formula>"Tramitando"</formula>
    </cfRule>
    <cfRule type="cellIs" dxfId="11752" priority="10351" operator="equal">
      <formula>"Deferido"</formula>
    </cfRule>
    <cfRule type="cellIs" dxfId="11751" priority="10352" operator="equal">
      <formula>"Indeferido"</formula>
    </cfRule>
  </conditionalFormatting>
  <conditionalFormatting sqref="Q369">
    <cfRule type="containsText" dxfId="11750" priority="10349" operator="containsText" text="Cancelado">
      <formula>NOT(ISERROR(SEARCH("Cancelado",Q369)))</formula>
    </cfRule>
  </conditionalFormatting>
  <conditionalFormatting sqref="S369">
    <cfRule type="cellIs" dxfId="11749" priority="10346" operator="equal">
      <formula>"Tramitando"</formula>
    </cfRule>
    <cfRule type="cellIs" dxfId="11748" priority="10347" operator="equal">
      <formula>"Deferido"</formula>
    </cfRule>
    <cfRule type="cellIs" dxfId="11747" priority="10348" operator="equal">
      <formula>"Indeferido"</formula>
    </cfRule>
  </conditionalFormatting>
  <conditionalFormatting sqref="S369">
    <cfRule type="containsText" dxfId="11746" priority="10345" operator="containsText" text="Cancelado">
      <formula>NOT(ISERROR(SEARCH("Cancelado",S369)))</formula>
    </cfRule>
  </conditionalFormatting>
  <conditionalFormatting sqref="J370:J371">
    <cfRule type="cellIs" dxfId="11745" priority="10341" operator="equal">
      <formula>"Tramitando"</formula>
    </cfRule>
    <cfRule type="cellIs" dxfId="11744" priority="10342" operator="equal">
      <formula>"Deferido"</formula>
    </cfRule>
    <cfRule type="cellIs" dxfId="11743" priority="10343" operator="equal">
      <formula>"Indeferido"</formula>
    </cfRule>
  </conditionalFormatting>
  <conditionalFormatting sqref="J370:J371">
    <cfRule type="containsText" dxfId="11742" priority="10340" operator="containsText" text="Cancelado">
      <formula>NOT(ISERROR(SEARCH("Cancelado",J370)))</formula>
    </cfRule>
  </conditionalFormatting>
  <conditionalFormatting sqref="M370:M371">
    <cfRule type="cellIs" dxfId="11741" priority="10337" operator="equal">
      <formula>"Tramitando"</formula>
    </cfRule>
    <cfRule type="cellIs" dxfId="11740" priority="10338" operator="equal">
      <formula>"Deferido"</formula>
    </cfRule>
    <cfRule type="cellIs" dxfId="11739" priority="10339" operator="equal">
      <formula>"Indeferido"</formula>
    </cfRule>
  </conditionalFormatting>
  <conditionalFormatting sqref="M370:M371">
    <cfRule type="containsText" dxfId="11738" priority="10336" operator="containsText" text="Cancelado">
      <formula>NOT(ISERROR(SEARCH("Cancelado",M370)))</formula>
    </cfRule>
  </conditionalFormatting>
  <conditionalFormatting sqref="O370:O371">
    <cfRule type="cellIs" dxfId="11737" priority="10333" operator="equal">
      <formula>"Tramitando"</formula>
    </cfRule>
    <cfRule type="cellIs" dxfId="11736" priority="10334" operator="equal">
      <formula>"Deferido"</formula>
    </cfRule>
    <cfRule type="cellIs" dxfId="11735" priority="10335" operator="equal">
      <formula>"Indeferido"</formula>
    </cfRule>
  </conditionalFormatting>
  <conditionalFormatting sqref="O370:O371">
    <cfRule type="containsText" dxfId="11734" priority="10332" operator="containsText" text="Cancelado">
      <formula>NOT(ISERROR(SEARCH("Cancelado",O370)))</formula>
    </cfRule>
  </conditionalFormatting>
  <conditionalFormatting sqref="Q370:Q371">
    <cfRule type="cellIs" dxfId="11733" priority="10329" operator="equal">
      <formula>"Tramitando"</formula>
    </cfRule>
    <cfRule type="cellIs" dxfId="11732" priority="10330" operator="equal">
      <formula>"Deferido"</formula>
    </cfRule>
    <cfRule type="cellIs" dxfId="11731" priority="10331" operator="equal">
      <formula>"Indeferido"</formula>
    </cfRule>
  </conditionalFormatting>
  <conditionalFormatting sqref="Q370:Q371">
    <cfRule type="containsText" dxfId="11730" priority="10328" operator="containsText" text="Cancelado">
      <formula>NOT(ISERROR(SEARCH("Cancelado",Q370)))</formula>
    </cfRule>
  </conditionalFormatting>
  <conditionalFormatting sqref="S370:S371">
    <cfRule type="cellIs" dxfId="11729" priority="10325" operator="equal">
      <formula>"Tramitando"</formula>
    </cfRule>
    <cfRule type="cellIs" dxfId="11728" priority="10326" operator="equal">
      <formula>"Deferido"</formula>
    </cfRule>
    <cfRule type="cellIs" dxfId="11727" priority="10327" operator="equal">
      <formula>"Indeferido"</formula>
    </cfRule>
  </conditionalFormatting>
  <conditionalFormatting sqref="S370:S371">
    <cfRule type="containsText" dxfId="11726" priority="10324" operator="containsText" text="Cancelado">
      <formula>NOT(ISERROR(SEARCH("Cancelado",S370)))</formula>
    </cfRule>
  </conditionalFormatting>
  <conditionalFormatting sqref="J372:J373">
    <cfRule type="cellIs" dxfId="11725" priority="10317" operator="equal">
      <formula>"Tramitando"</formula>
    </cfRule>
    <cfRule type="cellIs" dxfId="11724" priority="10318" operator="equal">
      <formula>"Deferido"</formula>
    </cfRule>
    <cfRule type="cellIs" dxfId="11723" priority="10319" operator="equal">
      <formula>"Indeferido"</formula>
    </cfRule>
  </conditionalFormatting>
  <conditionalFormatting sqref="J372:J373">
    <cfRule type="containsText" dxfId="11722" priority="10316" operator="containsText" text="Cancelado">
      <formula>NOT(ISERROR(SEARCH("Cancelado",J372)))</formula>
    </cfRule>
  </conditionalFormatting>
  <conditionalFormatting sqref="M372:M373">
    <cfRule type="cellIs" dxfId="11721" priority="10313" operator="equal">
      <formula>"Tramitando"</formula>
    </cfRule>
    <cfRule type="cellIs" dxfId="11720" priority="10314" operator="equal">
      <formula>"Deferido"</formula>
    </cfRule>
    <cfRule type="cellIs" dxfId="11719" priority="10315" operator="equal">
      <formula>"Indeferido"</formula>
    </cfRule>
  </conditionalFormatting>
  <conditionalFormatting sqref="M372:M373">
    <cfRule type="containsText" dxfId="11718" priority="10312" operator="containsText" text="Cancelado">
      <formula>NOT(ISERROR(SEARCH("Cancelado",M372)))</formula>
    </cfRule>
  </conditionalFormatting>
  <conditionalFormatting sqref="O372:O373">
    <cfRule type="cellIs" dxfId="11717" priority="10309" operator="equal">
      <formula>"Tramitando"</formula>
    </cfRule>
    <cfRule type="cellIs" dxfId="11716" priority="10310" operator="equal">
      <formula>"Deferido"</formula>
    </cfRule>
    <cfRule type="cellIs" dxfId="11715" priority="10311" operator="equal">
      <formula>"Indeferido"</formula>
    </cfRule>
  </conditionalFormatting>
  <conditionalFormatting sqref="O372:O373">
    <cfRule type="containsText" dxfId="11714" priority="10308" operator="containsText" text="Cancelado">
      <formula>NOT(ISERROR(SEARCH("Cancelado",O372)))</formula>
    </cfRule>
  </conditionalFormatting>
  <conditionalFormatting sqref="Q372:Q373">
    <cfRule type="cellIs" dxfId="11713" priority="10305" operator="equal">
      <formula>"Tramitando"</formula>
    </cfRule>
    <cfRule type="cellIs" dxfId="11712" priority="10306" operator="equal">
      <formula>"Deferido"</formula>
    </cfRule>
    <cfRule type="cellIs" dxfId="11711" priority="10307" operator="equal">
      <formula>"Indeferido"</formula>
    </cfRule>
  </conditionalFormatting>
  <conditionalFormatting sqref="Q372:Q373">
    <cfRule type="containsText" dxfId="11710" priority="10304" operator="containsText" text="Cancelado">
      <formula>NOT(ISERROR(SEARCH("Cancelado",Q372)))</formula>
    </cfRule>
  </conditionalFormatting>
  <conditionalFormatting sqref="S372:S373">
    <cfRule type="cellIs" dxfId="11709" priority="10301" operator="equal">
      <formula>"Tramitando"</formula>
    </cfRule>
    <cfRule type="cellIs" dxfId="11708" priority="10302" operator="equal">
      <formula>"Deferido"</formula>
    </cfRule>
    <cfRule type="cellIs" dxfId="11707" priority="10303" operator="equal">
      <formula>"Indeferido"</formula>
    </cfRule>
  </conditionalFormatting>
  <conditionalFormatting sqref="S372:S373">
    <cfRule type="containsText" dxfId="11706" priority="10300" operator="containsText" text="Cancelado">
      <formula>NOT(ISERROR(SEARCH("Cancelado",S372)))</formula>
    </cfRule>
  </conditionalFormatting>
  <conditionalFormatting sqref="J374">
    <cfRule type="cellIs" dxfId="11705" priority="10296" operator="equal">
      <formula>"Tramitando"</formula>
    </cfRule>
    <cfRule type="cellIs" dxfId="11704" priority="10297" operator="equal">
      <formula>"Deferido"</formula>
    </cfRule>
    <cfRule type="cellIs" dxfId="11703" priority="10298" operator="equal">
      <formula>"Indeferido"</formula>
    </cfRule>
  </conditionalFormatting>
  <conditionalFormatting sqref="J374">
    <cfRule type="containsText" dxfId="11702" priority="10295" operator="containsText" text="Cancelado">
      <formula>NOT(ISERROR(SEARCH("Cancelado",J374)))</formula>
    </cfRule>
  </conditionalFormatting>
  <conditionalFormatting sqref="M374">
    <cfRule type="cellIs" dxfId="11701" priority="10292" operator="equal">
      <formula>"Tramitando"</formula>
    </cfRule>
    <cfRule type="cellIs" dxfId="11700" priority="10293" operator="equal">
      <formula>"Deferido"</formula>
    </cfRule>
    <cfRule type="cellIs" dxfId="11699" priority="10294" operator="equal">
      <formula>"Indeferido"</formula>
    </cfRule>
  </conditionalFormatting>
  <conditionalFormatting sqref="M374">
    <cfRule type="containsText" dxfId="11698" priority="10291" operator="containsText" text="Cancelado">
      <formula>NOT(ISERROR(SEARCH("Cancelado",M374)))</formula>
    </cfRule>
  </conditionalFormatting>
  <conditionalFormatting sqref="O374">
    <cfRule type="cellIs" dxfId="11697" priority="10288" operator="equal">
      <formula>"Tramitando"</formula>
    </cfRule>
    <cfRule type="cellIs" dxfId="11696" priority="10289" operator="equal">
      <formula>"Deferido"</formula>
    </cfRule>
    <cfRule type="cellIs" dxfId="11695" priority="10290" operator="equal">
      <formula>"Indeferido"</formula>
    </cfRule>
  </conditionalFormatting>
  <conditionalFormatting sqref="O374">
    <cfRule type="containsText" dxfId="11694" priority="10287" operator="containsText" text="Cancelado">
      <formula>NOT(ISERROR(SEARCH("Cancelado",O374)))</formula>
    </cfRule>
  </conditionalFormatting>
  <conditionalFormatting sqref="Q374">
    <cfRule type="cellIs" dxfId="11693" priority="10284" operator="equal">
      <formula>"Tramitando"</formula>
    </cfRule>
    <cfRule type="cellIs" dxfId="11692" priority="10285" operator="equal">
      <formula>"Deferido"</formula>
    </cfRule>
    <cfRule type="cellIs" dxfId="11691" priority="10286" operator="equal">
      <formula>"Indeferido"</formula>
    </cfRule>
  </conditionalFormatting>
  <conditionalFormatting sqref="Q374">
    <cfRule type="containsText" dxfId="11690" priority="10283" operator="containsText" text="Cancelado">
      <formula>NOT(ISERROR(SEARCH("Cancelado",Q374)))</formula>
    </cfRule>
  </conditionalFormatting>
  <conditionalFormatting sqref="S374">
    <cfRule type="cellIs" dxfId="11689" priority="10280" operator="equal">
      <formula>"Tramitando"</formula>
    </cfRule>
    <cfRule type="cellIs" dxfId="11688" priority="10281" operator="equal">
      <formula>"Deferido"</formula>
    </cfRule>
    <cfRule type="cellIs" dxfId="11687" priority="10282" operator="equal">
      <formula>"Indeferido"</formula>
    </cfRule>
  </conditionalFormatting>
  <conditionalFormatting sqref="S374">
    <cfRule type="containsText" dxfId="11686" priority="10279" operator="containsText" text="Cancelado">
      <formula>NOT(ISERROR(SEARCH("Cancelado",S374)))</formula>
    </cfRule>
  </conditionalFormatting>
  <conditionalFormatting sqref="J375">
    <cfRule type="cellIs" dxfId="11685" priority="10274" operator="equal">
      <formula>"Tramitando"</formula>
    </cfRule>
    <cfRule type="cellIs" dxfId="11684" priority="10275" operator="equal">
      <formula>"Deferido"</formula>
    </cfRule>
    <cfRule type="cellIs" dxfId="11683" priority="10276" operator="equal">
      <formula>"Indeferido"</formula>
    </cfRule>
  </conditionalFormatting>
  <conditionalFormatting sqref="J375">
    <cfRule type="containsText" dxfId="11682" priority="10273" operator="containsText" text="Cancelado">
      <formula>NOT(ISERROR(SEARCH("Cancelado",J375)))</formula>
    </cfRule>
  </conditionalFormatting>
  <conditionalFormatting sqref="M375">
    <cfRule type="cellIs" dxfId="11681" priority="10270" operator="equal">
      <formula>"Tramitando"</formula>
    </cfRule>
    <cfRule type="cellIs" dxfId="11680" priority="10271" operator="equal">
      <formula>"Deferido"</formula>
    </cfRule>
    <cfRule type="cellIs" dxfId="11679" priority="10272" operator="equal">
      <formula>"Indeferido"</formula>
    </cfRule>
  </conditionalFormatting>
  <conditionalFormatting sqref="M375">
    <cfRule type="containsText" dxfId="11678" priority="10269" operator="containsText" text="Cancelado">
      <formula>NOT(ISERROR(SEARCH("Cancelado",M375)))</formula>
    </cfRule>
  </conditionalFormatting>
  <conditionalFormatting sqref="O375">
    <cfRule type="cellIs" dxfId="11677" priority="10266" operator="equal">
      <formula>"Tramitando"</formula>
    </cfRule>
    <cfRule type="cellIs" dxfId="11676" priority="10267" operator="equal">
      <formula>"Deferido"</formula>
    </cfRule>
    <cfRule type="cellIs" dxfId="11675" priority="10268" operator="equal">
      <formula>"Indeferido"</formula>
    </cfRule>
  </conditionalFormatting>
  <conditionalFormatting sqref="O375">
    <cfRule type="containsText" dxfId="11674" priority="10265" operator="containsText" text="Cancelado">
      <formula>NOT(ISERROR(SEARCH("Cancelado",O375)))</formula>
    </cfRule>
  </conditionalFormatting>
  <conditionalFormatting sqref="Q375">
    <cfRule type="cellIs" dxfId="11673" priority="10262" operator="equal">
      <formula>"Tramitando"</formula>
    </cfRule>
    <cfRule type="cellIs" dxfId="11672" priority="10263" operator="equal">
      <formula>"Deferido"</formula>
    </cfRule>
    <cfRule type="cellIs" dxfId="11671" priority="10264" operator="equal">
      <formula>"Indeferido"</formula>
    </cfRule>
  </conditionalFormatting>
  <conditionalFormatting sqref="Q375">
    <cfRule type="containsText" dxfId="11670" priority="10261" operator="containsText" text="Cancelado">
      <formula>NOT(ISERROR(SEARCH("Cancelado",Q375)))</formula>
    </cfRule>
  </conditionalFormatting>
  <conditionalFormatting sqref="S375">
    <cfRule type="cellIs" dxfId="11669" priority="10258" operator="equal">
      <formula>"Tramitando"</formula>
    </cfRule>
    <cfRule type="cellIs" dxfId="11668" priority="10259" operator="equal">
      <formula>"Deferido"</formula>
    </cfRule>
    <cfRule type="cellIs" dxfId="11667" priority="10260" operator="equal">
      <formula>"Indeferido"</formula>
    </cfRule>
  </conditionalFormatting>
  <conditionalFormatting sqref="S375">
    <cfRule type="containsText" dxfId="11666" priority="10257" operator="containsText" text="Cancelado">
      <formula>NOT(ISERROR(SEARCH("Cancelado",S375)))</formula>
    </cfRule>
  </conditionalFormatting>
  <conditionalFormatting sqref="J376">
    <cfRule type="cellIs" dxfId="11665" priority="10253" operator="equal">
      <formula>"Tramitando"</formula>
    </cfRule>
    <cfRule type="cellIs" dxfId="11664" priority="10254" operator="equal">
      <formula>"Deferido"</formula>
    </cfRule>
    <cfRule type="cellIs" dxfId="11663" priority="10255" operator="equal">
      <formula>"Indeferido"</formula>
    </cfRule>
  </conditionalFormatting>
  <conditionalFormatting sqref="J376">
    <cfRule type="containsText" dxfId="11662" priority="10252" operator="containsText" text="Cancelado">
      <formula>NOT(ISERROR(SEARCH("Cancelado",J376)))</formula>
    </cfRule>
  </conditionalFormatting>
  <conditionalFormatting sqref="M376">
    <cfRule type="cellIs" dxfId="11661" priority="10249" operator="equal">
      <formula>"Tramitando"</formula>
    </cfRule>
    <cfRule type="cellIs" dxfId="11660" priority="10250" operator="equal">
      <formula>"Deferido"</formula>
    </cfRule>
    <cfRule type="cellIs" dxfId="11659" priority="10251" operator="equal">
      <formula>"Indeferido"</formula>
    </cfRule>
  </conditionalFormatting>
  <conditionalFormatting sqref="M376">
    <cfRule type="containsText" dxfId="11658" priority="10248" operator="containsText" text="Cancelado">
      <formula>NOT(ISERROR(SEARCH("Cancelado",M376)))</formula>
    </cfRule>
  </conditionalFormatting>
  <conditionalFormatting sqref="O376">
    <cfRule type="cellIs" dxfId="11657" priority="10245" operator="equal">
      <formula>"Tramitando"</formula>
    </cfRule>
    <cfRule type="cellIs" dxfId="11656" priority="10246" operator="equal">
      <formula>"Deferido"</formula>
    </cfRule>
    <cfRule type="cellIs" dxfId="11655" priority="10247" operator="equal">
      <formula>"Indeferido"</formula>
    </cfRule>
  </conditionalFormatting>
  <conditionalFormatting sqref="O376">
    <cfRule type="containsText" dxfId="11654" priority="10244" operator="containsText" text="Cancelado">
      <formula>NOT(ISERROR(SEARCH("Cancelado",O376)))</formula>
    </cfRule>
  </conditionalFormatting>
  <conditionalFormatting sqref="Q376">
    <cfRule type="cellIs" dxfId="11653" priority="10241" operator="equal">
      <formula>"Tramitando"</formula>
    </cfRule>
    <cfRule type="cellIs" dxfId="11652" priority="10242" operator="equal">
      <formula>"Deferido"</formula>
    </cfRule>
    <cfRule type="cellIs" dxfId="11651" priority="10243" operator="equal">
      <formula>"Indeferido"</formula>
    </cfRule>
  </conditionalFormatting>
  <conditionalFormatting sqref="Q376">
    <cfRule type="containsText" dxfId="11650" priority="10240" operator="containsText" text="Cancelado">
      <formula>NOT(ISERROR(SEARCH("Cancelado",Q376)))</formula>
    </cfRule>
  </conditionalFormatting>
  <conditionalFormatting sqref="S376">
    <cfRule type="cellIs" dxfId="11649" priority="10237" operator="equal">
      <formula>"Tramitando"</formula>
    </cfRule>
    <cfRule type="cellIs" dxfId="11648" priority="10238" operator="equal">
      <formula>"Deferido"</formula>
    </cfRule>
    <cfRule type="cellIs" dxfId="11647" priority="10239" operator="equal">
      <formula>"Indeferido"</formula>
    </cfRule>
  </conditionalFormatting>
  <conditionalFormatting sqref="S376">
    <cfRule type="containsText" dxfId="11646" priority="10236" operator="containsText" text="Cancelado">
      <formula>NOT(ISERROR(SEARCH("Cancelado",S376)))</formula>
    </cfRule>
  </conditionalFormatting>
  <conditionalFormatting sqref="J377">
    <cfRule type="cellIs" dxfId="11645" priority="10232" operator="equal">
      <formula>"Tramitando"</formula>
    </cfRule>
    <cfRule type="cellIs" dxfId="11644" priority="10233" operator="equal">
      <formula>"Deferido"</formula>
    </cfRule>
    <cfRule type="cellIs" dxfId="11643" priority="10234" operator="equal">
      <formula>"Indeferido"</formula>
    </cfRule>
  </conditionalFormatting>
  <conditionalFormatting sqref="J377">
    <cfRule type="containsText" dxfId="11642" priority="10231" operator="containsText" text="Cancelado">
      <formula>NOT(ISERROR(SEARCH("Cancelado",J377)))</formula>
    </cfRule>
  </conditionalFormatting>
  <conditionalFormatting sqref="M377">
    <cfRule type="cellIs" dxfId="11641" priority="10228" operator="equal">
      <formula>"Tramitando"</formula>
    </cfRule>
    <cfRule type="cellIs" dxfId="11640" priority="10229" operator="equal">
      <formula>"Deferido"</formula>
    </cfRule>
    <cfRule type="cellIs" dxfId="11639" priority="10230" operator="equal">
      <formula>"Indeferido"</formula>
    </cfRule>
  </conditionalFormatting>
  <conditionalFormatting sqref="M377">
    <cfRule type="containsText" dxfId="11638" priority="10227" operator="containsText" text="Cancelado">
      <formula>NOT(ISERROR(SEARCH("Cancelado",M377)))</formula>
    </cfRule>
  </conditionalFormatting>
  <conditionalFormatting sqref="O377">
    <cfRule type="cellIs" dxfId="11637" priority="10224" operator="equal">
      <formula>"Tramitando"</formula>
    </cfRule>
    <cfRule type="cellIs" dxfId="11636" priority="10225" operator="equal">
      <formula>"Deferido"</formula>
    </cfRule>
    <cfRule type="cellIs" dxfId="11635" priority="10226" operator="equal">
      <formula>"Indeferido"</formula>
    </cfRule>
  </conditionalFormatting>
  <conditionalFormatting sqref="O377">
    <cfRule type="containsText" dxfId="11634" priority="10223" operator="containsText" text="Cancelado">
      <formula>NOT(ISERROR(SEARCH("Cancelado",O377)))</formula>
    </cfRule>
  </conditionalFormatting>
  <conditionalFormatting sqref="Q377">
    <cfRule type="cellIs" dxfId="11633" priority="10220" operator="equal">
      <formula>"Tramitando"</formula>
    </cfRule>
    <cfRule type="cellIs" dxfId="11632" priority="10221" operator="equal">
      <formula>"Deferido"</formula>
    </cfRule>
    <cfRule type="cellIs" dxfId="11631" priority="10222" operator="equal">
      <formula>"Indeferido"</formula>
    </cfRule>
  </conditionalFormatting>
  <conditionalFormatting sqref="Q377">
    <cfRule type="containsText" dxfId="11630" priority="10219" operator="containsText" text="Cancelado">
      <formula>NOT(ISERROR(SEARCH("Cancelado",Q377)))</formula>
    </cfRule>
  </conditionalFormatting>
  <conditionalFormatting sqref="S377">
    <cfRule type="cellIs" dxfId="11629" priority="10216" operator="equal">
      <formula>"Tramitando"</formula>
    </cfRule>
    <cfRule type="cellIs" dxfId="11628" priority="10217" operator="equal">
      <formula>"Deferido"</formula>
    </cfRule>
    <cfRule type="cellIs" dxfId="11627" priority="10218" operator="equal">
      <formula>"Indeferido"</formula>
    </cfRule>
  </conditionalFormatting>
  <conditionalFormatting sqref="S377">
    <cfRule type="containsText" dxfId="11626" priority="10215" operator="containsText" text="Cancelado">
      <formula>NOT(ISERROR(SEARCH("Cancelado",S377)))</formula>
    </cfRule>
  </conditionalFormatting>
  <conditionalFormatting sqref="J378">
    <cfRule type="cellIs" dxfId="11625" priority="10211" operator="equal">
      <formula>"Tramitando"</formula>
    </cfRule>
    <cfRule type="cellIs" dxfId="11624" priority="10212" operator="equal">
      <formula>"Deferido"</formula>
    </cfRule>
    <cfRule type="cellIs" dxfId="11623" priority="10213" operator="equal">
      <formula>"Indeferido"</formula>
    </cfRule>
  </conditionalFormatting>
  <conditionalFormatting sqref="J378">
    <cfRule type="containsText" dxfId="11622" priority="10210" operator="containsText" text="Cancelado">
      <formula>NOT(ISERROR(SEARCH("Cancelado",J378)))</formula>
    </cfRule>
  </conditionalFormatting>
  <conditionalFormatting sqref="M378">
    <cfRule type="cellIs" dxfId="11621" priority="10207" operator="equal">
      <formula>"Tramitando"</formula>
    </cfRule>
    <cfRule type="cellIs" dxfId="11620" priority="10208" operator="equal">
      <formula>"Deferido"</formula>
    </cfRule>
    <cfRule type="cellIs" dxfId="11619" priority="10209" operator="equal">
      <formula>"Indeferido"</formula>
    </cfRule>
  </conditionalFormatting>
  <conditionalFormatting sqref="M378">
    <cfRule type="containsText" dxfId="11618" priority="10206" operator="containsText" text="Cancelado">
      <formula>NOT(ISERROR(SEARCH("Cancelado",M378)))</formula>
    </cfRule>
  </conditionalFormatting>
  <conditionalFormatting sqref="O378">
    <cfRule type="cellIs" dxfId="11617" priority="10203" operator="equal">
      <formula>"Tramitando"</formula>
    </cfRule>
    <cfRule type="cellIs" dxfId="11616" priority="10204" operator="equal">
      <formula>"Deferido"</formula>
    </cfRule>
    <cfRule type="cellIs" dxfId="11615" priority="10205" operator="equal">
      <formula>"Indeferido"</formula>
    </cfRule>
  </conditionalFormatting>
  <conditionalFormatting sqref="O378">
    <cfRule type="containsText" dxfId="11614" priority="10202" operator="containsText" text="Cancelado">
      <formula>NOT(ISERROR(SEARCH("Cancelado",O378)))</formula>
    </cfRule>
  </conditionalFormatting>
  <conditionalFormatting sqref="Q378">
    <cfRule type="cellIs" dxfId="11613" priority="10199" operator="equal">
      <formula>"Tramitando"</formula>
    </cfRule>
    <cfRule type="cellIs" dxfId="11612" priority="10200" operator="equal">
      <formula>"Deferido"</formula>
    </cfRule>
    <cfRule type="cellIs" dxfId="11611" priority="10201" operator="equal">
      <formula>"Indeferido"</formula>
    </cfRule>
  </conditionalFormatting>
  <conditionalFormatting sqref="Q378">
    <cfRule type="containsText" dxfId="11610" priority="10198" operator="containsText" text="Cancelado">
      <formula>NOT(ISERROR(SEARCH("Cancelado",Q378)))</formula>
    </cfRule>
  </conditionalFormatting>
  <conditionalFormatting sqref="S378">
    <cfRule type="cellIs" dxfId="11609" priority="10195" operator="equal">
      <formula>"Tramitando"</formula>
    </cfRule>
    <cfRule type="cellIs" dxfId="11608" priority="10196" operator="equal">
      <formula>"Deferido"</formula>
    </cfRule>
    <cfRule type="cellIs" dxfId="11607" priority="10197" operator="equal">
      <formula>"Indeferido"</formula>
    </cfRule>
  </conditionalFormatting>
  <conditionalFormatting sqref="S378">
    <cfRule type="containsText" dxfId="11606" priority="10194" operator="containsText" text="Cancelado">
      <formula>NOT(ISERROR(SEARCH("Cancelado",S378)))</formula>
    </cfRule>
  </conditionalFormatting>
  <conditionalFormatting sqref="J379">
    <cfRule type="cellIs" dxfId="11605" priority="10190" operator="equal">
      <formula>"Tramitando"</formula>
    </cfRule>
    <cfRule type="cellIs" dxfId="11604" priority="10191" operator="equal">
      <formula>"Deferido"</formula>
    </cfRule>
    <cfRule type="cellIs" dxfId="11603" priority="10192" operator="equal">
      <formula>"Indeferido"</formula>
    </cfRule>
  </conditionalFormatting>
  <conditionalFormatting sqref="J379">
    <cfRule type="containsText" dxfId="11602" priority="10189" operator="containsText" text="Cancelado">
      <formula>NOT(ISERROR(SEARCH("Cancelado",J379)))</formula>
    </cfRule>
  </conditionalFormatting>
  <conditionalFormatting sqref="M379">
    <cfRule type="cellIs" dxfId="11601" priority="10186" operator="equal">
      <formula>"Tramitando"</formula>
    </cfRule>
    <cfRule type="cellIs" dxfId="11600" priority="10187" operator="equal">
      <formula>"Deferido"</formula>
    </cfRule>
    <cfRule type="cellIs" dxfId="11599" priority="10188" operator="equal">
      <formula>"Indeferido"</formula>
    </cfRule>
  </conditionalFormatting>
  <conditionalFormatting sqref="M379">
    <cfRule type="containsText" dxfId="11598" priority="10185" operator="containsText" text="Cancelado">
      <formula>NOT(ISERROR(SEARCH("Cancelado",M379)))</formula>
    </cfRule>
  </conditionalFormatting>
  <conditionalFormatting sqref="O379">
    <cfRule type="cellIs" dxfId="11597" priority="10182" operator="equal">
      <formula>"Tramitando"</formula>
    </cfRule>
    <cfRule type="cellIs" dxfId="11596" priority="10183" operator="equal">
      <formula>"Deferido"</formula>
    </cfRule>
    <cfRule type="cellIs" dxfId="11595" priority="10184" operator="equal">
      <formula>"Indeferido"</formula>
    </cfRule>
  </conditionalFormatting>
  <conditionalFormatting sqref="O379">
    <cfRule type="containsText" dxfId="11594" priority="10181" operator="containsText" text="Cancelado">
      <formula>NOT(ISERROR(SEARCH("Cancelado",O379)))</formula>
    </cfRule>
  </conditionalFormatting>
  <conditionalFormatting sqref="Q379">
    <cfRule type="cellIs" dxfId="11593" priority="10178" operator="equal">
      <formula>"Tramitando"</formula>
    </cfRule>
    <cfRule type="cellIs" dxfId="11592" priority="10179" operator="equal">
      <formula>"Deferido"</formula>
    </cfRule>
    <cfRule type="cellIs" dxfId="11591" priority="10180" operator="equal">
      <formula>"Indeferido"</formula>
    </cfRule>
  </conditionalFormatting>
  <conditionalFormatting sqref="Q379">
    <cfRule type="containsText" dxfId="11590" priority="10177" operator="containsText" text="Cancelado">
      <formula>NOT(ISERROR(SEARCH("Cancelado",Q379)))</formula>
    </cfRule>
  </conditionalFormatting>
  <conditionalFormatting sqref="S379">
    <cfRule type="cellIs" dxfId="11589" priority="10174" operator="equal">
      <formula>"Tramitando"</formula>
    </cfRule>
    <cfRule type="cellIs" dxfId="11588" priority="10175" operator="equal">
      <formula>"Deferido"</formula>
    </cfRule>
    <cfRule type="cellIs" dxfId="11587" priority="10176" operator="equal">
      <formula>"Indeferido"</formula>
    </cfRule>
  </conditionalFormatting>
  <conditionalFormatting sqref="S379">
    <cfRule type="containsText" dxfId="11586" priority="10173" operator="containsText" text="Cancelado">
      <formula>NOT(ISERROR(SEARCH("Cancelado",S379)))</formula>
    </cfRule>
  </conditionalFormatting>
  <conditionalFormatting sqref="J380">
    <cfRule type="cellIs" dxfId="11585" priority="10169" operator="equal">
      <formula>"Tramitando"</formula>
    </cfRule>
    <cfRule type="cellIs" dxfId="11584" priority="10170" operator="equal">
      <formula>"Deferido"</formula>
    </cfRule>
    <cfRule type="cellIs" dxfId="11583" priority="10171" operator="equal">
      <formula>"Indeferido"</formula>
    </cfRule>
  </conditionalFormatting>
  <conditionalFormatting sqref="J380">
    <cfRule type="containsText" dxfId="11582" priority="10168" operator="containsText" text="Cancelado">
      <formula>NOT(ISERROR(SEARCH("Cancelado",J380)))</formula>
    </cfRule>
  </conditionalFormatting>
  <conditionalFormatting sqref="M380">
    <cfRule type="cellIs" dxfId="11581" priority="10165" operator="equal">
      <formula>"Tramitando"</formula>
    </cfRule>
    <cfRule type="cellIs" dxfId="11580" priority="10166" operator="equal">
      <formula>"Deferido"</formula>
    </cfRule>
    <cfRule type="cellIs" dxfId="11579" priority="10167" operator="equal">
      <formula>"Indeferido"</formula>
    </cfRule>
  </conditionalFormatting>
  <conditionalFormatting sqref="M380">
    <cfRule type="containsText" dxfId="11578" priority="10164" operator="containsText" text="Cancelado">
      <formula>NOT(ISERROR(SEARCH("Cancelado",M380)))</formula>
    </cfRule>
  </conditionalFormatting>
  <conditionalFormatting sqref="O380">
    <cfRule type="cellIs" dxfId="11577" priority="10161" operator="equal">
      <formula>"Tramitando"</formula>
    </cfRule>
    <cfRule type="cellIs" dxfId="11576" priority="10162" operator="equal">
      <formula>"Deferido"</formula>
    </cfRule>
    <cfRule type="cellIs" dxfId="11575" priority="10163" operator="equal">
      <formula>"Indeferido"</formula>
    </cfRule>
  </conditionalFormatting>
  <conditionalFormatting sqref="O380">
    <cfRule type="containsText" dxfId="11574" priority="10160" operator="containsText" text="Cancelado">
      <formula>NOT(ISERROR(SEARCH("Cancelado",O380)))</formula>
    </cfRule>
  </conditionalFormatting>
  <conditionalFormatting sqref="Q380">
    <cfRule type="cellIs" dxfId="11573" priority="10157" operator="equal">
      <formula>"Tramitando"</formula>
    </cfRule>
    <cfRule type="cellIs" dxfId="11572" priority="10158" operator="equal">
      <formula>"Deferido"</formula>
    </cfRule>
    <cfRule type="cellIs" dxfId="11571" priority="10159" operator="equal">
      <formula>"Indeferido"</formula>
    </cfRule>
  </conditionalFormatting>
  <conditionalFormatting sqref="Q380">
    <cfRule type="containsText" dxfId="11570" priority="10156" operator="containsText" text="Cancelado">
      <formula>NOT(ISERROR(SEARCH("Cancelado",Q380)))</formula>
    </cfRule>
  </conditionalFormatting>
  <conditionalFormatting sqref="S380">
    <cfRule type="cellIs" dxfId="11569" priority="10153" operator="equal">
      <formula>"Tramitando"</formula>
    </cfRule>
    <cfRule type="cellIs" dxfId="11568" priority="10154" operator="equal">
      <formula>"Deferido"</formula>
    </cfRule>
    <cfRule type="cellIs" dxfId="11567" priority="10155" operator="equal">
      <formula>"Indeferido"</formula>
    </cfRule>
  </conditionalFormatting>
  <conditionalFormatting sqref="S380">
    <cfRule type="containsText" dxfId="11566" priority="10152" operator="containsText" text="Cancelado">
      <formula>NOT(ISERROR(SEARCH("Cancelado",S380)))</formula>
    </cfRule>
  </conditionalFormatting>
  <conditionalFormatting sqref="J381">
    <cfRule type="cellIs" dxfId="11565" priority="10146" operator="equal">
      <formula>"Tramitando"</formula>
    </cfRule>
    <cfRule type="cellIs" dxfId="11564" priority="10147" operator="equal">
      <formula>"Deferido"</formula>
    </cfRule>
    <cfRule type="cellIs" dxfId="11563" priority="10148" operator="equal">
      <formula>"Indeferido"</formula>
    </cfRule>
  </conditionalFormatting>
  <conditionalFormatting sqref="J381">
    <cfRule type="containsText" dxfId="11562" priority="10145" operator="containsText" text="Cancelado">
      <formula>NOT(ISERROR(SEARCH("Cancelado",J381)))</formula>
    </cfRule>
  </conditionalFormatting>
  <conditionalFormatting sqref="M381">
    <cfRule type="cellIs" dxfId="11561" priority="10142" operator="equal">
      <formula>"Tramitando"</formula>
    </cfRule>
    <cfRule type="cellIs" dxfId="11560" priority="10143" operator="equal">
      <formula>"Deferido"</formula>
    </cfRule>
    <cfRule type="cellIs" dxfId="11559" priority="10144" operator="equal">
      <formula>"Indeferido"</formula>
    </cfRule>
  </conditionalFormatting>
  <conditionalFormatting sqref="M381">
    <cfRule type="containsText" dxfId="11558" priority="10141" operator="containsText" text="Cancelado">
      <formula>NOT(ISERROR(SEARCH("Cancelado",M381)))</formula>
    </cfRule>
  </conditionalFormatting>
  <conditionalFormatting sqref="O381">
    <cfRule type="cellIs" dxfId="11557" priority="10138" operator="equal">
      <formula>"Tramitando"</formula>
    </cfRule>
    <cfRule type="cellIs" dxfId="11556" priority="10139" operator="equal">
      <formula>"Deferido"</formula>
    </cfRule>
    <cfRule type="cellIs" dxfId="11555" priority="10140" operator="equal">
      <formula>"Indeferido"</formula>
    </cfRule>
  </conditionalFormatting>
  <conditionalFormatting sqref="O381">
    <cfRule type="containsText" dxfId="11554" priority="10137" operator="containsText" text="Cancelado">
      <formula>NOT(ISERROR(SEARCH("Cancelado",O381)))</formula>
    </cfRule>
  </conditionalFormatting>
  <conditionalFormatting sqref="Q381">
    <cfRule type="cellIs" dxfId="11553" priority="10134" operator="equal">
      <formula>"Tramitando"</formula>
    </cfRule>
    <cfRule type="cellIs" dxfId="11552" priority="10135" operator="equal">
      <formula>"Deferido"</formula>
    </cfRule>
    <cfRule type="cellIs" dxfId="11551" priority="10136" operator="equal">
      <formula>"Indeferido"</formula>
    </cfRule>
  </conditionalFormatting>
  <conditionalFormatting sqref="Q381">
    <cfRule type="containsText" dxfId="11550" priority="10133" operator="containsText" text="Cancelado">
      <formula>NOT(ISERROR(SEARCH("Cancelado",Q381)))</formula>
    </cfRule>
  </conditionalFormatting>
  <conditionalFormatting sqref="S381">
    <cfRule type="cellIs" dxfId="11549" priority="10130" operator="equal">
      <formula>"Tramitando"</formula>
    </cfRule>
    <cfRule type="cellIs" dxfId="11548" priority="10131" operator="equal">
      <formula>"Deferido"</formula>
    </cfRule>
    <cfRule type="cellIs" dxfId="11547" priority="10132" operator="equal">
      <formula>"Indeferido"</formula>
    </cfRule>
  </conditionalFormatting>
  <conditionalFormatting sqref="S381">
    <cfRule type="containsText" dxfId="11546" priority="10129" operator="containsText" text="Cancelado">
      <formula>NOT(ISERROR(SEARCH("Cancelado",S381)))</formula>
    </cfRule>
  </conditionalFormatting>
  <conditionalFormatting sqref="J382">
    <cfRule type="cellIs" dxfId="11545" priority="10125" operator="equal">
      <formula>"Tramitando"</formula>
    </cfRule>
    <cfRule type="cellIs" dxfId="11544" priority="10126" operator="equal">
      <formula>"Deferido"</formula>
    </cfRule>
    <cfRule type="cellIs" dxfId="11543" priority="10127" operator="equal">
      <formula>"Indeferido"</formula>
    </cfRule>
  </conditionalFormatting>
  <conditionalFormatting sqref="J382">
    <cfRule type="containsText" dxfId="11542" priority="10124" operator="containsText" text="Cancelado">
      <formula>NOT(ISERROR(SEARCH("Cancelado",J382)))</formula>
    </cfRule>
  </conditionalFormatting>
  <conditionalFormatting sqref="M382">
    <cfRule type="cellIs" dxfId="11541" priority="10121" operator="equal">
      <formula>"Tramitando"</formula>
    </cfRule>
    <cfRule type="cellIs" dxfId="11540" priority="10122" operator="equal">
      <formula>"Deferido"</formula>
    </cfRule>
    <cfRule type="cellIs" dxfId="11539" priority="10123" operator="equal">
      <formula>"Indeferido"</formula>
    </cfRule>
  </conditionalFormatting>
  <conditionalFormatting sqref="M382">
    <cfRule type="containsText" dxfId="11538" priority="10120" operator="containsText" text="Cancelado">
      <formula>NOT(ISERROR(SEARCH("Cancelado",M382)))</formula>
    </cfRule>
  </conditionalFormatting>
  <conditionalFormatting sqref="O382">
    <cfRule type="cellIs" dxfId="11537" priority="10117" operator="equal">
      <formula>"Tramitando"</formula>
    </cfRule>
    <cfRule type="cellIs" dxfId="11536" priority="10118" operator="equal">
      <formula>"Deferido"</formula>
    </cfRule>
    <cfRule type="cellIs" dxfId="11535" priority="10119" operator="equal">
      <formula>"Indeferido"</formula>
    </cfRule>
  </conditionalFormatting>
  <conditionalFormatting sqref="O382">
    <cfRule type="containsText" dxfId="11534" priority="10116" operator="containsText" text="Cancelado">
      <formula>NOT(ISERROR(SEARCH("Cancelado",O382)))</formula>
    </cfRule>
  </conditionalFormatting>
  <conditionalFormatting sqref="Q382">
    <cfRule type="cellIs" dxfId="11533" priority="10113" operator="equal">
      <formula>"Tramitando"</formula>
    </cfRule>
    <cfRule type="cellIs" dxfId="11532" priority="10114" operator="equal">
      <formula>"Deferido"</formula>
    </cfRule>
    <cfRule type="cellIs" dxfId="11531" priority="10115" operator="equal">
      <formula>"Indeferido"</formula>
    </cfRule>
  </conditionalFormatting>
  <conditionalFormatting sqref="Q382">
    <cfRule type="containsText" dxfId="11530" priority="10112" operator="containsText" text="Cancelado">
      <formula>NOT(ISERROR(SEARCH("Cancelado",Q382)))</formula>
    </cfRule>
  </conditionalFormatting>
  <conditionalFormatting sqref="S382">
    <cfRule type="cellIs" dxfId="11529" priority="10109" operator="equal">
      <formula>"Tramitando"</formula>
    </cfRule>
    <cfRule type="cellIs" dxfId="11528" priority="10110" operator="equal">
      <formula>"Deferido"</formula>
    </cfRule>
    <cfRule type="cellIs" dxfId="11527" priority="10111" operator="equal">
      <formula>"Indeferido"</formula>
    </cfRule>
  </conditionalFormatting>
  <conditionalFormatting sqref="S382">
    <cfRule type="containsText" dxfId="11526" priority="10108" operator="containsText" text="Cancelado">
      <formula>NOT(ISERROR(SEARCH("Cancelado",S382)))</formula>
    </cfRule>
  </conditionalFormatting>
  <conditionalFormatting sqref="J383">
    <cfRule type="cellIs" dxfId="11525" priority="10104" operator="equal">
      <formula>"Tramitando"</formula>
    </cfRule>
    <cfRule type="cellIs" dxfId="11524" priority="10105" operator="equal">
      <formula>"Deferido"</formula>
    </cfRule>
    <cfRule type="cellIs" dxfId="11523" priority="10106" operator="equal">
      <formula>"Indeferido"</formula>
    </cfRule>
  </conditionalFormatting>
  <conditionalFormatting sqref="J383">
    <cfRule type="containsText" dxfId="11522" priority="10103" operator="containsText" text="Cancelado">
      <formula>NOT(ISERROR(SEARCH("Cancelado",J383)))</formula>
    </cfRule>
  </conditionalFormatting>
  <conditionalFormatting sqref="M383">
    <cfRule type="cellIs" dxfId="11521" priority="10100" operator="equal">
      <formula>"Tramitando"</formula>
    </cfRule>
    <cfRule type="cellIs" dxfId="11520" priority="10101" operator="equal">
      <formula>"Deferido"</formula>
    </cfRule>
    <cfRule type="cellIs" dxfId="11519" priority="10102" operator="equal">
      <formula>"Indeferido"</formula>
    </cfRule>
  </conditionalFormatting>
  <conditionalFormatting sqref="M383">
    <cfRule type="containsText" dxfId="11518" priority="10099" operator="containsText" text="Cancelado">
      <formula>NOT(ISERROR(SEARCH("Cancelado",M383)))</formula>
    </cfRule>
  </conditionalFormatting>
  <conditionalFormatting sqref="O383">
    <cfRule type="cellIs" dxfId="11517" priority="10096" operator="equal">
      <formula>"Tramitando"</formula>
    </cfRule>
    <cfRule type="cellIs" dxfId="11516" priority="10097" operator="equal">
      <formula>"Deferido"</formula>
    </cfRule>
    <cfRule type="cellIs" dxfId="11515" priority="10098" operator="equal">
      <formula>"Indeferido"</formula>
    </cfRule>
  </conditionalFormatting>
  <conditionalFormatting sqref="O383">
    <cfRule type="containsText" dxfId="11514" priority="10095" operator="containsText" text="Cancelado">
      <formula>NOT(ISERROR(SEARCH("Cancelado",O383)))</formula>
    </cfRule>
  </conditionalFormatting>
  <conditionalFormatting sqref="Q383">
    <cfRule type="cellIs" dxfId="11513" priority="10092" operator="equal">
      <formula>"Tramitando"</formula>
    </cfRule>
    <cfRule type="cellIs" dxfId="11512" priority="10093" operator="equal">
      <formula>"Deferido"</formula>
    </cfRule>
    <cfRule type="cellIs" dxfId="11511" priority="10094" operator="equal">
      <formula>"Indeferido"</formula>
    </cfRule>
  </conditionalFormatting>
  <conditionalFormatting sqref="Q383">
    <cfRule type="containsText" dxfId="11510" priority="10091" operator="containsText" text="Cancelado">
      <formula>NOT(ISERROR(SEARCH("Cancelado",Q383)))</formula>
    </cfRule>
  </conditionalFormatting>
  <conditionalFormatting sqref="S383">
    <cfRule type="cellIs" dxfId="11509" priority="10088" operator="equal">
      <formula>"Tramitando"</formula>
    </cfRule>
    <cfRule type="cellIs" dxfId="11508" priority="10089" operator="equal">
      <formula>"Deferido"</formula>
    </cfRule>
    <cfRule type="cellIs" dxfId="11507" priority="10090" operator="equal">
      <formula>"Indeferido"</formula>
    </cfRule>
  </conditionalFormatting>
  <conditionalFormatting sqref="S383">
    <cfRule type="containsText" dxfId="11506" priority="10087" operator="containsText" text="Cancelado">
      <formula>NOT(ISERROR(SEARCH("Cancelado",S383)))</formula>
    </cfRule>
  </conditionalFormatting>
  <conditionalFormatting sqref="J384">
    <cfRule type="cellIs" dxfId="11505" priority="10083" operator="equal">
      <formula>"Tramitando"</formula>
    </cfRule>
    <cfRule type="cellIs" dxfId="11504" priority="10084" operator="equal">
      <formula>"Deferido"</formula>
    </cfRule>
    <cfRule type="cellIs" dxfId="11503" priority="10085" operator="equal">
      <formula>"Indeferido"</formula>
    </cfRule>
  </conditionalFormatting>
  <conditionalFormatting sqref="J384">
    <cfRule type="containsText" dxfId="11502" priority="10082" operator="containsText" text="Cancelado">
      <formula>NOT(ISERROR(SEARCH("Cancelado",J384)))</formula>
    </cfRule>
  </conditionalFormatting>
  <conditionalFormatting sqref="M384">
    <cfRule type="cellIs" dxfId="11501" priority="10079" operator="equal">
      <formula>"Tramitando"</formula>
    </cfRule>
    <cfRule type="cellIs" dxfId="11500" priority="10080" operator="equal">
      <formula>"Deferido"</formula>
    </cfRule>
    <cfRule type="cellIs" dxfId="11499" priority="10081" operator="equal">
      <formula>"Indeferido"</formula>
    </cfRule>
  </conditionalFormatting>
  <conditionalFormatting sqref="M384">
    <cfRule type="containsText" dxfId="11498" priority="10078" operator="containsText" text="Cancelado">
      <formula>NOT(ISERROR(SEARCH("Cancelado",M384)))</formula>
    </cfRule>
  </conditionalFormatting>
  <conditionalFormatting sqref="O384">
    <cfRule type="cellIs" dxfId="11497" priority="10075" operator="equal">
      <formula>"Tramitando"</formula>
    </cfRule>
    <cfRule type="cellIs" dxfId="11496" priority="10076" operator="equal">
      <formula>"Deferido"</formula>
    </cfRule>
    <cfRule type="cellIs" dxfId="11495" priority="10077" operator="equal">
      <formula>"Indeferido"</formula>
    </cfRule>
  </conditionalFormatting>
  <conditionalFormatting sqref="O384">
    <cfRule type="containsText" dxfId="11494" priority="10074" operator="containsText" text="Cancelado">
      <formula>NOT(ISERROR(SEARCH("Cancelado",O384)))</formula>
    </cfRule>
  </conditionalFormatting>
  <conditionalFormatting sqref="Q384">
    <cfRule type="cellIs" dxfId="11493" priority="10071" operator="equal">
      <formula>"Tramitando"</formula>
    </cfRule>
    <cfRule type="cellIs" dxfId="11492" priority="10072" operator="equal">
      <formula>"Deferido"</formula>
    </cfRule>
    <cfRule type="cellIs" dxfId="11491" priority="10073" operator="equal">
      <formula>"Indeferido"</formula>
    </cfRule>
  </conditionalFormatting>
  <conditionalFormatting sqref="Q384">
    <cfRule type="containsText" dxfId="11490" priority="10070" operator="containsText" text="Cancelado">
      <formula>NOT(ISERROR(SEARCH("Cancelado",Q384)))</formula>
    </cfRule>
  </conditionalFormatting>
  <conditionalFormatting sqref="S384">
    <cfRule type="cellIs" dxfId="11489" priority="10067" operator="equal">
      <formula>"Tramitando"</formula>
    </cfRule>
    <cfRule type="cellIs" dxfId="11488" priority="10068" operator="equal">
      <formula>"Deferido"</formula>
    </cfRule>
    <cfRule type="cellIs" dxfId="11487" priority="10069" operator="equal">
      <formula>"Indeferido"</formula>
    </cfRule>
  </conditionalFormatting>
  <conditionalFormatting sqref="S384">
    <cfRule type="containsText" dxfId="11486" priority="10066" operator="containsText" text="Cancelado">
      <formula>NOT(ISERROR(SEARCH("Cancelado",S384)))</formula>
    </cfRule>
  </conditionalFormatting>
  <conditionalFormatting sqref="J385">
    <cfRule type="cellIs" dxfId="11485" priority="10062" operator="equal">
      <formula>"Tramitando"</formula>
    </cfRule>
    <cfRule type="cellIs" dxfId="11484" priority="10063" operator="equal">
      <formula>"Deferido"</formula>
    </cfRule>
    <cfRule type="cellIs" dxfId="11483" priority="10064" operator="equal">
      <formula>"Indeferido"</formula>
    </cfRule>
  </conditionalFormatting>
  <conditionalFormatting sqref="J385">
    <cfRule type="containsText" dxfId="11482" priority="10061" operator="containsText" text="Cancelado">
      <formula>NOT(ISERROR(SEARCH("Cancelado",J385)))</formula>
    </cfRule>
  </conditionalFormatting>
  <conditionalFormatting sqref="M385">
    <cfRule type="cellIs" dxfId="11481" priority="10058" operator="equal">
      <formula>"Tramitando"</formula>
    </cfRule>
    <cfRule type="cellIs" dxfId="11480" priority="10059" operator="equal">
      <formula>"Deferido"</formula>
    </cfRule>
    <cfRule type="cellIs" dxfId="11479" priority="10060" operator="equal">
      <formula>"Indeferido"</formula>
    </cfRule>
  </conditionalFormatting>
  <conditionalFormatting sqref="M385">
    <cfRule type="containsText" dxfId="11478" priority="10057" operator="containsText" text="Cancelado">
      <formula>NOT(ISERROR(SEARCH("Cancelado",M385)))</formula>
    </cfRule>
  </conditionalFormatting>
  <conditionalFormatting sqref="O385">
    <cfRule type="cellIs" dxfId="11477" priority="10054" operator="equal">
      <formula>"Tramitando"</formula>
    </cfRule>
    <cfRule type="cellIs" dxfId="11476" priority="10055" operator="equal">
      <formula>"Deferido"</formula>
    </cfRule>
    <cfRule type="cellIs" dxfId="11475" priority="10056" operator="equal">
      <formula>"Indeferido"</formula>
    </cfRule>
  </conditionalFormatting>
  <conditionalFormatting sqref="O385">
    <cfRule type="containsText" dxfId="11474" priority="10053" operator="containsText" text="Cancelado">
      <formula>NOT(ISERROR(SEARCH("Cancelado",O385)))</formula>
    </cfRule>
  </conditionalFormatting>
  <conditionalFormatting sqref="Q385">
    <cfRule type="cellIs" dxfId="11473" priority="10050" operator="equal">
      <formula>"Tramitando"</formula>
    </cfRule>
    <cfRule type="cellIs" dxfId="11472" priority="10051" operator="equal">
      <formula>"Deferido"</formula>
    </cfRule>
    <cfRule type="cellIs" dxfId="11471" priority="10052" operator="equal">
      <formula>"Indeferido"</formula>
    </cfRule>
  </conditionalFormatting>
  <conditionalFormatting sqref="Q385">
    <cfRule type="containsText" dxfId="11470" priority="10049" operator="containsText" text="Cancelado">
      <formula>NOT(ISERROR(SEARCH("Cancelado",Q385)))</formula>
    </cfRule>
  </conditionalFormatting>
  <conditionalFormatting sqref="S385">
    <cfRule type="cellIs" dxfId="11469" priority="10046" operator="equal">
      <formula>"Tramitando"</formula>
    </cfRule>
    <cfRule type="cellIs" dxfId="11468" priority="10047" operator="equal">
      <formula>"Deferido"</formula>
    </cfRule>
    <cfRule type="cellIs" dxfId="11467" priority="10048" operator="equal">
      <formula>"Indeferido"</formula>
    </cfRule>
  </conditionalFormatting>
  <conditionalFormatting sqref="S385">
    <cfRule type="containsText" dxfId="11466" priority="10045" operator="containsText" text="Cancelado">
      <formula>NOT(ISERROR(SEARCH("Cancelado",S385)))</formula>
    </cfRule>
  </conditionalFormatting>
  <conditionalFormatting sqref="J386">
    <cfRule type="cellIs" dxfId="11465" priority="10041" operator="equal">
      <formula>"Tramitando"</formula>
    </cfRule>
    <cfRule type="cellIs" dxfId="11464" priority="10042" operator="equal">
      <formula>"Deferido"</formula>
    </cfRule>
    <cfRule type="cellIs" dxfId="11463" priority="10043" operator="equal">
      <formula>"Indeferido"</formula>
    </cfRule>
  </conditionalFormatting>
  <conditionalFormatting sqref="J386">
    <cfRule type="containsText" dxfId="11462" priority="10040" operator="containsText" text="Cancelado">
      <formula>NOT(ISERROR(SEARCH("Cancelado",J386)))</formula>
    </cfRule>
  </conditionalFormatting>
  <conditionalFormatting sqref="M386">
    <cfRule type="cellIs" dxfId="11461" priority="10037" operator="equal">
      <formula>"Tramitando"</formula>
    </cfRule>
    <cfRule type="cellIs" dxfId="11460" priority="10038" operator="equal">
      <formula>"Deferido"</formula>
    </cfRule>
    <cfRule type="cellIs" dxfId="11459" priority="10039" operator="equal">
      <formula>"Indeferido"</formula>
    </cfRule>
  </conditionalFormatting>
  <conditionalFormatting sqref="M386">
    <cfRule type="containsText" dxfId="11458" priority="10036" operator="containsText" text="Cancelado">
      <formula>NOT(ISERROR(SEARCH("Cancelado",M386)))</formula>
    </cfRule>
  </conditionalFormatting>
  <conditionalFormatting sqref="O386">
    <cfRule type="cellIs" dxfId="11457" priority="10033" operator="equal">
      <formula>"Tramitando"</formula>
    </cfRule>
    <cfRule type="cellIs" dxfId="11456" priority="10034" operator="equal">
      <formula>"Deferido"</formula>
    </cfRule>
    <cfRule type="cellIs" dxfId="11455" priority="10035" operator="equal">
      <formula>"Indeferido"</formula>
    </cfRule>
  </conditionalFormatting>
  <conditionalFormatting sqref="O386">
    <cfRule type="containsText" dxfId="11454" priority="10032" operator="containsText" text="Cancelado">
      <formula>NOT(ISERROR(SEARCH("Cancelado",O386)))</formula>
    </cfRule>
  </conditionalFormatting>
  <conditionalFormatting sqref="Q386">
    <cfRule type="cellIs" dxfId="11453" priority="10029" operator="equal">
      <formula>"Tramitando"</formula>
    </cfRule>
    <cfRule type="cellIs" dxfId="11452" priority="10030" operator="equal">
      <formula>"Deferido"</formula>
    </cfRule>
    <cfRule type="cellIs" dxfId="11451" priority="10031" operator="equal">
      <formula>"Indeferido"</formula>
    </cfRule>
  </conditionalFormatting>
  <conditionalFormatting sqref="Q386">
    <cfRule type="containsText" dxfId="11450" priority="10028" operator="containsText" text="Cancelado">
      <formula>NOT(ISERROR(SEARCH("Cancelado",Q386)))</formula>
    </cfRule>
  </conditionalFormatting>
  <conditionalFormatting sqref="S386">
    <cfRule type="cellIs" dxfId="11449" priority="10025" operator="equal">
      <formula>"Tramitando"</formula>
    </cfRule>
    <cfRule type="cellIs" dxfId="11448" priority="10026" operator="equal">
      <formula>"Deferido"</formula>
    </cfRule>
    <cfRule type="cellIs" dxfId="11447" priority="10027" operator="equal">
      <formula>"Indeferido"</formula>
    </cfRule>
  </conditionalFormatting>
  <conditionalFormatting sqref="S386">
    <cfRule type="containsText" dxfId="11446" priority="10024" operator="containsText" text="Cancelado">
      <formula>NOT(ISERROR(SEARCH("Cancelado",S386)))</formula>
    </cfRule>
  </conditionalFormatting>
  <conditionalFormatting sqref="J387">
    <cfRule type="cellIs" dxfId="11445" priority="10020" operator="equal">
      <formula>"Tramitando"</formula>
    </cfRule>
    <cfRule type="cellIs" dxfId="11444" priority="10021" operator="equal">
      <formula>"Deferido"</formula>
    </cfRule>
    <cfRule type="cellIs" dxfId="11443" priority="10022" operator="equal">
      <formula>"Indeferido"</formula>
    </cfRule>
  </conditionalFormatting>
  <conditionalFormatting sqref="J387">
    <cfRule type="containsText" dxfId="11442" priority="10019" operator="containsText" text="Cancelado">
      <formula>NOT(ISERROR(SEARCH("Cancelado",J387)))</formula>
    </cfRule>
  </conditionalFormatting>
  <conditionalFormatting sqref="M387">
    <cfRule type="cellIs" dxfId="11441" priority="10016" operator="equal">
      <formula>"Tramitando"</formula>
    </cfRule>
    <cfRule type="cellIs" dxfId="11440" priority="10017" operator="equal">
      <formula>"Deferido"</formula>
    </cfRule>
    <cfRule type="cellIs" dxfId="11439" priority="10018" operator="equal">
      <formula>"Indeferido"</formula>
    </cfRule>
  </conditionalFormatting>
  <conditionalFormatting sqref="M387">
    <cfRule type="containsText" dxfId="11438" priority="10015" operator="containsText" text="Cancelado">
      <formula>NOT(ISERROR(SEARCH("Cancelado",M387)))</formula>
    </cfRule>
  </conditionalFormatting>
  <conditionalFormatting sqref="O387">
    <cfRule type="cellIs" dxfId="11437" priority="10012" operator="equal">
      <formula>"Tramitando"</formula>
    </cfRule>
    <cfRule type="cellIs" dxfId="11436" priority="10013" operator="equal">
      <formula>"Deferido"</formula>
    </cfRule>
    <cfRule type="cellIs" dxfId="11435" priority="10014" operator="equal">
      <formula>"Indeferido"</formula>
    </cfRule>
  </conditionalFormatting>
  <conditionalFormatting sqref="O387">
    <cfRule type="containsText" dxfId="11434" priority="10011" operator="containsText" text="Cancelado">
      <formula>NOT(ISERROR(SEARCH("Cancelado",O387)))</formula>
    </cfRule>
  </conditionalFormatting>
  <conditionalFormatting sqref="Q387">
    <cfRule type="cellIs" dxfId="11433" priority="10008" operator="equal">
      <formula>"Tramitando"</formula>
    </cfRule>
    <cfRule type="cellIs" dxfId="11432" priority="10009" operator="equal">
      <formula>"Deferido"</formula>
    </cfRule>
    <cfRule type="cellIs" dxfId="11431" priority="10010" operator="equal">
      <formula>"Indeferido"</formula>
    </cfRule>
  </conditionalFormatting>
  <conditionalFormatting sqref="Q387">
    <cfRule type="containsText" dxfId="11430" priority="10007" operator="containsText" text="Cancelado">
      <formula>NOT(ISERROR(SEARCH("Cancelado",Q387)))</formula>
    </cfRule>
  </conditionalFormatting>
  <conditionalFormatting sqref="S387">
    <cfRule type="cellIs" dxfId="11429" priority="10004" operator="equal">
      <formula>"Tramitando"</formula>
    </cfRule>
    <cfRule type="cellIs" dxfId="11428" priority="10005" operator="equal">
      <formula>"Deferido"</formula>
    </cfRule>
    <cfRule type="cellIs" dxfId="11427" priority="10006" operator="equal">
      <formula>"Indeferido"</formula>
    </cfRule>
  </conditionalFormatting>
  <conditionalFormatting sqref="S387">
    <cfRule type="containsText" dxfId="11426" priority="10003" operator="containsText" text="Cancelado">
      <formula>NOT(ISERROR(SEARCH("Cancelado",S387)))</formula>
    </cfRule>
  </conditionalFormatting>
  <conditionalFormatting sqref="J388">
    <cfRule type="cellIs" dxfId="11425" priority="9999" operator="equal">
      <formula>"Tramitando"</formula>
    </cfRule>
    <cfRule type="cellIs" dxfId="11424" priority="10000" operator="equal">
      <formula>"Deferido"</formula>
    </cfRule>
    <cfRule type="cellIs" dxfId="11423" priority="10001" operator="equal">
      <formula>"Indeferido"</formula>
    </cfRule>
  </conditionalFormatting>
  <conditionalFormatting sqref="J388">
    <cfRule type="containsText" dxfId="11422" priority="9998" operator="containsText" text="Cancelado">
      <formula>NOT(ISERROR(SEARCH("Cancelado",J388)))</formula>
    </cfRule>
  </conditionalFormatting>
  <conditionalFormatting sqref="M388">
    <cfRule type="cellIs" dxfId="11421" priority="9995" operator="equal">
      <formula>"Tramitando"</formula>
    </cfRule>
    <cfRule type="cellIs" dxfId="11420" priority="9996" operator="equal">
      <formula>"Deferido"</formula>
    </cfRule>
    <cfRule type="cellIs" dxfId="11419" priority="9997" operator="equal">
      <formula>"Indeferido"</formula>
    </cfRule>
  </conditionalFormatting>
  <conditionalFormatting sqref="M388">
    <cfRule type="containsText" dxfId="11418" priority="9994" operator="containsText" text="Cancelado">
      <formula>NOT(ISERROR(SEARCH("Cancelado",M388)))</formula>
    </cfRule>
  </conditionalFormatting>
  <conditionalFormatting sqref="O388">
    <cfRule type="cellIs" dxfId="11417" priority="9991" operator="equal">
      <formula>"Tramitando"</formula>
    </cfRule>
    <cfRule type="cellIs" dxfId="11416" priority="9992" operator="equal">
      <formula>"Deferido"</formula>
    </cfRule>
    <cfRule type="cellIs" dxfId="11415" priority="9993" operator="equal">
      <formula>"Indeferido"</formula>
    </cfRule>
  </conditionalFormatting>
  <conditionalFormatting sqref="O388">
    <cfRule type="containsText" dxfId="11414" priority="9990" operator="containsText" text="Cancelado">
      <formula>NOT(ISERROR(SEARCH("Cancelado",O388)))</formula>
    </cfRule>
  </conditionalFormatting>
  <conditionalFormatting sqref="Q388">
    <cfRule type="cellIs" dxfId="11413" priority="9987" operator="equal">
      <formula>"Tramitando"</formula>
    </cfRule>
    <cfRule type="cellIs" dxfId="11412" priority="9988" operator="equal">
      <formula>"Deferido"</formula>
    </cfRule>
    <cfRule type="cellIs" dxfId="11411" priority="9989" operator="equal">
      <formula>"Indeferido"</formula>
    </cfRule>
  </conditionalFormatting>
  <conditionalFormatting sqref="Q388">
    <cfRule type="containsText" dxfId="11410" priority="9986" operator="containsText" text="Cancelado">
      <formula>NOT(ISERROR(SEARCH("Cancelado",Q388)))</formula>
    </cfRule>
  </conditionalFormatting>
  <conditionalFormatting sqref="S388">
    <cfRule type="cellIs" dxfId="11409" priority="9983" operator="equal">
      <formula>"Tramitando"</formula>
    </cfRule>
    <cfRule type="cellIs" dxfId="11408" priority="9984" operator="equal">
      <formula>"Deferido"</formula>
    </cfRule>
    <cfRule type="cellIs" dxfId="11407" priority="9985" operator="equal">
      <formula>"Indeferido"</formula>
    </cfRule>
  </conditionalFormatting>
  <conditionalFormatting sqref="S388">
    <cfRule type="containsText" dxfId="11406" priority="9982" operator="containsText" text="Cancelado">
      <formula>NOT(ISERROR(SEARCH("Cancelado",S388)))</formula>
    </cfRule>
  </conditionalFormatting>
  <conditionalFormatting sqref="J389">
    <cfRule type="cellIs" dxfId="11405" priority="9978" operator="equal">
      <formula>"Tramitando"</formula>
    </cfRule>
    <cfRule type="cellIs" dxfId="11404" priority="9979" operator="equal">
      <formula>"Deferido"</formula>
    </cfRule>
    <cfRule type="cellIs" dxfId="11403" priority="9980" operator="equal">
      <formula>"Indeferido"</formula>
    </cfRule>
  </conditionalFormatting>
  <conditionalFormatting sqref="J389">
    <cfRule type="containsText" dxfId="11402" priority="9977" operator="containsText" text="Cancelado">
      <formula>NOT(ISERROR(SEARCH("Cancelado",J389)))</formula>
    </cfRule>
  </conditionalFormatting>
  <conditionalFormatting sqref="M389">
    <cfRule type="cellIs" dxfId="11401" priority="9974" operator="equal">
      <formula>"Tramitando"</formula>
    </cfRule>
    <cfRule type="cellIs" dxfId="11400" priority="9975" operator="equal">
      <formula>"Deferido"</formula>
    </cfRule>
    <cfRule type="cellIs" dxfId="11399" priority="9976" operator="equal">
      <formula>"Indeferido"</formula>
    </cfRule>
  </conditionalFormatting>
  <conditionalFormatting sqref="M389">
    <cfRule type="containsText" dxfId="11398" priority="9973" operator="containsText" text="Cancelado">
      <formula>NOT(ISERROR(SEARCH("Cancelado",M389)))</formula>
    </cfRule>
  </conditionalFormatting>
  <conditionalFormatting sqref="O389">
    <cfRule type="cellIs" dxfId="11397" priority="9970" operator="equal">
      <formula>"Tramitando"</formula>
    </cfRule>
    <cfRule type="cellIs" dxfId="11396" priority="9971" operator="equal">
      <formula>"Deferido"</formula>
    </cfRule>
    <cfRule type="cellIs" dxfId="11395" priority="9972" operator="equal">
      <formula>"Indeferido"</formula>
    </cfRule>
  </conditionalFormatting>
  <conditionalFormatting sqref="O389">
    <cfRule type="containsText" dxfId="11394" priority="9969" operator="containsText" text="Cancelado">
      <formula>NOT(ISERROR(SEARCH("Cancelado",O389)))</formula>
    </cfRule>
  </conditionalFormatting>
  <conditionalFormatting sqref="Q389">
    <cfRule type="cellIs" dxfId="11393" priority="9966" operator="equal">
      <formula>"Tramitando"</formula>
    </cfRule>
    <cfRule type="cellIs" dxfId="11392" priority="9967" operator="equal">
      <formula>"Deferido"</formula>
    </cfRule>
    <cfRule type="cellIs" dxfId="11391" priority="9968" operator="equal">
      <formula>"Indeferido"</formula>
    </cfRule>
  </conditionalFormatting>
  <conditionalFormatting sqref="Q389">
    <cfRule type="containsText" dxfId="11390" priority="9965" operator="containsText" text="Cancelado">
      <formula>NOT(ISERROR(SEARCH("Cancelado",Q389)))</formula>
    </cfRule>
  </conditionalFormatting>
  <conditionalFormatting sqref="S389">
    <cfRule type="cellIs" dxfId="11389" priority="9962" operator="equal">
      <formula>"Tramitando"</formula>
    </cfRule>
    <cfRule type="cellIs" dxfId="11388" priority="9963" operator="equal">
      <formula>"Deferido"</formula>
    </cfRule>
    <cfRule type="cellIs" dxfId="11387" priority="9964" operator="equal">
      <formula>"Indeferido"</formula>
    </cfRule>
  </conditionalFormatting>
  <conditionalFormatting sqref="S389">
    <cfRule type="containsText" dxfId="11386" priority="9961" operator="containsText" text="Cancelado">
      <formula>NOT(ISERROR(SEARCH("Cancelado",S389)))</formula>
    </cfRule>
  </conditionalFormatting>
  <conditionalFormatting sqref="J390:J391">
    <cfRule type="cellIs" dxfId="11385" priority="9957" operator="equal">
      <formula>"Tramitando"</formula>
    </cfRule>
    <cfRule type="cellIs" dxfId="11384" priority="9958" operator="equal">
      <formula>"Deferido"</formula>
    </cfRule>
    <cfRule type="cellIs" dxfId="11383" priority="9959" operator="equal">
      <formula>"Indeferido"</formula>
    </cfRule>
  </conditionalFormatting>
  <conditionalFormatting sqref="J390:J391">
    <cfRule type="containsText" dxfId="11382" priority="9956" operator="containsText" text="Cancelado">
      <formula>NOT(ISERROR(SEARCH("Cancelado",J390)))</formula>
    </cfRule>
  </conditionalFormatting>
  <conditionalFormatting sqref="M390:M391">
    <cfRule type="cellIs" dxfId="11381" priority="9953" operator="equal">
      <formula>"Tramitando"</formula>
    </cfRule>
    <cfRule type="cellIs" dxfId="11380" priority="9954" operator="equal">
      <formula>"Deferido"</formula>
    </cfRule>
    <cfRule type="cellIs" dxfId="11379" priority="9955" operator="equal">
      <formula>"Indeferido"</formula>
    </cfRule>
  </conditionalFormatting>
  <conditionalFormatting sqref="M390:M391">
    <cfRule type="containsText" dxfId="11378" priority="9952" operator="containsText" text="Cancelado">
      <formula>NOT(ISERROR(SEARCH("Cancelado",M390)))</formula>
    </cfRule>
  </conditionalFormatting>
  <conditionalFormatting sqref="O390:O391">
    <cfRule type="cellIs" dxfId="11377" priority="9949" operator="equal">
      <formula>"Tramitando"</formula>
    </cfRule>
    <cfRule type="cellIs" dxfId="11376" priority="9950" operator="equal">
      <formula>"Deferido"</formula>
    </cfRule>
    <cfRule type="cellIs" dxfId="11375" priority="9951" operator="equal">
      <formula>"Indeferido"</formula>
    </cfRule>
  </conditionalFormatting>
  <conditionalFormatting sqref="O390:O391">
    <cfRule type="containsText" dxfId="11374" priority="9948" operator="containsText" text="Cancelado">
      <formula>NOT(ISERROR(SEARCH("Cancelado",O390)))</formula>
    </cfRule>
  </conditionalFormatting>
  <conditionalFormatting sqref="Q390:Q391">
    <cfRule type="cellIs" dxfId="11373" priority="9945" operator="equal">
      <formula>"Tramitando"</formula>
    </cfRule>
    <cfRule type="cellIs" dxfId="11372" priority="9946" operator="equal">
      <formula>"Deferido"</formula>
    </cfRule>
    <cfRule type="cellIs" dxfId="11371" priority="9947" operator="equal">
      <formula>"Indeferido"</formula>
    </cfRule>
  </conditionalFormatting>
  <conditionalFormatting sqref="Q390:Q391">
    <cfRule type="containsText" dxfId="11370" priority="9944" operator="containsText" text="Cancelado">
      <formula>NOT(ISERROR(SEARCH("Cancelado",Q390)))</formula>
    </cfRule>
  </conditionalFormatting>
  <conditionalFormatting sqref="S390:S391">
    <cfRule type="cellIs" dxfId="11369" priority="9941" operator="equal">
      <formula>"Tramitando"</formula>
    </cfRule>
    <cfRule type="cellIs" dxfId="11368" priority="9942" operator="equal">
      <formula>"Deferido"</formula>
    </cfRule>
    <cfRule type="cellIs" dxfId="11367" priority="9943" operator="equal">
      <formula>"Indeferido"</formula>
    </cfRule>
  </conditionalFormatting>
  <conditionalFormatting sqref="S390:S391">
    <cfRule type="containsText" dxfId="11366" priority="9940" operator="containsText" text="Cancelado">
      <formula>NOT(ISERROR(SEARCH("Cancelado",S390)))</formula>
    </cfRule>
  </conditionalFormatting>
  <conditionalFormatting sqref="J392">
    <cfRule type="cellIs" dxfId="11365" priority="9936" operator="equal">
      <formula>"Tramitando"</formula>
    </cfRule>
    <cfRule type="cellIs" dxfId="11364" priority="9937" operator="equal">
      <formula>"Deferido"</formula>
    </cfRule>
    <cfRule type="cellIs" dxfId="11363" priority="9938" operator="equal">
      <formula>"Indeferido"</formula>
    </cfRule>
  </conditionalFormatting>
  <conditionalFormatting sqref="J392">
    <cfRule type="containsText" dxfId="11362" priority="9935" operator="containsText" text="Cancelado">
      <formula>NOT(ISERROR(SEARCH("Cancelado",J392)))</formula>
    </cfRule>
  </conditionalFormatting>
  <conditionalFormatting sqref="M392">
    <cfRule type="cellIs" dxfId="11361" priority="9932" operator="equal">
      <formula>"Tramitando"</formula>
    </cfRule>
    <cfRule type="cellIs" dxfId="11360" priority="9933" operator="equal">
      <formula>"Deferido"</formula>
    </cfRule>
    <cfRule type="cellIs" dxfId="11359" priority="9934" operator="equal">
      <formula>"Indeferido"</formula>
    </cfRule>
  </conditionalFormatting>
  <conditionalFormatting sqref="M392">
    <cfRule type="containsText" dxfId="11358" priority="9931" operator="containsText" text="Cancelado">
      <formula>NOT(ISERROR(SEARCH("Cancelado",M392)))</formula>
    </cfRule>
  </conditionalFormatting>
  <conditionalFormatting sqref="O392">
    <cfRule type="cellIs" dxfId="11357" priority="9928" operator="equal">
      <formula>"Tramitando"</formula>
    </cfRule>
    <cfRule type="cellIs" dxfId="11356" priority="9929" operator="equal">
      <formula>"Deferido"</formula>
    </cfRule>
    <cfRule type="cellIs" dxfId="11355" priority="9930" operator="equal">
      <formula>"Indeferido"</formula>
    </cfRule>
  </conditionalFormatting>
  <conditionalFormatting sqref="O392">
    <cfRule type="containsText" dxfId="11354" priority="9927" operator="containsText" text="Cancelado">
      <formula>NOT(ISERROR(SEARCH("Cancelado",O392)))</formula>
    </cfRule>
  </conditionalFormatting>
  <conditionalFormatting sqref="Q392">
    <cfRule type="cellIs" dxfId="11353" priority="9924" operator="equal">
      <formula>"Tramitando"</formula>
    </cfRule>
    <cfRule type="cellIs" dxfId="11352" priority="9925" operator="equal">
      <formula>"Deferido"</formula>
    </cfRule>
    <cfRule type="cellIs" dxfId="11351" priority="9926" operator="equal">
      <formula>"Indeferido"</formula>
    </cfRule>
  </conditionalFormatting>
  <conditionalFormatting sqref="Q392">
    <cfRule type="containsText" dxfId="11350" priority="9923" operator="containsText" text="Cancelado">
      <formula>NOT(ISERROR(SEARCH("Cancelado",Q392)))</formula>
    </cfRule>
  </conditionalFormatting>
  <conditionalFormatting sqref="S392">
    <cfRule type="cellIs" dxfId="11349" priority="9920" operator="equal">
      <formula>"Tramitando"</formula>
    </cfRule>
    <cfRule type="cellIs" dxfId="11348" priority="9921" operator="equal">
      <formula>"Deferido"</formula>
    </cfRule>
    <cfRule type="cellIs" dxfId="11347" priority="9922" operator="equal">
      <formula>"Indeferido"</formula>
    </cfRule>
  </conditionalFormatting>
  <conditionalFormatting sqref="S392">
    <cfRule type="containsText" dxfId="11346" priority="9919" operator="containsText" text="Cancelado">
      <formula>NOT(ISERROR(SEARCH("Cancelado",S392)))</formula>
    </cfRule>
  </conditionalFormatting>
  <conditionalFormatting sqref="J393">
    <cfRule type="cellIs" dxfId="11345" priority="9915" operator="equal">
      <formula>"Tramitando"</formula>
    </cfRule>
    <cfRule type="cellIs" dxfId="11344" priority="9916" operator="equal">
      <formula>"Deferido"</formula>
    </cfRule>
    <cfRule type="cellIs" dxfId="11343" priority="9917" operator="equal">
      <formula>"Indeferido"</formula>
    </cfRule>
  </conditionalFormatting>
  <conditionalFormatting sqref="J393">
    <cfRule type="containsText" dxfId="11342" priority="9914" operator="containsText" text="Cancelado">
      <formula>NOT(ISERROR(SEARCH("Cancelado",J393)))</formula>
    </cfRule>
  </conditionalFormatting>
  <conditionalFormatting sqref="M393">
    <cfRule type="cellIs" dxfId="11341" priority="9911" operator="equal">
      <formula>"Tramitando"</formula>
    </cfRule>
    <cfRule type="cellIs" dxfId="11340" priority="9912" operator="equal">
      <formula>"Deferido"</formula>
    </cfRule>
    <cfRule type="cellIs" dxfId="11339" priority="9913" operator="equal">
      <formula>"Indeferido"</formula>
    </cfRule>
  </conditionalFormatting>
  <conditionalFormatting sqref="M393">
    <cfRule type="containsText" dxfId="11338" priority="9910" operator="containsText" text="Cancelado">
      <formula>NOT(ISERROR(SEARCH("Cancelado",M393)))</formula>
    </cfRule>
  </conditionalFormatting>
  <conditionalFormatting sqref="O393">
    <cfRule type="cellIs" dxfId="11337" priority="9907" operator="equal">
      <formula>"Tramitando"</formula>
    </cfRule>
    <cfRule type="cellIs" dxfId="11336" priority="9908" operator="equal">
      <formula>"Deferido"</formula>
    </cfRule>
    <cfRule type="cellIs" dxfId="11335" priority="9909" operator="equal">
      <formula>"Indeferido"</formula>
    </cfRule>
  </conditionalFormatting>
  <conditionalFormatting sqref="O393">
    <cfRule type="containsText" dxfId="11334" priority="9906" operator="containsText" text="Cancelado">
      <formula>NOT(ISERROR(SEARCH("Cancelado",O393)))</formula>
    </cfRule>
  </conditionalFormatting>
  <conditionalFormatting sqref="Q393">
    <cfRule type="cellIs" dxfId="11333" priority="9903" operator="equal">
      <formula>"Tramitando"</formula>
    </cfRule>
    <cfRule type="cellIs" dxfId="11332" priority="9904" operator="equal">
      <formula>"Deferido"</formula>
    </cfRule>
    <cfRule type="cellIs" dxfId="11331" priority="9905" operator="equal">
      <formula>"Indeferido"</formula>
    </cfRule>
  </conditionalFormatting>
  <conditionalFormatting sqref="Q393">
    <cfRule type="containsText" dxfId="11330" priority="9902" operator="containsText" text="Cancelado">
      <formula>NOT(ISERROR(SEARCH("Cancelado",Q393)))</formula>
    </cfRule>
  </conditionalFormatting>
  <conditionalFormatting sqref="S393">
    <cfRule type="cellIs" dxfId="11329" priority="9899" operator="equal">
      <formula>"Tramitando"</formula>
    </cfRule>
    <cfRule type="cellIs" dxfId="11328" priority="9900" operator="equal">
      <formula>"Deferido"</formula>
    </cfRule>
    <cfRule type="cellIs" dxfId="11327" priority="9901" operator="equal">
      <formula>"Indeferido"</formula>
    </cfRule>
  </conditionalFormatting>
  <conditionalFormatting sqref="S393">
    <cfRule type="containsText" dxfId="11326" priority="9898" operator="containsText" text="Cancelado">
      <formula>NOT(ISERROR(SEARCH("Cancelado",S393)))</formula>
    </cfRule>
  </conditionalFormatting>
  <conditionalFormatting sqref="J394">
    <cfRule type="cellIs" dxfId="11325" priority="9894" operator="equal">
      <formula>"Tramitando"</formula>
    </cfRule>
    <cfRule type="cellIs" dxfId="11324" priority="9895" operator="equal">
      <formula>"Deferido"</formula>
    </cfRule>
    <cfRule type="cellIs" dxfId="11323" priority="9896" operator="equal">
      <formula>"Indeferido"</formula>
    </cfRule>
  </conditionalFormatting>
  <conditionalFormatting sqref="J394">
    <cfRule type="containsText" dxfId="11322" priority="9893" operator="containsText" text="Cancelado">
      <formula>NOT(ISERROR(SEARCH("Cancelado",J394)))</formula>
    </cfRule>
  </conditionalFormatting>
  <conditionalFormatting sqref="M394">
    <cfRule type="cellIs" dxfId="11321" priority="9890" operator="equal">
      <formula>"Tramitando"</formula>
    </cfRule>
    <cfRule type="cellIs" dxfId="11320" priority="9891" operator="equal">
      <formula>"Deferido"</formula>
    </cfRule>
    <cfRule type="cellIs" dxfId="11319" priority="9892" operator="equal">
      <formula>"Indeferido"</formula>
    </cfRule>
  </conditionalFormatting>
  <conditionalFormatting sqref="M394">
    <cfRule type="containsText" dxfId="11318" priority="9889" operator="containsText" text="Cancelado">
      <formula>NOT(ISERROR(SEARCH("Cancelado",M394)))</formula>
    </cfRule>
  </conditionalFormatting>
  <conditionalFormatting sqref="O394">
    <cfRule type="cellIs" dxfId="11317" priority="9886" operator="equal">
      <formula>"Tramitando"</formula>
    </cfRule>
    <cfRule type="cellIs" dxfId="11316" priority="9887" operator="equal">
      <formula>"Deferido"</formula>
    </cfRule>
    <cfRule type="cellIs" dxfId="11315" priority="9888" operator="equal">
      <formula>"Indeferido"</formula>
    </cfRule>
  </conditionalFormatting>
  <conditionalFormatting sqref="O394">
    <cfRule type="containsText" dxfId="11314" priority="9885" operator="containsText" text="Cancelado">
      <formula>NOT(ISERROR(SEARCH("Cancelado",O394)))</formula>
    </cfRule>
  </conditionalFormatting>
  <conditionalFormatting sqref="Q394">
    <cfRule type="cellIs" dxfId="11313" priority="9882" operator="equal">
      <formula>"Tramitando"</formula>
    </cfRule>
    <cfRule type="cellIs" dxfId="11312" priority="9883" operator="equal">
      <formula>"Deferido"</formula>
    </cfRule>
    <cfRule type="cellIs" dxfId="11311" priority="9884" operator="equal">
      <formula>"Indeferido"</formula>
    </cfRule>
  </conditionalFormatting>
  <conditionalFormatting sqref="Q394">
    <cfRule type="containsText" dxfId="11310" priority="9881" operator="containsText" text="Cancelado">
      <formula>NOT(ISERROR(SEARCH("Cancelado",Q394)))</formula>
    </cfRule>
  </conditionalFormatting>
  <conditionalFormatting sqref="S394">
    <cfRule type="cellIs" dxfId="11309" priority="9878" operator="equal">
      <formula>"Tramitando"</formula>
    </cfRule>
    <cfRule type="cellIs" dxfId="11308" priority="9879" operator="equal">
      <formula>"Deferido"</formula>
    </cfRule>
    <cfRule type="cellIs" dxfId="11307" priority="9880" operator="equal">
      <formula>"Indeferido"</formula>
    </cfRule>
  </conditionalFormatting>
  <conditionalFormatting sqref="S394">
    <cfRule type="containsText" dxfId="11306" priority="9877" operator="containsText" text="Cancelado">
      <formula>NOT(ISERROR(SEARCH("Cancelado",S394)))</formula>
    </cfRule>
  </conditionalFormatting>
  <conditionalFormatting sqref="J395">
    <cfRule type="cellIs" dxfId="11305" priority="9873" operator="equal">
      <formula>"Tramitando"</formula>
    </cfRule>
    <cfRule type="cellIs" dxfId="11304" priority="9874" operator="equal">
      <formula>"Deferido"</formula>
    </cfRule>
    <cfRule type="cellIs" dxfId="11303" priority="9875" operator="equal">
      <formula>"Indeferido"</formula>
    </cfRule>
  </conditionalFormatting>
  <conditionalFormatting sqref="J395">
    <cfRule type="containsText" dxfId="11302" priority="9872" operator="containsText" text="Cancelado">
      <formula>NOT(ISERROR(SEARCH("Cancelado",J395)))</formula>
    </cfRule>
  </conditionalFormatting>
  <conditionalFormatting sqref="M395">
    <cfRule type="cellIs" dxfId="11301" priority="9869" operator="equal">
      <formula>"Tramitando"</formula>
    </cfRule>
    <cfRule type="cellIs" dxfId="11300" priority="9870" operator="equal">
      <formula>"Deferido"</formula>
    </cfRule>
    <cfRule type="cellIs" dxfId="11299" priority="9871" operator="equal">
      <formula>"Indeferido"</formula>
    </cfRule>
  </conditionalFormatting>
  <conditionalFormatting sqref="M395">
    <cfRule type="containsText" dxfId="11298" priority="9868" operator="containsText" text="Cancelado">
      <formula>NOT(ISERROR(SEARCH("Cancelado",M395)))</formula>
    </cfRule>
  </conditionalFormatting>
  <conditionalFormatting sqref="O395">
    <cfRule type="cellIs" dxfId="11297" priority="9865" operator="equal">
      <formula>"Tramitando"</formula>
    </cfRule>
    <cfRule type="cellIs" dxfId="11296" priority="9866" operator="equal">
      <formula>"Deferido"</formula>
    </cfRule>
    <cfRule type="cellIs" dxfId="11295" priority="9867" operator="equal">
      <formula>"Indeferido"</formula>
    </cfRule>
  </conditionalFormatting>
  <conditionalFormatting sqref="O395">
    <cfRule type="containsText" dxfId="11294" priority="9864" operator="containsText" text="Cancelado">
      <formula>NOT(ISERROR(SEARCH("Cancelado",O395)))</formula>
    </cfRule>
  </conditionalFormatting>
  <conditionalFormatting sqref="Q395">
    <cfRule type="cellIs" dxfId="11293" priority="9861" operator="equal">
      <formula>"Tramitando"</formula>
    </cfRule>
    <cfRule type="cellIs" dxfId="11292" priority="9862" operator="equal">
      <formula>"Deferido"</formula>
    </cfRule>
    <cfRule type="cellIs" dxfId="11291" priority="9863" operator="equal">
      <formula>"Indeferido"</formula>
    </cfRule>
  </conditionalFormatting>
  <conditionalFormatting sqref="Q395">
    <cfRule type="containsText" dxfId="11290" priority="9860" operator="containsText" text="Cancelado">
      <formula>NOT(ISERROR(SEARCH("Cancelado",Q395)))</formula>
    </cfRule>
  </conditionalFormatting>
  <conditionalFormatting sqref="S395">
    <cfRule type="cellIs" dxfId="11289" priority="9857" operator="equal">
      <formula>"Tramitando"</formula>
    </cfRule>
    <cfRule type="cellIs" dxfId="11288" priority="9858" operator="equal">
      <formula>"Deferido"</formula>
    </cfRule>
    <cfRule type="cellIs" dxfId="11287" priority="9859" operator="equal">
      <formula>"Indeferido"</formula>
    </cfRule>
  </conditionalFormatting>
  <conditionalFormatting sqref="S395">
    <cfRule type="containsText" dxfId="11286" priority="9856" operator="containsText" text="Cancelado">
      <formula>NOT(ISERROR(SEARCH("Cancelado",S395)))</formula>
    </cfRule>
  </conditionalFormatting>
  <conditionalFormatting sqref="J396">
    <cfRule type="cellIs" dxfId="11285" priority="9852" operator="equal">
      <formula>"Tramitando"</formula>
    </cfRule>
    <cfRule type="cellIs" dxfId="11284" priority="9853" operator="equal">
      <formula>"Deferido"</formula>
    </cfRule>
    <cfRule type="cellIs" dxfId="11283" priority="9854" operator="equal">
      <formula>"Indeferido"</formula>
    </cfRule>
  </conditionalFormatting>
  <conditionalFormatting sqref="J396">
    <cfRule type="containsText" dxfId="11282" priority="9851" operator="containsText" text="Cancelado">
      <formula>NOT(ISERROR(SEARCH("Cancelado",J396)))</formula>
    </cfRule>
  </conditionalFormatting>
  <conditionalFormatting sqref="M396">
    <cfRule type="cellIs" dxfId="11281" priority="9848" operator="equal">
      <formula>"Tramitando"</formula>
    </cfRule>
    <cfRule type="cellIs" dxfId="11280" priority="9849" operator="equal">
      <formula>"Deferido"</formula>
    </cfRule>
    <cfRule type="cellIs" dxfId="11279" priority="9850" operator="equal">
      <formula>"Indeferido"</formula>
    </cfRule>
  </conditionalFormatting>
  <conditionalFormatting sqref="M396">
    <cfRule type="containsText" dxfId="11278" priority="9847" operator="containsText" text="Cancelado">
      <formula>NOT(ISERROR(SEARCH("Cancelado",M396)))</formula>
    </cfRule>
  </conditionalFormatting>
  <conditionalFormatting sqref="O396">
    <cfRule type="cellIs" dxfId="11277" priority="9844" operator="equal">
      <formula>"Tramitando"</formula>
    </cfRule>
    <cfRule type="cellIs" dxfId="11276" priority="9845" operator="equal">
      <formula>"Deferido"</formula>
    </cfRule>
    <cfRule type="cellIs" dxfId="11275" priority="9846" operator="equal">
      <formula>"Indeferido"</formula>
    </cfRule>
  </conditionalFormatting>
  <conditionalFormatting sqref="O396">
    <cfRule type="containsText" dxfId="11274" priority="9843" operator="containsText" text="Cancelado">
      <formula>NOT(ISERROR(SEARCH("Cancelado",O396)))</formula>
    </cfRule>
  </conditionalFormatting>
  <conditionalFormatting sqref="Q396">
    <cfRule type="cellIs" dxfId="11273" priority="9840" operator="equal">
      <formula>"Tramitando"</formula>
    </cfRule>
    <cfRule type="cellIs" dxfId="11272" priority="9841" operator="equal">
      <formula>"Deferido"</formula>
    </cfRule>
    <cfRule type="cellIs" dxfId="11271" priority="9842" operator="equal">
      <formula>"Indeferido"</formula>
    </cfRule>
  </conditionalFormatting>
  <conditionalFormatting sqref="Q396">
    <cfRule type="containsText" dxfId="11270" priority="9839" operator="containsText" text="Cancelado">
      <formula>NOT(ISERROR(SEARCH("Cancelado",Q396)))</formula>
    </cfRule>
  </conditionalFormatting>
  <conditionalFormatting sqref="S396">
    <cfRule type="cellIs" dxfId="11269" priority="9836" operator="equal">
      <formula>"Tramitando"</formula>
    </cfRule>
    <cfRule type="cellIs" dxfId="11268" priority="9837" operator="equal">
      <formula>"Deferido"</formula>
    </cfRule>
    <cfRule type="cellIs" dxfId="11267" priority="9838" operator="equal">
      <formula>"Indeferido"</formula>
    </cfRule>
  </conditionalFormatting>
  <conditionalFormatting sqref="S396">
    <cfRule type="containsText" dxfId="11266" priority="9835" operator="containsText" text="Cancelado">
      <formula>NOT(ISERROR(SEARCH("Cancelado",S396)))</formula>
    </cfRule>
  </conditionalFormatting>
  <conditionalFormatting sqref="J397">
    <cfRule type="cellIs" dxfId="11265" priority="9831" operator="equal">
      <formula>"Tramitando"</formula>
    </cfRule>
    <cfRule type="cellIs" dxfId="11264" priority="9832" operator="equal">
      <formula>"Deferido"</formula>
    </cfRule>
    <cfRule type="cellIs" dxfId="11263" priority="9833" operator="equal">
      <formula>"Indeferido"</formula>
    </cfRule>
  </conditionalFormatting>
  <conditionalFormatting sqref="J397">
    <cfRule type="containsText" dxfId="11262" priority="9830" operator="containsText" text="Cancelado">
      <formula>NOT(ISERROR(SEARCH("Cancelado",J397)))</formula>
    </cfRule>
  </conditionalFormatting>
  <conditionalFormatting sqref="M397">
    <cfRule type="cellIs" dxfId="11261" priority="9827" operator="equal">
      <formula>"Tramitando"</formula>
    </cfRule>
    <cfRule type="cellIs" dxfId="11260" priority="9828" operator="equal">
      <formula>"Deferido"</formula>
    </cfRule>
    <cfRule type="cellIs" dxfId="11259" priority="9829" operator="equal">
      <formula>"Indeferido"</formula>
    </cfRule>
  </conditionalFormatting>
  <conditionalFormatting sqref="M397">
    <cfRule type="containsText" dxfId="11258" priority="9826" operator="containsText" text="Cancelado">
      <formula>NOT(ISERROR(SEARCH("Cancelado",M397)))</formula>
    </cfRule>
  </conditionalFormatting>
  <conditionalFormatting sqref="O397">
    <cfRule type="cellIs" dxfId="11257" priority="9823" operator="equal">
      <formula>"Tramitando"</formula>
    </cfRule>
    <cfRule type="cellIs" dxfId="11256" priority="9824" operator="equal">
      <formula>"Deferido"</formula>
    </cfRule>
    <cfRule type="cellIs" dxfId="11255" priority="9825" operator="equal">
      <formula>"Indeferido"</formula>
    </cfRule>
  </conditionalFormatting>
  <conditionalFormatting sqref="O397">
    <cfRule type="containsText" dxfId="11254" priority="9822" operator="containsText" text="Cancelado">
      <formula>NOT(ISERROR(SEARCH("Cancelado",O397)))</formula>
    </cfRule>
  </conditionalFormatting>
  <conditionalFormatting sqref="Q397">
    <cfRule type="cellIs" dxfId="11253" priority="9819" operator="equal">
      <formula>"Tramitando"</formula>
    </cfRule>
    <cfRule type="cellIs" dxfId="11252" priority="9820" operator="equal">
      <formula>"Deferido"</formula>
    </cfRule>
    <cfRule type="cellIs" dxfId="11251" priority="9821" operator="equal">
      <formula>"Indeferido"</formula>
    </cfRule>
  </conditionalFormatting>
  <conditionalFormatting sqref="Q397">
    <cfRule type="containsText" dxfId="11250" priority="9818" operator="containsText" text="Cancelado">
      <formula>NOT(ISERROR(SEARCH("Cancelado",Q397)))</formula>
    </cfRule>
  </conditionalFormatting>
  <conditionalFormatting sqref="S397">
    <cfRule type="cellIs" dxfId="11249" priority="9815" operator="equal">
      <formula>"Tramitando"</formula>
    </cfRule>
    <cfRule type="cellIs" dxfId="11248" priority="9816" operator="equal">
      <formula>"Deferido"</formula>
    </cfRule>
    <cfRule type="cellIs" dxfId="11247" priority="9817" operator="equal">
      <formula>"Indeferido"</formula>
    </cfRule>
  </conditionalFormatting>
  <conditionalFormatting sqref="S397">
    <cfRule type="containsText" dxfId="11246" priority="9814" operator="containsText" text="Cancelado">
      <formula>NOT(ISERROR(SEARCH("Cancelado",S397)))</formula>
    </cfRule>
  </conditionalFormatting>
  <conditionalFormatting sqref="J398">
    <cfRule type="cellIs" dxfId="11245" priority="9810" operator="equal">
      <formula>"Tramitando"</formula>
    </cfRule>
    <cfRule type="cellIs" dxfId="11244" priority="9811" operator="equal">
      <formula>"Deferido"</formula>
    </cfRule>
    <cfRule type="cellIs" dxfId="11243" priority="9812" operator="equal">
      <formula>"Indeferido"</formula>
    </cfRule>
  </conditionalFormatting>
  <conditionalFormatting sqref="J398">
    <cfRule type="containsText" dxfId="11242" priority="9809" operator="containsText" text="Cancelado">
      <formula>NOT(ISERROR(SEARCH("Cancelado",J398)))</formula>
    </cfRule>
  </conditionalFormatting>
  <conditionalFormatting sqref="M398">
    <cfRule type="cellIs" dxfId="11241" priority="9806" operator="equal">
      <formula>"Tramitando"</formula>
    </cfRule>
    <cfRule type="cellIs" dxfId="11240" priority="9807" operator="equal">
      <formula>"Deferido"</formula>
    </cfRule>
    <cfRule type="cellIs" dxfId="11239" priority="9808" operator="equal">
      <formula>"Indeferido"</formula>
    </cfRule>
  </conditionalFormatting>
  <conditionalFormatting sqref="M398">
    <cfRule type="containsText" dxfId="11238" priority="9805" operator="containsText" text="Cancelado">
      <formula>NOT(ISERROR(SEARCH("Cancelado",M398)))</formula>
    </cfRule>
  </conditionalFormatting>
  <conditionalFormatting sqref="O398">
    <cfRule type="cellIs" dxfId="11237" priority="9802" operator="equal">
      <formula>"Tramitando"</formula>
    </cfRule>
    <cfRule type="cellIs" dxfId="11236" priority="9803" operator="equal">
      <formula>"Deferido"</formula>
    </cfRule>
    <cfRule type="cellIs" dxfId="11235" priority="9804" operator="equal">
      <formula>"Indeferido"</formula>
    </cfRule>
  </conditionalFormatting>
  <conditionalFormatting sqref="O398">
    <cfRule type="containsText" dxfId="11234" priority="9801" operator="containsText" text="Cancelado">
      <formula>NOT(ISERROR(SEARCH("Cancelado",O398)))</formula>
    </cfRule>
  </conditionalFormatting>
  <conditionalFormatting sqref="Q398">
    <cfRule type="cellIs" dxfId="11233" priority="9798" operator="equal">
      <formula>"Tramitando"</formula>
    </cfRule>
    <cfRule type="cellIs" dxfId="11232" priority="9799" operator="equal">
      <formula>"Deferido"</formula>
    </cfRule>
    <cfRule type="cellIs" dxfId="11231" priority="9800" operator="equal">
      <formula>"Indeferido"</formula>
    </cfRule>
  </conditionalFormatting>
  <conditionalFormatting sqref="Q398">
    <cfRule type="containsText" dxfId="11230" priority="9797" operator="containsText" text="Cancelado">
      <formula>NOT(ISERROR(SEARCH("Cancelado",Q398)))</formula>
    </cfRule>
  </conditionalFormatting>
  <conditionalFormatting sqref="S398">
    <cfRule type="cellIs" dxfId="11229" priority="9794" operator="equal">
      <formula>"Tramitando"</formula>
    </cfRule>
    <cfRule type="cellIs" dxfId="11228" priority="9795" operator="equal">
      <formula>"Deferido"</formula>
    </cfRule>
    <cfRule type="cellIs" dxfId="11227" priority="9796" operator="equal">
      <formula>"Indeferido"</formula>
    </cfRule>
  </conditionalFormatting>
  <conditionalFormatting sqref="S398">
    <cfRule type="containsText" dxfId="11226" priority="9793" operator="containsText" text="Cancelado">
      <formula>NOT(ISERROR(SEARCH("Cancelado",S398)))</formula>
    </cfRule>
  </conditionalFormatting>
  <conditionalFormatting sqref="J399">
    <cfRule type="cellIs" dxfId="11225" priority="9789" operator="equal">
      <formula>"Tramitando"</formula>
    </cfRule>
    <cfRule type="cellIs" dxfId="11224" priority="9790" operator="equal">
      <formula>"Deferido"</formula>
    </cfRule>
    <cfRule type="cellIs" dxfId="11223" priority="9791" operator="equal">
      <formula>"Indeferido"</formula>
    </cfRule>
  </conditionalFormatting>
  <conditionalFormatting sqref="J399">
    <cfRule type="containsText" dxfId="11222" priority="9788" operator="containsText" text="Cancelado">
      <formula>NOT(ISERROR(SEARCH("Cancelado",J399)))</formula>
    </cfRule>
  </conditionalFormatting>
  <conditionalFormatting sqref="M399">
    <cfRule type="cellIs" dxfId="11221" priority="9785" operator="equal">
      <formula>"Tramitando"</formula>
    </cfRule>
    <cfRule type="cellIs" dxfId="11220" priority="9786" operator="equal">
      <formula>"Deferido"</formula>
    </cfRule>
    <cfRule type="cellIs" dxfId="11219" priority="9787" operator="equal">
      <formula>"Indeferido"</formula>
    </cfRule>
  </conditionalFormatting>
  <conditionalFormatting sqref="M399">
    <cfRule type="containsText" dxfId="11218" priority="9784" operator="containsText" text="Cancelado">
      <formula>NOT(ISERROR(SEARCH("Cancelado",M399)))</formula>
    </cfRule>
  </conditionalFormatting>
  <conditionalFormatting sqref="O399">
    <cfRule type="cellIs" dxfId="11217" priority="9781" operator="equal">
      <formula>"Tramitando"</formula>
    </cfRule>
    <cfRule type="cellIs" dxfId="11216" priority="9782" operator="equal">
      <formula>"Deferido"</formula>
    </cfRule>
    <cfRule type="cellIs" dxfId="11215" priority="9783" operator="equal">
      <formula>"Indeferido"</formula>
    </cfRule>
  </conditionalFormatting>
  <conditionalFormatting sqref="O399">
    <cfRule type="containsText" dxfId="11214" priority="9780" operator="containsText" text="Cancelado">
      <formula>NOT(ISERROR(SEARCH("Cancelado",O399)))</formula>
    </cfRule>
  </conditionalFormatting>
  <conditionalFormatting sqref="Q399">
    <cfRule type="cellIs" dxfId="11213" priority="9777" operator="equal">
      <formula>"Tramitando"</formula>
    </cfRule>
    <cfRule type="cellIs" dxfId="11212" priority="9778" operator="equal">
      <formula>"Deferido"</formula>
    </cfRule>
    <cfRule type="cellIs" dxfId="11211" priority="9779" operator="equal">
      <formula>"Indeferido"</formula>
    </cfRule>
  </conditionalFormatting>
  <conditionalFormatting sqref="Q399">
    <cfRule type="containsText" dxfId="11210" priority="9776" operator="containsText" text="Cancelado">
      <formula>NOT(ISERROR(SEARCH("Cancelado",Q399)))</formula>
    </cfRule>
  </conditionalFormatting>
  <conditionalFormatting sqref="S399">
    <cfRule type="cellIs" dxfId="11209" priority="9773" operator="equal">
      <formula>"Tramitando"</formula>
    </cfRule>
    <cfRule type="cellIs" dxfId="11208" priority="9774" operator="equal">
      <formula>"Deferido"</formula>
    </cfRule>
    <cfRule type="cellIs" dxfId="11207" priority="9775" operator="equal">
      <formula>"Indeferido"</formula>
    </cfRule>
  </conditionalFormatting>
  <conditionalFormatting sqref="S399">
    <cfRule type="containsText" dxfId="11206" priority="9772" operator="containsText" text="Cancelado">
      <formula>NOT(ISERROR(SEARCH("Cancelado",S399)))</formula>
    </cfRule>
  </conditionalFormatting>
  <conditionalFormatting sqref="J400">
    <cfRule type="cellIs" dxfId="11205" priority="9768" operator="equal">
      <formula>"Tramitando"</formula>
    </cfRule>
    <cfRule type="cellIs" dxfId="11204" priority="9769" operator="equal">
      <formula>"Deferido"</formula>
    </cfRule>
    <cfRule type="cellIs" dxfId="11203" priority="9770" operator="equal">
      <formula>"Indeferido"</formula>
    </cfRule>
  </conditionalFormatting>
  <conditionalFormatting sqref="J400">
    <cfRule type="containsText" dxfId="11202" priority="9767" operator="containsText" text="Cancelado">
      <formula>NOT(ISERROR(SEARCH("Cancelado",J400)))</formula>
    </cfRule>
  </conditionalFormatting>
  <conditionalFormatting sqref="M400">
    <cfRule type="cellIs" dxfId="11201" priority="9764" operator="equal">
      <formula>"Tramitando"</formula>
    </cfRule>
    <cfRule type="cellIs" dxfId="11200" priority="9765" operator="equal">
      <formula>"Deferido"</formula>
    </cfRule>
    <cfRule type="cellIs" dxfId="11199" priority="9766" operator="equal">
      <formula>"Indeferido"</formula>
    </cfRule>
  </conditionalFormatting>
  <conditionalFormatting sqref="M400">
    <cfRule type="containsText" dxfId="11198" priority="9763" operator="containsText" text="Cancelado">
      <formula>NOT(ISERROR(SEARCH("Cancelado",M400)))</formula>
    </cfRule>
  </conditionalFormatting>
  <conditionalFormatting sqref="O400">
    <cfRule type="cellIs" dxfId="11197" priority="9760" operator="equal">
      <formula>"Tramitando"</formula>
    </cfRule>
    <cfRule type="cellIs" dxfId="11196" priority="9761" operator="equal">
      <formula>"Deferido"</formula>
    </cfRule>
    <cfRule type="cellIs" dxfId="11195" priority="9762" operator="equal">
      <formula>"Indeferido"</formula>
    </cfRule>
  </conditionalFormatting>
  <conditionalFormatting sqref="O400">
    <cfRule type="containsText" dxfId="11194" priority="9759" operator="containsText" text="Cancelado">
      <formula>NOT(ISERROR(SEARCH("Cancelado",O400)))</formula>
    </cfRule>
  </conditionalFormatting>
  <conditionalFormatting sqref="Q400">
    <cfRule type="cellIs" dxfId="11193" priority="9756" operator="equal">
      <formula>"Tramitando"</formula>
    </cfRule>
    <cfRule type="cellIs" dxfId="11192" priority="9757" operator="equal">
      <formula>"Deferido"</formula>
    </cfRule>
    <cfRule type="cellIs" dxfId="11191" priority="9758" operator="equal">
      <formula>"Indeferido"</formula>
    </cfRule>
  </conditionalFormatting>
  <conditionalFormatting sqref="Q400">
    <cfRule type="containsText" dxfId="11190" priority="9755" operator="containsText" text="Cancelado">
      <formula>NOT(ISERROR(SEARCH("Cancelado",Q400)))</formula>
    </cfRule>
  </conditionalFormatting>
  <conditionalFormatting sqref="S400">
    <cfRule type="cellIs" dxfId="11189" priority="9752" operator="equal">
      <formula>"Tramitando"</formula>
    </cfRule>
    <cfRule type="cellIs" dxfId="11188" priority="9753" operator="equal">
      <formula>"Deferido"</formula>
    </cfRule>
    <cfRule type="cellIs" dxfId="11187" priority="9754" operator="equal">
      <formula>"Indeferido"</formula>
    </cfRule>
  </conditionalFormatting>
  <conditionalFormatting sqref="S400">
    <cfRule type="containsText" dxfId="11186" priority="9751" operator="containsText" text="Cancelado">
      <formula>NOT(ISERROR(SEARCH("Cancelado",S400)))</formula>
    </cfRule>
  </conditionalFormatting>
  <conditionalFormatting sqref="J401">
    <cfRule type="cellIs" dxfId="11185" priority="9747" operator="equal">
      <formula>"Tramitando"</formula>
    </cfRule>
    <cfRule type="cellIs" dxfId="11184" priority="9748" operator="equal">
      <formula>"Deferido"</formula>
    </cfRule>
    <cfRule type="cellIs" dxfId="11183" priority="9749" operator="equal">
      <formula>"Indeferido"</formula>
    </cfRule>
  </conditionalFormatting>
  <conditionalFormatting sqref="J401">
    <cfRule type="containsText" dxfId="11182" priority="9746" operator="containsText" text="Cancelado">
      <formula>NOT(ISERROR(SEARCH("Cancelado",J401)))</formula>
    </cfRule>
  </conditionalFormatting>
  <conditionalFormatting sqref="M401">
    <cfRule type="cellIs" dxfId="11181" priority="9743" operator="equal">
      <formula>"Tramitando"</formula>
    </cfRule>
    <cfRule type="cellIs" dxfId="11180" priority="9744" operator="equal">
      <formula>"Deferido"</formula>
    </cfRule>
    <cfRule type="cellIs" dxfId="11179" priority="9745" operator="equal">
      <formula>"Indeferido"</formula>
    </cfRule>
  </conditionalFormatting>
  <conditionalFormatting sqref="M401">
    <cfRule type="containsText" dxfId="11178" priority="9742" operator="containsText" text="Cancelado">
      <formula>NOT(ISERROR(SEARCH("Cancelado",M401)))</formula>
    </cfRule>
  </conditionalFormatting>
  <conditionalFormatting sqref="O401">
    <cfRule type="cellIs" dxfId="11177" priority="9739" operator="equal">
      <formula>"Tramitando"</formula>
    </cfRule>
    <cfRule type="cellIs" dxfId="11176" priority="9740" operator="equal">
      <formula>"Deferido"</formula>
    </cfRule>
    <cfRule type="cellIs" dxfId="11175" priority="9741" operator="equal">
      <formula>"Indeferido"</formula>
    </cfRule>
  </conditionalFormatting>
  <conditionalFormatting sqref="O401">
    <cfRule type="containsText" dxfId="11174" priority="9738" operator="containsText" text="Cancelado">
      <formula>NOT(ISERROR(SEARCH("Cancelado",O401)))</formula>
    </cfRule>
  </conditionalFormatting>
  <conditionalFormatting sqref="Q401">
    <cfRule type="cellIs" dxfId="11173" priority="9735" operator="equal">
      <formula>"Tramitando"</formula>
    </cfRule>
    <cfRule type="cellIs" dxfId="11172" priority="9736" operator="equal">
      <formula>"Deferido"</formula>
    </cfRule>
    <cfRule type="cellIs" dxfId="11171" priority="9737" operator="equal">
      <formula>"Indeferido"</formula>
    </cfRule>
  </conditionalFormatting>
  <conditionalFormatting sqref="Q401">
    <cfRule type="containsText" dxfId="11170" priority="9734" operator="containsText" text="Cancelado">
      <formula>NOT(ISERROR(SEARCH("Cancelado",Q401)))</formula>
    </cfRule>
  </conditionalFormatting>
  <conditionalFormatting sqref="S401">
    <cfRule type="cellIs" dxfId="11169" priority="9731" operator="equal">
      <formula>"Tramitando"</formula>
    </cfRule>
    <cfRule type="cellIs" dxfId="11168" priority="9732" operator="equal">
      <formula>"Deferido"</formula>
    </cfRule>
    <cfRule type="cellIs" dxfId="11167" priority="9733" operator="equal">
      <formula>"Indeferido"</formula>
    </cfRule>
  </conditionalFormatting>
  <conditionalFormatting sqref="S401">
    <cfRule type="containsText" dxfId="11166" priority="9730" operator="containsText" text="Cancelado">
      <formula>NOT(ISERROR(SEARCH("Cancelado",S401)))</formula>
    </cfRule>
  </conditionalFormatting>
  <conditionalFormatting sqref="J402">
    <cfRule type="cellIs" dxfId="11165" priority="9726" operator="equal">
      <formula>"Tramitando"</formula>
    </cfRule>
    <cfRule type="cellIs" dxfId="11164" priority="9727" operator="equal">
      <formula>"Deferido"</formula>
    </cfRule>
    <cfRule type="cellIs" dxfId="11163" priority="9728" operator="equal">
      <formula>"Indeferido"</formula>
    </cfRule>
  </conditionalFormatting>
  <conditionalFormatting sqref="J402">
    <cfRule type="containsText" dxfId="11162" priority="9725" operator="containsText" text="Cancelado">
      <formula>NOT(ISERROR(SEARCH("Cancelado",J402)))</formula>
    </cfRule>
  </conditionalFormatting>
  <conditionalFormatting sqref="M402">
    <cfRule type="cellIs" dxfId="11161" priority="9722" operator="equal">
      <formula>"Tramitando"</formula>
    </cfRule>
    <cfRule type="cellIs" dxfId="11160" priority="9723" operator="equal">
      <formula>"Deferido"</formula>
    </cfRule>
    <cfRule type="cellIs" dxfId="11159" priority="9724" operator="equal">
      <formula>"Indeferido"</formula>
    </cfRule>
  </conditionalFormatting>
  <conditionalFormatting sqref="M402">
    <cfRule type="containsText" dxfId="11158" priority="9721" operator="containsText" text="Cancelado">
      <formula>NOT(ISERROR(SEARCH("Cancelado",M402)))</formula>
    </cfRule>
  </conditionalFormatting>
  <conditionalFormatting sqref="O402">
    <cfRule type="cellIs" dxfId="11157" priority="9718" operator="equal">
      <formula>"Tramitando"</formula>
    </cfRule>
    <cfRule type="cellIs" dxfId="11156" priority="9719" operator="equal">
      <formula>"Deferido"</formula>
    </cfRule>
    <cfRule type="cellIs" dxfId="11155" priority="9720" operator="equal">
      <formula>"Indeferido"</formula>
    </cfRule>
  </conditionalFormatting>
  <conditionalFormatting sqref="O402">
    <cfRule type="containsText" dxfId="11154" priority="9717" operator="containsText" text="Cancelado">
      <formula>NOT(ISERROR(SEARCH("Cancelado",O402)))</formula>
    </cfRule>
  </conditionalFormatting>
  <conditionalFormatting sqref="Q402">
    <cfRule type="cellIs" dxfId="11153" priority="9714" operator="equal">
      <formula>"Tramitando"</formula>
    </cfRule>
    <cfRule type="cellIs" dxfId="11152" priority="9715" operator="equal">
      <formula>"Deferido"</formula>
    </cfRule>
    <cfRule type="cellIs" dxfId="11151" priority="9716" operator="equal">
      <formula>"Indeferido"</formula>
    </cfRule>
  </conditionalFormatting>
  <conditionalFormatting sqref="Q402">
    <cfRule type="containsText" dxfId="11150" priority="9713" operator="containsText" text="Cancelado">
      <formula>NOT(ISERROR(SEARCH("Cancelado",Q402)))</formula>
    </cfRule>
  </conditionalFormatting>
  <conditionalFormatting sqref="S402">
    <cfRule type="cellIs" dxfId="11149" priority="9710" operator="equal">
      <formula>"Tramitando"</formula>
    </cfRule>
    <cfRule type="cellIs" dxfId="11148" priority="9711" operator="equal">
      <formula>"Deferido"</formula>
    </cfRule>
    <cfRule type="cellIs" dxfId="11147" priority="9712" operator="equal">
      <formula>"Indeferido"</formula>
    </cfRule>
  </conditionalFormatting>
  <conditionalFormatting sqref="S402">
    <cfRule type="containsText" dxfId="11146" priority="9709" operator="containsText" text="Cancelado">
      <formula>NOT(ISERROR(SEARCH("Cancelado",S402)))</formula>
    </cfRule>
  </conditionalFormatting>
  <conditionalFormatting sqref="J403">
    <cfRule type="cellIs" dxfId="11145" priority="9705" operator="equal">
      <formula>"Tramitando"</formula>
    </cfRule>
    <cfRule type="cellIs" dxfId="11144" priority="9706" operator="equal">
      <formula>"Deferido"</formula>
    </cfRule>
    <cfRule type="cellIs" dxfId="11143" priority="9707" operator="equal">
      <formula>"Indeferido"</formula>
    </cfRule>
  </conditionalFormatting>
  <conditionalFormatting sqref="J403">
    <cfRule type="containsText" dxfId="11142" priority="9704" operator="containsText" text="Cancelado">
      <formula>NOT(ISERROR(SEARCH("Cancelado",J403)))</formula>
    </cfRule>
  </conditionalFormatting>
  <conditionalFormatting sqref="M403:M404">
    <cfRule type="cellIs" dxfId="11141" priority="9701" operator="equal">
      <formula>"Tramitando"</formula>
    </cfRule>
    <cfRule type="cellIs" dxfId="11140" priority="9702" operator="equal">
      <formula>"Deferido"</formula>
    </cfRule>
    <cfRule type="cellIs" dxfId="11139" priority="9703" operator="equal">
      <formula>"Indeferido"</formula>
    </cfRule>
  </conditionalFormatting>
  <conditionalFormatting sqref="M403:M404">
    <cfRule type="containsText" dxfId="11138" priority="9700" operator="containsText" text="Cancelado">
      <formula>NOT(ISERROR(SEARCH("Cancelado",M403)))</formula>
    </cfRule>
  </conditionalFormatting>
  <conditionalFormatting sqref="O403:O404">
    <cfRule type="cellIs" dxfId="11137" priority="9697" operator="equal">
      <formula>"Tramitando"</formula>
    </cfRule>
    <cfRule type="cellIs" dxfId="11136" priority="9698" operator="equal">
      <formula>"Deferido"</formula>
    </cfRule>
    <cfRule type="cellIs" dxfId="11135" priority="9699" operator="equal">
      <formula>"Indeferido"</formula>
    </cfRule>
  </conditionalFormatting>
  <conditionalFormatting sqref="O403:O404">
    <cfRule type="containsText" dxfId="11134" priority="9696" operator="containsText" text="Cancelado">
      <formula>NOT(ISERROR(SEARCH("Cancelado",O403)))</formula>
    </cfRule>
  </conditionalFormatting>
  <conditionalFormatting sqref="Q403:Q404">
    <cfRule type="cellIs" dxfId="11133" priority="9693" operator="equal">
      <formula>"Tramitando"</formula>
    </cfRule>
    <cfRule type="cellIs" dxfId="11132" priority="9694" operator="equal">
      <formula>"Deferido"</formula>
    </cfRule>
    <cfRule type="cellIs" dxfId="11131" priority="9695" operator="equal">
      <formula>"Indeferido"</formula>
    </cfRule>
  </conditionalFormatting>
  <conditionalFormatting sqref="Q403:Q404">
    <cfRule type="containsText" dxfId="11130" priority="9692" operator="containsText" text="Cancelado">
      <formula>NOT(ISERROR(SEARCH("Cancelado",Q403)))</formula>
    </cfRule>
  </conditionalFormatting>
  <conditionalFormatting sqref="S403:S404">
    <cfRule type="cellIs" dxfId="11129" priority="9689" operator="equal">
      <formula>"Tramitando"</formula>
    </cfRule>
    <cfRule type="cellIs" dxfId="11128" priority="9690" operator="equal">
      <formula>"Deferido"</formula>
    </cfRule>
    <cfRule type="cellIs" dxfId="11127" priority="9691" operator="equal">
      <formula>"Indeferido"</formula>
    </cfRule>
  </conditionalFormatting>
  <conditionalFormatting sqref="S403:S404">
    <cfRule type="containsText" dxfId="11126" priority="9688" operator="containsText" text="Cancelado">
      <formula>NOT(ISERROR(SEARCH("Cancelado",S403)))</formula>
    </cfRule>
  </conditionalFormatting>
  <conditionalFormatting sqref="J405">
    <cfRule type="cellIs" dxfId="11125" priority="9684" operator="equal">
      <formula>"Tramitando"</formula>
    </cfRule>
    <cfRule type="cellIs" dxfId="11124" priority="9685" operator="equal">
      <formula>"Deferido"</formula>
    </cfRule>
    <cfRule type="cellIs" dxfId="11123" priority="9686" operator="equal">
      <formula>"Indeferido"</formula>
    </cfRule>
  </conditionalFormatting>
  <conditionalFormatting sqref="J405">
    <cfRule type="containsText" dxfId="11122" priority="9683" operator="containsText" text="Cancelado">
      <formula>NOT(ISERROR(SEARCH("Cancelado",J405)))</formula>
    </cfRule>
  </conditionalFormatting>
  <conditionalFormatting sqref="M405">
    <cfRule type="cellIs" dxfId="11121" priority="9680" operator="equal">
      <formula>"Tramitando"</formula>
    </cfRule>
    <cfRule type="cellIs" dxfId="11120" priority="9681" operator="equal">
      <formula>"Deferido"</formula>
    </cfRule>
    <cfRule type="cellIs" dxfId="11119" priority="9682" operator="equal">
      <formula>"Indeferido"</formula>
    </cfRule>
  </conditionalFormatting>
  <conditionalFormatting sqref="M405">
    <cfRule type="containsText" dxfId="11118" priority="9679" operator="containsText" text="Cancelado">
      <formula>NOT(ISERROR(SEARCH("Cancelado",M405)))</formula>
    </cfRule>
  </conditionalFormatting>
  <conditionalFormatting sqref="O405">
    <cfRule type="cellIs" dxfId="11117" priority="9676" operator="equal">
      <formula>"Tramitando"</formula>
    </cfRule>
    <cfRule type="cellIs" dxfId="11116" priority="9677" operator="equal">
      <formula>"Deferido"</formula>
    </cfRule>
    <cfRule type="cellIs" dxfId="11115" priority="9678" operator="equal">
      <formula>"Indeferido"</formula>
    </cfRule>
  </conditionalFormatting>
  <conditionalFormatting sqref="O405">
    <cfRule type="containsText" dxfId="11114" priority="9675" operator="containsText" text="Cancelado">
      <formula>NOT(ISERROR(SEARCH("Cancelado",O405)))</formula>
    </cfRule>
  </conditionalFormatting>
  <conditionalFormatting sqref="Q405">
    <cfRule type="cellIs" dxfId="11113" priority="9672" operator="equal">
      <formula>"Tramitando"</formula>
    </cfRule>
    <cfRule type="cellIs" dxfId="11112" priority="9673" operator="equal">
      <formula>"Deferido"</formula>
    </cfRule>
    <cfRule type="cellIs" dxfId="11111" priority="9674" operator="equal">
      <formula>"Indeferido"</formula>
    </cfRule>
  </conditionalFormatting>
  <conditionalFormatting sqref="Q405">
    <cfRule type="containsText" dxfId="11110" priority="9671" operator="containsText" text="Cancelado">
      <formula>NOT(ISERROR(SEARCH("Cancelado",Q405)))</formula>
    </cfRule>
  </conditionalFormatting>
  <conditionalFormatting sqref="S405">
    <cfRule type="cellIs" dxfId="11109" priority="9668" operator="equal">
      <formula>"Tramitando"</formula>
    </cfRule>
    <cfRule type="cellIs" dxfId="11108" priority="9669" operator="equal">
      <formula>"Deferido"</formula>
    </cfRule>
    <cfRule type="cellIs" dxfId="11107" priority="9670" operator="equal">
      <formula>"Indeferido"</formula>
    </cfRule>
  </conditionalFormatting>
  <conditionalFormatting sqref="S405">
    <cfRule type="containsText" dxfId="11106" priority="9667" operator="containsText" text="Cancelado">
      <formula>NOT(ISERROR(SEARCH("Cancelado",S405)))</formula>
    </cfRule>
  </conditionalFormatting>
  <conditionalFormatting sqref="J406">
    <cfRule type="cellIs" dxfId="11105" priority="9663" operator="equal">
      <formula>"Tramitando"</formula>
    </cfRule>
    <cfRule type="cellIs" dxfId="11104" priority="9664" operator="equal">
      <formula>"Deferido"</formula>
    </cfRule>
    <cfRule type="cellIs" dxfId="11103" priority="9665" operator="equal">
      <formula>"Indeferido"</formula>
    </cfRule>
  </conditionalFormatting>
  <conditionalFormatting sqref="J406">
    <cfRule type="containsText" dxfId="11102" priority="9662" operator="containsText" text="Cancelado">
      <formula>NOT(ISERROR(SEARCH("Cancelado",J406)))</formula>
    </cfRule>
  </conditionalFormatting>
  <conditionalFormatting sqref="M406">
    <cfRule type="cellIs" dxfId="11101" priority="9659" operator="equal">
      <formula>"Tramitando"</formula>
    </cfRule>
    <cfRule type="cellIs" dxfId="11100" priority="9660" operator="equal">
      <formula>"Deferido"</formula>
    </cfRule>
    <cfRule type="cellIs" dxfId="11099" priority="9661" operator="equal">
      <formula>"Indeferido"</formula>
    </cfRule>
  </conditionalFormatting>
  <conditionalFormatting sqref="M406">
    <cfRule type="containsText" dxfId="11098" priority="9658" operator="containsText" text="Cancelado">
      <formula>NOT(ISERROR(SEARCH("Cancelado",M406)))</formula>
    </cfRule>
  </conditionalFormatting>
  <conditionalFormatting sqref="O406">
    <cfRule type="cellIs" dxfId="11097" priority="9655" operator="equal">
      <formula>"Tramitando"</formula>
    </cfRule>
    <cfRule type="cellIs" dxfId="11096" priority="9656" operator="equal">
      <formula>"Deferido"</formula>
    </cfRule>
    <cfRule type="cellIs" dxfId="11095" priority="9657" operator="equal">
      <formula>"Indeferido"</formula>
    </cfRule>
  </conditionalFormatting>
  <conditionalFormatting sqref="O406">
    <cfRule type="containsText" dxfId="11094" priority="9654" operator="containsText" text="Cancelado">
      <formula>NOT(ISERROR(SEARCH("Cancelado",O406)))</formula>
    </cfRule>
  </conditionalFormatting>
  <conditionalFormatting sqref="Q406">
    <cfRule type="cellIs" dxfId="11093" priority="9651" operator="equal">
      <formula>"Tramitando"</formula>
    </cfRule>
    <cfRule type="cellIs" dxfId="11092" priority="9652" operator="equal">
      <formula>"Deferido"</formula>
    </cfRule>
    <cfRule type="cellIs" dxfId="11091" priority="9653" operator="equal">
      <formula>"Indeferido"</formula>
    </cfRule>
  </conditionalFormatting>
  <conditionalFormatting sqref="Q406">
    <cfRule type="containsText" dxfId="11090" priority="9650" operator="containsText" text="Cancelado">
      <formula>NOT(ISERROR(SEARCH("Cancelado",Q406)))</formula>
    </cfRule>
  </conditionalFormatting>
  <conditionalFormatting sqref="S406">
    <cfRule type="cellIs" dxfId="11089" priority="9647" operator="equal">
      <formula>"Tramitando"</formula>
    </cfRule>
    <cfRule type="cellIs" dxfId="11088" priority="9648" operator="equal">
      <formula>"Deferido"</formula>
    </cfRule>
    <cfRule type="cellIs" dxfId="11087" priority="9649" operator="equal">
      <formula>"Indeferido"</formula>
    </cfRule>
  </conditionalFormatting>
  <conditionalFormatting sqref="S406">
    <cfRule type="containsText" dxfId="11086" priority="9646" operator="containsText" text="Cancelado">
      <formula>NOT(ISERROR(SEARCH("Cancelado",S406)))</formula>
    </cfRule>
  </conditionalFormatting>
  <conditionalFormatting sqref="J407">
    <cfRule type="cellIs" dxfId="11085" priority="9642" operator="equal">
      <formula>"Tramitando"</formula>
    </cfRule>
    <cfRule type="cellIs" dxfId="11084" priority="9643" operator="equal">
      <formula>"Deferido"</formula>
    </cfRule>
    <cfRule type="cellIs" dxfId="11083" priority="9644" operator="equal">
      <formula>"Indeferido"</formula>
    </cfRule>
  </conditionalFormatting>
  <conditionalFormatting sqref="J407">
    <cfRule type="containsText" dxfId="11082" priority="9641" operator="containsText" text="Cancelado">
      <formula>NOT(ISERROR(SEARCH("Cancelado",J407)))</formula>
    </cfRule>
  </conditionalFormatting>
  <conditionalFormatting sqref="M407">
    <cfRule type="cellIs" dxfId="11081" priority="9638" operator="equal">
      <formula>"Tramitando"</formula>
    </cfRule>
    <cfRule type="cellIs" dxfId="11080" priority="9639" operator="equal">
      <formula>"Deferido"</formula>
    </cfRule>
    <cfRule type="cellIs" dxfId="11079" priority="9640" operator="equal">
      <formula>"Indeferido"</formula>
    </cfRule>
  </conditionalFormatting>
  <conditionalFormatting sqref="M407">
    <cfRule type="containsText" dxfId="11078" priority="9637" operator="containsText" text="Cancelado">
      <formula>NOT(ISERROR(SEARCH("Cancelado",M407)))</formula>
    </cfRule>
  </conditionalFormatting>
  <conditionalFormatting sqref="O407">
    <cfRule type="cellIs" dxfId="11077" priority="9634" operator="equal">
      <formula>"Tramitando"</formula>
    </cfRule>
    <cfRule type="cellIs" dxfId="11076" priority="9635" operator="equal">
      <formula>"Deferido"</formula>
    </cfRule>
    <cfRule type="cellIs" dxfId="11075" priority="9636" operator="equal">
      <formula>"Indeferido"</formula>
    </cfRule>
  </conditionalFormatting>
  <conditionalFormatting sqref="O407">
    <cfRule type="containsText" dxfId="11074" priority="9633" operator="containsText" text="Cancelado">
      <formula>NOT(ISERROR(SEARCH("Cancelado",O407)))</formula>
    </cfRule>
  </conditionalFormatting>
  <conditionalFormatting sqref="Q407">
    <cfRule type="cellIs" dxfId="11073" priority="9630" operator="equal">
      <formula>"Tramitando"</formula>
    </cfRule>
    <cfRule type="cellIs" dxfId="11072" priority="9631" operator="equal">
      <formula>"Deferido"</formula>
    </cfRule>
    <cfRule type="cellIs" dxfId="11071" priority="9632" operator="equal">
      <formula>"Indeferido"</formula>
    </cfRule>
  </conditionalFormatting>
  <conditionalFormatting sqref="Q407">
    <cfRule type="containsText" dxfId="11070" priority="9629" operator="containsText" text="Cancelado">
      <formula>NOT(ISERROR(SEARCH("Cancelado",Q407)))</formula>
    </cfRule>
  </conditionalFormatting>
  <conditionalFormatting sqref="S407">
    <cfRule type="cellIs" dxfId="11069" priority="9626" operator="equal">
      <formula>"Tramitando"</formula>
    </cfRule>
    <cfRule type="cellIs" dxfId="11068" priority="9627" operator="equal">
      <formula>"Deferido"</formula>
    </cfRule>
    <cfRule type="cellIs" dxfId="11067" priority="9628" operator="equal">
      <formula>"Indeferido"</formula>
    </cfRule>
  </conditionalFormatting>
  <conditionalFormatting sqref="S407">
    <cfRule type="containsText" dxfId="11066" priority="9625" operator="containsText" text="Cancelado">
      <formula>NOT(ISERROR(SEARCH("Cancelado",S407)))</formula>
    </cfRule>
  </conditionalFormatting>
  <conditionalFormatting sqref="J408">
    <cfRule type="cellIs" dxfId="11065" priority="9621" operator="equal">
      <formula>"Tramitando"</formula>
    </cfRule>
    <cfRule type="cellIs" dxfId="11064" priority="9622" operator="equal">
      <formula>"Deferido"</formula>
    </cfRule>
    <cfRule type="cellIs" dxfId="11063" priority="9623" operator="equal">
      <formula>"Indeferido"</formula>
    </cfRule>
  </conditionalFormatting>
  <conditionalFormatting sqref="J408">
    <cfRule type="containsText" dxfId="11062" priority="9620" operator="containsText" text="Cancelado">
      <formula>NOT(ISERROR(SEARCH("Cancelado",J408)))</formula>
    </cfRule>
  </conditionalFormatting>
  <conditionalFormatting sqref="M408">
    <cfRule type="cellIs" dxfId="11061" priority="9617" operator="equal">
      <formula>"Tramitando"</formula>
    </cfRule>
    <cfRule type="cellIs" dxfId="11060" priority="9618" operator="equal">
      <formula>"Deferido"</formula>
    </cfRule>
    <cfRule type="cellIs" dxfId="11059" priority="9619" operator="equal">
      <formula>"Indeferido"</formula>
    </cfRule>
  </conditionalFormatting>
  <conditionalFormatting sqref="M408">
    <cfRule type="containsText" dxfId="11058" priority="9616" operator="containsText" text="Cancelado">
      <formula>NOT(ISERROR(SEARCH("Cancelado",M408)))</formula>
    </cfRule>
  </conditionalFormatting>
  <conditionalFormatting sqref="O408">
    <cfRule type="cellIs" dxfId="11057" priority="9613" operator="equal">
      <formula>"Tramitando"</formula>
    </cfRule>
    <cfRule type="cellIs" dxfId="11056" priority="9614" operator="equal">
      <formula>"Deferido"</formula>
    </cfRule>
    <cfRule type="cellIs" dxfId="11055" priority="9615" operator="equal">
      <formula>"Indeferido"</formula>
    </cfRule>
  </conditionalFormatting>
  <conditionalFormatting sqref="O408">
    <cfRule type="containsText" dxfId="11054" priority="9612" operator="containsText" text="Cancelado">
      <formula>NOT(ISERROR(SEARCH("Cancelado",O408)))</formula>
    </cfRule>
  </conditionalFormatting>
  <conditionalFormatting sqref="Q408">
    <cfRule type="cellIs" dxfId="11053" priority="9609" operator="equal">
      <formula>"Tramitando"</formula>
    </cfRule>
    <cfRule type="cellIs" dxfId="11052" priority="9610" operator="equal">
      <formula>"Deferido"</formula>
    </cfRule>
    <cfRule type="cellIs" dxfId="11051" priority="9611" operator="equal">
      <formula>"Indeferido"</formula>
    </cfRule>
  </conditionalFormatting>
  <conditionalFormatting sqref="Q408">
    <cfRule type="containsText" dxfId="11050" priority="9608" operator="containsText" text="Cancelado">
      <formula>NOT(ISERROR(SEARCH("Cancelado",Q408)))</formula>
    </cfRule>
  </conditionalFormatting>
  <conditionalFormatting sqref="S408">
    <cfRule type="cellIs" dxfId="11049" priority="9605" operator="equal">
      <formula>"Tramitando"</formula>
    </cfRule>
    <cfRule type="cellIs" dxfId="11048" priority="9606" operator="equal">
      <formula>"Deferido"</formula>
    </cfRule>
    <cfRule type="cellIs" dxfId="11047" priority="9607" operator="equal">
      <formula>"Indeferido"</formula>
    </cfRule>
  </conditionalFormatting>
  <conditionalFormatting sqref="S408">
    <cfRule type="containsText" dxfId="11046" priority="9604" operator="containsText" text="Cancelado">
      <formula>NOT(ISERROR(SEARCH("Cancelado",S408)))</formula>
    </cfRule>
  </conditionalFormatting>
  <conditionalFormatting sqref="J409">
    <cfRule type="cellIs" dxfId="11045" priority="9596" operator="equal">
      <formula>"Tramitando"</formula>
    </cfRule>
    <cfRule type="cellIs" dxfId="11044" priority="9597" operator="equal">
      <formula>"Deferido"</formula>
    </cfRule>
    <cfRule type="cellIs" dxfId="11043" priority="9598" operator="equal">
      <formula>"Indeferido"</formula>
    </cfRule>
  </conditionalFormatting>
  <conditionalFormatting sqref="J409">
    <cfRule type="containsText" dxfId="11042" priority="9595" operator="containsText" text="Cancelado">
      <formula>NOT(ISERROR(SEARCH("Cancelado",J409)))</formula>
    </cfRule>
  </conditionalFormatting>
  <conditionalFormatting sqref="M409">
    <cfRule type="cellIs" dxfId="11041" priority="9592" operator="equal">
      <formula>"Tramitando"</formula>
    </cfRule>
    <cfRule type="cellIs" dxfId="11040" priority="9593" operator="equal">
      <formula>"Deferido"</formula>
    </cfRule>
    <cfRule type="cellIs" dxfId="11039" priority="9594" operator="equal">
      <formula>"Indeferido"</formula>
    </cfRule>
  </conditionalFormatting>
  <conditionalFormatting sqref="M409">
    <cfRule type="containsText" dxfId="11038" priority="9591" operator="containsText" text="Cancelado">
      <formula>NOT(ISERROR(SEARCH("Cancelado",M409)))</formula>
    </cfRule>
  </conditionalFormatting>
  <conditionalFormatting sqref="O409">
    <cfRule type="cellIs" dxfId="11037" priority="9588" operator="equal">
      <formula>"Tramitando"</formula>
    </cfRule>
    <cfRule type="cellIs" dxfId="11036" priority="9589" operator="equal">
      <formula>"Deferido"</formula>
    </cfRule>
    <cfRule type="cellIs" dxfId="11035" priority="9590" operator="equal">
      <formula>"Indeferido"</formula>
    </cfRule>
  </conditionalFormatting>
  <conditionalFormatting sqref="O409">
    <cfRule type="containsText" dxfId="11034" priority="9587" operator="containsText" text="Cancelado">
      <formula>NOT(ISERROR(SEARCH("Cancelado",O409)))</formula>
    </cfRule>
  </conditionalFormatting>
  <conditionalFormatting sqref="Q409">
    <cfRule type="cellIs" dxfId="11033" priority="9584" operator="equal">
      <formula>"Tramitando"</formula>
    </cfRule>
    <cfRule type="cellIs" dxfId="11032" priority="9585" operator="equal">
      <formula>"Deferido"</formula>
    </cfRule>
    <cfRule type="cellIs" dxfId="11031" priority="9586" operator="equal">
      <formula>"Indeferido"</formula>
    </cfRule>
  </conditionalFormatting>
  <conditionalFormatting sqref="Q409">
    <cfRule type="containsText" dxfId="11030" priority="9583" operator="containsText" text="Cancelado">
      <formula>NOT(ISERROR(SEARCH("Cancelado",Q409)))</formula>
    </cfRule>
  </conditionalFormatting>
  <conditionalFormatting sqref="S409">
    <cfRule type="cellIs" dxfId="11029" priority="9580" operator="equal">
      <formula>"Tramitando"</formula>
    </cfRule>
    <cfRule type="cellIs" dxfId="11028" priority="9581" operator="equal">
      <formula>"Deferido"</formula>
    </cfRule>
    <cfRule type="cellIs" dxfId="11027" priority="9582" operator="equal">
      <formula>"Indeferido"</formula>
    </cfRule>
  </conditionalFormatting>
  <conditionalFormatting sqref="S409">
    <cfRule type="containsText" dxfId="11026" priority="9579" operator="containsText" text="Cancelado">
      <formula>NOT(ISERROR(SEARCH("Cancelado",S409)))</formula>
    </cfRule>
  </conditionalFormatting>
  <conditionalFormatting sqref="J410">
    <cfRule type="cellIs" dxfId="11025" priority="9574" operator="equal">
      <formula>"Tramitando"</formula>
    </cfRule>
    <cfRule type="cellIs" dxfId="11024" priority="9575" operator="equal">
      <formula>"Deferido"</formula>
    </cfRule>
    <cfRule type="cellIs" dxfId="11023" priority="9576" operator="equal">
      <formula>"Indeferido"</formula>
    </cfRule>
  </conditionalFormatting>
  <conditionalFormatting sqref="J410">
    <cfRule type="containsText" dxfId="11022" priority="9573" operator="containsText" text="Cancelado">
      <formula>NOT(ISERROR(SEARCH("Cancelado",J410)))</formula>
    </cfRule>
  </conditionalFormatting>
  <conditionalFormatting sqref="M410">
    <cfRule type="cellIs" dxfId="11021" priority="9570" operator="equal">
      <formula>"Tramitando"</formula>
    </cfRule>
    <cfRule type="cellIs" dxfId="11020" priority="9571" operator="equal">
      <formula>"Deferido"</formula>
    </cfRule>
    <cfRule type="cellIs" dxfId="11019" priority="9572" operator="equal">
      <formula>"Indeferido"</formula>
    </cfRule>
  </conditionalFormatting>
  <conditionalFormatting sqref="M410">
    <cfRule type="containsText" dxfId="11018" priority="9569" operator="containsText" text="Cancelado">
      <formula>NOT(ISERROR(SEARCH("Cancelado",M410)))</formula>
    </cfRule>
  </conditionalFormatting>
  <conditionalFormatting sqref="O410">
    <cfRule type="cellIs" dxfId="11017" priority="9566" operator="equal">
      <formula>"Tramitando"</formula>
    </cfRule>
    <cfRule type="cellIs" dxfId="11016" priority="9567" operator="equal">
      <formula>"Deferido"</formula>
    </cfRule>
    <cfRule type="cellIs" dxfId="11015" priority="9568" operator="equal">
      <formula>"Indeferido"</formula>
    </cfRule>
  </conditionalFormatting>
  <conditionalFormatting sqref="O410">
    <cfRule type="containsText" dxfId="11014" priority="9565" operator="containsText" text="Cancelado">
      <formula>NOT(ISERROR(SEARCH("Cancelado",O410)))</formula>
    </cfRule>
  </conditionalFormatting>
  <conditionalFormatting sqref="Q410">
    <cfRule type="cellIs" dxfId="11013" priority="9562" operator="equal">
      <formula>"Tramitando"</formula>
    </cfRule>
    <cfRule type="cellIs" dxfId="11012" priority="9563" operator="equal">
      <formula>"Deferido"</formula>
    </cfRule>
    <cfRule type="cellIs" dxfId="11011" priority="9564" operator="equal">
      <formula>"Indeferido"</formula>
    </cfRule>
  </conditionalFormatting>
  <conditionalFormatting sqref="Q410">
    <cfRule type="containsText" dxfId="11010" priority="9561" operator="containsText" text="Cancelado">
      <formula>NOT(ISERROR(SEARCH("Cancelado",Q410)))</formula>
    </cfRule>
  </conditionalFormatting>
  <conditionalFormatting sqref="S410">
    <cfRule type="cellIs" dxfId="11009" priority="9558" operator="equal">
      <formula>"Tramitando"</formula>
    </cfRule>
    <cfRule type="cellIs" dxfId="11008" priority="9559" operator="equal">
      <formula>"Deferido"</formula>
    </cfRule>
    <cfRule type="cellIs" dxfId="11007" priority="9560" operator="equal">
      <formula>"Indeferido"</formula>
    </cfRule>
  </conditionalFormatting>
  <conditionalFormatting sqref="S410">
    <cfRule type="containsText" dxfId="11006" priority="9557" operator="containsText" text="Cancelado">
      <formula>NOT(ISERROR(SEARCH("Cancelado",S410)))</formula>
    </cfRule>
  </conditionalFormatting>
  <conditionalFormatting sqref="J411:J412">
    <cfRule type="cellIs" dxfId="11005" priority="9552" operator="equal">
      <formula>"Tramitando"</formula>
    </cfRule>
    <cfRule type="cellIs" dxfId="11004" priority="9553" operator="equal">
      <formula>"Deferido"</formula>
    </cfRule>
    <cfRule type="cellIs" dxfId="11003" priority="9554" operator="equal">
      <formula>"Indeferido"</formula>
    </cfRule>
  </conditionalFormatting>
  <conditionalFormatting sqref="J411:J412">
    <cfRule type="containsText" dxfId="11002" priority="9551" operator="containsText" text="Cancelado">
      <formula>NOT(ISERROR(SEARCH("Cancelado",J411)))</formula>
    </cfRule>
  </conditionalFormatting>
  <conditionalFormatting sqref="M411:M412">
    <cfRule type="cellIs" dxfId="11001" priority="9548" operator="equal">
      <formula>"Tramitando"</formula>
    </cfRule>
    <cfRule type="cellIs" dxfId="11000" priority="9549" operator="equal">
      <formula>"Deferido"</formula>
    </cfRule>
    <cfRule type="cellIs" dxfId="10999" priority="9550" operator="equal">
      <formula>"Indeferido"</formula>
    </cfRule>
  </conditionalFormatting>
  <conditionalFormatting sqref="M411:M412">
    <cfRule type="containsText" dxfId="10998" priority="9547" operator="containsText" text="Cancelado">
      <formula>NOT(ISERROR(SEARCH("Cancelado",M411)))</formula>
    </cfRule>
  </conditionalFormatting>
  <conditionalFormatting sqref="O411:O412">
    <cfRule type="cellIs" dxfId="10997" priority="9544" operator="equal">
      <formula>"Tramitando"</formula>
    </cfRule>
    <cfRule type="cellIs" dxfId="10996" priority="9545" operator="equal">
      <formula>"Deferido"</formula>
    </cfRule>
    <cfRule type="cellIs" dxfId="10995" priority="9546" operator="equal">
      <formula>"Indeferido"</formula>
    </cfRule>
  </conditionalFormatting>
  <conditionalFormatting sqref="O411:O412">
    <cfRule type="containsText" dxfId="10994" priority="9543" operator="containsText" text="Cancelado">
      <formula>NOT(ISERROR(SEARCH("Cancelado",O411)))</formula>
    </cfRule>
  </conditionalFormatting>
  <conditionalFormatting sqref="Q411:Q412">
    <cfRule type="cellIs" dxfId="10993" priority="9540" operator="equal">
      <formula>"Tramitando"</formula>
    </cfRule>
    <cfRule type="cellIs" dxfId="10992" priority="9541" operator="equal">
      <formula>"Deferido"</formula>
    </cfRule>
    <cfRule type="cellIs" dxfId="10991" priority="9542" operator="equal">
      <formula>"Indeferido"</formula>
    </cfRule>
  </conditionalFormatting>
  <conditionalFormatting sqref="Q411:Q412">
    <cfRule type="containsText" dxfId="10990" priority="9539" operator="containsText" text="Cancelado">
      <formula>NOT(ISERROR(SEARCH("Cancelado",Q411)))</formula>
    </cfRule>
  </conditionalFormatting>
  <conditionalFormatting sqref="S411:S412">
    <cfRule type="cellIs" dxfId="10989" priority="9536" operator="equal">
      <formula>"Tramitando"</formula>
    </cfRule>
    <cfRule type="cellIs" dxfId="10988" priority="9537" operator="equal">
      <formula>"Deferido"</formula>
    </cfRule>
    <cfRule type="cellIs" dxfId="10987" priority="9538" operator="equal">
      <formula>"Indeferido"</formula>
    </cfRule>
  </conditionalFormatting>
  <conditionalFormatting sqref="S411:S412">
    <cfRule type="containsText" dxfId="10986" priority="9535" operator="containsText" text="Cancelado">
      <formula>NOT(ISERROR(SEARCH("Cancelado",S411)))</formula>
    </cfRule>
  </conditionalFormatting>
  <conditionalFormatting sqref="J413">
    <cfRule type="cellIs" dxfId="10985" priority="9531" operator="equal">
      <formula>"Tramitando"</formula>
    </cfRule>
    <cfRule type="cellIs" dxfId="10984" priority="9532" operator="equal">
      <formula>"Deferido"</formula>
    </cfRule>
    <cfRule type="cellIs" dxfId="10983" priority="9533" operator="equal">
      <formula>"Indeferido"</formula>
    </cfRule>
  </conditionalFormatting>
  <conditionalFormatting sqref="J413">
    <cfRule type="containsText" dxfId="10982" priority="9530" operator="containsText" text="Cancelado">
      <formula>NOT(ISERROR(SEARCH("Cancelado",J413)))</formula>
    </cfRule>
  </conditionalFormatting>
  <conditionalFormatting sqref="M413">
    <cfRule type="cellIs" dxfId="10981" priority="9527" operator="equal">
      <formula>"Tramitando"</formula>
    </cfRule>
    <cfRule type="cellIs" dxfId="10980" priority="9528" operator="equal">
      <formula>"Deferido"</formula>
    </cfRule>
    <cfRule type="cellIs" dxfId="10979" priority="9529" operator="equal">
      <formula>"Indeferido"</formula>
    </cfRule>
  </conditionalFormatting>
  <conditionalFormatting sqref="M413">
    <cfRule type="containsText" dxfId="10978" priority="9526" operator="containsText" text="Cancelado">
      <formula>NOT(ISERROR(SEARCH("Cancelado",M413)))</formula>
    </cfRule>
  </conditionalFormatting>
  <conditionalFormatting sqref="O413">
    <cfRule type="cellIs" dxfId="10977" priority="9523" operator="equal">
      <formula>"Tramitando"</formula>
    </cfRule>
    <cfRule type="cellIs" dxfId="10976" priority="9524" operator="equal">
      <formula>"Deferido"</formula>
    </cfRule>
    <cfRule type="cellIs" dxfId="10975" priority="9525" operator="equal">
      <formula>"Indeferido"</formula>
    </cfRule>
  </conditionalFormatting>
  <conditionalFormatting sqref="O413">
    <cfRule type="containsText" dxfId="10974" priority="9522" operator="containsText" text="Cancelado">
      <formula>NOT(ISERROR(SEARCH("Cancelado",O413)))</formula>
    </cfRule>
  </conditionalFormatting>
  <conditionalFormatting sqref="Q413">
    <cfRule type="cellIs" dxfId="10973" priority="9519" operator="equal">
      <formula>"Tramitando"</formula>
    </cfRule>
    <cfRule type="cellIs" dxfId="10972" priority="9520" operator="equal">
      <formula>"Deferido"</formula>
    </cfRule>
    <cfRule type="cellIs" dxfId="10971" priority="9521" operator="equal">
      <formula>"Indeferido"</formula>
    </cfRule>
  </conditionalFormatting>
  <conditionalFormatting sqref="Q413">
    <cfRule type="containsText" dxfId="10970" priority="9518" operator="containsText" text="Cancelado">
      <formula>NOT(ISERROR(SEARCH("Cancelado",Q413)))</formula>
    </cfRule>
  </conditionalFormatting>
  <conditionalFormatting sqref="S413">
    <cfRule type="cellIs" dxfId="10969" priority="9515" operator="equal">
      <formula>"Tramitando"</formula>
    </cfRule>
    <cfRule type="cellIs" dxfId="10968" priority="9516" operator="equal">
      <formula>"Deferido"</formula>
    </cfRule>
    <cfRule type="cellIs" dxfId="10967" priority="9517" operator="equal">
      <formula>"Indeferido"</formula>
    </cfRule>
  </conditionalFormatting>
  <conditionalFormatting sqref="S413">
    <cfRule type="containsText" dxfId="10966" priority="9514" operator="containsText" text="Cancelado">
      <formula>NOT(ISERROR(SEARCH("Cancelado",S413)))</formula>
    </cfRule>
  </conditionalFormatting>
  <conditionalFormatting sqref="J414">
    <cfRule type="cellIs" dxfId="10965" priority="9510" operator="equal">
      <formula>"Tramitando"</formula>
    </cfRule>
    <cfRule type="cellIs" dxfId="10964" priority="9511" operator="equal">
      <formula>"Deferido"</formula>
    </cfRule>
    <cfRule type="cellIs" dxfId="10963" priority="9512" operator="equal">
      <formula>"Indeferido"</formula>
    </cfRule>
  </conditionalFormatting>
  <conditionalFormatting sqref="J414">
    <cfRule type="containsText" dxfId="10962" priority="9509" operator="containsText" text="Cancelado">
      <formula>NOT(ISERROR(SEARCH("Cancelado",J414)))</formula>
    </cfRule>
  </conditionalFormatting>
  <conditionalFormatting sqref="M414">
    <cfRule type="cellIs" dxfId="10961" priority="9506" operator="equal">
      <formula>"Tramitando"</formula>
    </cfRule>
    <cfRule type="cellIs" dxfId="10960" priority="9507" operator="equal">
      <formula>"Deferido"</formula>
    </cfRule>
    <cfRule type="cellIs" dxfId="10959" priority="9508" operator="equal">
      <formula>"Indeferido"</formula>
    </cfRule>
  </conditionalFormatting>
  <conditionalFormatting sqref="M414">
    <cfRule type="containsText" dxfId="10958" priority="9505" operator="containsText" text="Cancelado">
      <formula>NOT(ISERROR(SEARCH("Cancelado",M414)))</formula>
    </cfRule>
  </conditionalFormatting>
  <conditionalFormatting sqref="O414">
    <cfRule type="cellIs" dxfId="10957" priority="9502" operator="equal">
      <formula>"Tramitando"</formula>
    </cfRule>
    <cfRule type="cellIs" dxfId="10956" priority="9503" operator="equal">
      <formula>"Deferido"</formula>
    </cfRule>
    <cfRule type="cellIs" dxfId="10955" priority="9504" operator="equal">
      <formula>"Indeferido"</formula>
    </cfRule>
  </conditionalFormatting>
  <conditionalFormatting sqref="O414">
    <cfRule type="containsText" dxfId="10954" priority="9501" operator="containsText" text="Cancelado">
      <formula>NOT(ISERROR(SEARCH("Cancelado",O414)))</formula>
    </cfRule>
  </conditionalFormatting>
  <conditionalFormatting sqref="Q414">
    <cfRule type="cellIs" dxfId="10953" priority="9498" operator="equal">
      <formula>"Tramitando"</formula>
    </cfRule>
    <cfRule type="cellIs" dxfId="10952" priority="9499" operator="equal">
      <formula>"Deferido"</formula>
    </cfRule>
    <cfRule type="cellIs" dxfId="10951" priority="9500" operator="equal">
      <formula>"Indeferido"</formula>
    </cfRule>
  </conditionalFormatting>
  <conditionalFormatting sqref="Q414">
    <cfRule type="containsText" dxfId="10950" priority="9497" operator="containsText" text="Cancelado">
      <formula>NOT(ISERROR(SEARCH("Cancelado",Q414)))</formula>
    </cfRule>
  </conditionalFormatting>
  <conditionalFormatting sqref="S414">
    <cfRule type="cellIs" dxfId="10949" priority="9494" operator="equal">
      <formula>"Tramitando"</formula>
    </cfRule>
    <cfRule type="cellIs" dxfId="10948" priority="9495" operator="equal">
      <formula>"Deferido"</formula>
    </cfRule>
    <cfRule type="cellIs" dxfId="10947" priority="9496" operator="equal">
      <formula>"Indeferido"</formula>
    </cfRule>
  </conditionalFormatting>
  <conditionalFormatting sqref="S414">
    <cfRule type="containsText" dxfId="10946" priority="9493" operator="containsText" text="Cancelado">
      <formula>NOT(ISERROR(SEARCH("Cancelado",S414)))</formula>
    </cfRule>
  </conditionalFormatting>
  <conditionalFormatting sqref="J415">
    <cfRule type="cellIs" dxfId="10945" priority="9489" operator="equal">
      <formula>"Tramitando"</formula>
    </cfRule>
    <cfRule type="cellIs" dxfId="10944" priority="9490" operator="equal">
      <formula>"Deferido"</formula>
    </cfRule>
    <cfRule type="cellIs" dxfId="10943" priority="9491" operator="equal">
      <formula>"Indeferido"</formula>
    </cfRule>
  </conditionalFormatting>
  <conditionalFormatting sqref="J415">
    <cfRule type="containsText" dxfId="10942" priority="9488" operator="containsText" text="Cancelado">
      <formula>NOT(ISERROR(SEARCH("Cancelado",J415)))</formula>
    </cfRule>
  </conditionalFormatting>
  <conditionalFormatting sqref="M415">
    <cfRule type="cellIs" dxfId="10941" priority="9485" operator="equal">
      <formula>"Tramitando"</formula>
    </cfRule>
    <cfRule type="cellIs" dxfId="10940" priority="9486" operator="equal">
      <formula>"Deferido"</formula>
    </cfRule>
    <cfRule type="cellIs" dxfId="10939" priority="9487" operator="equal">
      <formula>"Indeferido"</formula>
    </cfRule>
  </conditionalFormatting>
  <conditionalFormatting sqref="M415">
    <cfRule type="containsText" dxfId="10938" priority="9484" operator="containsText" text="Cancelado">
      <formula>NOT(ISERROR(SEARCH("Cancelado",M415)))</formula>
    </cfRule>
  </conditionalFormatting>
  <conditionalFormatting sqref="O415">
    <cfRule type="cellIs" dxfId="10937" priority="9481" operator="equal">
      <formula>"Tramitando"</formula>
    </cfRule>
    <cfRule type="cellIs" dxfId="10936" priority="9482" operator="equal">
      <formula>"Deferido"</formula>
    </cfRule>
    <cfRule type="cellIs" dxfId="10935" priority="9483" operator="equal">
      <formula>"Indeferido"</formula>
    </cfRule>
  </conditionalFormatting>
  <conditionalFormatting sqref="O415">
    <cfRule type="containsText" dxfId="10934" priority="9480" operator="containsText" text="Cancelado">
      <formula>NOT(ISERROR(SEARCH("Cancelado",O415)))</formula>
    </cfRule>
  </conditionalFormatting>
  <conditionalFormatting sqref="Q415">
    <cfRule type="cellIs" dxfId="10933" priority="9477" operator="equal">
      <formula>"Tramitando"</formula>
    </cfRule>
    <cfRule type="cellIs" dxfId="10932" priority="9478" operator="equal">
      <formula>"Deferido"</formula>
    </cfRule>
    <cfRule type="cellIs" dxfId="10931" priority="9479" operator="equal">
      <formula>"Indeferido"</formula>
    </cfRule>
  </conditionalFormatting>
  <conditionalFormatting sqref="Q415">
    <cfRule type="containsText" dxfId="10930" priority="9476" operator="containsText" text="Cancelado">
      <formula>NOT(ISERROR(SEARCH("Cancelado",Q415)))</formula>
    </cfRule>
  </conditionalFormatting>
  <conditionalFormatting sqref="S415">
    <cfRule type="cellIs" dxfId="10929" priority="9473" operator="equal">
      <formula>"Tramitando"</formula>
    </cfRule>
    <cfRule type="cellIs" dxfId="10928" priority="9474" operator="equal">
      <formula>"Deferido"</formula>
    </cfRule>
    <cfRule type="cellIs" dxfId="10927" priority="9475" operator="equal">
      <formula>"Indeferido"</formula>
    </cfRule>
  </conditionalFormatting>
  <conditionalFormatting sqref="S415">
    <cfRule type="containsText" dxfId="10926" priority="9472" operator="containsText" text="Cancelado">
      <formula>NOT(ISERROR(SEARCH("Cancelado",S415)))</formula>
    </cfRule>
  </conditionalFormatting>
  <conditionalFormatting sqref="J416">
    <cfRule type="cellIs" dxfId="10925" priority="9468" operator="equal">
      <formula>"Tramitando"</formula>
    </cfRule>
    <cfRule type="cellIs" dxfId="10924" priority="9469" operator="equal">
      <formula>"Deferido"</formula>
    </cfRule>
    <cfRule type="cellIs" dxfId="10923" priority="9470" operator="equal">
      <formula>"Indeferido"</formula>
    </cfRule>
  </conditionalFormatting>
  <conditionalFormatting sqref="J416">
    <cfRule type="containsText" dxfId="10922" priority="9467" operator="containsText" text="Cancelado">
      <formula>NOT(ISERROR(SEARCH("Cancelado",J416)))</formula>
    </cfRule>
  </conditionalFormatting>
  <conditionalFormatting sqref="M416">
    <cfRule type="cellIs" dxfId="10921" priority="9464" operator="equal">
      <formula>"Tramitando"</formula>
    </cfRule>
    <cfRule type="cellIs" dxfId="10920" priority="9465" operator="equal">
      <formula>"Deferido"</formula>
    </cfRule>
    <cfRule type="cellIs" dxfId="10919" priority="9466" operator="equal">
      <formula>"Indeferido"</formula>
    </cfRule>
  </conditionalFormatting>
  <conditionalFormatting sqref="M416">
    <cfRule type="containsText" dxfId="10918" priority="9463" operator="containsText" text="Cancelado">
      <formula>NOT(ISERROR(SEARCH("Cancelado",M416)))</formula>
    </cfRule>
  </conditionalFormatting>
  <conditionalFormatting sqref="O416">
    <cfRule type="cellIs" dxfId="10917" priority="9460" operator="equal">
      <formula>"Tramitando"</formula>
    </cfRule>
    <cfRule type="cellIs" dxfId="10916" priority="9461" operator="equal">
      <formula>"Deferido"</formula>
    </cfRule>
    <cfRule type="cellIs" dxfId="10915" priority="9462" operator="equal">
      <formula>"Indeferido"</formula>
    </cfRule>
  </conditionalFormatting>
  <conditionalFormatting sqref="O416">
    <cfRule type="containsText" dxfId="10914" priority="9459" operator="containsText" text="Cancelado">
      <formula>NOT(ISERROR(SEARCH("Cancelado",O416)))</formula>
    </cfRule>
  </conditionalFormatting>
  <conditionalFormatting sqref="Q416">
    <cfRule type="cellIs" dxfId="10913" priority="9456" operator="equal">
      <formula>"Tramitando"</formula>
    </cfRule>
    <cfRule type="cellIs" dxfId="10912" priority="9457" operator="equal">
      <formula>"Deferido"</formula>
    </cfRule>
    <cfRule type="cellIs" dxfId="10911" priority="9458" operator="equal">
      <formula>"Indeferido"</formula>
    </cfRule>
  </conditionalFormatting>
  <conditionalFormatting sqref="Q416">
    <cfRule type="containsText" dxfId="10910" priority="9455" operator="containsText" text="Cancelado">
      <formula>NOT(ISERROR(SEARCH("Cancelado",Q416)))</formula>
    </cfRule>
  </conditionalFormatting>
  <conditionalFormatting sqref="S416">
    <cfRule type="cellIs" dxfId="10909" priority="9452" operator="equal">
      <formula>"Tramitando"</formula>
    </cfRule>
    <cfRule type="cellIs" dxfId="10908" priority="9453" operator="equal">
      <formula>"Deferido"</formula>
    </cfRule>
    <cfRule type="cellIs" dxfId="10907" priority="9454" operator="equal">
      <formula>"Indeferido"</formula>
    </cfRule>
  </conditionalFormatting>
  <conditionalFormatting sqref="S416">
    <cfRule type="containsText" dxfId="10906" priority="9451" operator="containsText" text="Cancelado">
      <formula>NOT(ISERROR(SEARCH("Cancelado",S416)))</formula>
    </cfRule>
  </conditionalFormatting>
  <conditionalFormatting sqref="J417">
    <cfRule type="cellIs" dxfId="10905" priority="9447" operator="equal">
      <formula>"Tramitando"</formula>
    </cfRule>
    <cfRule type="cellIs" dxfId="10904" priority="9448" operator="equal">
      <formula>"Deferido"</formula>
    </cfRule>
    <cfRule type="cellIs" dxfId="10903" priority="9449" operator="equal">
      <formula>"Indeferido"</formula>
    </cfRule>
  </conditionalFormatting>
  <conditionalFormatting sqref="J417">
    <cfRule type="containsText" dxfId="10902" priority="9446" operator="containsText" text="Cancelado">
      <formula>NOT(ISERROR(SEARCH("Cancelado",J417)))</formula>
    </cfRule>
  </conditionalFormatting>
  <conditionalFormatting sqref="M417">
    <cfRule type="cellIs" dxfId="10901" priority="9443" operator="equal">
      <formula>"Tramitando"</formula>
    </cfRule>
    <cfRule type="cellIs" dxfId="10900" priority="9444" operator="equal">
      <formula>"Deferido"</formula>
    </cfRule>
    <cfRule type="cellIs" dxfId="10899" priority="9445" operator="equal">
      <formula>"Indeferido"</formula>
    </cfRule>
  </conditionalFormatting>
  <conditionalFormatting sqref="M417">
    <cfRule type="containsText" dxfId="10898" priority="9442" operator="containsText" text="Cancelado">
      <formula>NOT(ISERROR(SEARCH("Cancelado",M417)))</formula>
    </cfRule>
  </conditionalFormatting>
  <conditionalFormatting sqref="O417">
    <cfRule type="cellIs" dxfId="10897" priority="9439" operator="equal">
      <formula>"Tramitando"</formula>
    </cfRule>
    <cfRule type="cellIs" dxfId="10896" priority="9440" operator="equal">
      <formula>"Deferido"</formula>
    </cfRule>
    <cfRule type="cellIs" dxfId="10895" priority="9441" operator="equal">
      <formula>"Indeferido"</formula>
    </cfRule>
  </conditionalFormatting>
  <conditionalFormatting sqref="O417">
    <cfRule type="containsText" dxfId="10894" priority="9438" operator="containsText" text="Cancelado">
      <formula>NOT(ISERROR(SEARCH("Cancelado",O417)))</formula>
    </cfRule>
  </conditionalFormatting>
  <conditionalFormatting sqref="Q417">
    <cfRule type="cellIs" dxfId="10893" priority="9435" operator="equal">
      <formula>"Tramitando"</formula>
    </cfRule>
    <cfRule type="cellIs" dxfId="10892" priority="9436" operator="equal">
      <formula>"Deferido"</formula>
    </cfRule>
    <cfRule type="cellIs" dxfId="10891" priority="9437" operator="equal">
      <formula>"Indeferido"</formula>
    </cfRule>
  </conditionalFormatting>
  <conditionalFormatting sqref="Q417">
    <cfRule type="containsText" dxfId="10890" priority="9434" operator="containsText" text="Cancelado">
      <formula>NOT(ISERROR(SEARCH("Cancelado",Q417)))</formula>
    </cfRule>
  </conditionalFormatting>
  <conditionalFormatting sqref="S417">
    <cfRule type="cellIs" dxfId="10889" priority="9431" operator="equal">
      <formula>"Tramitando"</formula>
    </cfRule>
    <cfRule type="cellIs" dxfId="10888" priority="9432" operator="equal">
      <formula>"Deferido"</formula>
    </cfRule>
    <cfRule type="cellIs" dxfId="10887" priority="9433" operator="equal">
      <formula>"Indeferido"</formula>
    </cfRule>
  </conditionalFormatting>
  <conditionalFormatting sqref="S417">
    <cfRule type="containsText" dxfId="10886" priority="9430" operator="containsText" text="Cancelado">
      <formula>NOT(ISERROR(SEARCH("Cancelado",S417)))</formula>
    </cfRule>
  </conditionalFormatting>
  <conditionalFormatting sqref="J418">
    <cfRule type="cellIs" dxfId="10885" priority="9426" operator="equal">
      <formula>"Tramitando"</formula>
    </cfRule>
    <cfRule type="cellIs" dxfId="10884" priority="9427" operator="equal">
      <formula>"Deferido"</formula>
    </cfRule>
    <cfRule type="cellIs" dxfId="10883" priority="9428" operator="equal">
      <formula>"Indeferido"</formula>
    </cfRule>
  </conditionalFormatting>
  <conditionalFormatting sqref="J418">
    <cfRule type="containsText" dxfId="10882" priority="9425" operator="containsText" text="Cancelado">
      <formula>NOT(ISERROR(SEARCH("Cancelado",J418)))</formula>
    </cfRule>
  </conditionalFormatting>
  <conditionalFormatting sqref="M418">
    <cfRule type="cellIs" dxfId="10881" priority="9422" operator="equal">
      <formula>"Tramitando"</formula>
    </cfRule>
    <cfRule type="cellIs" dxfId="10880" priority="9423" operator="equal">
      <formula>"Deferido"</formula>
    </cfRule>
    <cfRule type="cellIs" dxfId="10879" priority="9424" operator="equal">
      <formula>"Indeferido"</formula>
    </cfRule>
  </conditionalFormatting>
  <conditionalFormatting sqref="M418">
    <cfRule type="containsText" dxfId="10878" priority="9421" operator="containsText" text="Cancelado">
      <formula>NOT(ISERROR(SEARCH("Cancelado",M418)))</formula>
    </cfRule>
  </conditionalFormatting>
  <conditionalFormatting sqref="O418">
    <cfRule type="cellIs" dxfId="10877" priority="9418" operator="equal">
      <formula>"Tramitando"</formula>
    </cfRule>
    <cfRule type="cellIs" dxfId="10876" priority="9419" operator="equal">
      <formula>"Deferido"</formula>
    </cfRule>
    <cfRule type="cellIs" dxfId="10875" priority="9420" operator="equal">
      <formula>"Indeferido"</formula>
    </cfRule>
  </conditionalFormatting>
  <conditionalFormatting sqref="O418">
    <cfRule type="containsText" dxfId="10874" priority="9417" operator="containsText" text="Cancelado">
      <formula>NOT(ISERROR(SEARCH("Cancelado",O418)))</formula>
    </cfRule>
  </conditionalFormatting>
  <conditionalFormatting sqref="Q418">
    <cfRule type="cellIs" dxfId="10873" priority="9414" operator="equal">
      <formula>"Tramitando"</formula>
    </cfRule>
    <cfRule type="cellIs" dxfId="10872" priority="9415" operator="equal">
      <formula>"Deferido"</formula>
    </cfRule>
    <cfRule type="cellIs" dxfId="10871" priority="9416" operator="equal">
      <formula>"Indeferido"</formula>
    </cfRule>
  </conditionalFormatting>
  <conditionalFormatting sqref="Q418">
    <cfRule type="containsText" dxfId="10870" priority="9413" operator="containsText" text="Cancelado">
      <formula>NOT(ISERROR(SEARCH("Cancelado",Q418)))</formula>
    </cfRule>
  </conditionalFormatting>
  <conditionalFormatting sqref="S418">
    <cfRule type="cellIs" dxfId="10869" priority="9410" operator="equal">
      <formula>"Tramitando"</formula>
    </cfRule>
    <cfRule type="cellIs" dxfId="10868" priority="9411" operator="equal">
      <formula>"Deferido"</formula>
    </cfRule>
    <cfRule type="cellIs" dxfId="10867" priority="9412" operator="equal">
      <formula>"Indeferido"</formula>
    </cfRule>
  </conditionalFormatting>
  <conditionalFormatting sqref="S418">
    <cfRule type="containsText" dxfId="10866" priority="9409" operator="containsText" text="Cancelado">
      <formula>NOT(ISERROR(SEARCH("Cancelado",S418)))</formula>
    </cfRule>
  </conditionalFormatting>
  <conditionalFormatting sqref="J419">
    <cfRule type="cellIs" dxfId="10865" priority="9405" operator="equal">
      <formula>"Tramitando"</formula>
    </cfRule>
    <cfRule type="cellIs" dxfId="10864" priority="9406" operator="equal">
      <formula>"Deferido"</formula>
    </cfRule>
    <cfRule type="cellIs" dxfId="10863" priority="9407" operator="equal">
      <formula>"Indeferido"</formula>
    </cfRule>
  </conditionalFormatting>
  <conditionalFormatting sqref="J419">
    <cfRule type="containsText" dxfId="10862" priority="9404" operator="containsText" text="Cancelado">
      <formula>NOT(ISERROR(SEARCH("Cancelado",J419)))</formula>
    </cfRule>
  </conditionalFormatting>
  <conditionalFormatting sqref="M419">
    <cfRule type="cellIs" dxfId="10861" priority="9401" operator="equal">
      <formula>"Tramitando"</formula>
    </cfRule>
    <cfRule type="cellIs" dxfId="10860" priority="9402" operator="equal">
      <formula>"Deferido"</formula>
    </cfRule>
    <cfRule type="cellIs" dxfId="10859" priority="9403" operator="equal">
      <formula>"Indeferido"</formula>
    </cfRule>
  </conditionalFormatting>
  <conditionalFormatting sqref="M419">
    <cfRule type="containsText" dxfId="10858" priority="9400" operator="containsText" text="Cancelado">
      <formula>NOT(ISERROR(SEARCH("Cancelado",M419)))</formula>
    </cfRule>
  </conditionalFormatting>
  <conditionalFormatting sqref="O419">
    <cfRule type="cellIs" dxfId="10857" priority="9397" operator="equal">
      <formula>"Tramitando"</formula>
    </cfRule>
    <cfRule type="cellIs" dxfId="10856" priority="9398" operator="equal">
      <formula>"Deferido"</formula>
    </cfRule>
    <cfRule type="cellIs" dxfId="10855" priority="9399" operator="equal">
      <formula>"Indeferido"</formula>
    </cfRule>
  </conditionalFormatting>
  <conditionalFormatting sqref="O419">
    <cfRule type="containsText" dxfId="10854" priority="9396" operator="containsText" text="Cancelado">
      <formula>NOT(ISERROR(SEARCH("Cancelado",O419)))</formula>
    </cfRule>
  </conditionalFormatting>
  <conditionalFormatting sqref="Q419">
    <cfRule type="cellIs" dxfId="10853" priority="9393" operator="equal">
      <formula>"Tramitando"</formula>
    </cfRule>
    <cfRule type="cellIs" dxfId="10852" priority="9394" operator="equal">
      <formula>"Deferido"</formula>
    </cfRule>
    <cfRule type="cellIs" dxfId="10851" priority="9395" operator="equal">
      <formula>"Indeferido"</formula>
    </cfRule>
  </conditionalFormatting>
  <conditionalFormatting sqref="Q419">
    <cfRule type="containsText" dxfId="10850" priority="9392" operator="containsText" text="Cancelado">
      <formula>NOT(ISERROR(SEARCH("Cancelado",Q419)))</formula>
    </cfRule>
  </conditionalFormatting>
  <conditionalFormatting sqref="S419">
    <cfRule type="cellIs" dxfId="10849" priority="9389" operator="equal">
      <formula>"Tramitando"</formula>
    </cfRule>
    <cfRule type="cellIs" dxfId="10848" priority="9390" operator="equal">
      <formula>"Deferido"</formula>
    </cfRule>
    <cfRule type="cellIs" dxfId="10847" priority="9391" operator="equal">
      <formula>"Indeferido"</formula>
    </cfRule>
  </conditionalFormatting>
  <conditionalFormatting sqref="S419">
    <cfRule type="containsText" dxfId="10846" priority="9388" operator="containsText" text="Cancelado">
      <formula>NOT(ISERROR(SEARCH("Cancelado",S419)))</formula>
    </cfRule>
  </conditionalFormatting>
  <conditionalFormatting sqref="J420">
    <cfRule type="cellIs" dxfId="10845" priority="9384" operator="equal">
      <formula>"Tramitando"</formula>
    </cfRule>
    <cfRule type="cellIs" dxfId="10844" priority="9385" operator="equal">
      <formula>"Deferido"</formula>
    </cfRule>
    <cfRule type="cellIs" dxfId="10843" priority="9386" operator="equal">
      <formula>"Indeferido"</formula>
    </cfRule>
  </conditionalFormatting>
  <conditionalFormatting sqref="J420">
    <cfRule type="containsText" dxfId="10842" priority="9383" operator="containsText" text="Cancelado">
      <formula>NOT(ISERROR(SEARCH("Cancelado",J420)))</formula>
    </cfRule>
  </conditionalFormatting>
  <conditionalFormatting sqref="M420">
    <cfRule type="cellIs" dxfId="10841" priority="9380" operator="equal">
      <formula>"Tramitando"</formula>
    </cfRule>
    <cfRule type="cellIs" dxfId="10840" priority="9381" operator="equal">
      <formula>"Deferido"</formula>
    </cfRule>
    <cfRule type="cellIs" dxfId="10839" priority="9382" operator="equal">
      <formula>"Indeferido"</formula>
    </cfRule>
  </conditionalFormatting>
  <conditionalFormatting sqref="M420">
    <cfRule type="containsText" dxfId="10838" priority="9379" operator="containsText" text="Cancelado">
      <formula>NOT(ISERROR(SEARCH("Cancelado",M420)))</formula>
    </cfRule>
  </conditionalFormatting>
  <conditionalFormatting sqref="O420">
    <cfRule type="cellIs" dxfId="10837" priority="9376" operator="equal">
      <formula>"Tramitando"</formula>
    </cfRule>
    <cfRule type="cellIs" dxfId="10836" priority="9377" operator="equal">
      <formula>"Deferido"</formula>
    </cfRule>
    <cfRule type="cellIs" dxfId="10835" priority="9378" operator="equal">
      <formula>"Indeferido"</formula>
    </cfRule>
  </conditionalFormatting>
  <conditionalFormatting sqref="O420">
    <cfRule type="containsText" dxfId="10834" priority="9375" operator="containsText" text="Cancelado">
      <formula>NOT(ISERROR(SEARCH("Cancelado",O420)))</formula>
    </cfRule>
  </conditionalFormatting>
  <conditionalFormatting sqref="Q420">
    <cfRule type="cellIs" dxfId="10833" priority="9372" operator="equal">
      <formula>"Tramitando"</formula>
    </cfRule>
    <cfRule type="cellIs" dxfId="10832" priority="9373" operator="equal">
      <formula>"Deferido"</formula>
    </cfRule>
    <cfRule type="cellIs" dxfId="10831" priority="9374" operator="equal">
      <formula>"Indeferido"</formula>
    </cfRule>
  </conditionalFormatting>
  <conditionalFormatting sqref="Q420">
    <cfRule type="containsText" dxfId="10830" priority="9371" operator="containsText" text="Cancelado">
      <formula>NOT(ISERROR(SEARCH("Cancelado",Q420)))</formula>
    </cfRule>
  </conditionalFormatting>
  <conditionalFormatting sqref="S420">
    <cfRule type="cellIs" dxfId="10829" priority="9368" operator="equal">
      <formula>"Tramitando"</formula>
    </cfRule>
    <cfRule type="cellIs" dxfId="10828" priority="9369" operator="equal">
      <formula>"Deferido"</formula>
    </cfRule>
    <cfRule type="cellIs" dxfId="10827" priority="9370" operator="equal">
      <formula>"Indeferido"</formula>
    </cfRule>
  </conditionalFormatting>
  <conditionalFormatting sqref="S420">
    <cfRule type="containsText" dxfId="10826" priority="9367" operator="containsText" text="Cancelado">
      <formula>NOT(ISERROR(SEARCH("Cancelado",S420)))</formula>
    </cfRule>
  </conditionalFormatting>
  <conditionalFormatting sqref="J421">
    <cfRule type="cellIs" dxfId="10825" priority="9363" operator="equal">
      <formula>"Tramitando"</formula>
    </cfRule>
    <cfRule type="cellIs" dxfId="10824" priority="9364" operator="equal">
      <formula>"Deferido"</formula>
    </cfRule>
    <cfRule type="cellIs" dxfId="10823" priority="9365" operator="equal">
      <formula>"Indeferido"</formula>
    </cfRule>
  </conditionalFormatting>
  <conditionalFormatting sqref="J421">
    <cfRule type="containsText" dxfId="10822" priority="9362" operator="containsText" text="Cancelado">
      <formula>NOT(ISERROR(SEARCH("Cancelado",J421)))</formula>
    </cfRule>
  </conditionalFormatting>
  <conditionalFormatting sqref="M421">
    <cfRule type="cellIs" dxfId="10821" priority="9359" operator="equal">
      <formula>"Tramitando"</formula>
    </cfRule>
    <cfRule type="cellIs" dxfId="10820" priority="9360" operator="equal">
      <formula>"Deferido"</formula>
    </cfRule>
    <cfRule type="cellIs" dxfId="10819" priority="9361" operator="equal">
      <formula>"Indeferido"</formula>
    </cfRule>
  </conditionalFormatting>
  <conditionalFormatting sqref="M421">
    <cfRule type="containsText" dxfId="10818" priority="9358" operator="containsText" text="Cancelado">
      <formula>NOT(ISERROR(SEARCH("Cancelado",M421)))</formula>
    </cfRule>
  </conditionalFormatting>
  <conditionalFormatting sqref="O421">
    <cfRule type="cellIs" dxfId="10817" priority="9355" operator="equal">
      <formula>"Tramitando"</formula>
    </cfRule>
    <cfRule type="cellIs" dxfId="10816" priority="9356" operator="equal">
      <formula>"Deferido"</formula>
    </cfRule>
    <cfRule type="cellIs" dxfId="10815" priority="9357" operator="equal">
      <formula>"Indeferido"</formula>
    </cfRule>
  </conditionalFormatting>
  <conditionalFormatting sqref="O421">
    <cfRule type="containsText" dxfId="10814" priority="9354" operator="containsText" text="Cancelado">
      <formula>NOT(ISERROR(SEARCH("Cancelado",O421)))</formula>
    </cfRule>
  </conditionalFormatting>
  <conditionalFormatting sqref="Q421">
    <cfRule type="cellIs" dxfId="10813" priority="9351" operator="equal">
      <formula>"Tramitando"</formula>
    </cfRule>
    <cfRule type="cellIs" dxfId="10812" priority="9352" operator="equal">
      <formula>"Deferido"</formula>
    </cfRule>
    <cfRule type="cellIs" dxfId="10811" priority="9353" operator="equal">
      <formula>"Indeferido"</formula>
    </cfRule>
  </conditionalFormatting>
  <conditionalFormatting sqref="Q421">
    <cfRule type="containsText" dxfId="10810" priority="9350" operator="containsText" text="Cancelado">
      <formula>NOT(ISERROR(SEARCH("Cancelado",Q421)))</formula>
    </cfRule>
  </conditionalFormatting>
  <conditionalFormatting sqref="S421">
    <cfRule type="cellIs" dxfId="10809" priority="9347" operator="equal">
      <formula>"Tramitando"</formula>
    </cfRule>
    <cfRule type="cellIs" dxfId="10808" priority="9348" operator="equal">
      <formula>"Deferido"</formula>
    </cfRule>
    <cfRule type="cellIs" dxfId="10807" priority="9349" operator="equal">
      <formula>"Indeferido"</formula>
    </cfRule>
  </conditionalFormatting>
  <conditionalFormatting sqref="S421">
    <cfRule type="containsText" dxfId="10806" priority="9346" operator="containsText" text="Cancelado">
      <formula>NOT(ISERROR(SEARCH("Cancelado",S421)))</formula>
    </cfRule>
  </conditionalFormatting>
  <conditionalFormatting sqref="J422">
    <cfRule type="cellIs" dxfId="10805" priority="9342" operator="equal">
      <formula>"Tramitando"</formula>
    </cfRule>
    <cfRule type="cellIs" dxfId="10804" priority="9343" operator="equal">
      <formula>"Deferido"</formula>
    </cfRule>
    <cfRule type="cellIs" dxfId="10803" priority="9344" operator="equal">
      <formula>"Indeferido"</formula>
    </cfRule>
  </conditionalFormatting>
  <conditionalFormatting sqref="J422">
    <cfRule type="containsText" dxfId="10802" priority="9341" operator="containsText" text="Cancelado">
      <formula>NOT(ISERROR(SEARCH("Cancelado",J422)))</formula>
    </cfRule>
  </conditionalFormatting>
  <conditionalFormatting sqref="M422">
    <cfRule type="cellIs" dxfId="10801" priority="9338" operator="equal">
      <formula>"Tramitando"</formula>
    </cfRule>
    <cfRule type="cellIs" dxfId="10800" priority="9339" operator="equal">
      <formula>"Deferido"</formula>
    </cfRule>
    <cfRule type="cellIs" dxfId="10799" priority="9340" operator="equal">
      <formula>"Indeferido"</formula>
    </cfRule>
  </conditionalFormatting>
  <conditionalFormatting sqref="M422">
    <cfRule type="containsText" dxfId="10798" priority="9337" operator="containsText" text="Cancelado">
      <formula>NOT(ISERROR(SEARCH("Cancelado",M422)))</formula>
    </cfRule>
  </conditionalFormatting>
  <conditionalFormatting sqref="O422">
    <cfRule type="cellIs" dxfId="10797" priority="9334" operator="equal">
      <formula>"Tramitando"</formula>
    </cfRule>
    <cfRule type="cellIs" dxfId="10796" priority="9335" operator="equal">
      <formula>"Deferido"</formula>
    </cfRule>
    <cfRule type="cellIs" dxfId="10795" priority="9336" operator="equal">
      <formula>"Indeferido"</formula>
    </cfRule>
  </conditionalFormatting>
  <conditionalFormatting sqref="O422">
    <cfRule type="containsText" dxfId="10794" priority="9333" operator="containsText" text="Cancelado">
      <formula>NOT(ISERROR(SEARCH("Cancelado",O422)))</formula>
    </cfRule>
  </conditionalFormatting>
  <conditionalFormatting sqref="Q422">
    <cfRule type="cellIs" dxfId="10793" priority="9330" operator="equal">
      <formula>"Tramitando"</formula>
    </cfRule>
    <cfRule type="cellIs" dxfId="10792" priority="9331" operator="equal">
      <formula>"Deferido"</formula>
    </cfRule>
    <cfRule type="cellIs" dxfId="10791" priority="9332" operator="equal">
      <formula>"Indeferido"</formula>
    </cfRule>
  </conditionalFormatting>
  <conditionalFormatting sqref="Q422">
    <cfRule type="containsText" dxfId="10790" priority="9329" operator="containsText" text="Cancelado">
      <formula>NOT(ISERROR(SEARCH("Cancelado",Q422)))</formula>
    </cfRule>
  </conditionalFormatting>
  <conditionalFormatting sqref="S422">
    <cfRule type="cellIs" dxfId="10789" priority="9326" operator="equal">
      <formula>"Tramitando"</formula>
    </cfRule>
    <cfRule type="cellIs" dxfId="10788" priority="9327" operator="equal">
      <formula>"Deferido"</formula>
    </cfRule>
    <cfRule type="cellIs" dxfId="10787" priority="9328" operator="equal">
      <formula>"Indeferido"</formula>
    </cfRule>
  </conditionalFormatting>
  <conditionalFormatting sqref="S422">
    <cfRule type="containsText" dxfId="10786" priority="9325" operator="containsText" text="Cancelado">
      <formula>NOT(ISERROR(SEARCH("Cancelado",S422)))</formula>
    </cfRule>
  </conditionalFormatting>
  <conditionalFormatting sqref="J423">
    <cfRule type="cellIs" dxfId="10785" priority="9321" operator="equal">
      <formula>"Tramitando"</formula>
    </cfRule>
    <cfRule type="cellIs" dxfId="10784" priority="9322" operator="equal">
      <formula>"Deferido"</formula>
    </cfRule>
    <cfRule type="cellIs" dxfId="10783" priority="9323" operator="equal">
      <formula>"Indeferido"</formula>
    </cfRule>
  </conditionalFormatting>
  <conditionalFormatting sqref="J423">
    <cfRule type="containsText" dxfId="10782" priority="9320" operator="containsText" text="Cancelado">
      <formula>NOT(ISERROR(SEARCH("Cancelado",J423)))</formula>
    </cfRule>
  </conditionalFormatting>
  <conditionalFormatting sqref="M423">
    <cfRule type="cellIs" dxfId="10781" priority="9317" operator="equal">
      <formula>"Tramitando"</formula>
    </cfRule>
    <cfRule type="cellIs" dxfId="10780" priority="9318" operator="equal">
      <formula>"Deferido"</formula>
    </cfRule>
    <cfRule type="cellIs" dxfId="10779" priority="9319" operator="equal">
      <formula>"Indeferido"</formula>
    </cfRule>
  </conditionalFormatting>
  <conditionalFormatting sqref="M423">
    <cfRule type="containsText" dxfId="10778" priority="9316" operator="containsText" text="Cancelado">
      <formula>NOT(ISERROR(SEARCH("Cancelado",M423)))</formula>
    </cfRule>
  </conditionalFormatting>
  <conditionalFormatting sqref="O423">
    <cfRule type="cellIs" dxfId="10777" priority="9313" operator="equal">
      <formula>"Tramitando"</formula>
    </cfRule>
    <cfRule type="cellIs" dxfId="10776" priority="9314" operator="equal">
      <formula>"Deferido"</formula>
    </cfRule>
    <cfRule type="cellIs" dxfId="10775" priority="9315" operator="equal">
      <formula>"Indeferido"</formula>
    </cfRule>
  </conditionalFormatting>
  <conditionalFormatting sqref="O423">
    <cfRule type="containsText" dxfId="10774" priority="9312" operator="containsText" text="Cancelado">
      <formula>NOT(ISERROR(SEARCH("Cancelado",O423)))</formula>
    </cfRule>
  </conditionalFormatting>
  <conditionalFormatting sqref="Q423">
    <cfRule type="cellIs" dxfId="10773" priority="9309" operator="equal">
      <formula>"Tramitando"</formula>
    </cfRule>
    <cfRule type="cellIs" dxfId="10772" priority="9310" operator="equal">
      <formula>"Deferido"</formula>
    </cfRule>
    <cfRule type="cellIs" dxfId="10771" priority="9311" operator="equal">
      <formula>"Indeferido"</formula>
    </cfRule>
  </conditionalFormatting>
  <conditionalFormatting sqref="Q423">
    <cfRule type="containsText" dxfId="10770" priority="9308" operator="containsText" text="Cancelado">
      <formula>NOT(ISERROR(SEARCH("Cancelado",Q423)))</formula>
    </cfRule>
  </conditionalFormatting>
  <conditionalFormatting sqref="S423">
    <cfRule type="cellIs" dxfId="10769" priority="9305" operator="equal">
      <formula>"Tramitando"</formula>
    </cfRule>
    <cfRule type="cellIs" dxfId="10768" priority="9306" operator="equal">
      <formula>"Deferido"</formula>
    </cfRule>
    <cfRule type="cellIs" dxfId="10767" priority="9307" operator="equal">
      <formula>"Indeferido"</formula>
    </cfRule>
  </conditionalFormatting>
  <conditionalFormatting sqref="S423">
    <cfRule type="containsText" dxfId="10766" priority="9304" operator="containsText" text="Cancelado">
      <formula>NOT(ISERROR(SEARCH("Cancelado",S423)))</formula>
    </cfRule>
  </conditionalFormatting>
  <conditionalFormatting sqref="J424">
    <cfRule type="cellIs" dxfId="10765" priority="9300" operator="equal">
      <formula>"Tramitando"</formula>
    </cfRule>
    <cfRule type="cellIs" dxfId="10764" priority="9301" operator="equal">
      <formula>"Deferido"</formula>
    </cfRule>
    <cfRule type="cellIs" dxfId="10763" priority="9302" operator="equal">
      <formula>"Indeferido"</formula>
    </cfRule>
  </conditionalFormatting>
  <conditionalFormatting sqref="J424">
    <cfRule type="containsText" dxfId="10762" priority="9299" operator="containsText" text="Cancelado">
      <formula>NOT(ISERROR(SEARCH("Cancelado",J424)))</formula>
    </cfRule>
  </conditionalFormatting>
  <conditionalFormatting sqref="M424">
    <cfRule type="cellIs" dxfId="10761" priority="9296" operator="equal">
      <formula>"Tramitando"</formula>
    </cfRule>
    <cfRule type="cellIs" dxfId="10760" priority="9297" operator="equal">
      <formula>"Deferido"</formula>
    </cfRule>
    <cfRule type="cellIs" dxfId="10759" priority="9298" operator="equal">
      <formula>"Indeferido"</formula>
    </cfRule>
  </conditionalFormatting>
  <conditionalFormatting sqref="M424">
    <cfRule type="containsText" dxfId="10758" priority="9295" operator="containsText" text="Cancelado">
      <formula>NOT(ISERROR(SEARCH("Cancelado",M424)))</formula>
    </cfRule>
  </conditionalFormatting>
  <conditionalFormatting sqref="O424">
    <cfRule type="cellIs" dxfId="10757" priority="9292" operator="equal">
      <formula>"Tramitando"</formula>
    </cfRule>
    <cfRule type="cellIs" dxfId="10756" priority="9293" operator="equal">
      <formula>"Deferido"</formula>
    </cfRule>
    <cfRule type="cellIs" dxfId="10755" priority="9294" operator="equal">
      <formula>"Indeferido"</formula>
    </cfRule>
  </conditionalFormatting>
  <conditionalFormatting sqref="O424">
    <cfRule type="containsText" dxfId="10754" priority="9291" operator="containsText" text="Cancelado">
      <formula>NOT(ISERROR(SEARCH("Cancelado",O424)))</formula>
    </cfRule>
  </conditionalFormatting>
  <conditionalFormatting sqref="Q424">
    <cfRule type="cellIs" dxfId="10753" priority="9288" operator="equal">
      <formula>"Tramitando"</formula>
    </cfRule>
    <cfRule type="cellIs" dxfId="10752" priority="9289" operator="equal">
      <formula>"Deferido"</formula>
    </cfRule>
    <cfRule type="cellIs" dxfId="10751" priority="9290" operator="equal">
      <formula>"Indeferido"</formula>
    </cfRule>
  </conditionalFormatting>
  <conditionalFormatting sqref="Q424">
    <cfRule type="containsText" dxfId="10750" priority="9287" operator="containsText" text="Cancelado">
      <formula>NOT(ISERROR(SEARCH("Cancelado",Q424)))</formula>
    </cfRule>
  </conditionalFormatting>
  <conditionalFormatting sqref="S424">
    <cfRule type="cellIs" dxfId="10749" priority="9284" operator="equal">
      <formula>"Tramitando"</formula>
    </cfRule>
    <cfRule type="cellIs" dxfId="10748" priority="9285" operator="equal">
      <formula>"Deferido"</formula>
    </cfRule>
    <cfRule type="cellIs" dxfId="10747" priority="9286" operator="equal">
      <formula>"Indeferido"</formula>
    </cfRule>
  </conditionalFormatting>
  <conditionalFormatting sqref="S424">
    <cfRule type="containsText" dxfId="10746" priority="9283" operator="containsText" text="Cancelado">
      <formula>NOT(ISERROR(SEARCH("Cancelado",S424)))</formula>
    </cfRule>
  </conditionalFormatting>
  <conditionalFormatting sqref="J425">
    <cfRule type="cellIs" dxfId="10745" priority="9279" operator="equal">
      <formula>"Tramitando"</formula>
    </cfRule>
    <cfRule type="cellIs" dxfId="10744" priority="9280" operator="equal">
      <formula>"Deferido"</formula>
    </cfRule>
    <cfRule type="cellIs" dxfId="10743" priority="9281" operator="equal">
      <formula>"Indeferido"</formula>
    </cfRule>
  </conditionalFormatting>
  <conditionalFormatting sqref="J425">
    <cfRule type="containsText" dxfId="10742" priority="9278" operator="containsText" text="Cancelado">
      <formula>NOT(ISERROR(SEARCH("Cancelado",J425)))</formula>
    </cfRule>
  </conditionalFormatting>
  <conditionalFormatting sqref="M425">
    <cfRule type="cellIs" dxfId="10741" priority="9275" operator="equal">
      <formula>"Tramitando"</formula>
    </cfRule>
    <cfRule type="cellIs" dxfId="10740" priority="9276" operator="equal">
      <formula>"Deferido"</formula>
    </cfRule>
    <cfRule type="cellIs" dxfId="10739" priority="9277" operator="equal">
      <formula>"Indeferido"</formula>
    </cfRule>
  </conditionalFormatting>
  <conditionalFormatting sqref="M425">
    <cfRule type="containsText" dxfId="10738" priority="9274" operator="containsText" text="Cancelado">
      <formula>NOT(ISERROR(SEARCH("Cancelado",M425)))</formula>
    </cfRule>
  </conditionalFormatting>
  <conditionalFormatting sqref="O425">
    <cfRule type="cellIs" dxfId="10737" priority="9271" operator="equal">
      <formula>"Tramitando"</formula>
    </cfRule>
    <cfRule type="cellIs" dxfId="10736" priority="9272" operator="equal">
      <formula>"Deferido"</formula>
    </cfRule>
    <cfRule type="cellIs" dxfId="10735" priority="9273" operator="equal">
      <formula>"Indeferido"</formula>
    </cfRule>
  </conditionalFormatting>
  <conditionalFormatting sqref="O425">
    <cfRule type="containsText" dxfId="10734" priority="9270" operator="containsText" text="Cancelado">
      <formula>NOT(ISERROR(SEARCH("Cancelado",O425)))</formula>
    </cfRule>
  </conditionalFormatting>
  <conditionalFormatting sqref="Q425">
    <cfRule type="cellIs" dxfId="10733" priority="9267" operator="equal">
      <formula>"Tramitando"</formula>
    </cfRule>
    <cfRule type="cellIs" dxfId="10732" priority="9268" operator="equal">
      <formula>"Deferido"</formula>
    </cfRule>
    <cfRule type="cellIs" dxfId="10731" priority="9269" operator="equal">
      <formula>"Indeferido"</formula>
    </cfRule>
  </conditionalFormatting>
  <conditionalFormatting sqref="Q425">
    <cfRule type="containsText" dxfId="10730" priority="9266" operator="containsText" text="Cancelado">
      <formula>NOT(ISERROR(SEARCH("Cancelado",Q425)))</formula>
    </cfRule>
  </conditionalFormatting>
  <conditionalFormatting sqref="S425">
    <cfRule type="cellIs" dxfId="10729" priority="9263" operator="equal">
      <formula>"Tramitando"</formula>
    </cfRule>
    <cfRule type="cellIs" dxfId="10728" priority="9264" operator="equal">
      <formula>"Deferido"</formula>
    </cfRule>
    <cfRule type="cellIs" dxfId="10727" priority="9265" operator="equal">
      <formula>"Indeferido"</formula>
    </cfRule>
  </conditionalFormatting>
  <conditionalFormatting sqref="S425">
    <cfRule type="containsText" dxfId="10726" priority="9262" operator="containsText" text="Cancelado">
      <formula>NOT(ISERROR(SEARCH("Cancelado",S425)))</formula>
    </cfRule>
  </conditionalFormatting>
  <conditionalFormatting sqref="J426">
    <cfRule type="cellIs" dxfId="10725" priority="9258" operator="equal">
      <formula>"Tramitando"</formula>
    </cfRule>
    <cfRule type="cellIs" dxfId="10724" priority="9259" operator="equal">
      <formula>"Deferido"</formula>
    </cfRule>
    <cfRule type="cellIs" dxfId="10723" priority="9260" operator="equal">
      <formula>"Indeferido"</formula>
    </cfRule>
  </conditionalFormatting>
  <conditionalFormatting sqref="J426">
    <cfRule type="containsText" dxfId="10722" priority="9257" operator="containsText" text="Cancelado">
      <formula>NOT(ISERROR(SEARCH("Cancelado",J426)))</formula>
    </cfRule>
  </conditionalFormatting>
  <conditionalFormatting sqref="M426">
    <cfRule type="cellIs" dxfId="10721" priority="9254" operator="equal">
      <formula>"Tramitando"</formula>
    </cfRule>
    <cfRule type="cellIs" dxfId="10720" priority="9255" operator="equal">
      <formula>"Deferido"</formula>
    </cfRule>
    <cfRule type="cellIs" dxfId="10719" priority="9256" operator="equal">
      <formula>"Indeferido"</formula>
    </cfRule>
  </conditionalFormatting>
  <conditionalFormatting sqref="M426">
    <cfRule type="containsText" dxfId="10718" priority="9253" operator="containsText" text="Cancelado">
      <formula>NOT(ISERROR(SEARCH("Cancelado",M426)))</formula>
    </cfRule>
  </conditionalFormatting>
  <conditionalFormatting sqref="O426">
    <cfRule type="cellIs" dxfId="10717" priority="9250" operator="equal">
      <formula>"Tramitando"</formula>
    </cfRule>
    <cfRule type="cellIs" dxfId="10716" priority="9251" operator="equal">
      <formula>"Deferido"</formula>
    </cfRule>
    <cfRule type="cellIs" dxfId="10715" priority="9252" operator="equal">
      <formula>"Indeferido"</formula>
    </cfRule>
  </conditionalFormatting>
  <conditionalFormatting sqref="O426">
    <cfRule type="containsText" dxfId="10714" priority="9249" operator="containsText" text="Cancelado">
      <formula>NOT(ISERROR(SEARCH("Cancelado",O426)))</formula>
    </cfRule>
  </conditionalFormatting>
  <conditionalFormatting sqref="Q426">
    <cfRule type="cellIs" dxfId="10713" priority="9246" operator="equal">
      <formula>"Tramitando"</formula>
    </cfRule>
    <cfRule type="cellIs" dxfId="10712" priority="9247" operator="equal">
      <formula>"Deferido"</formula>
    </cfRule>
    <cfRule type="cellIs" dxfId="10711" priority="9248" operator="equal">
      <formula>"Indeferido"</formula>
    </cfRule>
  </conditionalFormatting>
  <conditionalFormatting sqref="Q426">
    <cfRule type="containsText" dxfId="10710" priority="9245" operator="containsText" text="Cancelado">
      <formula>NOT(ISERROR(SEARCH("Cancelado",Q426)))</formula>
    </cfRule>
  </conditionalFormatting>
  <conditionalFormatting sqref="S426">
    <cfRule type="cellIs" dxfId="10709" priority="9242" operator="equal">
      <formula>"Tramitando"</formula>
    </cfRule>
    <cfRule type="cellIs" dxfId="10708" priority="9243" operator="equal">
      <formula>"Deferido"</formula>
    </cfRule>
    <cfRule type="cellIs" dxfId="10707" priority="9244" operator="equal">
      <formula>"Indeferido"</formula>
    </cfRule>
  </conditionalFormatting>
  <conditionalFormatting sqref="S426">
    <cfRule type="containsText" dxfId="10706" priority="9241" operator="containsText" text="Cancelado">
      <formula>NOT(ISERROR(SEARCH("Cancelado",S426)))</formula>
    </cfRule>
  </conditionalFormatting>
  <conditionalFormatting sqref="J427:J428">
    <cfRule type="cellIs" dxfId="10705" priority="9233" operator="equal">
      <formula>"Tramitando"</formula>
    </cfRule>
    <cfRule type="cellIs" dxfId="10704" priority="9234" operator="equal">
      <formula>"Deferido"</formula>
    </cfRule>
    <cfRule type="cellIs" dxfId="10703" priority="9235" operator="equal">
      <formula>"Indeferido"</formula>
    </cfRule>
  </conditionalFormatting>
  <conditionalFormatting sqref="J427:J428">
    <cfRule type="containsText" dxfId="10702" priority="9232" operator="containsText" text="Cancelado">
      <formula>NOT(ISERROR(SEARCH("Cancelado",J427)))</formula>
    </cfRule>
  </conditionalFormatting>
  <conditionalFormatting sqref="M427:M428">
    <cfRule type="cellIs" dxfId="10701" priority="9229" operator="equal">
      <formula>"Tramitando"</formula>
    </cfRule>
    <cfRule type="cellIs" dxfId="10700" priority="9230" operator="equal">
      <formula>"Deferido"</formula>
    </cfRule>
    <cfRule type="cellIs" dxfId="10699" priority="9231" operator="equal">
      <formula>"Indeferido"</formula>
    </cfRule>
  </conditionalFormatting>
  <conditionalFormatting sqref="M427:M428">
    <cfRule type="containsText" dxfId="10698" priority="9228" operator="containsText" text="Cancelado">
      <formula>NOT(ISERROR(SEARCH("Cancelado",M427)))</formula>
    </cfRule>
  </conditionalFormatting>
  <conditionalFormatting sqref="O427:O428">
    <cfRule type="cellIs" dxfId="10697" priority="9225" operator="equal">
      <formula>"Tramitando"</formula>
    </cfRule>
    <cfRule type="cellIs" dxfId="10696" priority="9226" operator="equal">
      <formula>"Deferido"</formula>
    </cfRule>
    <cfRule type="cellIs" dxfId="10695" priority="9227" operator="equal">
      <formula>"Indeferido"</formula>
    </cfRule>
  </conditionalFormatting>
  <conditionalFormatting sqref="O427:O428">
    <cfRule type="containsText" dxfId="10694" priority="9224" operator="containsText" text="Cancelado">
      <formula>NOT(ISERROR(SEARCH("Cancelado",O427)))</formula>
    </cfRule>
  </conditionalFormatting>
  <conditionalFormatting sqref="Q427:Q428">
    <cfRule type="cellIs" dxfId="10693" priority="9221" operator="equal">
      <formula>"Tramitando"</formula>
    </cfRule>
    <cfRule type="cellIs" dxfId="10692" priority="9222" operator="equal">
      <formula>"Deferido"</formula>
    </cfRule>
    <cfRule type="cellIs" dxfId="10691" priority="9223" operator="equal">
      <formula>"Indeferido"</formula>
    </cfRule>
  </conditionalFormatting>
  <conditionalFormatting sqref="Q427:Q428">
    <cfRule type="containsText" dxfId="10690" priority="9220" operator="containsText" text="Cancelado">
      <formula>NOT(ISERROR(SEARCH("Cancelado",Q427)))</formula>
    </cfRule>
  </conditionalFormatting>
  <conditionalFormatting sqref="S427:S428">
    <cfRule type="cellIs" dxfId="10689" priority="9217" operator="equal">
      <formula>"Tramitando"</formula>
    </cfRule>
    <cfRule type="cellIs" dxfId="10688" priority="9218" operator="equal">
      <formula>"Deferido"</formula>
    </cfRule>
    <cfRule type="cellIs" dxfId="10687" priority="9219" operator="equal">
      <formula>"Indeferido"</formula>
    </cfRule>
  </conditionalFormatting>
  <conditionalFormatting sqref="S427:S428">
    <cfRule type="containsText" dxfId="10686" priority="9216" operator="containsText" text="Cancelado">
      <formula>NOT(ISERROR(SEARCH("Cancelado",S427)))</formula>
    </cfRule>
  </conditionalFormatting>
  <conditionalFormatting sqref="J429">
    <cfRule type="cellIs" dxfId="10685" priority="9212" operator="equal">
      <formula>"Tramitando"</formula>
    </cfRule>
    <cfRule type="cellIs" dxfId="10684" priority="9213" operator="equal">
      <formula>"Deferido"</formula>
    </cfRule>
    <cfRule type="cellIs" dxfId="10683" priority="9214" operator="equal">
      <formula>"Indeferido"</formula>
    </cfRule>
  </conditionalFormatting>
  <conditionalFormatting sqref="J429">
    <cfRule type="containsText" dxfId="10682" priority="9211" operator="containsText" text="Cancelado">
      <formula>NOT(ISERROR(SEARCH("Cancelado",J429)))</formula>
    </cfRule>
  </conditionalFormatting>
  <conditionalFormatting sqref="M429">
    <cfRule type="cellIs" dxfId="10681" priority="9208" operator="equal">
      <formula>"Tramitando"</formula>
    </cfRule>
    <cfRule type="cellIs" dxfId="10680" priority="9209" operator="equal">
      <formula>"Deferido"</formula>
    </cfRule>
    <cfRule type="cellIs" dxfId="10679" priority="9210" operator="equal">
      <formula>"Indeferido"</formula>
    </cfRule>
  </conditionalFormatting>
  <conditionalFormatting sqref="M429">
    <cfRule type="containsText" dxfId="10678" priority="9207" operator="containsText" text="Cancelado">
      <formula>NOT(ISERROR(SEARCH("Cancelado",M429)))</formula>
    </cfRule>
  </conditionalFormatting>
  <conditionalFormatting sqref="O429">
    <cfRule type="cellIs" dxfId="10677" priority="9204" operator="equal">
      <formula>"Tramitando"</formula>
    </cfRule>
    <cfRule type="cellIs" dxfId="10676" priority="9205" operator="equal">
      <formula>"Deferido"</formula>
    </cfRule>
    <cfRule type="cellIs" dxfId="10675" priority="9206" operator="equal">
      <formula>"Indeferido"</formula>
    </cfRule>
  </conditionalFormatting>
  <conditionalFormatting sqref="O429">
    <cfRule type="containsText" dxfId="10674" priority="9203" operator="containsText" text="Cancelado">
      <formula>NOT(ISERROR(SEARCH("Cancelado",O429)))</formula>
    </cfRule>
  </conditionalFormatting>
  <conditionalFormatting sqref="Q429">
    <cfRule type="cellIs" dxfId="10673" priority="9200" operator="equal">
      <formula>"Tramitando"</formula>
    </cfRule>
    <cfRule type="cellIs" dxfId="10672" priority="9201" operator="equal">
      <formula>"Deferido"</formula>
    </cfRule>
    <cfRule type="cellIs" dxfId="10671" priority="9202" operator="equal">
      <formula>"Indeferido"</formula>
    </cfRule>
  </conditionalFormatting>
  <conditionalFormatting sqref="Q429">
    <cfRule type="containsText" dxfId="10670" priority="9199" operator="containsText" text="Cancelado">
      <formula>NOT(ISERROR(SEARCH("Cancelado",Q429)))</formula>
    </cfRule>
  </conditionalFormatting>
  <conditionalFormatting sqref="S429">
    <cfRule type="cellIs" dxfId="10669" priority="9196" operator="equal">
      <formula>"Tramitando"</formula>
    </cfRule>
    <cfRule type="cellIs" dxfId="10668" priority="9197" operator="equal">
      <formula>"Deferido"</formula>
    </cfRule>
    <cfRule type="cellIs" dxfId="10667" priority="9198" operator="equal">
      <formula>"Indeferido"</formula>
    </cfRule>
  </conditionalFormatting>
  <conditionalFormatting sqref="S429">
    <cfRule type="containsText" dxfId="10666" priority="9195" operator="containsText" text="Cancelado">
      <formula>NOT(ISERROR(SEARCH("Cancelado",S429)))</formula>
    </cfRule>
  </conditionalFormatting>
  <conditionalFormatting sqref="J430">
    <cfRule type="cellIs" dxfId="10665" priority="9191" operator="equal">
      <formula>"Tramitando"</formula>
    </cfRule>
    <cfRule type="cellIs" dxfId="10664" priority="9192" operator="equal">
      <formula>"Deferido"</formula>
    </cfRule>
    <cfRule type="cellIs" dxfId="10663" priority="9193" operator="equal">
      <formula>"Indeferido"</formula>
    </cfRule>
  </conditionalFormatting>
  <conditionalFormatting sqref="J430">
    <cfRule type="containsText" dxfId="10662" priority="9190" operator="containsText" text="Cancelado">
      <formula>NOT(ISERROR(SEARCH("Cancelado",J430)))</formula>
    </cfRule>
  </conditionalFormatting>
  <conditionalFormatting sqref="M430">
    <cfRule type="cellIs" dxfId="10661" priority="9187" operator="equal">
      <formula>"Tramitando"</formula>
    </cfRule>
    <cfRule type="cellIs" dxfId="10660" priority="9188" operator="equal">
      <formula>"Deferido"</formula>
    </cfRule>
    <cfRule type="cellIs" dxfId="10659" priority="9189" operator="equal">
      <formula>"Indeferido"</formula>
    </cfRule>
  </conditionalFormatting>
  <conditionalFormatting sqref="M430">
    <cfRule type="containsText" dxfId="10658" priority="9186" operator="containsText" text="Cancelado">
      <formula>NOT(ISERROR(SEARCH("Cancelado",M430)))</formula>
    </cfRule>
  </conditionalFormatting>
  <conditionalFormatting sqref="O430">
    <cfRule type="cellIs" dxfId="10657" priority="9183" operator="equal">
      <formula>"Tramitando"</formula>
    </cfRule>
    <cfRule type="cellIs" dxfId="10656" priority="9184" operator="equal">
      <formula>"Deferido"</formula>
    </cfRule>
    <cfRule type="cellIs" dxfId="10655" priority="9185" operator="equal">
      <formula>"Indeferido"</formula>
    </cfRule>
  </conditionalFormatting>
  <conditionalFormatting sqref="O430">
    <cfRule type="containsText" dxfId="10654" priority="9182" operator="containsText" text="Cancelado">
      <formula>NOT(ISERROR(SEARCH("Cancelado",O430)))</formula>
    </cfRule>
  </conditionalFormatting>
  <conditionalFormatting sqref="Q430">
    <cfRule type="cellIs" dxfId="10653" priority="9179" operator="equal">
      <formula>"Tramitando"</formula>
    </cfRule>
    <cfRule type="cellIs" dxfId="10652" priority="9180" operator="equal">
      <formula>"Deferido"</formula>
    </cfRule>
    <cfRule type="cellIs" dxfId="10651" priority="9181" operator="equal">
      <formula>"Indeferido"</formula>
    </cfRule>
  </conditionalFormatting>
  <conditionalFormatting sqref="Q430">
    <cfRule type="containsText" dxfId="10650" priority="9178" operator="containsText" text="Cancelado">
      <formula>NOT(ISERROR(SEARCH("Cancelado",Q430)))</formula>
    </cfRule>
  </conditionalFormatting>
  <conditionalFormatting sqref="S430">
    <cfRule type="cellIs" dxfId="10649" priority="9175" operator="equal">
      <formula>"Tramitando"</formula>
    </cfRule>
    <cfRule type="cellIs" dxfId="10648" priority="9176" operator="equal">
      <formula>"Deferido"</formula>
    </cfRule>
    <cfRule type="cellIs" dxfId="10647" priority="9177" operator="equal">
      <formula>"Indeferido"</formula>
    </cfRule>
  </conditionalFormatting>
  <conditionalFormatting sqref="S430">
    <cfRule type="containsText" dxfId="10646" priority="9174" operator="containsText" text="Cancelado">
      <formula>NOT(ISERROR(SEARCH("Cancelado",S430)))</formula>
    </cfRule>
  </conditionalFormatting>
  <conditionalFormatting sqref="J431">
    <cfRule type="cellIs" dxfId="10645" priority="9170" operator="equal">
      <formula>"Tramitando"</formula>
    </cfRule>
    <cfRule type="cellIs" dxfId="10644" priority="9171" operator="equal">
      <formula>"Deferido"</formula>
    </cfRule>
    <cfRule type="cellIs" dxfId="10643" priority="9172" operator="equal">
      <formula>"Indeferido"</formula>
    </cfRule>
  </conditionalFormatting>
  <conditionalFormatting sqref="J431">
    <cfRule type="containsText" dxfId="10642" priority="9169" operator="containsText" text="Cancelado">
      <formula>NOT(ISERROR(SEARCH("Cancelado",J431)))</formula>
    </cfRule>
  </conditionalFormatting>
  <conditionalFormatting sqref="M431">
    <cfRule type="cellIs" dxfId="10641" priority="9166" operator="equal">
      <formula>"Tramitando"</formula>
    </cfRule>
    <cfRule type="cellIs" dxfId="10640" priority="9167" operator="equal">
      <formula>"Deferido"</formula>
    </cfRule>
    <cfRule type="cellIs" dxfId="10639" priority="9168" operator="equal">
      <formula>"Indeferido"</formula>
    </cfRule>
  </conditionalFormatting>
  <conditionalFormatting sqref="M431">
    <cfRule type="containsText" dxfId="10638" priority="9165" operator="containsText" text="Cancelado">
      <formula>NOT(ISERROR(SEARCH("Cancelado",M431)))</formula>
    </cfRule>
  </conditionalFormatting>
  <conditionalFormatting sqref="O431">
    <cfRule type="cellIs" dxfId="10637" priority="9162" operator="equal">
      <formula>"Tramitando"</formula>
    </cfRule>
    <cfRule type="cellIs" dxfId="10636" priority="9163" operator="equal">
      <formula>"Deferido"</formula>
    </cfRule>
    <cfRule type="cellIs" dxfId="10635" priority="9164" operator="equal">
      <formula>"Indeferido"</formula>
    </cfRule>
  </conditionalFormatting>
  <conditionalFormatting sqref="O431">
    <cfRule type="containsText" dxfId="10634" priority="9161" operator="containsText" text="Cancelado">
      <formula>NOT(ISERROR(SEARCH("Cancelado",O431)))</formula>
    </cfRule>
  </conditionalFormatting>
  <conditionalFormatting sqref="Q431">
    <cfRule type="cellIs" dxfId="10633" priority="9158" operator="equal">
      <formula>"Tramitando"</formula>
    </cfRule>
    <cfRule type="cellIs" dxfId="10632" priority="9159" operator="equal">
      <formula>"Deferido"</formula>
    </cfRule>
    <cfRule type="cellIs" dxfId="10631" priority="9160" operator="equal">
      <formula>"Indeferido"</formula>
    </cfRule>
  </conditionalFormatting>
  <conditionalFormatting sqref="Q431">
    <cfRule type="containsText" dxfId="10630" priority="9157" operator="containsText" text="Cancelado">
      <formula>NOT(ISERROR(SEARCH("Cancelado",Q431)))</formula>
    </cfRule>
  </conditionalFormatting>
  <conditionalFormatting sqref="S431">
    <cfRule type="cellIs" dxfId="10629" priority="9154" operator="equal">
      <formula>"Tramitando"</formula>
    </cfRule>
    <cfRule type="cellIs" dxfId="10628" priority="9155" operator="equal">
      <formula>"Deferido"</formula>
    </cfRule>
    <cfRule type="cellIs" dxfId="10627" priority="9156" operator="equal">
      <formula>"Indeferido"</formula>
    </cfRule>
  </conditionalFormatting>
  <conditionalFormatting sqref="S431">
    <cfRule type="containsText" dxfId="10626" priority="9153" operator="containsText" text="Cancelado">
      <formula>NOT(ISERROR(SEARCH("Cancelado",S431)))</formula>
    </cfRule>
  </conditionalFormatting>
  <conditionalFormatting sqref="J432">
    <cfRule type="cellIs" dxfId="10625" priority="9149" operator="equal">
      <formula>"Tramitando"</formula>
    </cfRule>
    <cfRule type="cellIs" dxfId="10624" priority="9150" operator="equal">
      <formula>"Deferido"</formula>
    </cfRule>
    <cfRule type="cellIs" dxfId="10623" priority="9151" operator="equal">
      <formula>"Indeferido"</formula>
    </cfRule>
  </conditionalFormatting>
  <conditionalFormatting sqref="J432">
    <cfRule type="containsText" dxfId="10622" priority="9148" operator="containsText" text="Cancelado">
      <formula>NOT(ISERROR(SEARCH("Cancelado",J432)))</formula>
    </cfRule>
  </conditionalFormatting>
  <conditionalFormatting sqref="M432">
    <cfRule type="cellIs" dxfId="10621" priority="9145" operator="equal">
      <formula>"Tramitando"</formula>
    </cfRule>
    <cfRule type="cellIs" dxfId="10620" priority="9146" operator="equal">
      <formula>"Deferido"</formula>
    </cfRule>
    <cfRule type="cellIs" dxfId="10619" priority="9147" operator="equal">
      <formula>"Indeferido"</formula>
    </cfRule>
  </conditionalFormatting>
  <conditionalFormatting sqref="M432">
    <cfRule type="containsText" dxfId="10618" priority="9144" operator="containsText" text="Cancelado">
      <formula>NOT(ISERROR(SEARCH("Cancelado",M432)))</formula>
    </cfRule>
  </conditionalFormatting>
  <conditionalFormatting sqref="O432">
    <cfRule type="cellIs" dxfId="10617" priority="9141" operator="equal">
      <formula>"Tramitando"</formula>
    </cfRule>
    <cfRule type="cellIs" dxfId="10616" priority="9142" operator="equal">
      <formula>"Deferido"</formula>
    </cfRule>
    <cfRule type="cellIs" dxfId="10615" priority="9143" operator="equal">
      <formula>"Indeferido"</formula>
    </cfRule>
  </conditionalFormatting>
  <conditionalFormatting sqref="O432">
    <cfRule type="containsText" dxfId="10614" priority="9140" operator="containsText" text="Cancelado">
      <formula>NOT(ISERROR(SEARCH("Cancelado",O432)))</formula>
    </cfRule>
  </conditionalFormatting>
  <conditionalFormatting sqref="Q432">
    <cfRule type="cellIs" dxfId="10613" priority="9137" operator="equal">
      <formula>"Tramitando"</formula>
    </cfRule>
    <cfRule type="cellIs" dxfId="10612" priority="9138" operator="equal">
      <formula>"Deferido"</formula>
    </cfRule>
    <cfRule type="cellIs" dxfId="10611" priority="9139" operator="equal">
      <formula>"Indeferido"</formula>
    </cfRule>
  </conditionalFormatting>
  <conditionalFormatting sqref="Q432">
    <cfRule type="containsText" dxfId="10610" priority="9136" operator="containsText" text="Cancelado">
      <formula>NOT(ISERROR(SEARCH("Cancelado",Q432)))</formula>
    </cfRule>
  </conditionalFormatting>
  <conditionalFormatting sqref="S432">
    <cfRule type="cellIs" dxfId="10609" priority="9133" operator="equal">
      <formula>"Tramitando"</formula>
    </cfRule>
    <cfRule type="cellIs" dxfId="10608" priority="9134" operator="equal">
      <formula>"Deferido"</formula>
    </cfRule>
    <cfRule type="cellIs" dxfId="10607" priority="9135" operator="equal">
      <formula>"Indeferido"</formula>
    </cfRule>
  </conditionalFormatting>
  <conditionalFormatting sqref="S432">
    <cfRule type="containsText" dxfId="10606" priority="9132" operator="containsText" text="Cancelado">
      <formula>NOT(ISERROR(SEARCH("Cancelado",S432)))</formula>
    </cfRule>
  </conditionalFormatting>
  <conditionalFormatting sqref="J433">
    <cfRule type="cellIs" dxfId="10605" priority="9128" operator="equal">
      <formula>"Tramitando"</formula>
    </cfRule>
    <cfRule type="cellIs" dxfId="10604" priority="9129" operator="equal">
      <formula>"Deferido"</formula>
    </cfRule>
    <cfRule type="cellIs" dxfId="10603" priority="9130" operator="equal">
      <formula>"Indeferido"</formula>
    </cfRule>
  </conditionalFormatting>
  <conditionalFormatting sqref="J433">
    <cfRule type="containsText" dxfId="10602" priority="9127" operator="containsText" text="Cancelado">
      <formula>NOT(ISERROR(SEARCH("Cancelado",J433)))</formula>
    </cfRule>
  </conditionalFormatting>
  <conditionalFormatting sqref="M433">
    <cfRule type="cellIs" dxfId="10601" priority="9124" operator="equal">
      <formula>"Tramitando"</formula>
    </cfRule>
    <cfRule type="cellIs" dxfId="10600" priority="9125" operator="equal">
      <formula>"Deferido"</formula>
    </cfRule>
    <cfRule type="cellIs" dxfId="10599" priority="9126" operator="equal">
      <formula>"Indeferido"</formula>
    </cfRule>
  </conditionalFormatting>
  <conditionalFormatting sqref="M433">
    <cfRule type="containsText" dxfId="10598" priority="9123" operator="containsText" text="Cancelado">
      <formula>NOT(ISERROR(SEARCH("Cancelado",M433)))</formula>
    </cfRule>
  </conditionalFormatting>
  <conditionalFormatting sqref="O433">
    <cfRule type="cellIs" dxfId="10597" priority="9120" operator="equal">
      <formula>"Tramitando"</formula>
    </cfRule>
    <cfRule type="cellIs" dxfId="10596" priority="9121" operator="equal">
      <formula>"Deferido"</formula>
    </cfRule>
    <cfRule type="cellIs" dxfId="10595" priority="9122" operator="equal">
      <formula>"Indeferido"</formula>
    </cfRule>
  </conditionalFormatting>
  <conditionalFormatting sqref="O433">
    <cfRule type="containsText" dxfId="10594" priority="9119" operator="containsText" text="Cancelado">
      <formula>NOT(ISERROR(SEARCH("Cancelado",O433)))</formula>
    </cfRule>
  </conditionalFormatting>
  <conditionalFormatting sqref="Q433">
    <cfRule type="cellIs" dxfId="10593" priority="9116" operator="equal">
      <formula>"Tramitando"</formula>
    </cfRule>
    <cfRule type="cellIs" dxfId="10592" priority="9117" operator="equal">
      <formula>"Deferido"</formula>
    </cfRule>
    <cfRule type="cellIs" dxfId="10591" priority="9118" operator="equal">
      <formula>"Indeferido"</formula>
    </cfRule>
  </conditionalFormatting>
  <conditionalFormatting sqref="Q433">
    <cfRule type="containsText" dxfId="10590" priority="9115" operator="containsText" text="Cancelado">
      <formula>NOT(ISERROR(SEARCH("Cancelado",Q433)))</formula>
    </cfRule>
  </conditionalFormatting>
  <conditionalFormatting sqref="S433">
    <cfRule type="cellIs" dxfId="10589" priority="9112" operator="equal">
      <formula>"Tramitando"</formula>
    </cfRule>
    <cfRule type="cellIs" dxfId="10588" priority="9113" operator="equal">
      <formula>"Deferido"</formula>
    </cfRule>
    <cfRule type="cellIs" dxfId="10587" priority="9114" operator="equal">
      <formula>"Indeferido"</formula>
    </cfRule>
  </conditionalFormatting>
  <conditionalFormatting sqref="S433">
    <cfRule type="containsText" dxfId="10586" priority="9111" operator="containsText" text="Cancelado">
      <formula>NOT(ISERROR(SEARCH("Cancelado",S433)))</formula>
    </cfRule>
  </conditionalFormatting>
  <conditionalFormatting sqref="J434">
    <cfRule type="cellIs" dxfId="10585" priority="9107" operator="equal">
      <formula>"Tramitando"</formula>
    </cfRule>
    <cfRule type="cellIs" dxfId="10584" priority="9108" operator="equal">
      <formula>"Deferido"</formula>
    </cfRule>
    <cfRule type="cellIs" dxfId="10583" priority="9109" operator="equal">
      <formula>"Indeferido"</formula>
    </cfRule>
  </conditionalFormatting>
  <conditionalFormatting sqref="J434">
    <cfRule type="containsText" dxfId="10582" priority="9106" operator="containsText" text="Cancelado">
      <formula>NOT(ISERROR(SEARCH("Cancelado",J434)))</formula>
    </cfRule>
  </conditionalFormatting>
  <conditionalFormatting sqref="M434">
    <cfRule type="cellIs" dxfId="10581" priority="9103" operator="equal">
      <formula>"Tramitando"</formula>
    </cfRule>
    <cfRule type="cellIs" dxfId="10580" priority="9104" operator="equal">
      <formula>"Deferido"</formula>
    </cfRule>
    <cfRule type="cellIs" dxfId="10579" priority="9105" operator="equal">
      <formula>"Indeferido"</formula>
    </cfRule>
  </conditionalFormatting>
  <conditionalFormatting sqref="M434">
    <cfRule type="containsText" dxfId="10578" priority="9102" operator="containsText" text="Cancelado">
      <formula>NOT(ISERROR(SEARCH("Cancelado",M434)))</formula>
    </cfRule>
  </conditionalFormatting>
  <conditionalFormatting sqref="O434">
    <cfRule type="cellIs" dxfId="10577" priority="9099" operator="equal">
      <formula>"Tramitando"</formula>
    </cfRule>
    <cfRule type="cellIs" dxfId="10576" priority="9100" operator="equal">
      <formula>"Deferido"</formula>
    </cfRule>
    <cfRule type="cellIs" dxfId="10575" priority="9101" operator="equal">
      <formula>"Indeferido"</formula>
    </cfRule>
  </conditionalFormatting>
  <conditionalFormatting sqref="O434">
    <cfRule type="containsText" dxfId="10574" priority="9098" operator="containsText" text="Cancelado">
      <formula>NOT(ISERROR(SEARCH("Cancelado",O434)))</formula>
    </cfRule>
  </conditionalFormatting>
  <conditionalFormatting sqref="Q434">
    <cfRule type="cellIs" dxfId="10573" priority="9095" operator="equal">
      <formula>"Tramitando"</formula>
    </cfRule>
    <cfRule type="cellIs" dxfId="10572" priority="9096" operator="equal">
      <formula>"Deferido"</formula>
    </cfRule>
    <cfRule type="cellIs" dxfId="10571" priority="9097" operator="equal">
      <formula>"Indeferido"</formula>
    </cfRule>
  </conditionalFormatting>
  <conditionalFormatting sqref="Q434">
    <cfRule type="containsText" dxfId="10570" priority="9094" operator="containsText" text="Cancelado">
      <formula>NOT(ISERROR(SEARCH("Cancelado",Q434)))</formula>
    </cfRule>
  </conditionalFormatting>
  <conditionalFormatting sqref="S434">
    <cfRule type="cellIs" dxfId="10569" priority="9091" operator="equal">
      <formula>"Tramitando"</formula>
    </cfRule>
    <cfRule type="cellIs" dxfId="10568" priority="9092" operator="equal">
      <formula>"Deferido"</formula>
    </cfRule>
    <cfRule type="cellIs" dxfId="10567" priority="9093" operator="equal">
      <formula>"Indeferido"</formula>
    </cfRule>
  </conditionalFormatting>
  <conditionalFormatting sqref="S434">
    <cfRule type="containsText" dxfId="10566" priority="9090" operator="containsText" text="Cancelado">
      <formula>NOT(ISERROR(SEARCH("Cancelado",S434)))</formula>
    </cfRule>
  </conditionalFormatting>
  <conditionalFormatting sqref="J435">
    <cfRule type="cellIs" dxfId="10565" priority="9086" operator="equal">
      <formula>"Tramitando"</formula>
    </cfRule>
    <cfRule type="cellIs" dxfId="10564" priority="9087" operator="equal">
      <formula>"Deferido"</formula>
    </cfRule>
    <cfRule type="cellIs" dxfId="10563" priority="9088" operator="equal">
      <formula>"Indeferido"</formula>
    </cfRule>
  </conditionalFormatting>
  <conditionalFormatting sqref="J435">
    <cfRule type="containsText" dxfId="10562" priority="9085" operator="containsText" text="Cancelado">
      <formula>NOT(ISERROR(SEARCH("Cancelado",J435)))</formula>
    </cfRule>
  </conditionalFormatting>
  <conditionalFormatting sqref="M435">
    <cfRule type="cellIs" dxfId="10561" priority="9082" operator="equal">
      <formula>"Tramitando"</formula>
    </cfRule>
    <cfRule type="cellIs" dxfId="10560" priority="9083" operator="equal">
      <formula>"Deferido"</formula>
    </cfRule>
    <cfRule type="cellIs" dxfId="10559" priority="9084" operator="equal">
      <formula>"Indeferido"</formula>
    </cfRule>
  </conditionalFormatting>
  <conditionalFormatting sqref="M435">
    <cfRule type="containsText" dxfId="10558" priority="9081" operator="containsText" text="Cancelado">
      <formula>NOT(ISERROR(SEARCH("Cancelado",M435)))</formula>
    </cfRule>
  </conditionalFormatting>
  <conditionalFormatting sqref="O435">
    <cfRule type="cellIs" dxfId="10557" priority="9078" operator="equal">
      <formula>"Tramitando"</formula>
    </cfRule>
    <cfRule type="cellIs" dxfId="10556" priority="9079" operator="equal">
      <formula>"Deferido"</formula>
    </cfRule>
    <cfRule type="cellIs" dxfId="10555" priority="9080" operator="equal">
      <formula>"Indeferido"</formula>
    </cfRule>
  </conditionalFormatting>
  <conditionalFormatting sqref="O435">
    <cfRule type="containsText" dxfId="10554" priority="9077" operator="containsText" text="Cancelado">
      <formula>NOT(ISERROR(SEARCH("Cancelado",O435)))</formula>
    </cfRule>
  </conditionalFormatting>
  <conditionalFormatting sqref="Q435">
    <cfRule type="cellIs" dxfId="10553" priority="9074" operator="equal">
      <formula>"Tramitando"</formula>
    </cfRule>
    <cfRule type="cellIs" dxfId="10552" priority="9075" operator="equal">
      <formula>"Deferido"</formula>
    </cfRule>
    <cfRule type="cellIs" dxfId="10551" priority="9076" operator="equal">
      <formula>"Indeferido"</formula>
    </cfRule>
  </conditionalFormatting>
  <conditionalFormatting sqref="Q435">
    <cfRule type="containsText" dxfId="10550" priority="9073" operator="containsText" text="Cancelado">
      <formula>NOT(ISERROR(SEARCH("Cancelado",Q435)))</formula>
    </cfRule>
  </conditionalFormatting>
  <conditionalFormatting sqref="S435">
    <cfRule type="cellIs" dxfId="10549" priority="9070" operator="equal">
      <formula>"Tramitando"</formula>
    </cfRule>
    <cfRule type="cellIs" dxfId="10548" priority="9071" operator="equal">
      <formula>"Deferido"</formula>
    </cfRule>
    <cfRule type="cellIs" dxfId="10547" priority="9072" operator="equal">
      <formula>"Indeferido"</formula>
    </cfRule>
  </conditionalFormatting>
  <conditionalFormatting sqref="S435">
    <cfRule type="containsText" dxfId="10546" priority="9069" operator="containsText" text="Cancelado">
      <formula>NOT(ISERROR(SEARCH("Cancelado",S435)))</formula>
    </cfRule>
  </conditionalFormatting>
  <conditionalFormatting sqref="J436">
    <cfRule type="cellIs" dxfId="10545" priority="9065" operator="equal">
      <formula>"Tramitando"</formula>
    </cfRule>
    <cfRule type="cellIs" dxfId="10544" priority="9066" operator="equal">
      <formula>"Deferido"</formula>
    </cfRule>
    <cfRule type="cellIs" dxfId="10543" priority="9067" operator="equal">
      <formula>"Indeferido"</formula>
    </cfRule>
  </conditionalFormatting>
  <conditionalFormatting sqref="J436">
    <cfRule type="containsText" dxfId="10542" priority="9064" operator="containsText" text="Cancelado">
      <formula>NOT(ISERROR(SEARCH("Cancelado",J436)))</formula>
    </cfRule>
  </conditionalFormatting>
  <conditionalFormatting sqref="M436">
    <cfRule type="cellIs" dxfId="10541" priority="9061" operator="equal">
      <formula>"Tramitando"</formula>
    </cfRule>
    <cfRule type="cellIs" dxfId="10540" priority="9062" operator="equal">
      <formula>"Deferido"</formula>
    </cfRule>
    <cfRule type="cellIs" dxfId="10539" priority="9063" operator="equal">
      <formula>"Indeferido"</formula>
    </cfRule>
  </conditionalFormatting>
  <conditionalFormatting sqref="M436">
    <cfRule type="containsText" dxfId="10538" priority="9060" operator="containsText" text="Cancelado">
      <formula>NOT(ISERROR(SEARCH("Cancelado",M436)))</formula>
    </cfRule>
  </conditionalFormatting>
  <conditionalFormatting sqref="O436">
    <cfRule type="cellIs" dxfId="10537" priority="9057" operator="equal">
      <formula>"Tramitando"</formula>
    </cfRule>
    <cfRule type="cellIs" dxfId="10536" priority="9058" operator="equal">
      <formula>"Deferido"</formula>
    </cfRule>
    <cfRule type="cellIs" dxfId="10535" priority="9059" operator="equal">
      <formula>"Indeferido"</formula>
    </cfRule>
  </conditionalFormatting>
  <conditionalFormatting sqref="O436">
    <cfRule type="containsText" dxfId="10534" priority="9056" operator="containsText" text="Cancelado">
      <formula>NOT(ISERROR(SEARCH("Cancelado",O436)))</formula>
    </cfRule>
  </conditionalFormatting>
  <conditionalFormatting sqref="Q436">
    <cfRule type="cellIs" dxfId="10533" priority="9053" operator="equal">
      <formula>"Tramitando"</formula>
    </cfRule>
    <cfRule type="cellIs" dxfId="10532" priority="9054" operator="equal">
      <formula>"Deferido"</formula>
    </cfRule>
    <cfRule type="cellIs" dxfId="10531" priority="9055" operator="equal">
      <formula>"Indeferido"</formula>
    </cfRule>
  </conditionalFormatting>
  <conditionalFormatting sqref="Q436">
    <cfRule type="containsText" dxfId="10530" priority="9052" operator="containsText" text="Cancelado">
      <formula>NOT(ISERROR(SEARCH("Cancelado",Q436)))</formula>
    </cfRule>
  </conditionalFormatting>
  <conditionalFormatting sqref="S436">
    <cfRule type="cellIs" dxfId="10529" priority="9049" operator="equal">
      <formula>"Tramitando"</formula>
    </cfRule>
    <cfRule type="cellIs" dxfId="10528" priority="9050" operator="equal">
      <formula>"Deferido"</formula>
    </cfRule>
    <cfRule type="cellIs" dxfId="10527" priority="9051" operator="equal">
      <formula>"Indeferido"</formula>
    </cfRule>
  </conditionalFormatting>
  <conditionalFormatting sqref="S436">
    <cfRule type="containsText" dxfId="10526" priority="9048" operator="containsText" text="Cancelado">
      <formula>NOT(ISERROR(SEARCH("Cancelado",S436)))</formula>
    </cfRule>
  </conditionalFormatting>
  <conditionalFormatting sqref="J437">
    <cfRule type="cellIs" dxfId="10525" priority="9044" operator="equal">
      <formula>"Tramitando"</formula>
    </cfRule>
    <cfRule type="cellIs" dxfId="10524" priority="9045" operator="equal">
      <formula>"Deferido"</formula>
    </cfRule>
    <cfRule type="cellIs" dxfId="10523" priority="9046" operator="equal">
      <formula>"Indeferido"</formula>
    </cfRule>
  </conditionalFormatting>
  <conditionalFormatting sqref="J437">
    <cfRule type="containsText" dxfId="10522" priority="9043" operator="containsText" text="Cancelado">
      <formula>NOT(ISERROR(SEARCH("Cancelado",J437)))</formula>
    </cfRule>
  </conditionalFormatting>
  <conditionalFormatting sqref="M437">
    <cfRule type="cellIs" dxfId="10521" priority="9040" operator="equal">
      <formula>"Tramitando"</formula>
    </cfRule>
    <cfRule type="cellIs" dxfId="10520" priority="9041" operator="equal">
      <formula>"Deferido"</formula>
    </cfRule>
    <cfRule type="cellIs" dxfId="10519" priority="9042" operator="equal">
      <formula>"Indeferido"</formula>
    </cfRule>
  </conditionalFormatting>
  <conditionalFormatting sqref="M437">
    <cfRule type="containsText" dxfId="10518" priority="9039" operator="containsText" text="Cancelado">
      <formula>NOT(ISERROR(SEARCH("Cancelado",M437)))</formula>
    </cfRule>
  </conditionalFormatting>
  <conditionalFormatting sqref="O437">
    <cfRule type="cellIs" dxfId="10517" priority="9036" operator="equal">
      <formula>"Tramitando"</formula>
    </cfRule>
    <cfRule type="cellIs" dxfId="10516" priority="9037" operator="equal">
      <formula>"Deferido"</formula>
    </cfRule>
    <cfRule type="cellIs" dxfId="10515" priority="9038" operator="equal">
      <formula>"Indeferido"</formula>
    </cfRule>
  </conditionalFormatting>
  <conditionalFormatting sqref="O437">
    <cfRule type="containsText" dxfId="10514" priority="9035" operator="containsText" text="Cancelado">
      <formula>NOT(ISERROR(SEARCH("Cancelado",O437)))</formula>
    </cfRule>
  </conditionalFormatting>
  <conditionalFormatting sqref="Q437">
    <cfRule type="cellIs" dxfId="10513" priority="9032" operator="equal">
      <formula>"Tramitando"</formula>
    </cfRule>
    <cfRule type="cellIs" dxfId="10512" priority="9033" operator="equal">
      <formula>"Deferido"</formula>
    </cfRule>
    <cfRule type="cellIs" dxfId="10511" priority="9034" operator="equal">
      <formula>"Indeferido"</formula>
    </cfRule>
  </conditionalFormatting>
  <conditionalFormatting sqref="Q437">
    <cfRule type="containsText" dxfId="10510" priority="9031" operator="containsText" text="Cancelado">
      <formula>NOT(ISERROR(SEARCH("Cancelado",Q437)))</formula>
    </cfRule>
  </conditionalFormatting>
  <conditionalFormatting sqref="S437">
    <cfRule type="cellIs" dxfId="10509" priority="9028" operator="equal">
      <formula>"Tramitando"</formula>
    </cfRule>
    <cfRule type="cellIs" dxfId="10508" priority="9029" operator="equal">
      <formula>"Deferido"</formula>
    </cfRule>
    <cfRule type="cellIs" dxfId="10507" priority="9030" operator="equal">
      <formula>"Indeferido"</formula>
    </cfRule>
  </conditionalFormatting>
  <conditionalFormatting sqref="S437">
    <cfRule type="containsText" dxfId="10506" priority="9027" operator="containsText" text="Cancelado">
      <formula>NOT(ISERROR(SEARCH("Cancelado",S437)))</formula>
    </cfRule>
  </conditionalFormatting>
  <conditionalFormatting sqref="J438">
    <cfRule type="cellIs" dxfId="10505" priority="9023" operator="equal">
      <formula>"Tramitando"</formula>
    </cfRule>
    <cfRule type="cellIs" dxfId="10504" priority="9024" operator="equal">
      <formula>"Deferido"</formula>
    </cfRule>
    <cfRule type="cellIs" dxfId="10503" priority="9025" operator="equal">
      <formula>"Indeferido"</formula>
    </cfRule>
  </conditionalFormatting>
  <conditionalFormatting sqref="J438">
    <cfRule type="containsText" dxfId="10502" priority="9022" operator="containsText" text="Cancelado">
      <formula>NOT(ISERROR(SEARCH("Cancelado",J438)))</formula>
    </cfRule>
  </conditionalFormatting>
  <conditionalFormatting sqref="M438">
    <cfRule type="cellIs" dxfId="10501" priority="9019" operator="equal">
      <formula>"Tramitando"</formula>
    </cfRule>
    <cfRule type="cellIs" dxfId="10500" priority="9020" operator="equal">
      <formula>"Deferido"</formula>
    </cfRule>
    <cfRule type="cellIs" dxfId="10499" priority="9021" operator="equal">
      <formula>"Indeferido"</formula>
    </cfRule>
  </conditionalFormatting>
  <conditionalFormatting sqref="M438">
    <cfRule type="containsText" dxfId="10498" priority="9018" operator="containsText" text="Cancelado">
      <formula>NOT(ISERROR(SEARCH("Cancelado",M438)))</formula>
    </cfRule>
  </conditionalFormatting>
  <conditionalFormatting sqref="O438">
    <cfRule type="cellIs" dxfId="10497" priority="9015" operator="equal">
      <formula>"Tramitando"</formula>
    </cfRule>
    <cfRule type="cellIs" dxfId="10496" priority="9016" operator="equal">
      <formula>"Deferido"</formula>
    </cfRule>
    <cfRule type="cellIs" dxfId="10495" priority="9017" operator="equal">
      <formula>"Indeferido"</formula>
    </cfRule>
  </conditionalFormatting>
  <conditionalFormatting sqref="O438">
    <cfRule type="containsText" dxfId="10494" priority="9014" operator="containsText" text="Cancelado">
      <formula>NOT(ISERROR(SEARCH("Cancelado",O438)))</formula>
    </cfRule>
  </conditionalFormatting>
  <conditionalFormatting sqref="Q438">
    <cfRule type="cellIs" dxfId="10493" priority="9011" operator="equal">
      <formula>"Tramitando"</formula>
    </cfRule>
    <cfRule type="cellIs" dxfId="10492" priority="9012" operator="equal">
      <formula>"Deferido"</formula>
    </cfRule>
    <cfRule type="cellIs" dxfId="10491" priority="9013" operator="equal">
      <formula>"Indeferido"</formula>
    </cfRule>
  </conditionalFormatting>
  <conditionalFormatting sqref="Q438">
    <cfRule type="containsText" dxfId="10490" priority="9010" operator="containsText" text="Cancelado">
      <formula>NOT(ISERROR(SEARCH("Cancelado",Q438)))</formula>
    </cfRule>
  </conditionalFormatting>
  <conditionalFormatting sqref="S438">
    <cfRule type="cellIs" dxfId="10489" priority="9007" operator="equal">
      <formula>"Tramitando"</formula>
    </cfRule>
    <cfRule type="cellIs" dxfId="10488" priority="9008" operator="equal">
      <formula>"Deferido"</formula>
    </cfRule>
    <cfRule type="cellIs" dxfId="10487" priority="9009" operator="equal">
      <formula>"Indeferido"</formula>
    </cfRule>
  </conditionalFormatting>
  <conditionalFormatting sqref="S438">
    <cfRule type="containsText" dxfId="10486" priority="9006" operator="containsText" text="Cancelado">
      <formula>NOT(ISERROR(SEARCH("Cancelado",S438)))</formula>
    </cfRule>
  </conditionalFormatting>
  <conditionalFormatting sqref="J439">
    <cfRule type="cellIs" dxfId="10485" priority="9002" operator="equal">
      <formula>"Tramitando"</formula>
    </cfRule>
    <cfRule type="cellIs" dxfId="10484" priority="9003" operator="equal">
      <formula>"Deferido"</formula>
    </cfRule>
    <cfRule type="cellIs" dxfId="10483" priority="9004" operator="equal">
      <formula>"Indeferido"</formula>
    </cfRule>
  </conditionalFormatting>
  <conditionalFormatting sqref="J439">
    <cfRule type="containsText" dxfId="10482" priority="9001" operator="containsText" text="Cancelado">
      <formula>NOT(ISERROR(SEARCH("Cancelado",J439)))</formula>
    </cfRule>
  </conditionalFormatting>
  <conditionalFormatting sqref="M439">
    <cfRule type="cellIs" dxfId="10481" priority="8998" operator="equal">
      <formula>"Tramitando"</formula>
    </cfRule>
    <cfRule type="cellIs" dxfId="10480" priority="8999" operator="equal">
      <formula>"Deferido"</formula>
    </cfRule>
    <cfRule type="cellIs" dxfId="10479" priority="9000" operator="equal">
      <formula>"Indeferido"</formula>
    </cfRule>
  </conditionalFormatting>
  <conditionalFormatting sqref="M439">
    <cfRule type="containsText" dxfId="10478" priority="8997" operator="containsText" text="Cancelado">
      <formula>NOT(ISERROR(SEARCH("Cancelado",M439)))</formula>
    </cfRule>
  </conditionalFormatting>
  <conditionalFormatting sqref="O439">
    <cfRule type="cellIs" dxfId="10477" priority="8994" operator="equal">
      <formula>"Tramitando"</formula>
    </cfRule>
    <cfRule type="cellIs" dxfId="10476" priority="8995" operator="equal">
      <formula>"Deferido"</formula>
    </cfRule>
    <cfRule type="cellIs" dxfId="10475" priority="8996" operator="equal">
      <formula>"Indeferido"</formula>
    </cfRule>
  </conditionalFormatting>
  <conditionalFormatting sqref="O439">
    <cfRule type="containsText" dxfId="10474" priority="8993" operator="containsText" text="Cancelado">
      <formula>NOT(ISERROR(SEARCH("Cancelado",O439)))</formula>
    </cfRule>
  </conditionalFormatting>
  <conditionalFormatting sqref="Q439">
    <cfRule type="cellIs" dxfId="10473" priority="8990" operator="equal">
      <formula>"Tramitando"</formula>
    </cfRule>
    <cfRule type="cellIs" dxfId="10472" priority="8991" operator="equal">
      <formula>"Deferido"</formula>
    </cfRule>
    <cfRule type="cellIs" dxfId="10471" priority="8992" operator="equal">
      <formula>"Indeferido"</formula>
    </cfRule>
  </conditionalFormatting>
  <conditionalFormatting sqref="Q439">
    <cfRule type="containsText" dxfId="10470" priority="8989" operator="containsText" text="Cancelado">
      <formula>NOT(ISERROR(SEARCH("Cancelado",Q439)))</formula>
    </cfRule>
  </conditionalFormatting>
  <conditionalFormatting sqref="S439">
    <cfRule type="cellIs" dxfId="10469" priority="8986" operator="equal">
      <formula>"Tramitando"</formula>
    </cfRule>
    <cfRule type="cellIs" dxfId="10468" priority="8987" operator="equal">
      <formula>"Deferido"</formula>
    </cfRule>
    <cfRule type="cellIs" dxfId="10467" priority="8988" operator="equal">
      <formula>"Indeferido"</formula>
    </cfRule>
  </conditionalFormatting>
  <conditionalFormatting sqref="S439">
    <cfRule type="containsText" dxfId="10466" priority="8985" operator="containsText" text="Cancelado">
      <formula>NOT(ISERROR(SEARCH("Cancelado",S439)))</formula>
    </cfRule>
  </conditionalFormatting>
  <conditionalFormatting sqref="J440">
    <cfRule type="cellIs" dxfId="10465" priority="8981" operator="equal">
      <formula>"Tramitando"</formula>
    </cfRule>
    <cfRule type="cellIs" dxfId="10464" priority="8982" operator="equal">
      <formula>"Deferido"</formula>
    </cfRule>
    <cfRule type="cellIs" dxfId="10463" priority="8983" operator="equal">
      <formula>"Indeferido"</formula>
    </cfRule>
  </conditionalFormatting>
  <conditionalFormatting sqref="J440">
    <cfRule type="containsText" dxfId="10462" priority="8980" operator="containsText" text="Cancelado">
      <formula>NOT(ISERROR(SEARCH("Cancelado",J440)))</formula>
    </cfRule>
  </conditionalFormatting>
  <conditionalFormatting sqref="M440">
    <cfRule type="cellIs" dxfId="10461" priority="8977" operator="equal">
      <formula>"Tramitando"</formula>
    </cfRule>
    <cfRule type="cellIs" dxfId="10460" priority="8978" operator="equal">
      <formula>"Deferido"</formula>
    </cfRule>
    <cfRule type="cellIs" dxfId="10459" priority="8979" operator="equal">
      <formula>"Indeferido"</formula>
    </cfRule>
  </conditionalFormatting>
  <conditionalFormatting sqref="M440">
    <cfRule type="containsText" dxfId="10458" priority="8976" operator="containsText" text="Cancelado">
      <formula>NOT(ISERROR(SEARCH("Cancelado",M440)))</formula>
    </cfRule>
  </conditionalFormatting>
  <conditionalFormatting sqref="O440">
    <cfRule type="cellIs" dxfId="10457" priority="8973" operator="equal">
      <formula>"Tramitando"</formula>
    </cfRule>
    <cfRule type="cellIs" dxfId="10456" priority="8974" operator="equal">
      <formula>"Deferido"</formula>
    </cfRule>
    <cfRule type="cellIs" dxfId="10455" priority="8975" operator="equal">
      <formula>"Indeferido"</formula>
    </cfRule>
  </conditionalFormatting>
  <conditionalFormatting sqref="O440">
    <cfRule type="containsText" dxfId="10454" priority="8972" operator="containsText" text="Cancelado">
      <formula>NOT(ISERROR(SEARCH("Cancelado",O440)))</formula>
    </cfRule>
  </conditionalFormatting>
  <conditionalFormatting sqref="Q440">
    <cfRule type="cellIs" dxfId="10453" priority="8969" operator="equal">
      <formula>"Tramitando"</formula>
    </cfRule>
    <cfRule type="cellIs" dxfId="10452" priority="8970" operator="equal">
      <formula>"Deferido"</formula>
    </cfRule>
    <cfRule type="cellIs" dxfId="10451" priority="8971" operator="equal">
      <formula>"Indeferido"</formula>
    </cfRule>
  </conditionalFormatting>
  <conditionalFormatting sqref="Q440">
    <cfRule type="containsText" dxfId="10450" priority="8968" operator="containsText" text="Cancelado">
      <formula>NOT(ISERROR(SEARCH("Cancelado",Q440)))</formula>
    </cfRule>
  </conditionalFormatting>
  <conditionalFormatting sqref="S440">
    <cfRule type="cellIs" dxfId="10449" priority="8965" operator="equal">
      <formula>"Tramitando"</formula>
    </cfRule>
    <cfRule type="cellIs" dxfId="10448" priority="8966" operator="equal">
      <formula>"Deferido"</formula>
    </cfRule>
    <cfRule type="cellIs" dxfId="10447" priority="8967" operator="equal">
      <formula>"Indeferido"</formula>
    </cfRule>
  </conditionalFormatting>
  <conditionalFormatting sqref="S440">
    <cfRule type="containsText" dxfId="10446" priority="8964" operator="containsText" text="Cancelado">
      <formula>NOT(ISERROR(SEARCH("Cancelado",S440)))</formula>
    </cfRule>
  </conditionalFormatting>
  <conditionalFormatting sqref="J441">
    <cfRule type="cellIs" dxfId="10445" priority="8960" operator="equal">
      <formula>"Tramitando"</formula>
    </cfRule>
    <cfRule type="cellIs" dxfId="10444" priority="8961" operator="equal">
      <formula>"Deferido"</formula>
    </cfRule>
    <cfRule type="cellIs" dxfId="10443" priority="8962" operator="equal">
      <formula>"Indeferido"</formula>
    </cfRule>
  </conditionalFormatting>
  <conditionalFormatting sqref="J441">
    <cfRule type="containsText" dxfId="10442" priority="8959" operator="containsText" text="Cancelado">
      <formula>NOT(ISERROR(SEARCH("Cancelado",J441)))</formula>
    </cfRule>
  </conditionalFormatting>
  <conditionalFormatting sqref="M441">
    <cfRule type="cellIs" dxfId="10441" priority="8956" operator="equal">
      <formula>"Tramitando"</formula>
    </cfRule>
    <cfRule type="cellIs" dxfId="10440" priority="8957" operator="equal">
      <formula>"Deferido"</formula>
    </cfRule>
    <cfRule type="cellIs" dxfId="10439" priority="8958" operator="equal">
      <formula>"Indeferido"</formula>
    </cfRule>
  </conditionalFormatting>
  <conditionalFormatting sqref="M441">
    <cfRule type="containsText" dxfId="10438" priority="8955" operator="containsText" text="Cancelado">
      <formula>NOT(ISERROR(SEARCH("Cancelado",M441)))</formula>
    </cfRule>
  </conditionalFormatting>
  <conditionalFormatting sqref="O441">
    <cfRule type="cellIs" dxfId="10437" priority="8952" operator="equal">
      <formula>"Tramitando"</formula>
    </cfRule>
    <cfRule type="cellIs" dxfId="10436" priority="8953" operator="equal">
      <formula>"Deferido"</formula>
    </cfRule>
    <cfRule type="cellIs" dxfId="10435" priority="8954" operator="equal">
      <formula>"Indeferido"</formula>
    </cfRule>
  </conditionalFormatting>
  <conditionalFormatting sqref="O441">
    <cfRule type="containsText" dxfId="10434" priority="8951" operator="containsText" text="Cancelado">
      <formula>NOT(ISERROR(SEARCH("Cancelado",O441)))</formula>
    </cfRule>
  </conditionalFormatting>
  <conditionalFormatting sqref="Q441">
    <cfRule type="cellIs" dxfId="10433" priority="8948" operator="equal">
      <formula>"Tramitando"</formula>
    </cfRule>
    <cfRule type="cellIs" dxfId="10432" priority="8949" operator="equal">
      <formula>"Deferido"</formula>
    </cfRule>
    <cfRule type="cellIs" dxfId="10431" priority="8950" operator="equal">
      <formula>"Indeferido"</formula>
    </cfRule>
  </conditionalFormatting>
  <conditionalFormatting sqref="Q441">
    <cfRule type="containsText" dxfId="10430" priority="8947" operator="containsText" text="Cancelado">
      <formula>NOT(ISERROR(SEARCH("Cancelado",Q441)))</formula>
    </cfRule>
  </conditionalFormatting>
  <conditionalFormatting sqref="S441">
    <cfRule type="cellIs" dxfId="10429" priority="8944" operator="equal">
      <formula>"Tramitando"</formula>
    </cfRule>
    <cfRule type="cellIs" dxfId="10428" priority="8945" operator="equal">
      <formula>"Deferido"</formula>
    </cfRule>
    <cfRule type="cellIs" dxfId="10427" priority="8946" operator="equal">
      <formula>"Indeferido"</formula>
    </cfRule>
  </conditionalFormatting>
  <conditionalFormatting sqref="S441">
    <cfRule type="containsText" dxfId="10426" priority="8943" operator="containsText" text="Cancelado">
      <formula>NOT(ISERROR(SEARCH("Cancelado",S441)))</formula>
    </cfRule>
  </conditionalFormatting>
  <conditionalFormatting sqref="J442">
    <cfRule type="cellIs" dxfId="10425" priority="8939" operator="equal">
      <formula>"Tramitando"</formula>
    </cfRule>
    <cfRule type="cellIs" dxfId="10424" priority="8940" operator="equal">
      <formula>"Deferido"</formula>
    </cfRule>
    <cfRule type="cellIs" dxfId="10423" priority="8941" operator="equal">
      <formula>"Indeferido"</formula>
    </cfRule>
  </conditionalFormatting>
  <conditionalFormatting sqref="J442">
    <cfRule type="containsText" dxfId="10422" priority="8938" operator="containsText" text="Cancelado">
      <formula>NOT(ISERROR(SEARCH("Cancelado",J442)))</formula>
    </cfRule>
  </conditionalFormatting>
  <conditionalFormatting sqref="M442">
    <cfRule type="cellIs" dxfId="10421" priority="8935" operator="equal">
      <formula>"Tramitando"</formula>
    </cfRule>
    <cfRule type="cellIs" dxfId="10420" priority="8936" operator="equal">
      <formula>"Deferido"</formula>
    </cfRule>
    <cfRule type="cellIs" dxfId="10419" priority="8937" operator="equal">
      <formula>"Indeferido"</formula>
    </cfRule>
  </conditionalFormatting>
  <conditionalFormatting sqref="M442">
    <cfRule type="containsText" dxfId="10418" priority="8934" operator="containsText" text="Cancelado">
      <formula>NOT(ISERROR(SEARCH("Cancelado",M442)))</formula>
    </cfRule>
  </conditionalFormatting>
  <conditionalFormatting sqref="O442">
    <cfRule type="cellIs" dxfId="10417" priority="8931" operator="equal">
      <formula>"Tramitando"</formula>
    </cfRule>
    <cfRule type="cellIs" dxfId="10416" priority="8932" operator="equal">
      <formula>"Deferido"</formula>
    </cfRule>
    <cfRule type="cellIs" dxfId="10415" priority="8933" operator="equal">
      <formula>"Indeferido"</formula>
    </cfRule>
  </conditionalFormatting>
  <conditionalFormatting sqref="O442">
    <cfRule type="containsText" dxfId="10414" priority="8930" operator="containsText" text="Cancelado">
      <formula>NOT(ISERROR(SEARCH("Cancelado",O442)))</formula>
    </cfRule>
  </conditionalFormatting>
  <conditionalFormatting sqref="Q442">
    <cfRule type="cellIs" dxfId="10413" priority="8927" operator="equal">
      <formula>"Tramitando"</formula>
    </cfRule>
    <cfRule type="cellIs" dxfId="10412" priority="8928" operator="equal">
      <formula>"Deferido"</formula>
    </cfRule>
    <cfRule type="cellIs" dxfId="10411" priority="8929" operator="equal">
      <formula>"Indeferido"</formula>
    </cfRule>
  </conditionalFormatting>
  <conditionalFormatting sqref="Q442">
    <cfRule type="containsText" dxfId="10410" priority="8926" operator="containsText" text="Cancelado">
      <formula>NOT(ISERROR(SEARCH("Cancelado",Q442)))</formula>
    </cfRule>
  </conditionalFormatting>
  <conditionalFormatting sqref="S442">
    <cfRule type="cellIs" dxfId="10409" priority="8923" operator="equal">
      <formula>"Tramitando"</formula>
    </cfRule>
    <cfRule type="cellIs" dxfId="10408" priority="8924" operator="equal">
      <formula>"Deferido"</formula>
    </cfRule>
    <cfRule type="cellIs" dxfId="10407" priority="8925" operator="equal">
      <formula>"Indeferido"</formula>
    </cfRule>
  </conditionalFormatting>
  <conditionalFormatting sqref="S442">
    <cfRule type="containsText" dxfId="10406" priority="8922" operator="containsText" text="Cancelado">
      <formula>NOT(ISERROR(SEARCH("Cancelado",S442)))</formula>
    </cfRule>
  </conditionalFormatting>
  <conditionalFormatting sqref="J443">
    <cfRule type="cellIs" dxfId="10405" priority="8918" operator="equal">
      <formula>"Tramitando"</formula>
    </cfRule>
    <cfRule type="cellIs" dxfId="10404" priority="8919" operator="equal">
      <formula>"Deferido"</formula>
    </cfRule>
    <cfRule type="cellIs" dxfId="10403" priority="8920" operator="equal">
      <formula>"Indeferido"</formula>
    </cfRule>
  </conditionalFormatting>
  <conditionalFormatting sqref="J443">
    <cfRule type="containsText" dxfId="10402" priority="8917" operator="containsText" text="Cancelado">
      <formula>NOT(ISERROR(SEARCH("Cancelado",J443)))</formula>
    </cfRule>
  </conditionalFormatting>
  <conditionalFormatting sqref="M443">
    <cfRule type="cellIs" dxfId="10401" priority="8914" operator="equal">
      <formula>"Tramitando"</formula>
    </cfRule>
    <cfRule type="cellIs" dxfId="10400" priority="8915" operator="equal">
      <formula>"Deferido"</formula>
    </cfRule>
    <cfRule type="cellIs" dxfId="10399" priority="8916" operator="equal">
      <formula>"Indeferido"</formula>
    </cfRule>
  </conditionalFormatting>
  <conditionalFormatting sqref="M443">
    <cfRule type="containsText" dxfId="10398" priority="8913" operator="containsText" text="Cancelado">
      <formula>NOT(ISERROR(SEARCH("Cancelado",M443)))</formula>
    </cfRule>
  </conditionalFormatting>
  <conditionalFormatting sqref="O443">
    <cfRule type="cellIs" dxfId="10397" priority="8910" operator="equal">
      <formula>"Tramitando"</formula>
    </cfRule>
    <cfRule type="cellIs" dxfId="10396" priority="8911" operator="equal">
      <formula>"Deferido"</formula>
    </cfRule>
    <cfRule type="cellIs" dxfId="10395" priority="8912" operator="equal">
      <formula>"Indeferido"</formula>
    </cfRule>
  </conditionalFormatting>
  <conditionalFormatting sqref="O443">
    <cfRule type="containsText" dxfId="10394" priority="8909" operator="containsText" text="Cancelado">
      <formula>NOT(ISERROR(SEARCH("Cancelado",O443)))</formula>
    </cfRule>
  </conditionalFormatting>
  <conditionalFormatting sqref="Q443">
    <cfRule type="cellIs" dxfId="10393" priority="8906" operator="equal">
      <formula>"Tramitando"</formula>
    </cfRule>
    <cfRule type="cellIs" dxfId="10392" priority="8907" operator="equal">
      <formula>"Deferido"</formula>
    </cfRule>
    <cfRule type="cellIs" dxfId="10391" priority="8908" operator="equal">
      <formula>"Indeferido"</formula>
    </cfRule>
  </conditionalFormatting>
  <conditionalFormatting sqref="Q443">
    <cfRule type="containsText" dxfId="10390" priority="8905" operator="containsText" text="Cancelado">
      <formula>NOT(ISERROR(SEARCH("Cancelado",Q443)))</formula>
    </cfRule>
  </conditionalFormatting>
  <conditionalFormatting sqref="S443">
    <cfRule type="cellIs" dxfId="10389" priority="8902" operator="equal">
      <formula>"Tramitando"</formula>
    </cfRule>
    <cfRule type="cellIs" dxfId="10388" priority="8903" operator="equal">
      <formula>"Deferido"</formula>
    </cfRule>
    <cfRule type="cellIs" dxfId="10387" priority="8904" operator="equal">
      <formula>"Indeferido"</formula>
    </cfRule>
  </conditionalFormatting>
  <conditionalFormatting sqref="S443">
    <cfRule type="containsText" dxfId="10386" priority="8901" operator="containsText" text="Cancelado">
      <formula>NOT(ISERROR(SEARCH("Cancelado",S443)))</formula>
    </cfRule>
  </conditionalFormatting>
  <conditionalFormatting sqref="J444">
    <cfRule type="cellIs" dxfId="10385" priority="8897" operator="equal">
      <formula>"Tramitando"</formula>
    </cfRule>
    <cfRule type="cellIs" dxfId="10384" priority="8898" operator="equal">
      <formula>"Deferido"</formula>
    </cfRule>
    <cfRule type="cellIs" dxfId="10383" priority="8899" operator="equal">
      <formula>"Indeferido"</formula>
    </cfRule>
  </conditionalFormatting>
  <conditionalFormatting sqref="J444">
    <cfRule type="containsText" dxfId="10382" priority="8896" operator="containsText" text="Cancelado">
      <formula>NOT(ISERROR(SEARCH("Cancelado",J444)))</formula>
    </cfRule>
  </conditionalFormatting>
  <conditionalFormatting sqref="M444">
    <cfRule type="cellIs" dxfId="10381" priority="8893" operator="equal">
      <formula>"Tramitando"</formula>
    </cfRule>
    <cfRule type="cellIs" dxfId="10380" priority="8894" operator="equal">
      <formula>"Deferido"</formula>
    </cfRule>
    <cfRule type="cellIs" dxfId="10379" priority="8895" operator="equal">
      <formula>"Indeferido"</formula>
    </cfRule>
  </conditionalFormatting>
  <conditionalFormatting sqref="M444">
    <cfRule type="containsText" dxfId="10378" priority="8892" operator="containsText" text="Cancelado">
      <formula>NOT(ISERROR(SEARCH("Cancelado",M444)))</formula>
    </cfRule>
  </conditionalFormatting>
  <conditionalFormatting sqref="O444">
    <cfRule type="cellIs" dxfId="10377" priority="8889" operator="equal">
      <formula>"Tramitando"</formula>
    </cfRule>
    <cfRule type="cellIs" dxfId="10376" priority="8890" operator="equal">
      <formula>"Deferido"</formula>
    </cfRule>
    <cfRule type="cellIs" dxfId="10375" priority="8891" operator="equal">
      <formula>"Indeferido"</formula>
    </cfRule>
  </conditionalFormatting>
  <conditionalFormatting sqref="O444">
    <cfRule type="containsText" dxfId="10374" priority="8888" operator="containsText" text="Cancelado">
      <formula>NOT(ISERROR(SEARCH("Cancelado",O444)))</formula>
    </cfRule>
  </conditionalFormatting>
  <conditionalFormatting sqref="Q444">
    <cfRule type="cellIs" dxfId="10373" priority="8885" operator="equal">
      <formula>"Tramitando"</formula>
    </cfRule>
    <cfRule type="cellIs" dxfId="10372" priority="8886" operator="equal">
      <formula>"Deferido"</formula>
    </cfRule>
    <cfRule type="cellIs" dxfId="10371" priority="8887" operator="equal">
      <formula>"Indeferido"</formula>
    </cfRule>
  </conditionalFormatting>
  <conditionalFormatting sqref="Q444">
    <cfRule type="containsText" dxfId="10370" priority="8884" operator="containsText" text="Cancelado">
      <formula>NOT(ISERROR(SEARCH("Cancelado",Q444)))</formula>
    </cfRule>
  </conditionalFormatting>
  <conditionalFormatting sqref="S444">
    <cfRule type="cellIs" dxfId="10369" priority="8881" operator="equal">
      <formula>"Tramitando"</formula>
    </cfRule>
    <cfRule type="cellIs" dxfId="10368" priority="8882" operator="equal">
      <formula>"Deferido"</formula>
    </cfRule>
    <cfRule type="cellIs" dxfId="10367" priority="8883" operator="equal">
      <formula>"Indeferido"</formula>
    </cfRule>
  </conditionalFormatting>
  <conditionalFormatting sqref="S444">
    <cfRule type="containsText" dxfId="10366" priority="8880" operator="containsText" text="Cancelado">
      <formula>NOT(ISERROR(SEARCH("Cancelado",S444)))</formula>
    </cfRule>
  </conditionalFormatting>
  <conditionalFormatting sqref="J404">
    <cfRule type="cellIs" dxfId="10365" priority="8877" operator="equal">
      <formula>"Tramitando"</formula>
    </cfRule>
    <cfRule type="cellIs" dxfId="10364" priority="8878" operator="equal">
      <formula>"Deferido"</formula>
    </cfRule>
    <cfRule type="cellIs" dxfId="10363" priority="8879" operator="equal">
      <formula>"Indeferido"</formula>
    </cfRule>
  </conditionalFormatting>
  <conditionalFormatting sqref="J404">
    <cfRule type="containsText" dxfId="10362" priority="8876" operator="containsText" text="Cancelado">
      <formula>NOT(ISERROR(SEARCH("Cancelado",J404)))</formula>
    </cfRule>
  </conditionalFormatting>
  <conditionalFormatting sqref="J445">
    <cfRule type="cellIs" dxfId="10361" priority="8872" operator="equal">
      <formula>"Tramitando"</formula>
    </cfRule>
    <cfRule type="cellIs" dxfId="10360" priority="8873" operator="equal">
      <formula>"Deferido"</formula>
    </cfRule>
    <cfRule type="cellIs" dxfId="10359" priority="8874" operator="equal">
      <formula>"Indeferido"</formula>
    </cfRule>
  </conditionalFormatting>
  <conditionalFormatting sqref="J445">
    <cfRule type="containsText" dxfId="10358" priority="8871" operator="containsText" text="Cancelado">
      <formula>NOT(ISERROR(SEARCH("Cancelado",J445)))</formula>
    </cfRule>
  </conditionalFormatting>
  <conditionalFormatting sqref="M445">
    <cfRule type="cellIs" dxfId="10357" priority="8868" operator="equal">
      <formula>"Tramitando"</formula>
    </cfRule>
    <cfRule type="cellIs" dxfId="10356" priority="8869" operator="equal">
      <formula>"Deferido"</formula>
    </cfRule>
    <cfRule type="cellIs" dxfId="10355" priority="8870" operator="equal">
      <formula>"Indeferido"</formula>
    </cfRule>
  </conditionalFormatting>
  <conditionalFormatting sqref="M445">
    <cfRule type="containsText" dxfId="10354" priority="8867" operator="containsText" text="Cancelado">
      <formula>NOT(ISERROR(SEARCH("Cancelado",M445)))</formula>
    </cfRule>
  </conditionalFormatting>
  <conditionalFormatting sqref="O445">
    <cfRule type="cellIs" dxfId="10353" priority="8864" operator="equal">
      <formula>"Tramitando"</formula>
    </cfRule>
    <cfRule type="cellIs" dxfId="10352" priority="8865" operator="equal">
      <formula>"Deferido"</formula>
    </cfRule>
    <cfRule type="cellIs" dxfId="10351" priority="8866" operator="equal">
      <formula>"Indeferido"</formula>
    </cfRule>
  </conditionalFormatting>
  <conditionalFormatting sqref="O445">
    <cfRule type="containsText" dxfId="10350" priority="8863" operator="containsText" text="Cancelado">
      <formula>NOT(ISERROR(SEARCH("Cancelado",O445)))</formula>
    </cfRule>
  </conditionalFormatting>
  <conditionalFormatting sqref="Q445">
    <cfRule type="cellIs" dxfId="10349" priority="8860" operator="equal">
      <formula>"Tramitando"</formula>
    </cfRule>
    <cfRule type="cellIs" dxfId="10348" priority="8861" operator="equal">
      <formula>"Deferido"</formula>
    </cfRule>
    <cfRule type="cellIs" dxfId="10347" priority="8862" operator="equal">
      <formula>"Indeferido"</formula>
    </cfRule>
  </conditionalFormatting>
  <conditionalFormatting sqref="Q445">
    <cfRule type="containsText" dxfId="10346" priority="8859" operator="containsText" text="Cancelado">
      <formula>NOT(ISERROR(SEARCH("Cancelado",Q445)))</formula>
    </cfRule>
  </conditionalFormatting>
  <conditionalFormatting sqref="S445">
    <cfRule type="cellIs" dxfId="10345" priority="8856" operator="equal">
      <formula>"Tramitando"</formula>
    </cfRule>
    <cfRule type="cellIs" dxfId="10344" priority="8857" operator="equal">
      <formula>"Deferido"</formula>
    </cfRule>
    <cfRule type="cellIs" dxfId="10343" priority="8858" operator="equal">
      <formula>"Indeferido"</formula>
    </cfRule>
  </conditionalFormatting>
  <conditionalFormatting sqref="S445">
    <cfRule type="containsText" dxfId="10342" priority="8855" operator="containsText" text="Cancelado">
      <formula>NOT(ISERROR(SEARCH("Cancelado",S445)))</formula>
    </cfRule>
  </conditionalFormatting>
  <conditionalFormatting sqref="J446">
    <cfRule type="cellIs" dxfId="10341" priority="8851" operator="equal">
      <formula>"Tramitando"</formula>
    </cfRule>
    <cfRule type="cellIs" dxfId="10340" priority="8852" operator="equal">
      <formula>"Deferido"</formula>
    </cfRule>
    <cfRule type="cellIs" dxfId="10339" priority="8853" operator="equal">
      <formula>"Indeferido"</formula>
    </cfRule>
  </conditionalFormatting>
  <conditionalFormatting sqref="J446">
    <cfRule type="containsText" dxfId="10338" priority="8850" operator="containsText" text="Cancelado">
      <formula>NOT(ISERROR(SEARCH("Cancelado",J446)))</formula>
    </cfRule>
  </conditionalFormatting>
  <conditionalFormatting sqref="M446">
    <cfRule type="cellIs" dxfId="10337" priority="8847" operator="equal">
      <formula>"Tramitando"</formula>
    </cfRule>
    <cfRule type="cellIs" dxfId="10336" priority="8848" operator="equal">
      <formula>"Deferido"</formula>
    </cfRule>
    <cfRule type="cellIs" dxfId="10335" priority="8849" operator="equal">
      <formula>"Indeferido"</formula>
    </cfRule>
  </conditionalFormatting>
  <conditionalFormatting sqref="M446">
    <cfRule type="containsText" dxfId="10334" priority="8846" operator="containsText" text="Cancelado">
      <formula>NOT(ISERROR(SEARCH("Cancelado",M446)))</formula>
    </cfRule>
  </conditionalFormatting>
  <conditionalFormatting sqref="O446">
    <cfRule type="cellIs" dxfId="10333" priority="8843" operator="equal">
      <formula>"Tramitando"</formula>
    </cfRule>
    <cfRule type="cellIs" dxfId="10332" priority="8844" operator="equal">
      <formula>"Deferido"</formula>
    </cfRule>
    <cfRule type="cellIs" dxfId="10331" priority="8845" operator="equal">
      <formula>"Indeferido"</formula>
    </cfRule>
  </conditionalFormatting>
  <conditionalFormatting sqref="O446">
    <cfRule type="containsText" dxfId="10330" priority="8842" operator="containsText" text="Cancelado">
      <formula>NOT(ISERROR(SEARCH("Cancelado",O446)))</formula>
    </cfRule>
  </conditionalFormatting>
  <conditionalFormatting sqref="Q446">
    <cfRule type="cellIs" dxfId="10329" priority="8839" operator="equal">
      <formula>"Tramitando"</formula>
    </cfRule>
    <cfRule type="cellIs" dxfId="10328" priority="8840" operator="equal">
      <formula>"Deferido"</formula>
    </cfRule>
    <cfRule type="cellIs" dxfId="10327" priority="8841" operator="equal">
      <formula>"Indeferido"</formula>
    </cfRule>
  </conditionalFormatting>
  <conditionalFormatting sqref="Q446">
    <cfRule type="containsText" dxfId="10326" priority="8838" operator="containsText" text="Cancelado">
      <formula>NOT(ISERROR(SEARCH("Cancelado",Q446)))</formula>
    </cfRule>
  </conditionalFormatting>
  <conditionalFormatting sqref="S446">
    <cfRule type="cellIs" dxfId="10325" priority="8835" operator="equal">
      <formula>"Tramitando"</formula>
    </cfRule>
    <cfRule type="cellIs" dxfId="10324" priority="8836" operator="equal">
      <formula>"Deferido"</formula>
    </cfRule>
    <cfRule type="cellIs" dxfId="10323" priority="8837" operator="equal">
      <formula>"Indeferido"</formula>
    </cfRule>
  </conditionalFormatting>
  <conditionalFormatting sqref="S446">
    <cfRule type="containsText" dxfId="10322" priority="8834" operator="containsText" text="Cancelado">
      <formula>NOT(ISERROR(SEARCH("Cancelado",S446)))</formula>
    </cfRule>
  </conditionalFormatting>
  <conditionalFormatting sqref="J447">
    <cfRule type="cellIs" dxfId="10321" priority="8830" operator="equal">
      <formula>"Tramitando"</formula>
    </cfRule>
    <cfRule type="cellIs" dxfId="10320" priority="8831" operator="equal">
      <formula>"Deferido"</formula>
    </cfRule>
    <cfRule type="cellIs" dxfId="10319" priority="8832" operator="equal">
      <formula>"Indeferido"</formula>
    </cfRule>
  </conditionalFormatting>
  <conditionalFormatting sqref="J447">
    <cfRule type="containsText" dxfId="10318" priority="8829" operator="containsText" text="Cancelado">
      <formula>NOT(ISERROR(SEARCH("Cancelado",J447)))</formula>
    </cfRule>
  </conditionalFormatting>
  <conditionalFormatting sqref="M447">
    <cfRule type="cellIs" dxfId="10317" priority="8826" operator="equal">
      <formula>"Tramitando"</formula>
    </cfRule>
    <cfRule type="cellIs" dxfId="10316" priority="8827" operator="equal">
      <formula>"Deferido"</formula>
    </cfRule>
    <cfRule type="cellIs" dxfId="10315" priority="8828" operator="equal">
      <formula>"Indeferido"</formula>
    </cfRule>
  </conditionalFormatting>
  <conditionalFormatting sqref="M447">
    <cfRule type="containsText" dxfId="10314" priority="8825" operator="containsText" text="Cancelado">
      <formula>NOT(ISERROR(SEARCH("Cancelado",M447)))</formula>
    </cfRule>
  </conditionalFormatting>
  <conditionalFormatting sqref="O447">
    <cfRule type="cellIs" dxfId="10313" priority="8822" operator="equal">
      <formula>"Tramitando"</formula>
    </cfRule>
    <cfRule type="cellIs" dxfId="10312" priority="8823" operator="equal">
      <formula>"Deferido"</formula>
    </cfRule>
    <cfRule type="cellIs" dxfId="10311" priority="8824" operator="equal">
      <formula>"Indeferido"</formula>
    </cfRule>
  </conditionalFormatting>
  <conditionalFormatting sqref="O447">
    <cfRule type="containsText" dxfId="10310" priority="8821" operator="containsText" text="Cancelado">
      <formula>NOT(ISERROR(SEARCH("Cancelado",O447)))</formula>
    </cfRule>
  </conditionalFormatting>
  <conditionalFormatting sqref="Q447">
    <cfRule type="cellIs" dxfId="10309" priority="8818" operator="equal">
      <formula>"Tramitando"</formula>
    </cfRule>
    <cfRule type="cellIs" dxfId="10308" priority="8819" operator="equal">
      <formula>"Deferido"</formula>
    </cfRule>
    <cfRule type="cellIs" dxfId="10307" priority="8820" operator="equal">
      <formula>"Indeferido"</formula>
    </cfRule>
  </conditionalFormatting>
  <conditionalFormatting sqref="Q447">
    <cfRule type="containsText" dxfId="10306" priority="8817" operator="containsText" text="Cancelado">
      <formula>NOT(ISERROR(SEARCH("Cancelado",Q447)))</formula>
    </cfRule>
  </conditionalFormatting>
  <conditionalFormatting sqref="S447">
    <cfRule type="cellIs" dxfId="10305" priority="8814" operator="equal">
      <formula>"Tramitando"</formula>
    </cfRule>
    <cfRule type="cellIs" dxfId="10304" priority="8815" operator="equal">
      <formula>"Deferido"</formula>
    </cfRule>
    <cfRule type="cellIs" dxfId="10303" priority="8816" operator="equal">
      <formula>"Indeferido"</formula>
    </cfRule>
  </conditionalFormatting>
  <conditionalFormatting sqref="S447">
    <cfRule type="containsText" dxfId="10302" priority="8813" operator="containsText" text="Cancelado">
      <formula>NOT(ISERROR(SEARCH("Cancelado",S447)))</formula>
    </cfRule>
  </conditionalFormatting>
  <conditionalFormatting sqref="J448">
    <cfRule type="cellIs" dxfId="10301" priority="8809" operator="equal">
      <formula>"Tramitando"</formula>
    </cfRule>
    <cfRule type="cellIs" dxfId="10300" priority="8810" operator="equal">
      <formula>"Deferido"</formula>
    </cfRule>
    <cfRule type="cellIs" dxfId="10299" priority="8811" operator="equal">
      <formula>"Indeferido"</formula>
    </cfRule>
  </conditionalFormatting>
  <conditionalFormatting sqref="J448">
    <cfRule type="containsText" dxfId="10298" priority="8808" operator="containsText" text="Cancelado">
      <formula>NOT(ISERROR(SEARCH("Cancelado",J448)))</formula>
    </cfRule>
  </conditionalFormatting>
  <conditionalFormatting sqref="M448">
    <cfRule type="cellIs" dxfId="10297" priority="8805" operator="equal">
      <formula>"Tramitando"</formula>
    </cfRule>
    <cfRule type="cellIs" dxfId="10296" priority="8806" operator="equal">
      <formula>"Deferido"</formula>
    </cfRule>
    <cfRule type="cellIs" dxfId="10295" priority="8807" operator="equal">
      <formula>"Indeferido"</formula>
    </cfRule>
  </conditionalFormatting>
  <conditionalFormatting sqref="M448">
    <cfRule type="containsText" dxfId="10294" priority="8804" operator="containsText" text="Cancelado">
      <formula>NOT(ISERROR(SEARCH("Cancelado",M448)))</formula>
    </cfRule>
  </conditionalFormatting>
  <conditionalFormatting sqref="O448">
    <cfRule type="cellIs" dxfId="10293" priority="8801" operator="equal">
      <formula>"Tramitando"</formula>
    </cfRule>
    <cfRule type="cellIs" dxfId="10292" priority="8802" operator="equal">
      <formula>"Deferido"</formula>
    </cfRule>
    <cfRule type="cellIs" dxfId="10291" priority="8803" operator="equal">
      <formula>"Indeferido"</formula>
    </cfRule>
  </conditionalFormatting>
  <conditionalFormatting sqref="O448">
    <cfRule type="containsText" dxfId="10290" priority="8800" operator="containsText" text="Cancelado">
      <formula>NOT(ISERROR(SEARCH("Cancelado",O448)))</formula>
    </cfRule>
  </conditionalFormatting>
  <conditionalFormatting sqref="Q448">
    <cfRule type="cellIs" dxfId="10289" priority="8797" operator="equal">
      <formula>"Tramitando"</formula>
    </cfRule>
    <cfRule type="cellIs" dxfId="10288" priority="8798" operator="equal">
      <formula>"Deferido"</formula>
    </cfRule>
    <cfRule type="cellIs" dxfId="10287" priority="8799" operator="equal">
      <formula>"Indeferido"</formula>
    </cfRule>
  </conditionalFormatting>
  <conditionalFormatting sqref="Q448">
    <cfRule type="containsText" dxfId="10286" priority="8796" operator="containsText" text="Cancelado">
      <formula>NOT(ISERROR(SEARCH("Cancelado",Q448)))</formula>
    </cfRule>
  </conditionalFormatting>
  <conditionalFormatting sqref="S448">
    <cfRule type="cellIs" dxfId="10285" priority="8793" operator="equal">
      <formula>"Tramitando"</formula>
    </cfRule>
    <cfRule type="cellIs" dxfId="10284" priority="8794" operator="equal">
      <formula>"Deferido"</formula>
    </cfRule>
    <cfRule type="cellIs" dxfId="10283" priority="8795" operator="equal">
      <formula>"Indeferido"</formula>
    </cfRule>
  </conditionalFormatting>
  <conditionalFormatting sqref="S448">
    <cfRule type="containsText" dxfId="10282" priority="8792" operator="containsText" text="Cancelado">
      <formula>NOT(ISERROR(SEARCH("Cancelado",S448)))</formula>
    </cfRule>
  </conditionalFormatting>
  <conditionalFormatting sqref="J449">
    <cfRule type="cellIs" dxfId="10281" priority="8788" operator="equal">
      <formula>"Tramitando"</formula>
    </cfRule>
    <cfRule type="cellIs" dxfId="10280" priority="8789" operator="equal">
      <formula>"Deferido"</formula>
    </cfRule>
    <cfRule type="cellIs" dxfId="10279" priority="8790" operator="equal">
      <formula>"Indeferido"</formula>
    </cfRule>
  </conditionalFormatting>
  <conditionalFormatting sqref="J449">
    <cfRule type="containsText" dxfId="10278" priority="8787" operator="containsText" text="Cancelado">
      <formula>NOT(ISERROR(SEARCH("Cancelado",J449)))</formula>
    </cfRule>
  </conditionalFormatting>
  <conditionalFormatting sqref="M449">
    <cfRule type="cellIs" dxfId="10277" priority="8784" operator="equal">
      <formula>"Tramitando"</formula>
    </cfRule>
    <cfRule type="cellIs" dxfId="10276" priority="8785" operator="equal">
      <formula>"Deferido"</formula>
    </cfRule>
    <cfRule type="cellIs" dxfId="10275" priority="8786" operator="equal">
      <formula>"Indeferido"</formula>
    </cfRule>
  </conditionalFormatting>
  <conditionalFormatting sqref="M449">
    <cfRule type="containsText" dxfId="10274" priority="8783" operator="containsText" text="Cancelado">
      <formula>NOT(ISERROR(SEARCH("Cancelado",M449)))</formula>
    </cfRule>
  </conditionalFormatting>
  <conditionalFormatting sqref="O449">
    <cfRule type="cellIs" dxfId="10273" priority="8780" operator="equal">
      <formula>"Tramitando"</formula>
    </cfRule>
    <cfRule type="cellIs" dxfId="10272" priority="8781" operator="equal">
      <formula>"Deferido"</formula>
    </cfRule>
    <cfRule type="cellIs" dxfId="10271" priority="8782" operator="equal">
      <formula>"Indeferido"</formula>
    </cfRule>
  </conditionalFormatting>
  <conditionalFormatting sqref="O449">
    <cfRule type="containsText" dxfId="10270" priority="8779" operator="containsText" text="Cancelado">
      <formula>NOT(ISERROR(SEARCH("Cancelado",O449)))</formula>
    </cfRule>
  </conditionalFormatting>
  <conditionalFormatting sqref="Q449">
    <cfRule type="cellIs" dxfId="10269" priority="8776" operator="equal">
      <formula>"Tramitando"</formula>
    </cfRule>
    <cfRule type="cellIs" dxfId="10268" priority="8777" operator="equal">
      <formula>"Deferido"</formula>
    </cfRule>
    <cfRule type="cellIs" dxfId="10267" priority="8778" operator="equal">
      <formula>"Indeferido"</formula>
    </cfRule>
  </conditionalFormatting>
  <conditionalFormatting sqref="Q449">
    <cfRule type="containsText" dxfId="10266" priority="8775" operator="containsText" text="Cancelado">
      <formula>NOT(ISERROR(SEARCH("Cancelado",Q449)))</formula>
    </cfRule>
  </conditionalFormatting>
  <conditionalFormatting sqref="S449">
    <cfRule type="cellIs" dxfId="10265" priority="8772" operator="equal">
      <formula>"Tramitando"</formula>
    </cfRule>
    <cfRule type="cellIs" dxfId="10264" priority="8773" operator="equal">
      <formula>"Deferido"</formula>
    </cfRule>
    <cfRule type="cellIs" dxfId="10263" priority="8774" operator="equal">
      <formula>"Indeferido"</formula>
    </cfRule>
  </conditionalFormatting>
  <conditionalFormatting sqref="S449">
    <cfRule type="containsText" dxfId="10262" priority="8771" operator="containsText" text="Cancelado">
      <formula>NOT(ISERROR(SEARCH("Cancelado",S449)))</formula>
    </cfRule>
  </conditionalFormatting>
  <conditionalFormatting sqref="J450">
    <cfRule type="cellIs" dxfId="10261" priority="8766" operator="equal">
      <formula>"Tramitando"</formula>
    </cfRule>
    <cfRule type="cellIs" dxfId="10260" priority="8767" operator="equal">
      <formula>"Deferido"</formula>
    </cfRule>
    <cfRule type="cellIs" dxfId="10259" priority="8768" operator="equal">
      <formula>"Indeferido"</formula>
    </cfRule>
  </conditionalFormatting>
  <conditionalFormatting sqref="J450">
    <cfRule type="containsText" dxfId="10258" priority="8765" operator="containsText" text="Cancelado">
      <formula>NOT(ISERROR(SEARCH("Cancelado",J450)))</formula>
    </cfRule>
  </conditionalFormatting>
  <conditionalFormatting sqref="M450">
    <cfRule type="cellIs" dxfId="10257" priority="8762" operator="equal">
      <formula>"Tramitando"</formula>
    </cfRule>
    <cfRule type="cellIs" dxfId="10256" priority="8763" operator="equal">
      <formula>"Deferido"</formula>
    </cfRule>
    <cfRule type="cellIs" dxfId="10255" priority="8764" operator="equal">
      <formula>"Indeferido"</formula>
    </cfRule>
  </conditionalFormatting>
  <conditionalFormatting sqref="M450">
    <cfRule type="containsText" dxfId="10254" priority="8761" operator="containsText" text="Cancelado">
      <formula>NOT(ISERROR(SEARCH("Cancelado",M450)))</formula>
    </cfRule>
  </conditionalFormatting>
  <conditionalFormatting sqref="O450">
    <cfRule type="cellIs" dxfId="10253" priority="8758" operator="equal">
      <formula>"Tramitando"</formula>
    </cfRule>
    <cfRule type="cellIs" dxfId="10252" priority="8759" operator="equal">
      <formula>"Deferido"</formula>
    </cfRule>
    <cfRule type="cellIs" dxfId="10251" priority="8760" operator="equal">
      <formula>"Indeferido"</formula>
    </cfRule>
  </conditionalFormatting>
  <conditionalFormatting sqref="O450">
    <cfRule type="containsText" dxfId="10250" priority="8757" operator="containsText" text="Cancelado">
      <formula>NOT(ISERROR(SEARCH("Cancelado",O450)))</formula>
    </cfRule>
  </conditionalFormatting>
  <conditionalFormatting sqref="Q450">
    <cfRule type="cellIs" dxfId="10249" priority="8754" operator="equal">
      <formula>"Tramitando"</formula>
    </cfRule>
    <cfRule type="cellIs" dxfId="10248" priority="8755" operator="equal">
      <formula>"Deferido"</formula>
    </cfRule>
    <cfRule type="cellIs" dxfId="10247" priority="8756" operator="equal">
      <formula>"Indeferido"</formula>
    </cfRule>
  </conditionalFormatting>
  <conditionalFormatting sqref="Q450">
    <cfRule type="containsText" dxfId="10246" priority="8753" operator="containsText" text="Cancelado">
      <formula>NOT(ISERROR(SEARCH("Cancelado",Q450)))</formula>
    </cfRule>
  </conditionalFormatting>
  <conditionalFormatting sqref="S450">
    <cfRule type="cellIs" dxfId="10245" priority="8750" operator="equal">
      <formula>"Tramitando"</formula>
    </cfRule>
    <cfRule type="cellIs" dxfId="10244" priority="8751" operator="equal">
      <formula>"Deferido"</formula>
    </cfRule>
    <cfRule type="cellIs" dxfId="10243" priority="8752" operator="equal">
      <formula>"Indeferido"</formula>
    </cfRule>
  </conditionalFormatting>
  <conditionalFormatting sqref="S450">
    <cfRule type="containsText" dxfId="10242" priority="8749" operator="containsText" text="Cancelado">
      <formula>NOT(ISERROR(SEARCH("Cancelado",S450)))</formula>
    </cfRule>
  </conditionalFormatting>
  <conditionalFormatting sqref="J451:J452">
    <cfRule type="cellIs" dxfId="10241" priority="8745" operator="equal">
      <formula>"Tramitando"</formula>
    </cfRule>
    <cfRule type="cellIs" dxfId="10240" priority="8746" operator="equal">
      <formula>"Deferido"</formula>
    </cfRule>
    <cfRule type="cellIs" dxfId="10239" priority="8747" operator="equal">
      <formula>"Indeferido"</formula>
    </cfRule>
  </conditionalFormatting>
  <conditionalFormatting sqref="J451:J452">
    <cfRule type="containsText" dxfId="10238" priority="8744" operator="containsText" text="Cancelado">
      <formula>NOT(ISERROR(SEARCH("Cancelado",J451)))</formula>
    </cfRule>
  </conditionalFormatting>
  <conditionalFormatting sqref="M451:M452">
    <cfRule type="cellIs" dxfId="10237" priority="8741" operator="equal">
      <formula>"Tramitando"</formula>
    </cfRule>
    <cfRule type="cellIs" dxfId="10236" priority="8742" operator="equal">
      <formula>"Deferido"</formula>
    </cfRule>
    <cfRule type="cellIs" dxfId="10235" priority="8743" operator="equal">
      <formula>"Indeferido"</formula>
    </cfRule>
  </conditionalFormatting>
  <conditionalFormatting sqref="M451:M452">
    <cfRule type="containsText" dxfId="10234" priority="8740" operator="containsText" text="Cancelado">
      <formula>NOT(ISERROR(SEARCH("Cancelado",M451)))</formula>
    </cfRule>
  </conditionalFormatting>
  <conditionalFormatting sqref="O451:O452">
    <cfRule type="cellIs" dxfId="10233" priority="8737" operator="equal">
      <formula>"Tramitando"</formula>
    </cfRule>
    <cfRule type="cellIs" dxfId="10232" priority="8738" operator="equal">
      <formula>"Deferido"</formula>
    </cfRule>
    <cfRule type="cellIs" dxfId="10231" priority="8739" operator="equal">
      <formula>"Indeferido"</formula>
    </cfRule>
  </conditionalFormatting>
  <conditionalFormatting sqref="O451:O452">
    <cfRule type="containsText" dxfId="10230" priority="8736" operator="containsText" text="Cancelado">
      <formula>NOT(ISERROR(SEARCH("Cancelado",O451)))</formula>
    </cfRule>
  </conditionalFormatting>
  <conditionalFormatting sqref="Q451:Q452">
    <cfRule type="cellIs" dxfId="10229" priority="8733" operator="equal">
      <formula>"Tramitando"</formula>
    </cfRule>
    <cfRule type="cellIs" dxfId="10228" priority="8734" operator="equal">
      <formula>"Deferido"</formula>
    </cfRule>
    <cfRule type="cellIs" dxfId="10227" priority="8735" operator="equal">
      <formula>"Indeferido"</formula>
    </cfRule>
  </conditionalFormatting>
  <conditionalFormatting sqref="Q451:Q452">
    <cfRule type="containsText" dxfId="10226" priority="8732" operator="containsText" text="Cancelado">
      <formula>NOT(ISERROR(SEARCH("Cancelado",Q451)))</formula>
    </cfRule>
  </conditionalFormatting>
  <conditionalFormatting sqref="S451:S452">
    <cfRule type="cellIs" dxfId="10225" priority="8729" operator="equal">
      <formula>"Tramitando"</formula>
    </cfRule>
    <cfRule type="cellIs" dxfId="10224" priority="8730" operator="equal">
      <formula>"Deferido"</formula>
    </cfRule>
    <cfRule type="cellIs" dxfId="10223" priority="8731" operator="equal">
      <formula>"Indeferido"</formula>
    </cfRule>
  </conditionalFormatting>
  <conditionalFormatting sqref="S451:S452">
    <cfRule type="containsText" dxfId="10222" priority="8728" operator="containsText" text="Cancelado">
      <formula>NOT(ISERROR(SEARCH("Cancelado",S451)))</formula>
    </cfRule>
  </conditionalFormatting>
  <conditionalFormatting sqref="J453">
    <cfRule type="cellIs" dxfId="10221" priority="8724" operator="equal">
      <formula>"Tramitando"</formula>
    </cfRule>
    <cfRule type="cellIs" dxfId="10220" priority="8725" operator="equal">
      <formula>"Deferido"</formula>
    </cfRule>
    <cfRule type="cellIs" dxfId="10219" priority="8726" operator="equal">
      <formula>"Indeferido"</formula>
    </cfRule>
  </conditionalFormatting>
  <conditionalFormatting sqref="J453">
    <cfRule type="containsText" dxfId="10218" priority="8723" operator="containsText" text="Cancelado">
      <formula>NOT(ISERROR(SEARCH("Cancelado",J453)))</formula>
    </cfRule>
  </conditionalFormatting>
  <conditionalFormatting sqref="M453">
    <cfRule type="cellIs" dxfId="10217" priority="8720" operator="equal">
      <formula>"Tramitando"</formula>
    </cfRule>
    <cfRule type="cellIs" dxfId="10216" priority="8721" operator="equal">
      <formula>"Deferido"</formula>
    </cfRule>
    <cfRule type="cellIs" dxfId="10215" priority="8722" operator="equal">
      <formula>"Indeferido"</formula>
    </cfRule>
  </conditionalFormatting>
  <conditionalFormatting sqref="M453">
    <cfRule type="containsText" dxfId="10214" priority="8719" operator="containsText" text="Cancelado">
      <formula>NOT(ISERROR(SEARCH("Cancelado",M453)))</formula>
    </cfRule>
  </conditionalFormatting>
  <conditionalFormatting sqref="O453">
    <cfRule type="cellIs" dxfId="10213" priority="8716" operator="equal">
      <formula>"Tramitando"</formula>
    </cfRule>
    <cfRule type="cellIs" dxfId="10212" priority="8717" operator="equal">
      <formula>"Deferido"</formula>
    </cfRule>
    <cfRule type="cellIs" dxfId="10211" priority="8718" operator="equal">
      <formula>"Indeferido"</formula>
    </cfRule>
  </conditionalFormatting>
  <conditionalFormatting sqref="O453">
    <cfRule type="containsText" dxfId="10210" priority="8715" operator="containsText" text="Cancelado">
      <formula>NOT(ISERROR(SEARCH("Cancelado",O453)))</formula>
    </cfRule>
  </conditionalFormatting>
  <conditionalFormatting sqref="Q453">
    <cfRule type="cellIs" dxfId="10209" priority="8712" operator="equal">
      <formula>"Tramitando"</formula>
    </cfRule>
    <cfRule type="cellIs" dxfId="10208" priority="8713" operator="equal">
      <formula>"Deferido"</formula>
    </cfRule>
    <cfRule type="cellIs" dxfId="10207" priority="8714" operator="equal">
      <formula>"Indeferido"</formula>
    </cfRule>
  </conditionalFormatting>
  <conditionalFormatting sqref="Q453">
    <cfRule type="containsText" dxfId="10206" priority="8711" operator="containsText" text="Cancelado">
      <formula>NOT(ISERROR(SEARCH("Cancelado",Q453)))</formula>
    </cfRule>
  </conditionalFormatting>
  <conditionalFormatting sqref="S453">
    <cfRule type="cellIs" dxfId="10205" priority="8708" operator="equal">
      <formula>"Tramitando"</formula>
    </cfRule>
    <cfRule type="cellIs" dxfId="10204" priority="8709" operator="equal">
      <formula>"Deferido"</formula>
    </cfRule>
    <cfRule type="cellIs" dxfId="10203" priority="8710" operator="equal">
      <formula>"Indeferido"</formula>
    </cfRule>
  </conditionalFormatting>
  <conditionalFormatting sqref="S453">
    <cfRule type="containsText" dxfId="10202" priority="8707" operator="containsText" text="Cancelado">
      <formula>NOT(ISERROR(SEARCH("Cancelado",S453)))</formula>
    </cfRule>
  </conditionalFormatting>
  <conditionalFormatting sqref="J454">
    <cfRule type="cellIs" dxfId="10201" priority="8703" operator="equal">
      <formula>"Tramitando"</formula>
    </cfRule>
    <cfRule type="cellIs" dxfId="10200" priority="8704" operator="equal">
      <formula>"Deferido"</formula>
    </cfRule>
    <cfRule type="cellIs" dxfId="10199" priority="8705" operator="equal">
      <formula>"Indeferido"</formula>
    </cfRule>
  </conditionalFormatting>
  <conditionalFormatting sqref="J454">
    <cfRule type="containsText" dxfId="10198" priority="8702" operator="containsText" text="Cancelado">
      <formula>NOT(ISERROR(SEARCH("Cancelado",J454)))</formula>
    </cfRule>
  </conditionalFormatting>
  <conditionalFormatting sqref="M454">
    <cfRule type="cellIs" dxfId="10197" priority="8699" operator="equal">
      <formula>"Tramitando"</formula>
    </cfRule>
    <cfRule type="cellIs" dxfId="10196" priority="8700" operator="equal">
      <formula>"Deferido"</formula>
    </cfRule>
    <cfRule type="cellIs" dxfId="10195" priority="8701" operator="equal">
      <formula>"Indeferido"</formula>
    </cfRule>
  </conditionalFormatting>
  <conditionalFormatting sqref="M454">
    <cfRule type="containsText" dxfId="10194" priority="8698" operator="containsText" text="Cancelado">
      <formula>NOT(ISERROR(SEARCH("Cancelado",M454)))</formula>
    </cfRule>
  </conditionalFormatting>
  <conditionalFormatting sqref="O454">
    <cfRule type="cellIs" dxfId="10193" priority="8695" operator="equal">
      <formula>"Tramitando"</formula>
    </cfRule>
    <cfRule type="cellIs" dxfId="10192" priority="8696" operator="equal">
      <formula>"Deferido"</formula>
    </cfRule>
    <cfRule type="cellIs" dxfId="10191" priority="8697" operator="equal">
      <formula>"Indeferido"</formula>
    </cfRule>
  </conditionalFormatting>
  <conditionalFormatting sqref="O454">
    <cfRule type="containsText" dxfId="10190" priority="8694" operator="containsText" text="Cancelado">
      <formula>NOT(ISERROR(SEARCH("Cancelado",O454)))</formula>
    </cfRule>
  </conditionalFormatting>
  <conditionalFormatting sqref="Q454">
    <cfRule type="cellIs" dxfId="10189" priority="8691" operator="equal">
      <formula>"Tramitando"</formula>
    </cfRule>
    <cfRule type="cellIs" dxfId="10188" priority="8692" operator="equal">
      <formula>"Deferido"</formula>
    </cfRule>
    <cfRule type="cellIs" dxfId="10187" priority="8693" operator="equal">
      <formula>"Indeferido"</formula>
    </cfRule>
  </conditionalFormatting>
  <conditionalFormatting sqref="Q454">
    <cfRule type="containsText" dxfId="10186" priority="8690" operator="containsText" text="Cancelado">
      <formula>NOT(ISERROR(SEARCH("Cancelado",Q454)))</formula>
    </cfRule>
  </conditionalFormatting>
  <conditionalFormatting sqref="S454">
    <cfRule type="cellIs" dxfId="10185" priority="8687" operator="equal">
      <formula>"Tramitando"</formula>
    </cfRule>
    <cfRule type="cellIs" dxfId="10184" priority="8688" operator="equal">
      <formula>"Deferido"</formula>
    </cfRule>
    <cfRule type="cellIs" dxfId="10183" priority="8689" operator="equal">
      <formula>"Indeferido"</formula>
    </cfRule>
  </conditionalFormatting>
  <conditionalFormatting sqref="S454">
    <cfRule type="containsText" dxfId="10182" priority="8686" operator="containsText" text="Cancelado">
      <formula>NOT(ISERROR(SEARCH("Cancelado",S454)))</formula>
    </cfRule>
  </conditionalFormatting>
  <conditionalFormatting sqref="J455">
    <cfRule type="cellIs" dxfId="10181" priority="8682" operator="equal">
      <formula>"Tramitando"</formula>
    </cfRule>
    <cfRule type="cellIs" dxfId="10180" priority="8683" operator="equal">
      <formula>"Deferido"</formula>
    </cfRule>
    <cfRule type="cellIs" dxfId="10179" priority="8684" operator="equal">
      <formula>"Indeferido"</formula>
    </cfRule>
  </conditionalFormatting>
  <conditionalFormatting sqref="J455">
    <cfRule type="containsText" dxfId="10178" priority="8681" operator="containsText" text="Cancelado">
      <formula>NOT(ISERROR(SEARCH("Cancelado",J455)))</formula>
    </cfRule>
  </conditionalFormatting>
  <conditionalFormatting sqref="M455">
    <cfRule type="cellIs" dxfId="10177" priority="8678" operator="equal">
      <formula>"Tramitando"</formula>
    </cfRule>
    <cfRule type="cellIs" dxfId="10176" priority="8679" operator="equal">
      <formula>"Deferido"</formula>
    </cfRule>
    <cfRule type="cellIs" dxfId="10175" priority="8680" operator="equal">
      <formula>"Indeferido"</formula>
    </cfRule>
  </conditionalFormatting>
  <conditionalFormatting sqref="M455">
    <cfRule type="containsText" dxfId="10174" priority="8677" operator="containsText" text="Cancelado">
      <formula>NOT(ISERROR(SEARCH("Cancelado",M455)))</formula>
    </cfRule>
  </conditionalFormatting>
  <conditionalFormatting sqref="O455">
    <cfRule type="cellIs" dxfId="10173" priority="8674" operator="equal">
      <formula>"Tramitando"</formula>
    </cfRule>
    <cfRule type="cellIs" dxfId="10172" priority="8675" operator="equal">
      <formula>"Deferido"</formula>
    </cfRule>
    <cfRule type="cellIs" dxfId="10171" priority="8676" operator="equal">
      <formula>"Indeferido"</formula>
    </cfRule>
  </conditionalFormatting>
  <conditionalFormatting sqref="O455">
    <cfRule type="containsText" dxfId="10170" priority="8673" operator="containsText" text="Cancelado">
      <formula>NOT(ISERROR(SEARCH("Cancelado",O455)))</formula>
    </cfRule>
  </conditionalFormatting>
  <conditionalFormatting sqref="Q455">
    <cfRule type="cellIs" dxfId="10169" priority="8670" operator="equal">
      <formula>"Tramitando"</formula>
    </cfRule>
    <cfRule type="cellIs" dxfId="10168" priority="8671" operator="equal">
      <formula>"Deferido"</formula>
    </cfRule>
    <cfRule type="cellIs" dxfId="10167" priority="8672" operator="equal">
      <formula>"Indeferido"</formula>
    </cfRule>
  </conditionalFormatting>
  <conditionalFormatting sqref="Q455">
    <cfRule type="containsText" dxfId="10166" priority="8669" operator="containsText" text="Cancelado">
      <formula>NOT(ISERROR(SEARCH("Cancelado",Q455)))</formula>
    </cfRule>
  </conditionalFormatting>
  <conditionalFormatting sqref="S455">
    <cfRule type="cellIs" dxfId="10165" priority="8666" operator="equal">
      <formula>"Tramitando"</formula>
    </cfRule>
    <cfRule type="cellIs" dxfId="10164" priority="8667" operator="equal">
      <formula>"Deferido"</formula>
    </cfRule>
    <cfRule type="cellIs" dxfId="10163" priority="8668" operator="equal">
      <formula>"Indeferido"</formula>
    </cfRule>
  </conditionalFormatting>
  <conditionalFormatting sqref="S455">
    <cfRule type="containsText" dxfId="10162" priority="8665" operator="containsText" text="Cancelado">
      <formula>NOT(ISERROR(SEARCH("Cancelado",S455)))</formula>
    </cfRule>
  </conditionalFormatting>
  <conditionalFormatting sqref="J456">
    <cfRule type="cellIs" dxfId="10161" priority="8661" operator="equal">
      <formula>"Tramitando"</formula>
    </cfRule>
    <cfRule type="cellIs" dxfId="10160" priority="8662" operator="equal">
      <formula>"Deferido"</formula>
    </cfRule>
    <cfRule type="cellIs" dxfId="10159" priority="8663" operator="equal">
      <formula>"Indeferido"</formula>
    </cfRule>
  </conditionalFormatting>
  <conditionalFormatting sqref="J456">
    <cfRule type="containsText" dxfId="10158" priority="8660" operator="containsText" text="Cancelado">
      <formula>NOT(ISERROR(SEARCH("Cancelado",J456)))</formula>
    </cfRule>
  </conditionalFormatting>
  <conditionalFormatting sqref="M456">
    <cfRule type="cellIs" dxfId="10157" priority="8657" operator="equal">
      <formula>"Tramitando"</formula>
    </cfRule>
    <cfRule type="cellIs" dxfId="10156" priority="8658" operator="equal">
      <formula>"Deferido"</formula>
    </cfRule>
    <cfRule type="cellIs" dxfId="10155" priority="8659" operator="equal">
      <formula>"Indeferido"</formula>
    </cfRule>
  </conditionalFormatting>
  <conditionalFormatting sqref="M456">
    <cfRule type="containsText" dxfId="10154" priority="8656" operator="containsText" text="Cancelado">
      <formula>NOT(ISERROR(SEARCH("Cancelado",M456)))</formula>
    </cfRule>
  </conditionalFormatting>
  <conditionalFormatting sqref="O456">
    <cfRule type="cellIs" dxfId="10153" priority="8653" operator="equal">
      <formula>"Tramitando"</formula>
    </cfRule>
    <cfRule type="cellIs" dxfId="10152" priority="8654" operator="equal">
      <formula>"Deferido"</formula>
    </cfRule>
    <cfRule type="cellIs" dxfId="10151" priority="8655" operator="equal">
      <formula>"Indeferido"</formula>
    </cfRule>
  </conditionalFormatting>
  <conditionalFormatting sqref="O456">
    <cfRule type="containsText" dxfId="10150" priority="8652" operator="containsText" text="Cancelado">
      <formula>NOT(ISERROR(SEARCH("Cancelado",O456)))</formula>
    </cfRule>
  </conditionalFormatting>
  <conditionalFormatting sqref="Q456">
    <cfRule type="cellIs" dxfId="10149" priority="8649" operator="equal">
      <formula>"Tramitando"</formula>
    </cfRule>
    <cfRule type="cellIs" dxfId="10148" priority="8650" operator="equal">
      <formula>"Deferido"</formula>
    </cfRule>
    <cfRule type="cellIs" dxfId="10147" priority="8651" operator="equal">
      <formula>"Indeferido"</formula>
    </cfRule>
  </conditionalFormatting>
  <conditionalFormatting sqref="Q456">
    <cfRule type="containsText" dxfId="10146" priority="8648" operator="containsText" text="Cancelado">
      <formula>NOT(ISERROR(SEARCH("Cancelado",Q456)))</formula>
    </cfRule>
  </conditionalFormatting>
  <conditionalFormatting sqref="S456">
    <cfRule type="cellIs" dxfId="10145" priority="8645" operator="equal">
      <formula>"Tramitando"</formula>
    </cfRule>
    <cfRule type="cellIs" dxfId="10144" priority="8646" operator="equal">
      <formula>"Deferido"</formula>
    </cfRule>
    <cfRule type="cellIs" dxfId="10143" priority="8647" operator="equal">
      <formula>"Indeferido"</formula>
    </cfRule>
  </conditionalFormatting>
  <conditionalFormatting sqref="S456">
    <cfRule type="containsText" dxfId="10142" priority="8644" operator="containsText" text="Cancelado">
      <formula>NOT(ISERROR(SEARCH("Cancelado",S456)))</formula>
    </cfRule>
  </conditionalFormatting>
  <conditionalFormatting sqref="J457">
    <cfRule type="cellIs" dxfId="10141" priority="8640" operator="equal">
      <formula>"Tramitando"</formula>
    </cfRule>
    <cfRule type="cellIs" dxfId="10140" priority="8641" operator="equal">
      <formula>"Deferido"</formula>
    </cfRule>
    <cfRule type="cellIs" dxfId="10139" priority="8642" operator="equal">
      <formula>"Indeferido"</formula>
    </cfRule>
  </conditionalFormatting>
  <conditionalFormatting sqref="J457">
    <cfRule type="containsText" dxfId="10138" priority="8639" operator="containsText" text="Cancelado">
      <formula>NOT(ISERROR(SEARCH("Cancelado",J457)))</formula>
    </cfRule>
  </conditionalFormatting>
  <conditionalFormatting sqref="M457">
    <cfRule type="cellIs" dxfId="10137" priority="8636" operator="equal">
      <formula>"Tramitando"</formula>
    </cfRule>
    <cfRule type="cellIs" dxfId="10136" priority="8637" operator="equal">
      <formula>"Deferido"</formula>
    </cfRule>
    <cfRule type="cellIs" dxfId="10135" priority="8638" operator="equal">
      <formula>"Indeferido"</formula>
    </cfRule>
  </conditionalFormatting>
  <conditionalFormatting sqref="M457">
    <cfRule type="containsText" dxfId="10134" priority="8635" operator="containsText" text="Cancelado">
      <formula>NOT(ISERROR(SEARCH("Cancelado",M457)))</formula>
    </cfRule>
  </conditionalFormatting>
  <conditionalFormatting sqref="O457">
    <cfRule type="cellIs" dxfId="10133" priority="8632" operator="equal">
      <formula>"Tramitando"</formula>
    </cfRule>
    <cfRule type="cellIs" dxfId="10132" priority="8633" operator="equal">
      <formula>"Deferido"</formula>
    </cfRule>
    <cfRule type="cellIs" dxfId="10131" priority="8634" operator="equal">
      <formula>"Indeferido"</formula>
    </cfRule>
  </conditionalFormatting>
  <conditionalFormatting sqref="O457">
    <cfRule type="containsText" dxfId="10130" priority="8631" operator="containsText" text="Cancelado">
      <formula>NOT(ISERROR(SEARCH("Cancelado",O457)))</formula>
    </cfRule>
  </conditionalFormatting>
  <conditionalFormatting sqref="Q457">
    <cfRule type="cellIs" dxfId="10129" priority="8628" operator="equal">
      <formula>"Tramitando"</formula>
    </cfRule>
    <cfRule type="cellIs" dxfId="10128" priority="8629" operator="equal">
      <formula>"Deferido"</formula>
    </cfRule>
    <cfRule type="cellIs" dxfId="10127" priority="8630" operator="equal">
      <formula>"Indeferido"</formula>
    </cfRule>
  </conditionalFormatting>
  <conditionalFormatting sqref="Q457">
    <cfRule type="containsText" dxfId="10126" priority="8627" operator="containsText" text="Cancelado">
      <formula>NOT(ISERROR(SEARCH("Cancelado",Q457)))</formula>
    </cfRule>
  </conditionalFormatting>
  <conditionalFormatting sqref="S457">
    <cfRule type="cellIs" dxfId="10125" priority="8624" operator="equal">
      <formula>"Tramitando"</formula>
    </cfRule>
    <cfRule type="cellIs" dxfId="10124" priority="8625" operator="equal">
      <formula>"Deferido"</formula>
    </cfRule>
    <cfRule type="cellIs" dxfId="10123" priority="8626" operator="equal">
      <formula>"Indeferido"</formula>
    </cfRule>
  </conditionalFormatting>
  <conditionalFormatting sqref="S457">
    <cfRule type="containsText" dxfId="10122" priority="8623" operator="containsText" text="Cancelado">
      <formula>NOT(ISERROR(SEARCH("Cancelado",S457)))</formula>
    </cfRule>
  </conditionalFormatting>
  <conditionalFormatting sqref="J458">
    <cfRule type="cellIs" dxfId="10121" priority="8619" operator="equal">
      <formula>"Tramitando"</formula>
    </cfRule>
    <cfRule type="cellIs" dxfId="10120" priority="8620" operator="equal">
      <formula>"Deferido"</formula>
    </cfRule>
    <cfRule type="cellIs" dxfId="10119" priority="8621" operator="equal">
      <formula>"Indeferido"</formula>
    </cfRule>
  </conditionalFormatting>
  <conditionalFormatting sqref="J458">
    <cfRule type="containsText" dxfId="10118" priority="8618" operator="containsText" text="Cancelado">
      <formula>NOT(ISERROR(SEARCH("Cancelado",J458)))</formula>
    </cfRule>
  </conditionalFormatting>
  <conditionalFormatting sqref="M458">
    <cfRule type="cellIs" dxfId="10117" priority="8615" operator="equal">
      <formula>"Tramitando"</formula>
    </cfRule>
    <cfRule type="cellIs" dxfId="10116" priority="8616" operator="equal">
      <formula>"Deferido"</formula>
    </cfRule>
    <cfRule type="cellIs" dxfId="10115" priority="8617" operator="equal">
      <formula>"Indeferido"</formula>
    </cfRule>
  </conditionalFormatting>
  <conditionalFormatting sqref="M458">
    <cfRule type="containsText" dxfId="10114" priority="8614" operator="containsText" text="Cancelado">
      <formula>NOT(ISERROR(SEARCH("Cancelado",M458)))</formula>
    </cfRule>
  </conditionalFormatting>
  <conditionalFormatting sqref="O458">
    <cfRule type="cellIs" dxfId="10113" priority="8611" operator="equal">
      <formula>"Tramitando"</formula>
    </cfRule>
    <cfRule type="cellIs" dxfId="10112" priority="8612" operator="equal">
      <formula>"Deferido"</formula>
    </cfRule>
    <cfRule type="cellIs" dxfId="10111" priority="8613" operator="equal">
      <formula>"Indeferido"</formula>
    </cfRule>
  </conditionalFormatting>
  <conditionalFormatting sqref="O458">
    <cfRule type="containsText" dxfId="10110" priority="8610" operator="containsText" text="Cancelado">
      <formula>NOT(ISERROR(SEARCH("Cancelado",O458)))</formula>
    </cfRule>
  </conditionalFormatting>
  <conditionalFormatting sqref="Q458">
    <cfRule type="cellIs" dxfId="10109" priority="8607" operator="equal">
      <formula>"Tramitando"</formula>
    </cfRule>
    <cfRule type="cellIs" dxfId="10108" priority="8608" operator="equal">
      <formula>"Deferido"</formula>
    </cfRule>
    <cfRule type="cellIs" dxfId="10107" priority="8609" operator="equal">
      <formula>"Indeferido"</formula>
    </cfRule>
  </conditionalFormatting>
  <conditionalFormatting sqref="Q458">
    <cfRule type="containsText" dxfId="10106" priority="8606" operator="containsText" text="Cancelado">
      <formula>NOT(ISERROR(SEARCH("Cancelado",Q458)))</formula>
    </cfRule>
  </conditionalFormatting>
  <conditionalFormatting sqref="S458">
    <cfRule type="cellIs" dxfId="10105" priority="8603" operator="equal">
      <formula>"Tramitando"</formula>
    </cfRule>
    <cfRule type="cellIs" dxfId="10104" priority="8604" operator="equal">
      <formula>"Deferido"</formula>
    </cfRule>
    <cfRule type="cellIs" dxfId="10103" priority="8605" operator="equal">
      <formula>"Indeferido"</formula>
    </cfRule>
  </conditionalFormatting>
  <conditionalFormatting sqref="S458">
    <cfRule type="containsText" dxfId="10102" priority="8602" operator="containsText" text="Cancelado">
      <formula>NOT(ISERROR(SEARCH("Cancelado",S458)))</formula>
    </cfRule>
  </conditionalFormatting>
  <conditionalFormatting sqref="J459">
    <cfRule type="cellIs" dxfId="10101" priority="8598" operator="equal">
      <formula>"Tramitando"</formula>
    </cfRule>
    <cfRule type="cellIs" dxfId="10100" priority="8599" operator="equal">
      <formula>"Deferido"</formula>
    </cfRule>
    <cfRule type="cellIs" dxfId="10099" priority="8600" operator="equal">
      <formula>"Indeferido"</formula>
    </cfRule>
  </conditionalFormatting>
  <conditionalFormatting sqref="J459">
    <cfRule type="containsText" dxfId="10098" priority="8597" operator="containsText" text="Cancelado">
      <formula>NOT(ISERROR(SEARCH("Cancelado",J459)))</formula>
    </cfRule>
  </conditionalFormatting>
  <conditionalFormatting sqref="M459">
    <cfRule type="cellIs" dxfId="10097" priority="8594" operator="equal">
      <formula>"Tramitando"</formula>
    </cfRule>
    <cfRule type="cellIs" dxfId="10096" priority="8595" operator="equal">
      <formula>"Deferido"</formula>
    </cfRule>
    <cfRule type="cellIs" dxfId="10095" priority="8596" operator="equal">
      <formula>"Indeferido"</formula>
    </cfRule>
  </conditionalFormatting>
  <conditionalFormatting sqref="M459">
    <cfRule type="containsText" dxfId="10094" priority="8593" operator="containsText" text="Cancelado">
      <formula>NOT(ISERROR(SEARCH("Cancelado",M459)))</formula>
    </cfRule>
  </conditionalFormatting>
  <conditionalFormatting sqref="O459">
    <cfRule type="cellIs" dxfId="10093" priority="8590" operator="equal">
      <formula>"Tramitando"</formula>
    </cfRule>
    <cfRule type="cellIs" dxfId="10092" priority="8591" operator="equal">
      <formula>"Deferido"</formula>
    </cfRule>
    <cfRule type="cellIs" dxfId="10091" priority="8592" operator="equal">
      <formula>"Indeferido"</formula>
    </cfRule>
  </conditionalFormatting>
  <conditionalFormatting sqref="O459">
    <cfRule type="containsText" dxfId="10090" priority="8589" operator="containsText" text="Cancelado">
      <formula>NOT(ISERROR(SEARCH("Cancelado",O459)))</formula>
    </cfRule>
  </conditionalFormatting>
  <conditionalFormatting sqref="Q459">
    <cfRule type="cellIs" dxfId="10089" priority="8586" operator="equal">
      <formula>"Tramitando"</formula>
    </cfRule>
    <cfRule type="cellIs" dxfId="10088" priority="8587" operator="equal">
      <formula>"Deferido"</formula>
    </cfRule>
    <cfRule type="cellIs" dxfId="10087" priority="8588" operator="equal">
      <formula>"Indeferido"</formula>
    </cfRule>
  </conditionalFormatting>
  <conditionalFormatting sqref="Q459">
    <cfRule type="containsText" dxfId="10086" priority="8585" operator="containsText" text="Cancelado">
      <formula>NOT(ISERROR(SEARCH("Cancelado",Q459)))</formula>
    </cfRule>
  </conditionalFormatting>
  <conditionalFormatting sqref="S459">
    <cfRule type="cellIs" dxfId="10085" priority="8582" operator="equal">
      <formula>"Tramitando"</formula>
    </cfRule>
    <cfRule type="cellIs" dxfId="10084" priority="8583" operator="equal">
      <formula>"Deferido"</formula>
    </cfRule>
    <cfRule type="cellIs" dxfId="10083" priority="8584" operator="equal">
      <formula>"Indeferido"</formula>
    </cfRule>
  </conditionalFormatting>
  <conditionalFormatting sqref="S459">
    <cfRule type="containsText" dxfId="10082" priority="8581" operator="containsText" text="Cancelado">
      <formula>NOT(ISERROR(SEARCH("Cancelado",S459)))</formula>
    </cfRule>
  </conditionalFormatting>
  <conditionalFormatting sqref="J460">
    <cfRule type="cellIs" dxfId="10081" priority="8577" operator="equal">
      <formula>"Tramitando"</formula>
    </cfRule>
    <cfRule type="cellIs" dxfId="10080" priority="8578" operator="equal">
      <formula>"Deferido"</formula>
    </cfRule>
    <cfRule type="cellIs" dxfId="10079" priority="8579" operator="equal">
      <formula>"Indeferido"</formula>
    </cfRule>
  </conditionalFormatting>
  <conditionalFormatting sqref="J460">
    <cfRule type="containsText" dxfId="10078" priority="8576" operator="containsText" text="Cancelado">
      <formula>NOT(ISERROR(SEARCH("Cancelado",J460)))</formula>
    </cfRule>
  </conditionalFormatting>
  <conditionalFormatting sqref="M460">
    <cfRule type="cellIs" dxfId="10077" priority="8573" operator="equal">
      <formula>"Tramitando"</formula>
    </cfRule>
    <cfRule type="cellIs" dxfId="10076" priority="8574" operator="equal">
      <formula>"Deferido"</formula>
    </cfRule>
    <cfRule type="cellIs" dxfId="10075" priority="8575" operator="equal">
      <formula>"Indeferido"</formula>
    </cfRule>
  </conditionalFormatting>
  <conditionalFormatting sqref="M460">
    <cfRule type="containsText" dxfId="10074" priority="8572" operator="containsText" text="Cancelado">
      <formula>NOT(ISERROR(SEARCH("Cancelado",M460)))</formula>
    </cfRule>
  </conditionalFormatting>
  <conditionalFormatting sqref="O460">
    <cfRule type="cellIs" dxfId="10073" priority="8569" operator="equal">
      <formula>"Tramitando"</formula>
    </cfRule>
    <cfRule type="cellIs" dxfId="10072" priority="8570" operator="equal">
      <formula>"Deferido"</formula>
    </cfRule>
    <cfRule type="cellIs" dxfId="10071" priority="8571" operator="equal">
      <formula>"Indeferido"</formula>
    </cfRule>
  </conditionalFormatting>
  <conditionalFormatting sqref="O460">
    <cfRule type="containsText" dxfId="10070" priority="8568" operator="containsText" text="Cancelado">
      <formula>NOT(ISERROR(SEARCH("Cancelado",O460)))</formula>
    </cfRule>
  </conditionalFormatting>
  <conditionalFormatting sqref="Q460">
    <cfRule type="cellIs" dxfId="10069" priority="8565" operator="equal">
      <formula>"Tramitando"</formula>
    </cfRule>
    <cfRule type="cellIs" dxfId="10068" priority="8566" operator="equal">
      <formula>"Deferido"</formula>
    </cfRule>
    <cfRule type="cellIs" dxfId="10067" priority="8567" operator="equal">
      <formula>"Indeferido"</formula>
    </cfRule>
  </conditionalFormatting>
  <conditionalFormatting sqref="Q460">
    <cfRule type="containsText" dxfId="10066" priority="8564" operator="containsText" text="Cancelado">
      <formula>NOT(ISERROR(SEARCH("Cancelado",Q460)))</formula>
    </cfRule>
  </conditionalFormatting>
  <conditionalFormatting sqref="S460">
    <cfRule type="cellIs" dxfId="10065" priority="8561" operator="equal">
      <formula>"Tramitando"</formula>
    </cfRule>
    <cfRule type="cellIs" dxfId="10064" priority="8562" operator="equal">
      <formula>"Deferido"</formula>
    </cfRule>
    <cfRule type="cellIs" dxfId="10063" priority="8563" operator="equal">
      <formula>"Indeferido"</formula>
    </cfRule>
  </conditionalFormatting>
  <conditionalFormatting sqref="S460">
    <cfRule type="containsText" dxfId="10062" priority="8560" operator="containsText" text="Cancelado">
      <formula>NOT(ISERROR(SEARCH("Cancelado",S460)))</formula>
    </cfRule>
  </conditionalFormatting>
  <conditionalFormatting sqref="J461">
    <cfRule type="cellIs" dxfId="10061" priority="8556" operator="equal">
      <formula>"Tramitando"</formula>
    </cfRule>
    <cfRule type="cellIs" dxfId="10060" priority="8557" operator="equal">
      <formula>"Deferido"</formula>
    </cfRule>
    <cfRule type="cellIs" dxfId="10059" priority="8558" operator="equal">
      <formula>"Indeferido"</formula>
    </cfRule>
  </conditionalFormatting>
  <conditionalFormatting sqref="J461">
    <cfRule type="containsText" dxfId="10058" priority="8555" operator="containsText" text="Cancelado">
      <formula>NOT(ISERROR(SEARCH("Cancelado",J461)))</formula>
    </cfRule>
  </conditionalFormatting>
  <conditionalFormatting sqref="M461">
    <cfRule type="cellIs" dxfId="10057" priority="8552" operator="equal">
      <formula>"Tramitando"</formula>
    </cfRule>
    <cfRule type="cellIs" dxfId="10056" priority="8553" operator="equal">
      <formula>"Deferido"</formula>
    </cfRule>
    <cfRule type="cellIs" dxfId="10055" priority="8554" operator="equal">
      <formula>"Indeferido"</formula>
    </cfRule>
  </conditionalFormatting>
  <conditionalFormatting sqref="M461">
    <cfRule type="containsText" dxfId="10054" priority="8551" operator="containsText" text="Cancelado">
      <formula>NOT(ISERROR(SEARCH("Cancelado",M461)))</formula>
    </cfRule>
  </conditionalFormatting>
  <conditionalFormatting sqref="O461">
    <cfRule type="cellIs" dxfId="10053" priority="8548" operator="equal">
      <formula>"Tramitando"</formula>
    </cfRule>
    <cfRule type="cellIs" dxfId="10052" priority="8549" operator="equal">
      <formula>"Deferido"</formula>
    </cfRule>
    <cfRule type="cellIs" dxfId="10051" priority="8550" operator="equal">
      <formula>"Indeferido"</formula>
    </cfRule>
  </conditionalFormatting>
  <conditionalFormatting sqref="O461">
    <cfRule type="containsText" dxfId="10050" priority="8547" operator="containsText" text="Cancelado">
      <formula>NOT(ISERROR(SEARCH("Cancelado",O461)))</formula>
    </cfRule>
  </conditionalFormatting>
  <conditionalFormatting sqref="Q461">
    <cfRule type="cellIs" dxfId="10049" priority="8544" operator="equal">
      <formula>"Tramitando"</formula>
    </cfRule>
    <cfRule type="cellIs" dxfId="10048" priority="8545" operator="equal">
      <formula>"Deferido"</formula>
    </cfRule>
    <cfRule type="cellIs" dxfId="10047" priority="8546" operator="equal">
      <formula>"Indeferido"</formula>
    </cfRule>
  </conditionalFormatting>
  <conditionalFormatting sqref="Q461">
    <cfRule type="containsText" dxfId="10046" priority="8543" operator="containsText" text="Cancelado">
      <formula>NOT(ISERROR(SEARCH("Cancelado",Q461)))</formula>
    </cfRule>
  </conditionalFormatting>
  <conditionalFormatting sqref="S461">
    <cfRule type="cellIs" dxfId="10045" priority="8540" operator="equal">
      <formula>"Tramitando"</formula>
    </cfRule>
    <cfRule type="cellIs" dxfId="10044" priority="8541" operator="equal">
      <formula>"Deferido"</formula>
    </cfRule>
    <cfRule type="cellIs" dxfId="10043" priority="8542" operator="equal">
      <formula>"Indeferido"</formula>
    </cfRule>
  </conditionalFormatting>
  <conditionalFormatting sqref="S461">
    <cfRule type="containsText" dxfId="10042" priority="8539" operator="containsText" text="Cancelado">
      <formula>NOT(ISERROR(SEARCH("Cancelado",S461)))</formula>
    </cfRule>
  </conditionalFormatting>
  <conditionalFormatting sqref="J462">
    <cfRule type="cellIs" dxfId="10041" priority="8535" operator="equal">
      <formula>"Tramitando"</formula>
    </cfRule>
    <cfRule type="cellIs" dxfId="10040" priority="8536" operator="equal">
      <formula>"Deferido"</formula>
    </cfRule>
    <cfRule type="cellIs" dxfId="10039" priority="8537" operator="equal">
      <formula>"Indeferido"</formula>
    </cfRule>
  </conditionalFormatting>
  <conditionalFormatting sqref="J462">
    <cfRule type="containsText" dxfId="10038" priority="8534" operator="containsText" text="Cancelado">
      <formula>NOT(ISERROR(SEARCH("Cancelado",J462)))</formula>
    </cfRule>
  </conditionalFormatting>
  <conditionalFormatting sqref="M462">
    <cfRule type="cellIs" dxfId="10037" priority="8531" operator="equal">
      <formula>"Tramitando"</formula>
    </cfRule>
    <cfRule type="cellIs" dxfId="10036" priority="8532" operator="equal">
      <formula>"Deferido"</formula>
    </cfRule>
    <cfRule type="cellIs" dxfId="10035" priority="8533" operator="equal">
      <formula>"Indeferido"</formula>
    </cfRule>
  </conditionalFormatting>
  <conditionalFormatting sqref="M462">
    <cfRule type="containsText" dxfId="10034" priority="8530" operator="containsText" text="Cancelado">
      <formula>NOT(ISERROR(SEARCH("Cancelado",M462)))</formula>
    </cfRule>
  </conditionalFormatting>
  <conditionalFormatting sqref="O462">
    <cfRule type="cellIs" dxfId="10033" priority="8527" operator="equal">
      <formula>"Tramitando"</formula>
    </cfRule>
    <cfRule type="cellIs" dxfId="10032" priority="8528" operator="equal">
      <formula>"Deferido"</formula>
    </cfRule>
    <cfRule type="cellIs" dxfId="10031" priority="8529" operator="equal">
      <formula>"Indeferido"</formula>
    </cfRule>
  </conditionalFormatting>
  <conditionalFormatting sqref="O462">
    <cfRule type="containsText" dxfId="10030" priority="8526" operator="containsText" text="Cancelado">
      <formula>NOT(ISERROR(SEARCH("Cancelado",O462)))</formula>
    </cfRule>
  </conditionalFormatting>
  <conditionalFormatting sqref="Q462">
    <cfRule type="cellIs" dxfId="10029" priority="8523" operator="equal">
      <formula>"Tramitando"</formula>
    </cfRule>
    <cfRule type="cellIs" dxfId="10028" priority="8524" operator="equal">
      <formula>"Deferido"</formula>
    </cfRule>
    <cfRule type="cellIs" dxfId="10027" priority="8525" operator="equal">
      <formula>"Indeferido"</formula>
    </cfRule>
  </conditionalFormatting>
  <conditionalFormatting sqref="Q462">
    <cfRule type="containsText" dxfId="10026" priority="8522" operator="containsText" text="Cancelado">
      <formula>NOT(ISERROR(SEARCH("Cancelado",Q462)))</formula>
    </cfRule>
  </conditionalFormatting>
  <conditionalFormatting sqref="S462">
    <cfRule type="cellIs" dxfId="10025" priority="8519" operator="equal">
      <formula>"Tramitando"</formula>
    </cfRule>
    <cfRule type="cellIs" dxfId="10024" priority="8520" operator="equal">
      <formula>"Deferido"</formula>
    </cfRule>
    <cfRule type="cellIs" dxfId="10023" priority="8521" operator="equal">
      <formula>"Indeferido"</formula>
    </cfRule>
  </conditionalFormatting>
  <conditionalFormatting sqref="S462">
    <cfRule type="containsText" dxfId="10022" priority="8518" operator="containsText" text="Cancelado">
      <formula>NOT(ISERROR(SEARCH("Cancelado",S462)))</formula>
    </cfRule>
  </conditionalFormatting>
  <conditionalFormatting sqref="J463">
    <cfRule type="cellIs" dxfId="10021" priority="8514" operator="equal">
      <formula>"Tramitando"</formula>
    </cfRule>
    <cfRule type="cellIs" dxfId="10020" priority="8515" operator="equal">
      <formula>"Deferido"</formula>
    </cfRule>
    <cfRule type="cellIs" dxfId="10019" priority="8516" operator="equal">
      <formula>"Indeferido"</formula>
    </cfRule>
  </conditionalFormatting>
  <conditionalFormatting sqref="J463">
    <cfRule type="containsText" dxfId="10018" priority="8513" operator="containsText" text="Cancelado">
      <formula>NOT(ISERROR(SEARCH("Cancelado",J463)))</formula>
    </cfRule>
  </conditionalFormatting>
  <conditionalFormatting sqref="M463">
    <cfRule type="cellIs" dxfId="10017" priority="8510" operator="equal">
      <formula>"Tramitando"</formula>
    </cfRule>
    <cfRule type="cellIs" dxfId="10016" priority="8511" operator="equal">
      <formula>"Deferido"</formula>
    </cfRule>
    <cfRule type="cellIs" dxfId="10015" priority="8512" operator="equal">
      <formula>"Indeferido"</formula>
    </cfRule>
  </conditionalFormatting>
  <conditionalFormatting sqref="M463">
    <cfRule type="containsText" dxfId="10014" priority="8509" operator="containsText" text="Cancelado">
      <formula>NOT(ISERROR(SEARCH("Cancelado",M463)))</formula>
    </cfRule>
  </conditionalFormatting>
  <conditionalFormatting sqref="O463">
    <cfRule type="cellIs" dxfId="10013" priority="8506" operator="equal">
      <formula>"Tramitando"</formula>
    </cfRule>
    <cfRule type="cellIs" dxfId="10012" priority="8507" operator="equal">
      <formula>"Deferido"</formula>
    </cfRule>
    <cfRule type="cellIs" dxfId="10011" priority="8508" operator="equal">
      <formula>"Indeferido"</formula>
    </cfRule>
  </conditionalFormatting>
  <conditionalFormatting sqref="O463">
    <cfRule type="containsText" dxfId="10010" priority="8505" operator="containsText" text="Cancelado">
      <formula>NOT(ISERROR(SEARCH("Cancelado",O463)))</formula>
    </cfRule>
  </conditionalFormatting>
  <conditionalFormatting sqref="Q463">
    <cfRule type="cellIs" dxfId="10009" priority="8502" operator="equal">
      <formula>"Tramitando"</formula>
    </cfRule>
    <cfRule type="cellIs" dxfId="10008" priority="8503" operator="equal">
      <formula>"Deferido"</formula>
    </cfRule>
    <cfRule type="cellIs" dxfId="10007" priority="8504" operator="equal">
      <formula>"Indeferido"</formula>
    </cfRule>
  </conditionalFormatting>
  <conditionalFormatting sqref="Q463">
    <cfRule type="containsText" dxfId="10006" priority="8501" operator="containsText" text="Cancelado">
      <formula>NOT(ISERROR(SEARCH("Cancelado",Q463)))</formula>
    </cfRule>
  </conditionalFormatting>
  <conditionalFormatting sqref="S463">
    <cfRule type="cellIs" dxfId="10005" priority="8498" operator="equal">
      <formula>"Tramitando"</formula>
    </cfRule>
    <cfRule type="cellIs" dxfId="10004" priority="8499" operator="equal">
      <formula>"Deferido"</formula>
    </cfRule>
    <cfRule type="cellIs" dxfId="10003" priority="8500" operator="equal">
      <formula>"Indeferido"</formula>
    </cfRule>
  </conditionalFormatting>
  <conditionalFormatting sqref="S463">
    <cfRule type="containsText" dxfId="10002" priority="8497" operator="containsText" text="Cancelado">
      <formula>NOT(ISERROR(SEARCH("Cancelado",S463)))</formula>
    </cfRule>
  </conditionalFormatting>
  <conditionalFormatting sqref="J464">
    <cfRule type="cellIs" dxfId="10001" priority="8493" operator="equal">
      <formula>"Tramitando"</formula>
    </cfRule>
    <cfRule type="cellIs" dxfId="10000" priority="8494" operator="equal">
      <formula>"Deferido"</formula>
    </cfRule>
    <cfRule type="cellIs" dxfId="9999" priority="8495" operator="equal">
      <formula>"Indeferido"</formula>
    </cfRule>
  </conditionalFormatting>
  <conditionalFormatting sqref="J464">
    <cfRule type="containsText" dxfId="9998" priority="8492" operator="containsText" text="Cancelado">
      <formula>NOT(ISERROR(SEARCH("Cancelado",J464)))</formula>
    </cfRule>
  </conditionalFormatting>
  <conditionalFormatting sqref="M464">
    <cfRule type="cellIs" dxfId="9997" priority="8489" operator="equal">
      <formula>"Tramitando"</formula>
    </cfRule>
    <cfRule type="cellIs" dxfId="9996" priority="8490" operator="equal">
      <formula>"Deferido"</formula>
    </cfRule>
    <cfRule type="cellIs" dxfId="9995" priority="8491" operator="equal">
      <formula>"Indeferido"</formula>
    </cfRule>
  </conditionalFormatting>
  <conditionalFormatting sqref="M464">
    <cfRule type="containsText" dxfId="9994" priority="8488" operator="containsText" text="Cancelado">
      <formula>NOT(ISERROR(SEARCH("Cancelado",M464)))</formula>
    </cfRule>
  </conditionalFormatting>
  <conditionalFormatting sqref="O464">
    <cfRule type="cellIs" dxfId="9993" priority="8485" operator="equal">
      <formula>"Tramitando"</formula>
    </cfRule>
    <cfRule type="cellIs" dxfId="9992" priority="8486" operator="equal">
      <formula>"Deferido"</formula>
    </cfRule>
    <cfRule type="cellIs" dxfId="9991" priority="8487" operator="equal">
      <formula>"Indeferido"</formula>
    </cfRule>
  </conditionalFormatting>
  <conditionalFormatting sqref="O464">
    <cfRule type="containsText" dxfId="9990" priority="8484" operator="containsText" text="Cancelado">
      <formula>NOT(ISERROR(SEARCH("Cancelado",O464)))</formula>
    </cfRule>
  </conditionalFormatting>
  <conditionalFormatting sqref="Q464">
    <cfRule type="cellIs" dxfId="9989" priority="8481" operator="equal">
      <formula>"Tramitando"</formula>
    </cfRule>
    <cfRule type="cellIs" dxfId="9988" priority="8482" operator="equal">
      <formula>"Deferido"</formula>
    </cfRule>
    <cfRule type="cellIs" dxfId="9987" priority="8483" operator="equal">
      <formula>"Indeferido"</formula>
    </cfRule>
  </conditionalFormatting>
  <conditionalFormatting sqref="Q464">
    <cfRule type="containsText" dxfId="9986" priority="8480" operator="containsText" text="Cancelado">
      <formula>NOT(ISERROR(SEARCH("Cancelado",Q464)))</formula>
    </cfRule>
  </conditionalFormatting>
  <conditionalFormatting sqref="S464">
    <cfRule type="cellIs" dxfId="9985" priority="8477" operator="equal">
      <formula>"Tramitando"</formula>
    </cfRule>
    <cfRule type="cellIs" dxfId="9984" priority="8478" operator="equal">
      <formula>"Deferido"</formula>
    </cfRule>
    <cfRule type="cellIs" dxfId="9983" priority="8479" operator="equal">
      <formula>"Indeferido"</formula>
    </cfRule>
  </conditionalFormatting>
  <conditionalFormatting sqref="S464">
    <cfRule type="containsText" dxfId="9982" priority="8476" operator="containsText" text="Cancelado">
      <formula>NOT(ISERROR(SEARCH("Cancelado",S464)))</formula>
    </cfRule>
  </conditionalFormatting>
  <conditionalFormatting sqref="J465">
    <cfRule type="cellIs" dxfId="9981" priority="8472" operator="equal">
      <formula>"Tramitando"</formula>
    </cfRule>
    <cfRule type="cellIs" dxfId="9980" priority="8473" operator="equal">
      <formula>"Deferido"</formula>
    </cfRule>
    <cfRule type="cellIs" dxfId="9979" priority="8474" operator="equal">
      <formula>"Indeferido"</formula>
    </cfRule>
  </conditionalFormatting>
  <conditionalFormatting sqref="J465">
    <cfRule type="containsText" dxfId="9978" priority="8471" operator="containsText" text="Cancelado">
      <formula>NOT(ISERROR(SEARCH("Cancelado",J465)))</formula>
    </cfRule>
  </conditionalFormatting>
  <conditionalFormatting sqref="M465">
    <cfRule type="cellIs" dxfId="9977" priority="8468" operator="equal">
      <formula>"Tramitando"</formula>
    </cfRule>
    <cfRule type="cellIs" dxfId="9976" priority="8469" operator="equal">
      <formula>"Deferido"</formula>
    </cfRule>
    <cfRule type="cellIs" dxfId="9975" priority="8470" operator="equal">
      <formula>"Indeferido"</formula>
    </cfRule>
  </conditionalFormatting>
  <conditionalFormatting sqref="M465">
    <cfRule type="containsText" dxfId="9974" priority="8467" operator="containsText" text="Cancelado">
      <formula>NOT(ISERROR(SEARCH("Cancelado",M465)))</formula>
    </cfRule>
  </conditionalFormatting>
  <conditionalFormatting sqref="O465">
    <cfRule type="cellIs" dxfId="9973" priority="8464" operator="equal">
      <formula>"Tramitando"</formula>
    </cfRule>
    <cfRule type="cellIs" dxfId="9972" priority="8465" operator="equal">
      <formula>"Deferido"</formula>
    </cfRule>
    <cfRule type="cellIs" dxfId="9971" priority="8466" operator="equal">
      <formula>"Indeferido"</formula>
    </cfRule>
  </conditionalFormatting>
  <conditionalFormatting sqref="O465">
    <cfRule type="containsText" dxfId="9970" priority="8463" operator="containsText" text="Cancelado">
      <formula>NOT(ISERROR(SEARCH("Cancelado",O465)))</formula>
    </cfRule>
  </conditionalFormatting>
  <conditionalFormatting sqref="Q465">
    <cfRule type="cellIs" dxfId="9969" priority="8460" operator="equal">
      <formula>"Tramitando"</formula>
    </cfRule>
    <cfRule type="cellIs" dxfId="9968" priority="8461" operator="equal">
      <formula>"Deferido"</formula>
    </cfRule>
    <cfRule type="cellIs" dxfId="9967" priority="8462" operator="equal">
      <formula>"Indeferido"</formula>
    </cfRule>
  </conditionalFormatting>
  <conditionalFormatting sqref="Q465">
    <cfRule type="containsText" dxfId="9966" priority="8459" operator="containsText" text="Cancelado">
      <formula>NOT(ISERROR(SEARCH("Cancelado",Q465)))</formula>
    </cfRule>
  </conditionalFormatting>
  <conditionalFormatting sqref="S465">
    <cfRule type="cellIs" dxfId="9965" priority="8456" operator="equal">
      <formula>"Tramitando"</formula>
    </cfRule>
    <cfRule type="cellIs" dxfId="9964" priority="8457" operator="equal">
      <formula>"Deferido"</formula>
    </cfRule>
    <cfRule type="cellIs" dxfId="9963" priority="8458" operator="equal">
      <formula>"Indeferido"</formula>
    </cfRule>
  </conditionalFormatting>
  <conditionalFormatting sqref="S465">
    <cfRule type="containsText" dxfId="9962" priority="8455" operator="containsText" text="Cancelado">
      <formula>NOT(ISERROR(SEARCH("Cancelado",S465)))</formula>
    </cfRule>
  </conditionalFormatting>
  <conditionalFormatting sqref="J466">
    <cfRule type="cellIs" dxfId="9961" priority="8451" operator="equal">
      <formula>"Tramitando"</formula>
    </cfRule>
    <cfRule type="cellIs" dxfId="9960" priority="8452" operator="equal">
      <formula>"Deferido"</formula>
    </cfRule>
    <cfRule type="cellIs" dxfId="9959" priority="8453" operator="equal">
      <formula>"Indeferido"</formula>
    </cfRule>
  </conditionalFormatting>
  <conditionalFormatting sqref="J466">
    <cfRule type="containsText" dxfId="9958" priority="8450" operator="containsText" text="Cancelado">
      <formula>NOT(ISERROR(SEARCH("Cancelado",J466)))</formula>
    </cfRule>
  </conditionalFormatting>
  <conditionalFormatting sqref="M466">
    <cfRule type="cellIs" dxfId="9957" priority="8447" operator="equal">
      <formula>"Tramitando"</formula>
    </cfRule>
    <cfRule type="cellIs" dxfId="9956" priority="8448" operator="equal">
      <formula>"Deferido"</formula>
    </cfRule>
    <cfRule type="cellIs" dxfId="9955" priority="8449" operator="equal">
      <formula>"Indeferido"</formula>
    </cfRule>
  </conditionalFormatting>
  <conditionalFormatting sqref="M466">
    <cfRule type="containsText" dxfId="9954" priority="8446" operator="containsText" text="Cancelado">
      <formula>NOT(ISERROR(SEARCH("Cancelado",M466)))</formula>
    </cfRule>
  </conditionalFormatting>
  <conditionalFormatting sqref="O466">
    <cfRule type="cellIs" dxfId="9953" priority="8443" operator="equal">
      <formula>"Tramitando"</formula>
    </cfRule>
    <cfRule type="cellIs" dxfId="9952" priority="8444" operator="equal">
      <formula>"Deferido"</formula>
    </cfRule>
    <cfRule type="cellIs" dxfId="9951" priority="8445" operator="equal">
      <formula>"Indeferido"</formula>
    </cfRule>
  </conditionalFormatting>
  <conditionalFormatting sqref="O466">
    <cfRule type="containsText" dxfId="9950" priority="8442" operator="containsText" text="Cancelado">
      <formula>NOT(ISERROR(SEARCH("Cancelado",O466)))</formula>
    </cfRule>
  </conditionalFormatting>
  <conditionalFormatting sqref="Q466">
    <cfRule type="cellIs" dxfId="9949" priority="8439" operator="equal">
      <formula>"Tramitando"</formula>
    </cfRule>
    <cfRule type="cellIs" dxfId="9948" priority="8440" operator="equal">
      <formula>"Deferido"</formula>
    </cfRule>
    <cfRule type="cellIs" dxfId="9947" priority="8441" operator="equal">
      <formula>"Indeferido"</formula>
    </cfRule>
  </conditionalFormatting>
  <conditionalFormatting sqref="Q466">
    <cfRule type="containsText" dxfId="9946" priority="8438" operator="containsText" text="Cancelado">
      <formula>NOT(ISERROR(SEARCH("Cancelado",Q466)))</formula>
    </cfRule>
  </conditionalFormatting>
  <conditionalFormatting sqref="S466">
    <cfRule type="cellIs" dxfId="9945" priority="8435" operator="equal">
      <formula>"Tramitando"</formula>
    </cfRule>
    <cfRule type="cellIs" dxfId="9944" priority="8436" operator="equal">
      <formula>"Deferido"</formula>
    </cfRule>
    <cfRule type="cellIs" dxfId="9943" priority="8437" operator="equal">
      <formula>"Indeferido"</formula>
    </cfRule>
  </conditionalFormatting>
  <conditionalFormatting sqref="S466">
    <cfRule type="containsText" dxfId="9942" priority="8434" operator="containsText" text="Cancelado">
      <formula>NOT(ISERROR(SEARCH("Cancelado",S466)))</formula>
    </cfRule>
  </conditionalFormatting>
  <conditionalFormatting sqref="J467">
    <cfRule type="cellIs" dxfId="9941" priority="8430" operator="equal">
      <formula>"Tramitando"</formula>
    </cfRule>
    <cfRule type="cellIs" dxfId="9940" priority="8431" operator="equal">
      <formula>"Deferido"</formula>
    </cfRule>
    <cfRule type="cellIs" dxfId="9939" priority="8432" operator="equal">
      <formula>"Indeferido"</formula>
    </cfRule>
  </conditionalFormatting>
  <conditionalFormatting sqref="J467">
    <cfRule type="containsText" dxfId="9938" priority="8429" operator="containsText" text="Cancelado">
      <formula>NOT(ISERROR(SEARCH("Cancelado",J467)))</formula>
    </cfRule>
  </conditionalFormatting>
  <conditionalFormatting sqref="M467">
    <cfRule type="cellIs" dxfId="9937" priority="8426" operator="equal">
      <formula>"Tramitando"</formula>
    </cfRule>
    <cfRule type="cellIs" dxfId="9936" priority="8427" operator="equal">
      <formula>"Deferido"</formula>
    </cfRule>
    <cfRule type="cellIs" dxfId="9935" priority="8428" operator="equal">
      <formula>"Indeferido"</formula>
    </cfRule>
  </conditionalFormatting>
  <conditionalFormatting sqref="M467">
    <cfRule type="containsText" dxfId="9934" priority="8425" operator="containsText" text="Cancelado">
      <formula>NOT(ISERROR(SEARCH("Cancelado",M467)))</formula>
    </cfRule>
  </conditionalFormatting>
  <conditionalFormatting sqref="O467">
    <cfRule type="cellIs" dxfId="9933" priority="8422" operator="equal">
      <formula>"Tramitando"</formula>
    </cfRule>
    <cfRule type="cellIs" dxfId="9932" priority="8423" operator="equal">
      <formula>"Deferido"</formula>
    </cfRule>
    <cfRule type="cellIs" dxfId="9931" priority="8424" operator="equal">
      <formula>"Indeferido"</formula>
    </cfRule>
  </conditionalFormatting>
  <conditionalFormatting sqref="O467">
    <cfRule type="containsText" dxfId="9930" priority="8421" operator="containsText" text="Cancelado">
      <formula>NOT(ISERROR(SEARCH("Cancelado",O467)))</formula>
    </cfRule>
  </conditionalFormatting>
  <conditionalFormatting sqref="Q467">
    <cfRule type="cellIs" dxfId="9929" priority="8418" operator="equal">
      <formula>"Tramitando"</formula>
    </cfRule>
    <cfRule type="cellIs" dxfId="9928" priority="8419" operator="equal">
      <formula>"Deferido"</formula>
    </cfRule>
    <cfRule type="cellIs" dxfId="9927" priority="8420" operator="equal">
      <formula>"Indeferido"</formula>
    </cfRule>
  </conditionalFormatting>
  <conditionalFormatting sqref="Q467">
    <cfRule type="containsText" dxfId="9926" priority="8417" operator="containsText" text="Cancelado">
      <formula>NOT(ISERROR(SEARCH("Cancelado",Q467)))</formula>
    </cfRule>
  </conditionalFormatting>
  <conditionalFormatting sqref="S467">
    <cfRule type="cellIs" dxfId="9925" priority="8414" operator="equal">
      <formula>"Tramitando"</formula>
    </cfRule>
    <cfRule type="cellIs" dxfId="9924" priority="8415" operator="equal">
      <formula>"Deferido"</formula>
    </cfRule>
    <cfRule type="cellIs" dxfId="9923" priority="8416" operator="equal">
      <formula>"Indeferido"</formula>
    </cfRule>
  </conditionalFormatting>
  <conditionalFormatting sqref="S467">
    <cfRule type="containsText" dxfId="9922" priority="8413" operator="containsText" text="Cancelado">
      <formula>NOT(ISERROR(SEARCH("Cancelado",S467)))</formula>
    </cfRule>
  </conditionalFormatting>
  <conditionalFormatting sqref="J468">
    <cfRule type="cellIs" dxfId="9921" priority="8409" operator="equal">
      <formula>"Tramitando"</formula>
    </cfRule>
    <cfRule type="cellIs" dxfId="9920" priority="8410" operator="equal">
      <formula>"Deferido"</formula>
    </cfRule>
    <cfRule type="cellIs" dxfId="9919" priority="8411" operator="equal">
      <formula>"Indeferido"</formula>
    </cfRule>
  </conditionalFormatting>
  <conditionalFormatting sqref="J468">
    <cfRule type="containsText" dxfId="9918" priority="8408" operator="containsText" text="Cancelado">
      <formula>NOT(ISERROR(SEARCH("Cancelado",J468)))</formula>
    </cfRule>
  </conditionalFormatting>
  <conditionalFormatting sqref="M468">
    <cfRule type="cellIs" dxfId="9917" priority="8405" operator="equal">
      <formula>"Tramitando"</formula>
    </cfRule>
    <cfRule type="cellIs" dxfId="9916" priority="8406" operator="equal">
      <formula>"Deferido"</formula>
    </cfRule>
    <cfRule type="cellIs" dxfId="9915" priority="8407" operator="equal">
      <formula>"Indeferido"</formula>
    </cfRule>
  </conditionalFormatting>
  <conditionalFormatting sqref="M468">
    <cfRule type="containsText" dxfId="9914" priority="8404" operator="containsText" text="Cancelado">
      <formula>NOT(ISERROR(SEARCH("Cancelado",M468)))</formula>
    </cfRule>
  </conditionalFormatting>
  <conditionalFormatting sqref="O468">
    <cfRule type="cellIs" dxfId="9913" priority="8401" operator="equal">
      <formula>"Tramitando"</formula>
    </cfRule>
    <cfRule type="cellIs" dxfId="9912" priority="8402" operator="equal">
      <formula>"Deferido"</formula>
    </cfRule>
    <cfRule type="cellIs" dxfId="9911" priority="8403" operator="equal">
      <formula>"Indeferido"</formula>
    </cfRule>
  </conditionalFormatting>
  <conditionalFormatting sqref="O468">
    <cfRule type="containsText" dxfId="9910" priority="8400" operator="containsText" text="Cancelado">
      <formula>NOT(ISERROR(SEARCH("Cancelado",O468)))</formula>
    </cfRule>
  </conditionalFormatting>
  <conditionalFormatting sqref="Q468">
    <cfRule type="cellIs" dxfId="9909" priority="8397" operator="equal">
      <formula>"Tramitando"</formula>
    </cfRule>
    <cfRule type="cellIs" dxfId="9908" priority="8398" operator="equal">
      <formula>"Deferido"</formula>
    </cfRule>
    <cfRule type="cellIs" dxfId="9907" priority="8399" operator="equal">
      <formula>"Indeferido"</formula>
    </cfRule>
  </conditionalFormatting>
  <conditionalFormatting sqref="Q468">
    <cfRule type="containsText" dxfId="9906" priority="8396" operator="containsText" text="Cancelado">
      <formula>NOT(ISERROR(SEARCH("Cancelado",Q468)))</formula>
    </cfRule>
  </conditionalFormatting>
  <conditionalFormatting sqref="S468">
    <cfRule type="cellIs" dxfId="9905" priority="8393" operator="equal">
      <formula>"Tramitando"</formula>
    </cfRule>
    <cfRule type="cellIs" dxfId="9904" priority="8394" operator="equal">
      <formula>"Deferido"</formula>
    </cfRule>
    <cfRule type="cellIs" dxfId="9903" priority="8395" operator="equal">
      <formula>"Indeferido"</formula>
    </cfRule>
  </conditionalFormatting>
  <conditionalFormatting sqref="S468">
    <cfRule type="containsText" dxfId="9902" priority="8392" operator="containsText" text="Cancelado">
      <formula>NOT(ISERROR(SEARCH("Cancelado",S468)))</formula>
    </cfRule>
  </conditionalFormatting>
  <conditionalFormatting sqref="J469">
    <cfRule type="cellIs" dxfId="9901" priority="8387" operator="equal">
      <formula>"Tramitando"</formula>
    </cfRule>
    <cfRule type="cellIs" dxfId="9900" priority="8388" operator="equal">
      <formula>"Deferido"</formula>
    </cfRule>
    <cfRule type="cellIs" dxfId="9899" priority="8389" operator="equal">
      <formula>"Indeferido"</formula>
    </cfRule>
  </conditionalFormatting>
  <conditionalFormatting sqref="J469">
    <cfRule type="containsText" dxfId="9898" priority="8386" operator="containsText" text="Cancelado">
      <formula>NOT(ISERROR(SEARCH("Cancelado",J469)))</formula>
    </cfRule>
  </conditionalFormatting>
  <conditionalFormatting sqref="M469">
    <cfRule type="cellIs" dxfId="9897" priority="8383" operator="equal">
      <formula>"Tramitando"</formula>
    </cfRule>
    <cfRule type="cellIs" dxfId="9896" priority="8384" operator="equal">
      <formula>"Deferido"</formula>
    </cfRule>
    <cfRule type="cellIs" dxfId="9895" priority="8385" operator="equal">
      <formula>"Indeferido"</formula>
    </cfRule>
  </conditionalFormatting>
  <conditionalFormatting sqref="M469">
    <cfRule type="containsText" dxfId="9894" priority="8382" operator="containsText" text="Cancelado">
      <formula>NOT(ISERROR(SEARCH("Cancelado",M469)))</formula>
    </cfRule>
  </conditionalFormatting>
  <conditionalFormatting sqref="O469">
    <cfRule type="cellIs" dxfId="9893" priority="8379" operator="equal">
      <formula>"Tramitando"</formula>
    </cfRule>
    <cfRule type="cellIs" dxfId="9892" priority="8380" operator="equal">
      <formula>"Deferido"</formula>
    </cfRule>
    <cfRule type="cellIs" dxfId="9891" priority="8381" operator="equal">
      <formula>"Indeferido"</formula>
    </cfRule>
  </conditionalFormatting>
  <conditionalFormatting sqref="O469">
    <cfRule type="containsText" dxfId="9890" priority="8378" operator="containsText" text="Cancelado">
      <formula>NOT(ISERROR(SEARCH("Cancelado",O469)))</formula>
    </cfRule>
  </conditionalFormatting>
  <conditionalFormatting sqref="Q469">
    <cfRule type="cellIs" dxfId="9889" priority="8375" operator="equal">
      <formula>"Tramitando"</formula>
    </cfRule>
    <cfRule type="cellIs" dxfId="9888" priority="8376" operator="equal">
      <formula>"Deferido"</formula>
    </cfRule>
    <cfRule type="cellIs" dxfId="9887" priority="8377" operator="equal">
      <formula>"Indeferido"</formula>
    </cfRule>
  </conditionalFormatting>
  <conditionalFormatting sqref="Q469">
    <cfRule type="containsText" dxfId="9886" priority="8374" operator="containsText" text="Cancelado">
      <formula>NOT(ISERROR(SEARCH("Cancelado",Q469)))</formula>
    </cfRule>
  </conditionalFormatting>
  <conditionalFormatting sqref="S469">
    <cfRule type="cellIs" dxfId="9885" priority="8371" operator="equal">
      <formula>"Tramitando"</formula>
    </cfRule>
    <cfRule type="cellIs" dxfId="9884" priority="8372" operator="equal">
      <formula>"Deferido"</formula>
    </cfRule>
    <cfRule type="cellIs" dxfId="9883" priority="8373" operator="equal">
      <formula>"Indeferido"</formula>
    </cfRule>
  </conditionalFormatting>
  <conditionalFormatting sqref="S469">
    <cfRule type="containsText" dxfId="9882" priority="8370" operator="containsText" text="Cancelado">
      <formula>NOT(ISERROR(SEARCH("Cancelado",S469)))</formula>
    </cfRule>
  </conditionalFormatting>
  <conditionalFormatting sqref="J470">
    <cfRule type="cellIs" dxfId="9881" priority="8366" operator="equal">
      <formula>"Tramitando"</formula>
    </cfRule>
    <cfRule type="cellIs" dxfId="9880" priority="8367" operator="equal">
      <formula>"Deferido"</formula>
    </cfRule>
    <cfRule type="cellIs" dxfId="9879" priority="8368" operator="equal">
      <formula>"Indeferido"</formula>
    </cfRule>
  </conditionalFormatting>
  <conditionalFormatting sqref="J470">
    <cfRule type="containsText" dxfId="9878" priority="8365" operator="containsText" text="Cancelado">
      <formula>NOT(ISERROR(SEARCH("Cancelado",J470)))</formula>
    </cfRule>
  </conditionalFormatting>
  <conditionalFormatting sqref="M470">
    <cfRule type="cellIs" dxfId="9877" priority="8362" operator="equal">
      <formula>"Tramitando"</formula>
    </cfRule>
    <cfRule type="cellIs" dxfId="9876" priority="8363" operator="equal">
      <formula>"Deferido"</formula>
    </cfRule>
    <cfRule type="cellIs" dxfId="9875" priority="8364" operator="equal">
      <formula>"Indeferido"</formula>
    </cfRule>
  </conditionalFormatting>
  <conditionalFormatting sqref="M470">
    <cfRule type="containsText" dxfId="9874" priority="8361" operator="containsText" text="Cancelado">
      <formula>NOT(ISERROR(SEARCH("Cancelado",M470)))</formula>
    </cfRule>
  </conditionalFormatting>
  <conditionalFormatting sqref="O470">
    <cfRule type="cellIs" dxfId="9873" priority="8358" operator="equal">
      <formula>"Tramitando"</formula>
    </cfRule>
    <cfRule type="cellIs" dxfId="9872" priority="8359" operator="equal">
      <formula>"Deferido"</formula>
    </cfRule>
    <cfRule type="cellIs" dxfId="9871" priority="8360" operator="equal">
      <formula>"Indeferido"</formula>
    </cfRule>
  </conditionalFormatting>
  <conditionalFormatting sqref="O470">
    <cfRule type="containsText" dxfId="9870" priority="8357" operator="containsText" text="Cancelado">
      <formula>NOT(ISERROR(SEARCH("Cancelado",O470)))</formula>
    </cfRule>
  </conditionalFormatting>
  <conditionalFormatting sqref="Q470">
    <cfRule type="cellIs" dxfId="9869" priority="8354" operator="equal">
      <formula>"Tramitando"</formula>
    </cfRule>
    <cfRule type="cellIs" dxfId="9868" priority="8355" operator="equal">
      <formula>"Deferido"</formula>
    </cfRule>
    <cfRule type="cellIs" dxfId="9867" priority="8356" operator="equal">
      <formula>"Indeferido"</formula>
    </cfRule>
  </conditionalFormatting>
  <conditionalFormatting sqref="Q470">
    <cfRule type="containsText" dxfId="9866" priority="8353" operator="containsText" text="Cancelado">
      <formula>NOT(ISERROR(SEARCH("Cancelado",Q470)))</formula>
    </cfRule>
  </conditionalFormatting>
  <conditionalFormatting sqref="S470">
    <cfRule type="cellIs" dxfId="9865" priority="8350" operator="equal">
      <formula>"Tramitando"</formula>
    </cfRule>
    <cfRule type="cellIs" dxfId="9864" priority="8351" operator="equal">
      <formula>"Deferido"</formula>
    </cfRule>
    <cfRule type="cellIs" dxfId="9863" priority="8352" operator="equal">
      <formula>"Indeferido"</formula>
    </cfRule>
  </conditionalFormatting>
  <conditionalFormatting sqref="S470">
    <cfRule type="containsText" dxfId="9862" priority="8349" operator="containsText" text="Cancelado">
      <formula>NOT(ISERROR(SEARCH("Cancelado",S470)))</formula>
    </cfRule>
  </conditionalFormatting>
  <conditionalFormatting sqref="J471">
    <cfRule type="cellIs" dxfId="9861" priority="8345" operator="equal">
      <formula>"Tramitando"</formula>
    </cfRule>
    <cfRule type="cellIs" dxfId="9860" priority="8346" operator="equal">
      <formula>"Deferido"</formula>
    </cfRule>
    <cfRule type="cellIs" dxfId="9859" priority="8347" operator="equal">
      <formula>"Indeferido"</formula>
    </cfRule>
  </conditionalFormatting>
  <conditionalFormatting sqref="J471">
    <cfRule type="containsText" dxfId="9858" priority="8344" operator="containsText" text="Cancelado">
      <formula>NOT(ISERROR(SEARCH("Cancelado",J471)))</formula>
    </cfRule>
  </conditionalFormatting>
  <conditionalFormatting sqref="M471">
    <cfRule type="cellIs" dxfId="9857" priority="8341" operator="equal">
      <formula>"Tramitando"</formula>
    </cfRule>
    <cfRule type="cellIs" dxfId="9856" priority="8342" operator="equal">
      <formula>"Deferido"</formula>
    </cfRule>
    <cfRule type="cellIs" dxfId="9855" priority="8343" operator="equal">
      <formula>"Indeferido"</formula>
    </cfRule>
  </conditionalFormatting>
  <conditionalFormatting sqref="M471">
    <cfRule type="containsText" dxfId="9854" priority="8340" operator="containsText" text="Cancelado">
      <formula>NOT(ISERROR(SEARCH("Cancelado",M471)))</formula>
    </cfRule>
  </conditionalFormatting>
  <conditionalFormatting sqref="O471">
    <cfRule type="cellIs" dxfId="9853" priority="8337" operator="equal">
      <formula>"Tramitando"</formula>
    </cfRule>
    <cfRule type="cellIs" dxfId="9852" priority="8338" operator="equal">
      <formula>"Deferido"</formula>
    </cfRule>
    <cfRule type="cellIs" dxfId="9851" priority="8339" operator="equal">
      <formula>"Indeferido"</formula>
    </cfRule>
  </conditionalFormatting>
  <conditionalFormatting sqref="O471">
    <cfRule type="containsText" dxfId="9850" priority="8336" operator="containsText" text="Cancelado">
      <formula>NOT(ISERROR(SEARCH("Cancelado",O471)))</formula>
    </cfRule>
  </conditionalFormatting>
  <conditionalFormatting sqref="Q471">
    <cfRule type="cellIs" dxfId="9849" priority="8333" operator="equal">
      <formula>"Tramitando"</formula>
    </cfRule>
    <cfRule type="cellIs" dxfId="9848" priority="8334" operator="equal">
      <formula>"Deferido"</formula>
    </cfRule>
    <cfRule type="cellIs" dxfId="9847" priority="8335" operator="equal">
      <formula>"Indeferido"</formula>
    </cfRule>
  </conditionalFormatting>
  <conditionalFormatting sqref="Q471">
    <cfRule type="containsText" dxfId="9846" priority="8332" operator="containsText" text="Cancelado">
      <formula>NOT(ISERROR(SEARCH("Cancelado",Q471)))</formula>
    </cfRule>
  </conditionalFormatting>
  <conditionalFormatting sqref="S471">
    <cfRule type="cellIs" dxfId="9845" priority="8329" operator="equal">
      <formula>"Tramitando"</formula>
    </cfRule>
    <cfRule type="cellIs" dxfId="9844" priority="8330" operator="equal">
      <formula>"Deferido"</formula>
    </cfRule>
    <cfRule type="cellIs" dxfId="9843" priority="8331" operator="equal">
      <formula>"Indeferido"</formula>
    </cfRule>
  </conditionalFormatting>
  <conditionalFormatting sqref="S471">
    <cfRule type="containsText" dxfId="9842" priority="8328" operator="containsText" text="Cancelado">
      <formula>NOT(ISERROR(SEARCH("Cancelado",S471)))</formula>
    </cfRule>
  </conditionalFormatting>
  <conditionalFormatting sqref="J472">
    <cfRule type="cellIs" dxfId="9841" priority="8324" operator="equal">
      <formula>"Tramitando"</formula>
    </cfRule>
    <cfRule type="cellIs" dxfId="9840" priority="8325" operator="equal">
      <formula>"Deferido"</formula>
    </cfRule>
    <cfRule type="cellIs" dxfId="9839" priority="8326" operator="equal">
      <formula>"Indeferido"</formula>
    </cfRule>
  </conditionalFormatting>
  <conditionalFormatting sqref="J472">
    <cfRule type="containsText" dxfId="9838" priority="8323" operator="containsText" text="Cancelado">
      <formula>NOT(ISERROR(SEARCH("Cancelado",J472)))</formula>
    </cfRule>
  </conditionalFormatting>
  <conditionalFormatting sqref="M472">
    <cfRule type="cellIs" dxfId="9837" priority="8320" operator="equal">
      <formula>"Tramitando"</formula>
    </cfRule>
    <cfRule type="cellIs" dxfId="9836" priority="8321" operator="equal">
      <formula>"Deferido"</formula>
    </cfRule>
    <cfRule type="cellIs" dxfId="9835" priority="8322" operator="equal">
      <formula>"Indeferido"</formula>
    </cfRule>
  </conditionalFormatting>
  <conditionalFormatting sqref="M472">
    <cfRule type="containsText" dxfId="9834" priority="8319" operator="containsText" text="Cancelado">
      <formula>NOT(ISERROR(SEARCH("Cancelado",M472)))</formula>
    </cfRule>
  </conditionalFormatting>
  <conditionalFormatting sqref="O472">
    <cfRule type="cellIs" dxfId="9833" priority="8316" operator="equal">
      <formula>"Tramitando"</formula>
    </cfRule>
    <cfRule type="cellIs" dxfId="9832" priority="8317" operator="equal">
      <formula>"Deferido"</formula>
    </cfRule>
    <cfRule type="cellIs" dxfId="9831" priority="8318" operator="equal">
      <formula>"Indeferido"</formula>
    </cfRule>
  </conditionalFormatting>
  <conditionalFormatting sqref="O472">
    <cfRule type="containsText" dxfId="9830" priority="8315" operator="containsText" text="Cancelado">
      <formula>NOT(ISERROR(SEARCH("Cancelado",O472)))</formula>
    </cfRule>
  </conditionalFormatting>
  <conditionalFormatting sqref="Q472">
    <cfRule type="cellIs" dxfId="9829" priority="8312" operator="equal">
      <formula>"Tramitando"</formula>
    </cfRule>
    <cfRule type="cellIs" dxfId="9828" priority="8313" operator="equal">
      <formula>"Deferido"</formula>
    </cfRule>
    <cfRule type="cellIs" dxfId="9827" priority="8314" operator="equal">
      <formula>"Indeferido"</formula>
    </cfRule>
  </conditionalFormatting>
  <conditionalFormatting sqref="Q472">
    <cfRule type="containsText" dxfId="9826" priority="8311" operator="containsText" text="Cancelado">
      <formula>NOT(ISERROR(SEARCH("Cancelado",Q472)))</formula>
    </cfRule>
  </conditionalFormatting>
  <conditionalFormatting sqref="S472">
    <cfRule type="cellIs" dxfId="9825" priority="8308" operator="equal">
      <formula>"Tramitando"</formula>
    </cfRule>
    <cfRule type="cellIs" dxfId="9824" priority="8309" operator="equal">
      <formula>"Deferido"</formula>
    </cfRule>
    <cfRule type="cellIs" dxfId="9823" priority="8310" operator="equal">
      <formula>"Indeferido"</formula>
    </cfRule>
  </conditionalFormatting>
  <conditionalFormatting sqref="S472">
    <cfRule type="containsText" dxfId="9822" priority="8307" operator="containsText" text="Cancelado">
      <formula>NOT(ISERROR(SEARCH("Cancelado",S472)))</formula>
    </cfRule>
  </conditionalFormatting>
  <conditionalFormatting sqref="J473">
    <cfRule type="cellIs" dxfId="9821" priority="8303" operator="equal">
      <formula>"Tramitando"</formula>
    </cfRule>
    <cfRule type="cellIs" dxfId="9820" priority="8304" operator="equal">
      <formula>"Deferido"</formula>
    </cfRule>
    <cfRule type="cellIs" dxfId="9819" priority="8305" operator="equal">
      <formula>"Indeferido"</formula>
    </cfRule>
  </conditionalFormatting>
  <conditionalFormatting sqref="J473">
    <cfRule type="containsText" dxfId="9818" priority="8302" operator="containsText" text="Cancelado">
      <formula>NOT(ISERROR(SEARCH("Cancelado",J473)))</formula>
    </cfRule>
  </conditionalFormatting>
  <conditionalFormatting sqref="M473">
    <cfRule type="cellIs" dxfId="9817" priority="8299" operator="equal">
      <formula>"Tramitando"</formula>
    </cfRule>
    <cfRule type="cellIs" dxfId="9816" priority="8300" operator="equal">
      <formula>"Deferido"</formula>
    </cfRule>
    <cfRule type="cellIs" dxfId="9815" priority="8301" operator="equal">
      <formula>"Indeferido"</formula>
    </cfRule>
  </conditionalFormatting>
  <conditionalFormatting sqref="M473">
    <cfRule type="containsText" dxfId="9814" priority="8298" operator="containsText" text="Cancelado">
      <formula>NOT(ISERROR(SEARCH("Cancelado",M473)))</formula>
    </cfRule>
  </conditionalFormatting>
  <conditionalFormatting sqref="O473">
    <cfRule type="cellIs" dxfId="9813" priority="8295" operator="equal">
      <formula>"Tramitando"</formula>
    </cfRule>
    <cfRule type="cellIs" dxfId="9812" priority="8296" operator="equal">
      <formula>"Deferido"</formula>
    </cfRule>
    <cfRule type="cellIs" dxfId="9811" priority="8297" operator="equal">
      <formula>"Indeferido"</formula>
    </cfRule>
  </conditionalFormatting>
  <conditionalFormatting sqref="O473">
    <cfRule type="containsText" dxfId="9810" priority="8294" operator="containsText" text="Cancelado">
      <formula>NOT(ISERROR(SEARCH("Cancelado",O473)))</formula>
    </cfRule>
  </conditionalFormatting>
  <conditionalFormatting sqref="Q473">
    <cfRule type="cellIs" dxfId="9809" priority="8291" operator="equal">
      <formula>"Tramitando"</formula>
    </cfRule>
    <cfRule type="cellIs" dxfId="9808" priority="8292" operator="equal">
      <formula>"Deferido"</formula>
    </cfRule>
    <cfRule type="cellIs" dxfId="9807" priority="8293" operator="equal">
      <formula>"Indeferido"</formula>
    </cfRule>
  </conditionalFormatting>
  <conditionalFormatting sqref="Q473">
    <cfRule type="containsText" dxfId="9806" priority="8290" operator="containsText" text="Cancelado">
      <formula>NOT(ISERROR(SEARCH("Cancelado",Q473)))</formula>
    </cfRule>
  </conditionalFormatting>
  <conditionalFormatting sqref="S473">
    <cfRule type="cellIs" dxfId="9805" priority="8287" operator="equal">
      <formula>"Tramitando"</formula>
    </cfRule>
    <cfRule type="cellIs" dxfId="9804" priority="8288" operator="equal">
      <formula>"Deferido"</formula>
    </cfRule>
    <cfRule type="cellIs" dxfId="9803" priority="8289" operator="equal">
      <formula>"Indeferido"</formula>
    </cfRule>
  </conditionalFormatting>
  <conditionalFormatting sqref="S473">
    <cfRule type="containsText" dxfId="9802" priority="8286" operator="containsText" text="Cancelado">
      <formula>NOT(ISERROR(SEARCH("Cancelado",S473)))</formula>
    </cfRule>
  </conditionalFormatting>
  <conditionalFormatting sqref="J474">
    <cfRule type="cellIs" dxfId="9801" priority="8282" operator="equal">
      <formula>"Tramitando"</formula>
    </cfRule>
    <cfRule type="cellIs" dxfId="9800" priority="8283" operator="equal">
      <formula>"Deferido"</formula>
    </cfRule>
    <cfRule type="cellIs" dxfId="9799" priority="8284" operator="equal">
      <formula>"Indeferido"</formula>
    </cfRule>
  </conditionalFormatting>
  <conditionalFormatting sqref="J474">
    <cfRule type="containsText" dxfId="9798" priority="8281" operator="containsText" text="Cancelado">
      <formula>NOT(ISERROR(SEARCH("Cancelado",J474)))</formula>
    </cfRule>
  </conditionalFormatting>
  <conditionalFormatting sqref="M474">
    <cfRule type="cellIs" dxfId="9797" priority="8278" operator="equal">
      <formula>"Tramitando"</formula>
    </cfRule>
    <cfRule type="cellIs" dxfId="9796" priority="8279" operator="equal">
      <formula>"Deferido"</formula>
    </cfRule>
    <cfRule type="cellIs" dxfId="9795" priority="8280" operator="equal">
      <formula>"Indeferido"</formula>
    </cfRule>
  </conditionalFormatting>
  <conditionalFormatting sqref="M474">
    <cfRule type="containsText" dxfId="9794" priority="8277" operator="containsText" text="Cancelado">
      <formula>NOT(ISERROR(SEARCH("Cancelado",M474)))</formula>
    </cfRule>
  </conditionalFormatting>
  <conditionalFormatting sqref="O474">
    <cfRule type="cellIs" dxfId="9793" priority="8274" operator="equal">
      <formula>"Tramitando"</formula>
    </cfRule>
    <cfRule type="cellIs" dxfId="9792" priority="8275" operator="equal">
      <formula>"Deferido"</formula>
    </cfRule>
    <cfRule type="cellIs" dxfId="9791" priority="8276" operator="equal">
      <formula>"Indeferido"</formula>
    </cfRule>
  </conditionalFormatting>
  <conditionalFormatting sqref="O474">
    <cfRule type="containsText" dxfId="9790" priority="8273" operator="containsText" text="Cancelado">
      <formula>NOT(ISERROR(SEARCH("Cancelado",O474)))</formula>
    </cfRule>
  </conditionalFormatting>
  <conditionalFormatting sqref="Q474">
    <cfRule type="cellIs" dxfId="9789" priority="8270" operator="equal">
      <formula>"Tramitando"</formula>
    </cfRule>
    <cfRule type="cellIs" dxfId="9788" priority="8271" operator="equal">
      <formula>"Deferido"</formula>
    </cfRule>
    <cfRule type="cellIs" dxfId="9787" priority="8272" operator="equal">
      <formula>"Indeferido"</formula>
    </cfRule>
  </conditionalFormatting>
  <conditionalFormatting sqref="Q474">
    <cfRule type="containsText" dxfId="9786" priority="8269" operator="containsText" text="Cancelado">
      <formula>NOT(ISERROR(SEARCH("Cancelado",Q474)))</formula>
    </cfRule>
  </conditionalFormatting>
  <conditionalFormatting sqref="S474">
    <cfRule type="cellIs" dxfId="9785" priority="8266" operator="equal">
      <formula>"Tramitando"</formula>
    </cfRule>
    <cfRule type="cellIs" dxfId="9784" priority="8267" operator="equal">
      <formula>"Deferido"</formula>
    </cfRule>
    <cfRule type="cellIs" dxfId="9783" priority="8268" operator="equal">
      <formula>"Indeferido"</formula>
    </cfRule>
  </conditionalFormatting>
  <conditionalFormatting sqref="S474">
    <cfRule type="containsText" dxfId="9782" priority="8265" operator="containsText" text="Cancelado">
      <formula>NOT(ISERROR(SEARCH("Cancelado",S474)))</formula>
    </cfRule>
  </conditionalFormatting>
  <conditionalFormatting sqref="J475">
    <cfRule type="cellIs" dxfId="9781" priority="8261" operator="equal">
      <formula>"Tramitando"</formula>
    </cfRule>
    <cfRule type="cellIs" dxfId="9780" priority="8262" operator="equal">
      <formula>"Deferido"</formula>
    </cfRule>
    <cfRule type="cellIs" dxfId="9779" priority="8263" operator="equal">
      <formula>"Indeferido"</formula>
    </cfRule>
  </conditionalFormatting>
  <conditionalFormatting sqref="J475">
    <cfRule type="containsText" dxfId="9778" priority="8260" operator="containsText" text="Cancelado">
      <formula>NOT(ISERROR(SEARCH("Cancelado",J475)))</formula>
    </cfRule>
  </conditionalFormatting>
  <conditionalFormatting sqref="M475">
    <cfRule type="cellIs" dxfId="9777" priority="8257" operator="equal">
      <formula>"Tramitando"</formula>
    </cfRule>
    <cfRule type="cellIs" dxfId="9776" priority="8258" operator="equal">
      <formula>"Deferido"</formula>
    </cfRule>
    <cfRule type="cellIs" dxfId="9775" priority="8259" operator="equal">
      <formula>"Indeferido"</formula>
    </cfRule>
  </conditionalFormatting>
  <conditionalFormatting sqref="M475">
    <cfRule type="containsText" dxfId="9774" priority="8256" operator="containsText" text="Cancelado">
      <formula>NOT(ISERROR(SEARCH("Cancelado",M475)))</formula>
    </cfRule>
  </conditionalFormatting>
  <conditionalFormatting sqref="O475">
    <cfRule type="cellIs" dxfId="9773" priority="8253" operator="equal">
      <formula>"Tramitando"</formula>
    </cfRule>
    <cfRule type="cellIs" dxfId="9772" priority="8254" operator="equal">
      <formula>"Deferido"</formula>
    </cfRule>
    <cfRule type="cellIs" dxfId="9771" priority="8255" operator="equal">
      <formula>"Indeferido"</formula>
    </cfRule>
  </conditionalFormatting>
  <conditionalFormatting sqref="O475">
    <cfRule type="containsText" dxfId="9770" priority="8252" operator="containsText" text="Cancelado">
      <formula>NOT(ISERROR(SEARCH("Cancelado",O475)))</formula>
    </cfRule>
  </conditionalFormatting>
  <conditionalFormatting sqref="Q475">
    <cfRule type="cellIs" dxfId="9769" priority="8249" operator="equal">
      <formula>"Tramitando"</formula>
    </cfRule>
    <cfRule type="cellIs" dxfId="9768" priority="8250" operator="equal">
      <formula>"Deferido"</formula>
    </cfRule>
    <cfRule type="cellIs" dxfId="9767" priority="8251" operator="equal">
      <formula>"Indeferido"</formula>
    </cfRule>
  </conditionalFormatting>
  <conditionalFormatting sqref="Q475">
    <cfRule type="containsText" dxfId="9766" priority="8248" operator="containsText" text="Cancelado">
      <formula>NOT(ISERROR(SEARCH("Cancelado",Q475)))</formula>
    </cfRule>
  </conditionalFormatting>
  <conditionalFormatting sqref="S475">
    <cfRule type="cellIs" dxfId="9765" priority="8245" operator="equal">
      <formula>"Tramitando"</formula>
    </cfRule>
    <cfRule type="cellIs" dxfId="9764" priority="8246" operator="equal">
      <formula>"Deferido"</formula>
    </cfRule>
    <cfRule type="cellIs" dxfId="9763" priority="8247" operator="equal">
      <formula>"Indeferido"</formula>
    </cfRule>
  </conditionalFormatting>
  <conditionalFormatting sqref="S475">
    <cfRule type="containsText" dxfId="9762" priority="8244" operator="containsText" text="Cancelado">
      <formula>NOT(ISERROR(SEARCH("Cancelado",S475)))</formula>
    </cfRule>
  </conditionalFormatting>
  <conditionalFormatting sqref="J476">
    <cfRule type="cellIs" dxfId="9761" priority="8240" operator="equal">
      <formula>"Tramitando"</formula>
    </cfRule>
    <cfRule type="cellIs" dxfId="9760" priority="8241" operator="equal">
      <formula>"Deferido"</formula>
    </cfRule>
    <cfRule type="cellIs" dxfId="9759" priority="8242" operator="equal">
      <formula>"Indeferido"</formula>
    </cfRule>
  </conditionalFormatting>
  <conditionalFormatting sqref="J476">
    <cfRule type="containsText" dxfId="9758" priority="8239" operator="containsText" text="Cancelado">
      <formula>NOT(ISERROR(SEARCH("Cancelado",J476)))</formula>
    </cfRule>
  </conditionalFormatting>
  <conditionalFormatting sqref="M476">
    <cfRule type="cellIs" dxfId="9757" priority="8236" operator="equal">
      <formula>"Tramitando"</formula>
    </cfRule>
    <cfRule type="cellIs" dxfId="9756" priority="8237" operator="equal">
      <formula>"Deferido"</formula>
    </cfRule>
    <cfRule type="cellIs" dxfId="9755" priority="8238" operator="equal">
      <formula>"Indeferido"</formula>
    </cfRule>
  </conditionalFormatting>
  <conditionalFormatting sqref="M476">
    <cfRule type="containsText" dxfId="9754" priority="8235" operator="containsText" text="Cancelado">
      <formula>NOT(ISERROR(SEARCH("Cancelado",M476)))</formula>
    </cfRule>
  </conditionalFormatting>
  <conditionalFormatting sqref="O476">
    <cfRule type="cellIs" dxfId="9753" priority="8232" operator="equal">
      <formula>"Tramitando"</formula>
    </cfRule>
    <cfRule type="cellIs" dxfId="9752" priority="8233" operator="equal">
      <formula>"Deferido"</formula>
    </cfRule>
    <cfRule type="cellIs" dxfId="9751" priority="8234" operator="equal">
      <formula>"Indeferido"</formula>
    </cfRule>
  </conditionalFormatting>
  <conditionalFormatting sqref="O476">
    <cfRule type="containsText" dxfId="9750" priority="8231" operator="containsText" text="Cancelado">
      <formula>NOT(ISERROR(SEARCH("Cancelado",O476)))</formula>
    </cfRule>
  </conditionalFormatting>
  <conditionalFormatting sqref="Q476">
    <cfRule type="cellIs" dxfId="9749" priority="8228" operator="equal">
      <formula>"Tramitando"</formula>
    </cfRule>
    <cfRule type="cellIs" dxfId="9748" priority="8229" operator="equal">
      <formula>"Deferido"</formula>
    </cfRule>
    <cfRule type="cellIs" dxfId="9747" priority="8230" operator="equal">
      <formula>"Indeferido"</formula>
    </cfRule>
  </conditionalFormatting>
  <conditionalFormatting sqref="Q476">
    <cfRule type="containsText" dxfId="9746" priority="8227" operator="containsText" text="Cancelado">
      <formula>NOT(ISERROR(SEARCH("Cancelado",Q476)))</formula>
    </cfRule>
  </conditionalFormatting>
  <conditionalFormatting sqref="S476">
    <cfRule type="cellIs" dxfId="9745" priority="8224" operator="equal">
      <formula>"Tramitando"</formula>
    </cfRule>
    <cfRule type="cellIs" dxfId="9744" priority="8225" operator="equal">
      <formula>"Deferido"</formula>
    </cfRule>
    <cfRule type="cellIs" dxfId="9743" priority="8226" operator="equal">
      <formula>"Indeferido"</formula>
    </cfRule>
  </conditionalFormatting>
  <conditionalFormatting sqref="S476">
    <cfRule type="containsText" dxfId="9742" priority="8223" operator="containsText" text="Cancelado">
      <formula>NOT(ISERROR(SEARCH("Cancelado",S476)))</formula>
    </cfRule>
  </conditionalFormatting>
  <conditionalFormatting sqref="J477">
    <cfRule type="cellIs" dxfId="9741" priority="8219" operator="equal">
      <formula>"Tramitando"</formula>
    </cfRule>
    <cfRule type="cellIs" dxfId="9740" priority="8220" operator="equal">
      <formula>"Deferido"</formula>
    </cfRule>
    <cfRule type="cellIs" dxfId="9739" priority="8221" operator="equal">
      <formula>"Indeferido"</formula>
    </cfRule>
  </conditionalFormatting>
  <conditionalFormatting sqref="J477">
    <cfRule type="containsText" dxfId="9738" priority="8218" operator="containsText" text="Cancelado">
      <formula>NOT(ISERROR(SEARCH("Cancelado",J477)))</formula>
    </cfRule>
  </conditionalFormatting>
  <conditionalFormatting sqref="M477">
    <cfRule type="cellIs" dxfId="9737" priority="8215" operator="equal">
      <formula>"Tramitando"</formula>
    </cfRule>
    <cfRule type="cellIs" dxfId="9736" priority="8216" operator="equal">
      <formula>"Deferido"</formula>
    </cfRule>
    <cfRule type="cellIs" dxfId="9735" priority="8217" operator="equal">
      <formula>"Indeferido"</formula>
    </cfRule>
  </conditionalFormatting>
  <conditionalFormatting sqref="M477">
    <cfRule type="containsText" dxfId="9734" priority="8214" operator="containsText" text="Cancelado">
      <formula>NOT(ISERROR(SEARCH("Cancelado",M477)))</formula>
    </cfRule>
  </conditionalFormatting>
  <conditionalFormatting sqref="O477">
    <cfRule type="cellIs" dxfId="9733" priority="8211" operator="equal">
      <formula>"Tramitando"</formula>
    </cfRule>
    <cfRule type="cellIs" dxfId="9732" priority="8212" operator="equal">
      <formula>"Deferido"</formula>
    </cfRule>
    <cfRule type="cellIs" dxfId="9731" priority="8213" operator="equal">
      <formula>"Indeferido"</formula>
    </cfRule>
  </conditionalFormatting>
  <conditionalFormatting sqref="O477">
    <cfRule type="containsText" dxfId="9730" priority="8210" operator="containsText" text="Cancelado">
      <formula>NOT(ISERROR(SEARCH("Cancelado",O477)))</formula>
    </cfRule>
  </conditionalFormatting>
  <conditionalFormatting sqref="Q477">
    <cfRule type="cellIs" dxfId="9729" priority="8207" operator="equal">
      <formula>"Tramitando"</formula>
    </cfRule>
    <cfRule type="cellIs" dxfId="9728" priority="8208" operator="equal">
      <formula>"Deferido"</formula>
    </cfRule>
    <cfRule type="cellIs" dxfId="9727" priority="8209" operator="equal">
      <formula>"Indeferido"</formula>
    </cfRule>
  </conditionalFormatting>
  <conditionalFormatting sqref="Q477">
    <cfRule type="containsText" dxfId="9726" priority="8206" operator="containsText" text="Cancelado">
      <formula>NOT(ISERROR(SEARCH("Cancelado",Q477)))</formula>
    </cfRule>
  </conditionalFormatting>
  <conditionalFormatting sqref="S477">
    <cfRule type="cellIs" dxfId="9725" priority="8203" operator="equal">
      <formula>"Tramitando"</formula>
    </cfRule>
    <cfRule type="cellIs" dxfId="9724" priority="8204" operator="equal">
      <formula>"Deferido"</formula>
    </cfRule>
    <cfRule type="cellIs" dxfId="9723" priority="8205" operator="equal">
      <formula>"Indeferido"</formula>
    </cfRule>
  </conditionalFormatting>
  <conditionalFormatting sqref="S477">
    <cfRule type="containsText" dxfId="9722" priority="8202" operator="containsText" text="Cancelado">
      <formula>NOT(ISERROR(SEARCH("Cancelado",S477)))</formula>
    </cfRule>
  </conditionalFormatting>
  <conditionalFormatting sqref="J478">
    <cfRule type="cellIs" dxfId="9721" priority="8198" operator="equal">
      <formula>"Tramitando"</formula>
    </cfRule>
    <cfRule type="cellIs" dxfId="9720" priority="8199" operator="equal">
      <formula>"Deferido"</formula>
    </cfRule>
    <cfRule type="cellIs" dxfId="9719" priority="8200" operator="equal">
      <formula>"Indeferido"</formula>
    </cfRule>
  </conditionalFormatting>
  <conditionalFormatting sqref="J478">
    <cfRule type="containsText" dxfId="9718" priority="8197" operator="containsText" text="Cancelado">
      <formula>NOT(ISERROR(SEARCH("Cancelado",J478)))</formula>
    </cfRule>
  </conditionalFormatting>
  <conditionalFormatting sqref="M478">
    <cfRule type="cellIs" dxfId="9717" priority="8194" operator="equal">
      <formula>"Tramitando"</formula>
    </cfRule>
    <cfRule type="cellIs" dxfId="9716" priority="8195" operator="equal">
      <formula>"Deferido"</formula>
    </cfRule>
    <cfRule type="cellIs" dxfId="9715" priority="8196" operator="equal">
      <formula>"Indeferido"</formula>
    </cfRule>
  </conditionalFormatting>
  <conditionalFormatting sqref="M478">
    <cfRule type="containsText" dxfId="9714" priority="8193" operator="containsText" text="Cancelado">
      <formula>NOT(ISERROR(SEARCH("Cancelado",M478)))</formula>
    </cfRule>
  </conditionalFormatting>
  <conditionalFormatting sqref="O478">
    <cfRule type="cellIs" dxfId="9713" priority="8190" operator="equal">
      <formula>"Tramitando"</formula>
    </cfRule>
    <cfRule type="cellIs" dxfId="9712" priority="8191" operator="equal">
      <formula>"Deferido"</formula>
    </cfRule>
    <cfRule type="cellIs" dxfId="9711" priority="8192" operator="equal">
      <formula>"Indeferido"</formula>
    </cfRule>
  </conditionalFormatting>
  <conditionalFormatting sqref="O478">
    <cfRule type="containsText" dxfId="9710" priority="8189" operator="containsText" text="Cancelado">
      <formula>NOT(ISERROR(SEARCH("Cancelado",O478)))</formula>
    </cfRule>
  </conditionalFormatting>
  <conditionalFormatting sqref="Q478">
    <cfRule type="cellIs" dxfId="9709" priority="8186" operator="equal">
      <formula>"Tramitando"</formula>
    </cfRule>
    <cfRule type="cellIs" dxfId="9708" priority="8187" operator="equal">
      <formula>"Deferido"</formula>
    </cfRule>
    <cfRule type="cellIs" dxfId="9707" priority="8188" operator="equal">
      <formula>"Indeferido"</formula>
    </cfRule>
  </conditionalFormatting>
  <conditionalFormatting sqref="Q478">
    <cfRule type="containsText" dxfId="9706" priority="8185" operator="containsText" text="Cancelado">
      <formula>NOT(ISERROR(SEARCH("Cancelado",Q478)))</formula>
    </cfRule>
  </conditionalFormatting>
  <conditionalFormatting sqref="S478">
    <cfRule type="cellIs" dxfId="9705" priority="8182" operator="equal">
      <formula>"Tramitando"</formula>
    </cfRule>
    <cfRule type="cellIs" dxfId="9704" priority="8183" operator="equal">
      <formula>"Deferido"</formula>
    </cfRule>
    <cfRule type="cellIs" dxfId="9703" priority="8184" operator="equal">
      <formula>"Indeferido"</formula>
    </cfRule>
  </conditionalFormatting>
  <conditionalFormatting sqref="S478">
    <cfRule type="containsText" dxfId="9702" priority="8181" operator="containsText" text="Cancelado">
      <formula>NOT(ISERROR(SEARCH("Cancelado",S478)))</formula>
    </cfRule>
  </conditionalFormatting>
  <conditionalFormatting sqref="J479">
    <cfRule type="cellIs" dxfId="9701" priority="8175" operator="equal">
      <formula>"Tramitando"</formula>
    </cfRule>
    <cfRule type="cellIs" dxfId="9700" priority="8176" operator="equal">
      <formula>"Deferido"</formula>
    </cfRule>
    <cfRule type="cellIs" dxfId="9699" priority="8177" operator="equal">
      <formula>"Indeferido"</formula>
    </cfRule>
  </conditionalFormatting>
  <conditionalFormatting sqref="J479">
    <cfRule type="containsText" dxfId="9698" priority="8174" operator="containsText" text="Cancelado">
      <formula>NOT(ISERROR(SEARCH("Cancelado",J479)))</formula>
    </cfRule>
  </conditionalFormatting>
  <conditionalFormatting sqref="M479">
    <cfRule type="cellIs" dxfId="9697" priority="8171" operator="equal">
      <formula>"Tramitando"</formula>
    </cfRule>
    <cfRule type="cellIs" dxfId="9696" priority="8172" operator="equal">
      <formula>"Deferido"</formula>
    </cfRule>
    <cfRule type="cellIs" dxfId="9695" priority="8173" operator="equal">
      <formula>"Indeferido"</formula>
    </cfRule>
  </conditionalFormatting>
  <conditionalFormatting sqref="M479">
    <cfRule type="containsText" dxfId="9694" priority="8170" operator="containsText" text="Cancelado">
      <formula>NOT(ISERROR(SEARCH("Cancelado",M479)))</formula>
    </cfRule>
  </conditionalFormatting>
  <conditionalFormatting sqref="O479">
    <cfRule type="cellIs" dxfId="9693" priority="8167" operator="equal">
      <formula>"Tramitando"</formula>
    </cfRule>
    <cfRule type="cellIs" dxfId="9692" priority="8168" operator="equal">
      <formula>"Deferido"</formula>
    </cfRule>
    <cfRule type="cellIs" dxfId="9691" priority="8169" operator="equal">
      <formula>"Indeferido"</formula>
    </cfRule>
  </conditionalFormatting>
  <conditionalFormatting sqref="O479">
    <cfRule type="containsText" dxfId="9690" priority="8166" operator="containsText" text="Cancelado">
      <formula>NOT(ISERROR(SEARCH("Cancelado",O479)))</formula>
    </cfRule>
  </conditionalFormatting>
  <conditionalFormatting sqref="Q479">
    <cfRule type="cellIs" dxfId="9689" priority="8163" operator="equal">
      <formula>"Tramitando"</formula>
    </cfRule>
    <cfRule type="cellIs" dxfId="9688" priority="8164" operator="equal">
      <formula>"Deferido"</formula>
    </cfRule>
    <cfRule type="cellIs" dxfId="9687" priority="8165" operator="equal">
      <formula>"Indeferido"</formula>
    </cfRule>
  </conditionalFormatting>
  <conditionalFormatting sqref="Q479">
    <cfRule type="containsText" dxfId="9686" priority="8162" operator="containsText" text="Cancelado">
      <formula>NOT(ISERROR(SEARCH("Cancelado",Q479)))</formula>
    </cfRule>
  </conditionalFormatting>
  <conditionalFormatting sqref="S479">
    <cfRule type="cellIs" dxfId="9685" priority="8159" operator="equal">
      <formula>"Tramitando"</formula>
    </cfRule>
    <cfRule type="cellIs" dxfId="9684" priority="8160" operator="equal">
      <formula>"Deferido"</formula>
    </cfRule>
    <cfRule type="cellIs" dxfId="9683" priority="8161" operator="equal">
      <formula>"Indeferido"</formula>
    </cfRule>
  </conditionalFormatting>
  <conditionalFormatting sqref="S479">
    <cfRule type="containsText" dxfId="9682" priority="8158" operator="containsText" text="Cancelado">
      <formula>NOT(ISERROR(SEARCH("Cancelado",S479)))</formula>
    </cfRule>
  </conditionalFormatting>
  <conditionalFormatting sqref="J480">
    <cfRule type="cellIs" dxfId="9681" priority="8154" operator="equal">
      <formula>"Tramitando"</formula>
    </cfRule>
    <cfRule type="cellIs" dxfId="9680" priority="8155" operator="equal">
      <formula>"Deferido"</formula>
    </cfRule>
    <cfRule type="cellIs" dxfId="9679" priority="8156" operator="equal">
      <formula>"Indeferido"</formula>
    </cfRule>
  </conditionalFormatting>
  <conditionalFormatting sqref="J480">
    <cfRule type="containsText" dxfId="9678" priority="8153" operator="containsText" text="Cancelado">
      <formula>NOT(ISERROR(SEARCH("Cancelado",J480)))</formula>
    </cfRule>
  </conditionalFormatting>
  <conditionalFormatting sqref="M480">
    <cfRule type="cellIs" dxfId="9677" priority="8150" operator="equal">
      <formula>"Tramitando"</formula>
    </cfRule>
    <cfRule type="cellIs" dxfId="9676" priority="8151" operator="equal">
      <formula>"Deferido"</formula>
    </cfRule>
    <cfRule type="cellIs" dxfId="9675" priority="8152" operator="equal">
      <formula>"Indeferido"</formula>
    </cfRule>
  </conditionalFormatting>
  <conditionalFormatting sqref="M480">
    <cfRule type="containsText" dxfId="9674" priority="8149" operator="containsText" text="Cancelado">
      <formula>NOT(ISERROR(SEARCH("Cancelado",M480)))</formula>
    </cfRule>
  </conditionalFormatting>
  <conditionalFormatting sqref="O480">
    <cfRule type="cellIs" dxfId="9673" priority="8146" operator="equal">
      <formula>"Tramitando"</formula>
    </cfRule>
    <cfRule type="cellIs" dxfId="9672" priority="8147" operator="equal">
      <formula>"Deferido"</formula>
    </cfRule>
    <cfRule type="cellIs" dxfId="9671" priority="8148" operator="equal">
      <formula>"Indeferido"</formula>
    </cfRule>
  </conditionalFormatting>
  <conditionalFormatting sqref="O480">
    <cfRule type="containsText" dxfId="9670" priority="8145" operator="containsText" text="Cancelado">
      <formula>NOT(ISERROR(SEARCH("Cancelado",O480)))</formula>
    </cfRule>
  </conditionalFormatting>
  <conditionalFormatting sqref="Q480">
    <cfRule type="cellIs" dxfId="9669" priority="8142" operator="equal">
      <formula>"Tramitando"</formula>
    </cfRule>
    <cfRule type="cellIs" dxfId="9668" priority="8143" operator="equal">
      <formula>"Deferido"</formula>
    </cfRule>
    <cfRule type="cellIs" dxfId="9667" priority="8144" operator="equal">
      <formula>"Indeferido"</formula>
    </cfRule>
  </conditionalFormatting>
  <conditionalFormatting sqref="Q480">
    <cfRule type="containsText" dxfId="9666" priority="8141" operator="containsText" text="Cancelado">
      <formula>NOT(ISERROR(SEARCH("Cancelado",Q480)))</formula>
    </cfRule>
  </conditionalFormatting>
  <conditionalFormatting sqref="S480">
    <cfRule type="cellIs" dxfId="9665" priority="8138" operator="equal">
      <formula>"Tramitando"</formula>
    </cfRule>
    <cfRule type="cellIs" dxfId="9664" priority="8139" operator="equal">
      <formula>"Deferido"</formula>
    </cfRule>
    <cfRule type="cellIs" dxfId="9663" priority="8140" operator="equal">
      <formula>"Indeferido"</formula>
    </cfRule>
  </conditionalFormatting>
  <conditionalFormatting sqref="S480">
    <cfRule type="containsText" dxfId="9662" priority="8137" operator="containsText" text="Cancelado">
      <formula>NOT(ISERROR(SEARCH("Cancelado",S480)))</formula>
    </cfRule>
  </conditionalFormatting>
  <conditionalFormatting sqref="J481">
    <cfRule type="cellIs" dxfId="9661" priority="8133" operator="equal">
      <formula>"Tramitando"</formula>
    </cfRule>
    <cfRule type="cellIs" dxfId="9660" priority="8134" operator="equal">
      <formula>"Deferido"</formula>
    </cfRule>
    <cfRule type="cellIs" dxfId="9659" priority="8135" operator="equal">
      <formula>"Indeferido"</formula>
    </cfRule>
  </conditionalFormatting>
  <conditionalFormatting sqref="J481">
    <cfRule type="containsText" dxfId="9658" priority="8132" operator="containsText" text="Cancelado">
      <formula>NOT(ISERROR(SEARCH("Cancelado",J481)))</formula>
    </cfRule>
  </conditionalFormatting>
  <conditionalFormatting sqref="M481">
    <cfRule type="cellIs" dxfId="9657" priority="8129" operator="equal">
      <formula>"Tramitando"</formula>
    </cfRule>
    <cfRule type="cellIs" dxfId="9656" priority="8130" operator="equal">
      <formula>"Deferido"</formula>
    </cfRule>
    <cfRule type="cellIs" dxfId="9655" priority="8131" operator="equal">
      <formula>"Indeferido"</formula>
    </cfRule>
  </conditionalFormatting>
  <conditionalFormatting sqref="M481">
    <cfRule type="containsText" dxfId="9654" priority="8128" operator="containsText" text="Cancelado">
      <formula>NOT(ISERROR(SEARCH("Cancelado",M481)))</formula>
    </cfRule>
  </conditionalFormatting>
  <conditionalFormatting sqref="O481">
    <cfRule type="cellIs" dxfId="9653" priority="8125" operator="equal">
      <formula>"Tramitando"</formula>
    </cfRule>
    <cfRule type="cellIs" dxfId="9652" priority="8126" operator="equal">
      <formula>"Deferido"</formula>
    </cfRule>
    <cfRule type="cellIs" dxfId="9651" priority="8127" operator="equal">
      <formula>"Indeferido"</formula>
    </cfRule>
  </conditionalFormatting>
  <conditionalFormatting sqref="O481">
    <cfRule type="containsText" dxfId="9650" priority="8124" operator="containsText" text="Cancelado">
      <formula>NOT(ISERROR(SEARCH("Cancelado",O481)))</formula>
    </cfRule>
  </conditionalFormatting>
  <conditionalFormatting sqref="Q481">
    <cfRule type="cellIs" dxfId="9649" priority="8121" operator="equal">
      <formula>"Tramitando"</formula>
    </cfRule>
    <cfRule type="cellIs" dxfId="9648" priority="8122" operator="equal">
      <formula>"Deferido"</formula>
    </cfRule>
    <cfRule type="cellIs" dxfId="9647" priority="8123" operator="equal">
      <formula>"Indeferido"</formula>
    </cfRule>
  </conditionalFormatting>
  <conditionalFormatting sqref="Q481">
    <cfRule type="containsText" dxfId="9646" priority="8120" operator="containsText" text="Cancelado">
      <formula>NOT(ISERROR(SEARCH("Cancelado",Q481)))</formula>
    </cfRule>
  </conditionalFormatting>
  <conditionalFormatting sqref="S481">
    <cfRule type="cellIs" dxfId="9645" priority="8117" operator="equal">
      <formula>"Tramitando"</formula>
    </cfRule>
    <cfRule type="cellIs" dxfId="9644" priority="8118" operator="equal">
      <formula>"Deferido"</formula>
    </cfRule>
    <cfRule type="cellIs" dxfId="9643" priority="8119" operator="equal">
      <formula>"Indeferido"</formula>
    </cfRule>
  </conditionalFormatting>
  <conditionalFormatting sqref="S481">
    <cfRule type="containsText" dxfId="9642" priority="8116" operator="containsText" text="Cancelado">
      <formula>NOT(ISERROR(SEARCH("Cancelado",S481)))</formula>
    </cfRule>
  </conditionalFormatting>
  <conditionalFormatting sqref="J482">
    <cfRule type="cellIs" dxfId="9641" priority="8112" operator="equal">
      <formula>"Tramitando"</formula>
    </cfRule>
    <cfRule type="cellIs" dxfId="9640" priority="8113" operator="equal">
      <formula>"Deferido"</formula>
    </cfRule>
    <cfRule type="cellIs" dxfId="9639" priority="8114" operator="equal">
      <formula>"Indeferido"</formula>
    </cfRule>
  </conditionalFormatting>
  <conditionalFormatting sqref="J482">
    <cfRule type="containsText" dxfId="9638" priority="8111" operator="containsText" text="Cancelado">
      <formula>NOT(ISERROR(SEARCH("Cancelado",J482)))</formula>
    </cfRule>
  </conditionalFormatting>
  <conditionalFormatting sqref="M482">
    <cfRule type="cellIs" dxfId="9637" priority="8108" operator="equal">
      <formula>"Tramitando"</formula>
    </cfRule>
    <cfRule type="cellIs" dxfId="9636" priority="8109" operator="equal">
      <formula>"Deferido"</formula>
    </cfRule>
    <cfRule type="cellIs" dxfId="9635" priority="8110" operator="equal">
      <formula>"Indeferido"</formula>
    </cfRule>
  </conditionalFormatting>
  <conditionalFormatting sqref="M482">
    <cfRule type="containsText" dxfId="9634" priority="8107" operator="containsText" text="Cancelado">
      <formula>NOT(ISERROR(SEARCH("Cancelado",M482)))</formula>
    </cfRule>
  </conditionalFormatting>
  <conditionalFormatting sqref="O482">
    <cfRule type="cellIs" dxfId="9633" priority="8104" operator="equal">
      <formula>"Tramitando"</formula>
    </cfRule>
    <cfRule type="cellIs" dxfId="9632" priority="8105" operator="equal">
      <formula>"Deferido"</formula>
    </cfRule>
    <cfRule type="cellIs" dxfId="9631" priority="8106" operator="equal">
      <formula>"Indeferido"</formula>
    </cfRule>
  </conditionalFormatting>
  <conditionalFormatting sqref="O482">
    <cfRule type="containsText" dxfId="9630" priority="8103" operator="containsText" text="Cancelado">
      <formula>NOT(ISERROR(SEARCH("Cancelado",O482)))</formula>
    </cfRule>
  </conditionalFormatting>
  <conditionalFormatting sqref="Q482">
    <cfRule type="cellIs" dxfId="9629" priority="8100" operator="equal">
      <formula>"Tramitando"</formula>
    </cfRule>
    <cfRule type="cellIs" dxfId="9628" priority="8101" operator="equal">
      <formula>"Deferido"</formula>
    </cfRule>
    <cfRule type="cellIs" dxfId="9627" priority="8102" operator="equal">
      <formula>"Indeferido"</formula>
    </cfRule>
  </conditionalFormatting>
  <conditionalFormatting sqref="Q482">
    <cfRule type="containsText" dxfId="9626" priority="8099" operator="containsText" text="Cancelado">
      <formula>NOT(ISERROR(SEARCH("Cancelado",Q482)))</formula>
    </cfRule>
  </conditionalFormatting>
  <conditionalFormatting sqref="S482">
    <cfRule type="cellIs" dxfId="9625" priority="8096" operator="equal">
      <formula>"Tramitando"</formula>
    </cfRule>
    <cfRule type="cellIs" dxfId="9624" priority="8097" operator="equal">
      <formula>"Deferido"</formula>
    </cfRule>
    <cfRule type="cellIs" dxfId="9623" priority="8098" operator="equal">
      <formula>"Indeferido"</formula>
    </cfRule>
  </conditionalFormatting>
  <conditionalFormatting sqref="S482">
    <cfRule type="containsText" dxfId="9622" priority="8095" operator="containsText" text="Cancelado">
      <formula>NOT(ISERROR(SEARCH("Cancelado",S482)))</formula>
    </cfRule>
  </conditionalFormatting>
  <conditionalFormatting sqref="J483:J484">
    <cfRule type="cellIs" dxfId="9621" priority="8091" operator="equal">
      <formula>"Tramitando"</formula>
    </cfRule>
    <cfRule type="cellIs" dxfId="9620" priority="8092" operator="equal">
      <formula>"Deferido"</formula>
    </cfRule>
    <cfRule type="cellIs" dxfId="9619" priority="8093" operator="equal">
      <formula>"Indeferido"</formula>
    </cfRule>
  </conditionalFormatting>
  <conditionalFormatting sqref="J483:J484">
    <cfRule type="containsText" dxfId="9618" priority="8090" operator="containsText" text="Cancelado">
      <formula>NOT(ISERROR(SEARCH("Cancelado",J483)))</formula>
    </cfRule>
  </conditionalFormatting>
  <conditionalFormatting sqref="M483:M484">
    <cfRule type="cellIs" dxfId="9617" priority="8087" operator="equal">
      <formula>"Tramitando"</formula>
    </cfRule>
    <cfRule type="cellIs" dxfId="9616" priority="8088" operator="equal">
      <formula>"Deferido"</formula>
    </cfRule>
    <cfRule type="cellIs" dxfId="9615" priority="8089" operator="equal">
      <formula>"Indeferido"</formula>
    </cfRule>
  </conditionalFormatting>
  <conditionalFormatting sqref="M483:M484">
    <cfRule type="containsText" dxfId="9614" priority="8086" operator="containsText" text="Cancelado">
      <formula>NOT(ISERROR(SEARCH("Cancelado",M483)))</formula>
    </cfRule>
  </conditionalFormatting>
  <conditionalFormatting sqref="O483:O484">
    <cfRule type="cellIs" dxfId="9613" priority="8083" operator="equal">
      <formula>"Tramitando"</formula>
    </cfRule>
    <cfRule type="cellIs" dxfId="9612" priority="8084" operator="equal">
      <formula>"Deferido"</formula>
    </cfRule>
    <cfRule type="cellIs" dxfId="9611" priority="8085" operator="equal">
      <formula>"Indeferido"</formula>
    </cfRule>
  </conditionalFormatting>
  <conditionalFormatting sqref="O483:O484">
    <cfRule type="containsText" dxfId="9610" priority="8082" operator="containsText" text="Cancelado">
      <formula>NOT(ISERROR(SEARCH("Cancelado",O483)))</formula>
    </cfRule>
  </conditionalFormatting>
  <conditionalFormatting sqref="Q483:Q484">
    <cfRule type="cellIs" dxfId="9609" priority="8079" operator="equal">
      <formula>"Tramitando"</formula>
    </cfRule>
    <cfRule type="cellIs" dxfId="9608" priority="8080" operator="equal">
      <formula>"Deferido"</formula>
    </cfRule>
    <cfRule type="cellIs" dxfId="9607" priority="8081" operator="equal">
      <formula>"Indeferido"</formula>
    </cfRule>
  </conditionalFormatting>
  <conditionalFormatting sqref="Q483:Q484">
    <cfRule type="containsText" dxfId="9606" priority="8078" operator="containsText" text="Cancelado">
      <formula>NOT(ISERROR(SEARCH("Cancelado",Q483)))</formula>
    </cfRule>
  </conditionalFormatting>
  <conditionalFormatting sqref="S483:S484">
    <cfRule type="cellIs" dxfId="9605" priority="8075" operator="equal">
      <formula>"Tramitando"</formula>
    </cfRule>
    <cfRule type="cellIs" dxfId="9604" priority="8076" operator="equal">
      <formula>"Deferido"</formula>
    </cfRule>
    <cfRule type="cellIs" dxfId="9603" priority="8077" operator="equal">
      <formula>"Indeferido"</formula>
    </cfRule>
  </conditionalFormatting>
  <conditionalFormatting sqref="S483:S484">
    <cfRule type="containsText" dxfId="9602" priority="8074" operator="containsText" text="Cancelado">
      <formula>NOT(ISERROR(SEARCH("Cancelado",S483)))</formula>
    </cfRule>
  </conditionalFormatting>
  <conditionalFormatting sqref="J485">
    <cfRule type="cellIs" dxfId="9601" priority="8070" operator="equal">
      <formula>"Tramitando"</formula>
    </cfRule>
    <cfRule type="cellIs" dxfId="9600" priority="8071" operator="equal">
      <formula>"Deferido"</formula>
    </cfRule>
    <cfRule type="cellIs" dxfId="9599" priority="8072" operator="equal">
      <formula>"Indeferido"</formula>
    </cfRule>
  </conditionalFormatting>
  <conditionalFormatting sqref="J485">
    <cfRule type="containsText" dxfId="9598" priority="8069" operator="containsText" text="Cancelado">
      <formula>NOT(ISERROR(SEARCH("Cancelado",J485)))</formula>
    </cfRule>
  </conditionalFormatting>
  <conditionalFormatting sqref="M485">
    <cfRule type="cellIs" dxfId="9597" priority="8066" operator="equal">
      <formula>"Tramitando"</formula>
    </cfRule>
    <cfRule type="cellIs" dxfId="9596" priority="8067" operator="equal">
      <formula>"Deferido"</formula>
    </cfRule>
    <cfRule type="cellIs" dxfId="9595" priority="8068" operator="equal">
      <formula>"Indeferido"</formula>
    </cfRule>
  </conditionalFormatting>
  <conditionalFormatting sqref="M485">
    <cfRule type="containsText" dxfId="9594" priority="8065" operator="containsText" text="Cancelado">
      <formula>NOT(ISERROR(SEARCH("Cancelado",M485)))</formula>
    </cfRule>
  </conditionalFormatting>
  <conditionalFormatting sqref="O485">
    <cfRule type="cellIs" dxfId="9593" priority="8062" operator="equal">
      <formula>"Tramitando"</formula>
    </cfRule>
    <cfRule type="cellIs" dxfId="9592" priority="8063" operator="equal">
      <formula>"Deferido"</formula>
    </cfRule>
    <cfRule type="cellIs" dxfId="9591" priority="8064" operator="equal">
      <formula>"Indeferido"</formula>
    </cfRule>
  </conditionalFormatting>
  <conditionalFormatting sqref="O485">
    <cfRule type="containsText" dxfId="9590" priority="8061" operator="containsText" text="Cancelado">
      <formula>NOT(ISERROR(SEARCH("Cancelado",O485)))</formula>
    </cfRule>
  </conditionalFormatting>
  <conditionalFormatting sqref="Q485">
    <cfRule type="cellIs" dxfId="9589" priority="8058" operator="equal">
      <formula>"Tramitando"</formula>
    </cfRule>
    <cfRule type="cellIs" dxfId="9588" priority="8059" operator="equal">
      <formula>"Deferido"</formula>
    </cfRule>
    <cfRule type="cellIs" dxfId="9587" priority="8060" operator="equal">
      <formula>"Indeferido"</formula>
    </cfRule>
  </conditionalFormatting>
  <conditionalFormatting sqref="Q485">
    <cfRule type="containsText" dxfId="9586" priority="8057" operator="containsText" text="Cancelado">
      <formula>NOT(ISERROR(SEARCH("Cancelado",Q485)))</formula>
    </cfRule>
  </conditionalFormatting>
  <conditionalFormatting sqref="S485">
    <cfRule type="cellIs" dxfId="9585" priority="8054" operator="equal">
      <formula>"Tramitando"</formula>
    </cfRule>
    <cfRule type="cellIs" dxfId="9584" priority="8055" operator="equal">
      <formula>"Deferido"</formula>
    </cfRule>
    <cfRule type="cellIs" dxfId="9583" priority="8056" operator="equal">
      <formula>"Indeferido"</formula>
    </cfRule>
  </conditionalFormatting>
  <conditionalFormatting sqref="S485">
    <cfRule type="containsText" dxfId="9582" priority="8053" operator="containsText" text="Cancelado">
      <formula>NOT(ISERROR(SEARCH("Cancelado",S485)))</formula>
    </cfRule>
  </conditionalFormatting>
  <conditionalFormatting sqref="J486:J487">
    <cfRule type="cellIs" dxfId="9581" priority="8049" operator="equal">
      <formula>"Tramitando"</formula>
    </cfRule>
    <cfRule type="cellIs" dxfId="9580" priority="8050" operator="equal">
      <formula>"Deferido"</formula>
    </cfRule>
    <cfRule type="cellIs" dxfId="9579" priority="8051" operator="equal">
      <formula>"Indeferido"</formula>
    </cfRule>
  </conditionalFormatting>
  <conditionalFormatting sqref="J486:J487">
    <cfRule type="containsText" dxfId="9578" priority="8048" operator="containsText" text="Cancelado">
      <formula>NOT(ISERROR(SEARCH("Cancelado",J486)))</formula>
    </cfRule>
  </conditionalFormatting>
  <conditionalFormatting sqref="M486:M487">
    <cfRule type="cellIs" dxfId="9577" priority="8045" operator="equal">
      <formula>"Tramitando"</formula>
    </cfRule>
    <cfRule type="cellIs" dxfId="9576" priority="8046" operator="equal">
      <formula>"Deferido"</formula>
    </cfRule>
    <cfRule type="cellIs" dxfId="9575" priority="8047" operator="equal">
      <formula>"Indeferido"</formula>
    </cfRule>
  </conditionalFormatting>
  <conditionalFormatting sqref="M486:M487">
    <cfRule type="containsText" dxfId="9574" priority="8044" operator="containsText" text="Cancelado">
      <formula>NOT(ISERROR(SEARCH("Cancelado",M486)))</formula>
    </cfRule>
  </conditionalFormatting>
  <conditionalFormatting sqref="O486:O487">
    <cfRule type="cellIs" dxfId="9573" priority="8041" operator="equal">
      <formula>"Tramitando"</formula>
    </cfRule>
    <cfRule type="cellIs" dxfId="9572" priority="8042" operator="equal">
      <formula>"Deferido"</formula>
    </cfRule>
    <cfRule type="cellIs" dxfId="9571" priority="8043" operator="equal">
      <formula>"Indeferido"</formula>
    </cfRule>
  </conditionalFormatting>
  <conditionalFormatting sqref="O486:O487">
    <cfRule type="containsText" dxfId="9570" priority="8040" operator="containsText" text="Cancelado">
      <formula>NOT(ISERROR(SEARCH("Cancelado",O486)))</formula>
    </cfRule>
  </conditionalFormatting>
  <conditionalFormatting sqref="Q486:Q487">
    <cfRule type="cellIs" dxfId="9569" priority="8037" operator="equal">
      <formula>"Tramitando"</formula>
    </cfRule>
    <cfRule type="cellIs" dxfId="9568" priority="8038" operator="equal">
      <formula>"Deferido"</formula>
    </cfRule>
    <cfRule type="cellIs" dxfId="9567" priority="8039" operator="equal">
      <formula>"Indeferido"</formula>
    </cfRule>
  </conditionalFormatting>
  <conditionalFormatting sqref="Q486:Q487">
    <cfRule type="containsText" dxfId="9566" priority="8036" operator="containsText" text="Cancelado">
      <formula>NOT(ISERROR(SEARCH("Cancelado",Q486)))</formula>
    </cfRule>
  </conditionalFormatting>
  <conditionalFormatting sqref="S486:S487">
    <cfRule type="cellIs" dxfId="9565" priority="8033" operator="equal">
      <formula>"Tramitando"</formula>
    </cfRule>
    <cfRule type="cellIs" dxfId="9564" priority="8034" operator="equal">
      <formula>"Deferido"</formula>
    </cfRule>
    <cfRule type="cellIs" dxfId="9563" priority="8035" operator="equal">
      <formula>"Indeferido"</formula>
    </cfRule>
  </conditionalFormatting>
  <conditionalFormatting sqref="S486:S487">
    <cfRule type="containsText" dxfId="9562" priority="8032" operator="containsText" text="Cancelado">
      <formula>NOT(ISERROR(SEARCH("Cancelado",S486)))</formula>
    </cfRule>
  </conditionalFormatting>
  <conditionalFormatting sqref="J488:J490">
    <cfRule type="cellIs" dxfId="9561" priority="8028" operator="equal">
      <formula>"Tramitando"</formula>
    </cfRule>
    <cfRule type="cellIs" dxfId="9560" priority="8029" operator="equal">
      <formula>"Deferido"</formula>
    </cfRule>
    <cfRule type="cellIs" dxfId="9559" priority="8030" operator="equal">
      <formula>"Indeferido"</formula>
    </cfRule>
  </conditionalFormatting>
  <conditionalFormatting sqref="J488:J490">
    <cfRule type="containsText" dxfId="9558" priority="8027" operator="containsText" text="Cancelado">
      <formula>NOT(ISERROR(SEARCH("Cancelado",J488)))</formula>
    </cfRule>
  </conditionalFormatting>
  <conditionalFormatting sqref="M488:M490">
    <cfRule type="cellIs" dxfId="9557" priority="8024" operator="equal">
      <formula>"Tramitando"</formula>
    </cfRule>
    <cfRule type="cellIs" dxfId="9556" priority="8025" operator="equal">
      <formula>"Deferido"</formula>
    </cfRule>
    <cfRule type="cellIs" dxfId="9555" priority="8026" operator="equal">
      <formula>"Indeferido"</formula>
    </cfRule>
  </conditionalFormatting>
  <conditionalFormatting sqref="M488:M490">
    <cfRule type="containsText" dxfId="9554" priority="8023" operator="containsText" text="Cancelado">
      <formula>NOT(ISERROR(SEARCH("Cancelado",M488)))</formula>
    </cfRule>
  </conditionalFormatting>
  <conditionalFormatting sqref="O488:O490">
    <cfRule type="cellIs" dxfId="9553" priority="8020" operator="equal">
      <formula>"Tramitando"</formula>
    </cfRule>
    <cfRule type="cellIs" dxfId="9552" priority="8021" operator="equal">
      <formula>"Deferido"</formula>
    </cfRule>
    <cfRule type="cellIs" dxfId="9551" priority="8022" operator="equal">
      <formula>"Indeferido"</formula>
    </cfRule>
  </conditionalFormatting>
  <conditionalFormatting sqref="O488:O490">
    <cfRule type="containsText" dxfId="9550" priority="8019" operator="containsText" text="Cancelado">
      <formula>NOT(ISERROR(SEARCH("Cancelado",O488)))</formula>
    </cfRule>
  </conditionalFormatting>
  <conditionalFormatting sqref="Q488:Q490">
    <cfRule type="cellIs" dxfId="9549" priority="8016" operator="equal">
      <formula>"Tramitando"</formula>
    </cfRule>
    <cfRule type="cellIs" dxfId="9548" priority="8017" operator="equal">
      <formula>"Deferido"</formula>
    </cfRule>
    <cfRule type="cellIs" dxfId="9547" priority="8018" operator="equal">
      <formula>"Indeferido"</formula>
    </cfRule>
  </conditionalFormatting>
  <conditionalFormatting sqref="Q488:Q490">
    <cfRule type="containsText" dxfId="9546" priority="8015" operator="containsText" text="Cancelado">
      <formula>NOT(ISERROR(SEARCH("Cancelado",Q488)))</formula>
    </cfRule>
  </conditionalFormatting>
  <conditionalFormatting sqref="S488:S490">
    <cfRule type="cellIs" dxfId="9545" priority="8012" operator="equal">
      <formula>"Tramitando"</formula>
    </cfRule>
    <cfRule type="cellIs" dxfId="9544" priority="8013" operator="equal">
      <formula>"Deferido"</formula>
    </cfRule>
    <cfRule type="cellIs" dxfId="9543" priority="8014" operator="equal">
      <formula>"Indeferido"</formula>
    </cfRule>
  </conditionalFormatting>
  <conditionalFormatting sqref="S488:S490">
    <cfRule type="containsText" dxfId="9542" priority="8011" operator="containsText" text="Cancelado">
      <formula>NOT(ISERROR(SEARCH("Cancelado",S488)))</formula>
    </cfRule>
  </conditionalFormatting>
  <conditionalFormatting sqref="M491">
    <cfRule type="cellIs" dxfId="9541" priority="8003" operator="equal">
      <formula>"Tramitando"</formula>
    </cfRule>
    <cfRule type="cellIs" dxfId="9540" priority="8004" operator="equal">
      <formula>"Deferido"</formula>
    </cfRule>
    <cfRule type="cellIs" dxfId="9539" priority="8005" operator="equal">
      <formula>"Indeferido"</formula>
    </cfRule>
  </conditionalFormatting>
  <conditionalFormatting sqref="M491">
    <cfRule type="containsText" dxfId="9538" priority="8002" operator="containsText" text="Cancelado">
      <formula>NOT(ISERROR(SEARCH("Cancelado",M491)))</formula>
    </cfRule>
  </conditionalFormatting>
  <conditionalFormatting sqref="O491">
    <cfRule type="cellIs" dxfId="9537" priority="7999" operator="equal">
      <formula>"Tramitando"</formula>
    </cfRule>
    <cfRule type="cellIs" dxfId="9536" priority="8000" operator="equal">
      <formula>"Deferido"</formula>
    </cfRule>
    <cfRule type="cellIs" dxfId="9535" priority="8001" operator="equal">
      <formula>"Indeferido"</formula>
    </cfRule>
  </conditionalFormatting>
  <conditionalFormatting sqref="O491">
    <cfRule type="containsText" dxfId="9534" priority="7998" operator="containsText" text="Cancelado">
      <formula>NOT(ISERROR(SEARCH("Cancelado",O491)))</formula>
    </cfRule>
  </conditionalFormatting>
  <conditionalFormatting sqref="Q491">
    <cfRule type="cellIs" dxfId="9533" priority="7995" operator="equal">
      <formula>"Tramitando"</formula>
    </cfRule>
    <cfRule type="cellIs" dxfId="9532" priority="7996" operator="equal">
      <formula>"Deferido"</formula>
    </cfRule>
    <cfRule type="cellIs" dxfId="9531" priority="7997" operator="equal">
      <formula>"Indeferido"</formula>
    </cfRule>
  </conditionalFormatting>
  <conditionalFormatting sqref="Q491">
    <cfRule type="containsText" dxfId="9530" priority="7994" operator="containsText" text="Cancelado">
      <formula>NOT(ISERROR(SEARCH("Cancelado",Q491)))</formula>
    </cfRule>
  </conditionalFormatting>
  <conditionalFormatting sqref="S491">
    <cfRule type="cellIs" dxfId="9529" priority="7991" operator="equal">
      <formula>"Tramitando"</formula>
    </cfRule>
    <cfRule type="cellIs" dxfId="9528" priority="7992" operator="equal">
      <formula>"Deferido"</formula>
    </cfRule>
    <cfRule type="cellIs" dxfId="9527" priority="7993" operator="equal">
      <formula>"Indeferido"</formula>
    </cfRule>
  </conditionalFormatting>
  <conditionalFormatting sqref="S491">
    <cfRule type="containsText" dxfId="9526" priority="7990" operator="containsText" text="Cancelado">
      <formula>NOT(ISERROR(SEARCH("Cancelado",S491)))</formula>
    </cfRule>
  </conditionalFormatting>
  <conditionalFormatting sqref="J492">
    <cfRule type="cellIs" dxfId="9525" priority="7985" operator="equal">
      <formula>"Tramitando"</formula>
    </cfRule>
    <cfRule type="cellIs" dxfId="9524" priority="7986" operator="equal">
      <formula>"Deferido"</formula>
    </cfRule>
    <cfRule type="cellIs" dxfId="9523" priority="7987" operator="equal">
      <formula>"Indeferido"</formula>
    </cfRule>
  </conditionalFormatting>
  <conditionalFormatting sqref="J492">
    <cfRule type="containsText" dxfId="9522" priority="7984" operator="containsText" text="Cancelado">
      <formula>NOT(ISERROR(SEARCH("Cancelado",J492)))</formula>
    </cfRule>
  </conditionalFormatting>
  <conditionalFormatting sqref="M492">
    <cfRule type="cellIs" dxfId="9521" priority="7981" operator="equal">
      <formula>"Tramitando"</formula>
    </cfRule>
    <cfRule type="cellIs" dxfId="9520" priority="7982" operator="equal">
      <formula>"Deferido"</formula>
    </cfRule>
    <cfRule type="cellIs" dxfId="9519" priority="7983" operator="equal">
      <formula>"Indeferido"</formula>
    </cfRule>
  </conditionalFormatting>
  <conditionalFormatting sqref="M492">
    <cfRule type="containsText" dxfId="9518" priority="7980" operator="containsText" text="Cancelado">
      <formula>NOT(ISERROR(SEARCH("Cancelado",M492)))</formula>
    </cfRule>
  </conditionalFormatting>
  <conditionalFormatting sqref="O492">
    <cfRule type="cellIs" dxfId="9517" priority="7977" operator="equal">
      <formula>"Tramitando"</formula>
    </cfRule>
    <cfRule type="cellIs" dxfId="9516" priority="7978" operator="equal">
      <formula>"Deferido"</formula>
    </cfRule>
    <cfRule type="cellIs" dxfId="9515" priority="7979" operator="equal">
      <formula>"Indeferido"</formula>
    </cfRule>
  </conditionalFormatting>
  <conditionalFormatting sqref="O492">
    <cfRule type="containsText" dxfId="9514" priority="7976" operator="containsText" text="Cancelado">
      <formula>NOT(ISERROR(SEARCH("Cancelado",O492)))</formula>
    </cfRule>
  </conditionalFormatting>
  <conditionalFormatting sqref="Q492">
    <cfRule type="cellIs" dxfId="9513" priority="7973" operator="equal">
      <formula>"Tramitando"</formula>
    </cfRule>
    <cfRule type="cellIs" dxfId="9512" priority="7974" operator="equal">
      <formula>"Deferido"</formula>
    </cfRule>
    <cfRule type="cellIs" dxfId="9511" priority="7975" operator="equal">
      <formula>"Indeferido"</formula>
    </cfRule>
  </conditionalFormatting>
  <conditionalFormatting sqref="Q492">
    <cfRule type="containsText" dxfId="9510" priority="7972" operator="containsText" text="Cancelado">
      <formula>NOT(ISERROR(SEARCH("Cancelado",Q492)))</formula>
    </cfRule>
  </conditionalFormatting>
  <conditionalFormatting sqref="S492">
    <cfRule type="cellIs" dxfId="9509" priority="7969" operator="equal">
      <formula>"Tramitando"</formula>
    </cfRule>
    <cfRule type="cellIs" dxfId="9508" priority="7970" operator="equal">
      <formula>"Deferido"</formula>
    </cfRule>
    <cfRule type="cellIs" dxfId="9507" priority="7971" operator="equal">
      <formula>"Indeferido"</formula>
    </cfRule>
  </conditionalFormatting>
  <conditionalFormatting sqref="S492">
    <cfRule type="containsText" dxfId="9506" priority="7968" operator="containsText" text="Cancelado">
      <formula>NOT(ISERROR(SEARCH("Cancelado",S492)))</formula>
    </cfRule>
  </conditionalFormatting>
  <conditionalFormatting sqref="J493">
    <cfRule type="cellIs" dxfId="9505" priority="7964" operator="equal">
      <formula>"Tramitando"</formula>
    </cfRule>
    <cfRule type="cellIs" dxfId="9504" priority="7965" operator="equal">
      <formula>"Deferido"</formula>
    </cfRule>
    <cfRule type="cellIs" dxfId="9503" priority="7966" operator="equal">
      <formula>"Indeferido"</formula>
    </cfRule>
  </conditionalFormatting>
  <conditionalFormatting sqref="J493">
    <cfRule type="containsText" dxfId="9502" priority="7963" operator="containsText" text="Cancelado">
      <formula>NOT(ISERROR(SEARCH("Cancelado",J493)))</formula>
    </cfRule>
  </conditionalFormatting>
  <conditionalFormatting sqref="M493">
    <cfRule type="cellIs" dxfId="9501" priority="7960" operator="equal">
      <formula>"Tramitando"</formula>
    </cfRule>
    <cfRule type="cellIs" dxfId="9500" priority="7961" operator="equal">
      <formula>"Deferido"</formula>
    </cfRule>
    <cfRule type="cellIs" dxfId="9499" priority="7962" operator="equal">
      <formula>"Indeferido"</formula>
    </cfRule>
  </conditionalFormatting>
  <conditionalFormatting sqref="M493">
    <cfRule type="containsText" dxfId="9498" priority="7959" operator="containsText" text="Cancelado">
      <formula>NOT(ISERROR(SEARCH("Cancelado",M493)))</formula>
    </cfRule>
  </conditionalFormatting>
  <conditionalFormatting sqref="O493">
    <cfRule type="cellIs" dxfId="9497" priority="7956" operator="equal">
      <formula>"Tramitando"</formula>
    </cfRule>
    <cfRule type="cellIs" dxfId="9496" priority="7957" operator="equal">
      <formula>"Deferido"</formula>
    </cfRule>
    <cfRule type="cellIs" dxfId="9495" priority="7958" operator="equal">
      <formula>"Indeferido"</formula>
    </cfRule>
  </conditionalFormatting>
  <conditionalFormatting sqref="O493">
    <cfRule type="containsText" dxfId="9494" priority="7955" operator="containsText" text="Cancelado">
      <formula>NOT(ISERROR(SEARCH("Cancelado",O493)))</formula>
    </cfRule>
  </conditionalFormatting>
  <conditionalFormatting sqref="Q493">
    <cfRule type="cellIs" dxfId="9493" priority="7952" operator="equal">
      <formula>"Tramitando"</formula>
    </cfRule>
    <cfRule type="cellIs" dxfId="9492" priority="7953" operator="equal">
      <formula>"Deferido"</formula>
    </cfRule>
    <cfRule type="cellIs" dxfId="9491" priority="7954" operator="equal">
      <formula>"Indeferido"</formula>
    </cfRule>
  </conditionalFormatting>
  <conditionalFormatting sqref="Q493">
    <cfRule type="containsText" dxfId="9490" priority="7951" operator="containsText" text="Cancelado">
      <formula>NOT(ISERROR(SEARCH("Cancelado",Q493)))</formula>
    </cfRule>
  </conditionalFormatting>
  <conditionalFormatting sqref="S493">
    <cfRule type="cellIs" dxfId="9489" priority="7948" operator="equal">
      <formula>"Tramitando"</formula>
    </cfRule>
    <cfRule type="cellIs" dxfId="9488" priority="7949" operator="equal">
      <formula>"Deferido"</formula>
    </cfRule>
    <cfRule type="cellIs" dxfId="9487" priority="7950" operator="equal">
      <formula>"Indeferido"</formula>
    </cfRule>
  </conditionalFormatting>
  <conditionalFormatting sqref="S493">
    <cfRule type="containsText" dxfId="9486" priority="7947" operator="containsText" text="Cancelado">
      <formula>NOT(ISERROR(SEARCH("Cancelado",S493)))</formula>
    </cfRule>
  </conditionalFormatting>
  <conditionalFormatting sqref="J494">
    <cfRule type="cellIs" dxfId="9485" priority="7943" operator="equal">
      <formula>"Tramitando"</formula>
    </cfRule>
    <cfRule type="cellIs" dxfId="9484" priority="7944" operator="equal">
      <formula>"Deferido"</formula>
    </cfRule>
    <cfRule type="cellIs" dxfId="9483" priority="7945" operator="equal">
      <formula>"Indeferido"</formula>
    </cfRule>
  </conditionalFormatting>
  <conditionalFormatting sqref="J494">
    <cfRule type="containsText" dxfId="9482" priority="7942" operator="containsText" text="Cancelado">
      <formula>NOT(ISERROR(SEARCH("Cancelado",J494)))</formula>
    </cfRule>
  </conditionalFormatting>
  <conditionalFormatting sqref="M494">
    <cfRule type="cellIs" dxfId="9481" priority="7939" operator="equal">
      <formula>"Tramitando"</formula>
    </cfRule>
    <cfRule type="cellIs" dxfId="9480" priority="7940" operator="equal">
      <formula>"Deferido"</formula>
    </cfRule>
    <cfRule type="cellIs" dxfId="9479" priority="7941" operator="equal">
      <formula>"Indeferido"</formula>
    </cfRule>
  </conditionalFormatting>
  <conditionalFormatting sqref="M494">
    <cfRule type="containsText" dxfId="9478" priority="7938" operator="containsText" text="Cancelado">
      <formula>NOT(ISERROR(SEARCH("Cancelado",M494)))</formula>
    </cfRule>
  </conditionalFormatting>
  <conditionalFormatting sqref="O494">
    <cfRule type="cellIs" dxfId="9477" priority="7935" operator="equal">
      <formula>"Tramitando"</formula>
    </cfRule>
    <cfRule type="cellIs" dxfId="9476" priority="7936" operator="equal">
      <formula>"Deferido"</formula>
    </cfRule>
    <cfRule type="cellIs" dxfId="9475" priority="7937" operator="equal">
      <formula>"Indeferido"</formula>
    </cfRule>
  </conditionalFormatting>
  <conditionalFormatting sqref="O494">
    <cfRule type="containsText" dxfId="9474" priority="7934" operator="containsText" text="Cancelado">
      <formula>NOT(ISERROR(SEARCH("Cancelado",O494)))</formula>
    </cfRule>
  </conditionalFormatting>
  <conditionalFormatting sqref="Q494">
    <cfRule type="cellIs" dxfId="9473" priority="7931" operator="equal">
      <formula>"Tramitando"</formula>
    </cfRule>
    <cfRule type="cellIs" dxfId="9472" priority="7932" operator="equal">
      <formula>"Deferido"</formula>
    </cfRule>
    <cfRule type="cellIs" dxfId="9471" priority="7933" operator="equal">
      <formula>"Indeferido"</formula>
    </cfRule>
  </conditionalFormatting>
  <conditionalFormatting sqref="Q494">
    <cfRule type="containsText" dxfId="9470" priority="7930" operator="containsText" text="Cancelado">
      <formula>NOT(ISERROR(SEARCH("Cancelado",Q494)))</formula>
    </cfRule>
  </conditionalFormatting>
  <conditionalFormatting sqref="S494">
    <cfRule type="cellIs" dxfId="9469" priority="7927" operator="equal">
      <formula>"Tramitando"</formula>
    </cfRule>
    <cfRule type="cellIs" dxfId="9468" priority="7928" operator="equal">
      <formula>"Deferido"</formula>
    </cfRule>
    <cfRule type="cellIs" dxfId="9467" priority="7929" operator="equal">
      <formula>"Indeferido"</formula>
    </cfRule>
  </conditionalFormatting>
  <conditionalFormatting sqref="S494">
    <cfRule type="containsText" dxfId="9466" priority="7926" operator="containsText" text="Cancelado">
      <formula>NOT(ISERROR(SEARCH("Cancelado",S494)))</formula>
    </cfRule>
  </conditionalFormatting>
  <conditionalFormatting sqref="J495">
    <cfRule type="cellIs" dxfId="9465" priority="7922" operator="equal">
      <formula>"Tramitando"</formula>
    </cfRule>
    <cfRule type="cellIs" dxfId="9464" priority="7923" operator="equal">
      <formula>"Deferido"</formula>
    </cfRule>
    <cfRule type="cellIs" dxfId="9463" priority="7924" operator="equal">
      <formula>"Indeferido"</formula>
    </cfRule>
  </conditionalFormatting>
  <conditionalFormatting sqref="J495">
    <cfRule type="containsText" dxfId="9462" priority="7921" operator="containsText" text="Cancelado">
      <formula>NOT(ISERROR(SEARCH("Cancelado",J495)))</formula>
    </cfRule>
  </conditionalFormatting>
  <conditionalFormatting sqref="M495">
    <cfRule type="cellIs" dxfId="9461" priority="7918" operator="equal">
      <formula>"Tramitando"</formula>
    </cfRule>
    <cfRule type="cellIs" dxfId="9460" priority="7919" operator="equal">
      <formula>"Deferido"</formula>
    </cfRule>
    <cfRule type="cellIs" dxfId="9459" priority="7920" operator="equal">
      <formula>"Indeferido"</formula>
    </cfRule>
  </conditionalFormatting>
  <conditionalFormatting sqref="M495">
    <cfRule type="containsText" dxfId="9458" priority="7917" operator="containsText" text="Cancelado">
      <formula>NOT(ISERROR(SEARCH("Cancelado",M495)))</formula>
    </cfRule>
  </conditionalFormatting>
  <conditionalFormatting sqref="O495">
    <cfRule type="cellIs" dxfId="9457" priority="7914" operator="equal">
      <formula>"Tramitando"</formula>
    </cfRule>
    <cfRule type="cellIs" dxfId="9456" priority="7915" operator="equal">
      <formula>"Deferido"</formula>
    </cfRule>
    <cfRule type="cellIs" dxfId="9455" priority="7916" operator="equal">
      <formula>"Indeferido"</formula>
    </cfRule>
  </conditionalFormatting>
  <conditionalFormatting sqref="O495">
    <cfRule type="containsText" dxfId="9454" priority="7913" operator="containsText" text="Cancelado">
      <formula>NOT(ISERROR(SEARCH("Cancelado",O495)))</formula>
    </cfRule>
  </conditionalFormatting>
  <conditionalFormatting sqref="Q495">
    <cfRule type="cellIs" dxfId="9453" priority="7910" operator="equal">
      <formula>"Tramitando"</formula>
    </cfRule>
    <cfRule type="cellIs" dxfId="9452" priority="7911" operator="equal">
      <formula>"Deferido"</formula>
    </cfRule>
    <cfRule type="cellIs" dxfId="9451" priority="7912" operator="equal">
      <formula>"Indeferido"</formula>
    </cfRule>
  </conditionalFormatting>
  <conditionalFormatting sqref="Q495">
    <cfRule type="containsText" dxfId="9450" priority="7909" operator="containsText" text="Cancelado">
      <formula>NOT(ISERROR(SEARCH("Cancelado",Q495)))</formula>
    </cfRule>
  </conditionalFormatting>
  <conditionalFormatting sqref="S495">
    <cfRule type="cellIs" dxfId="9449" priority="7906" operator="equal">
      <formula>"Tramitando"</formula>
    </cfRule>
    <cfRule type="cellIs" dxfId="9448" priority="7907" operator="equal">
      <formula>"Deferido"</formula>
    </cfRule>
    <cfRule type="cellIs" dxfId="9447" priority="7908" operator="equal">
      <formula>"Indeferido"</formula>
    </cfRule>
  </conditionalFormatting>
  <conditionalFormatting sqref="S495">
    <cfRule type="containsText" dxfId="9446" priority="7905" operator="containsText" text="Cancelado">
      <formula>NOT(ISERROR(SEARCH("Cancelado",S495)))</formula>
    </cfRule>
  </conditionalFormatting>
  <conditionalFormatting sqref="J496">
    <cfRule type="cellIs" dxfId="9445" priority="7901" operator="equal">
      <formula>"Tramitando"</formula>
    </cfRule>
    <cfRule type="cellIs" dxfId="9444" priority="7902" operator="equal">
      <formula>"Deferido"</formula>
    </cfRule>
    <cfRule type="cellIs" dxfId="9443" priority="7903" operator="equal">
      <formula>"Indeferido"</formula>
    </cfRule>
  </conditionalFormatting>
  <conditionalFormatting sqref="J496">
    <cfRule type="containsText" dxfId="9442" priority="7900" operator="containsText" text="Cancelado">
      <formula>NOT(ISERROR(SEARCH("Cancelado",J496)))</formula>
    </cfRule>
  </conditionalFormatting>
  <conditionalFormatting sqref="M496">
    <cfRule type="cellIs" dxfId="9441" priority="7897" operator="equal">
      <formula>"Tramitando"</formula>
    </cfRule>
    <cfRule type="cellIs" dxfId="9440" priority="7898" operator="equal">
      <formula>"Deferido"</formula>
    </cfRule>
    <cfRule type="cellIs" dxfId="9439" priority="7899" operator="equal">
      <formula>"Indeferido"</formula>
    </cfRule>
  </conditionalFormatting>
  <conditionalFormatting sqref="M496">
    <cfRule type="containsText" dxfId="9438" priority="7896" operator="containsText" text="Cancelado">
      <formula>NOT(ISERROR(SEARCH("Cancelado",M496)))</formula>
    </cfRule>
  </conditionalFormatting>
  <conditionalFormatting sqref="O496">
    <cfRule type="cellIs" dxfId="9437" priority="7893" operator="equal">
      <formula>"Tramitando"</formula>
    </cfRule>
    <cfRule type="cellIs" dxfId="9436" priority="7894" operator="equal">
      <formula>"Deferido"</formula>
    </cfRule>
    <cfRule type="cellIs" dxfId="9435" priority="7895" operator="equal">
      <formula>"Indeferido"</formula>
    </cfRule>
  </conditionalFormatting>
  <conditionalFormatting sqref="O496">
    <cfRule type="containsText" dxfId="9434" priority="7892" operator="containsText" text="Cancelado">
      <formula>NOT(ISERROR(SEARCH("Cancelado",O496)))</formula>
    </cfRule>
  </conditionalFormatting>
  <conditionalFormatting sqref="Q496">
    <cfRule type="cellIs" dxfId="9433" priority="7889" operator="equal">
      <formula>"Tramitando"</formula>
    </cfRule>
    <cfRule type="cellIs" dxfId="9432" priority="7890" operator="equal">
      <formula>"Deferido"</formula>
    </cfRule>
    <cfRule type="cellIs" dxfId="9431" priority="7891" operator="equal">
      <formula>"Indeferido"</formula>
    </cfRule>
  </conditionalFormatting>
  <conditionalFormatting sqref="Q496">
    <cfRule type="containsText" dxfId="9430" priority="7888" operator="containsText" text="Cancelado">
      <formula>NOT(ISERROR(SEARCH("Cancelado",Q496)))</formula>
    </cfRule>
  </conditionalFormatting>
  <conditionalFormatting sqref="S496">
    <cfRule type="cellIs" dxfId="9429" priority="7885" operator="equal">
      <formula>"Tramitando"</formula>
    </cfRule>
    <cfRule type="cellIs" dxfId="9428" priority="7886" operator="equal">
      <formula>"Deferido"</formula>
    </cfRule>
    <cfRule type="cellIs" dxfId="9427" priority="7887" operator="equal">
      <formula>"Indeferido"</formula>
    </cfRule>
  </conditionalFormatting>
  <conditionalFormatting sqref="S496">
    <cfRule type="containsText" dxfId="9426" priority="7884" operator="containsText" text="Cancelado">
      <formula>NOT(ISERROR(SEARCH("Cancelado",S496)))</formula>
    </cfRule>
  </conditionalFormatting>
  <conditionalFormatting sqref="J497">
    <cfRule type="cellIs" dxfId="9425" priority="7880" operator="equal">
      <formula>"Tramitando"</formula>
    </cfRule>
    <cfRule type="cellIs" dxfId="9424" priority="7881" operator="equal">
      <formula>"Deferido"</formula>
    </cfRule>
    <cfRule type="cellIs" dxfId="9423" priority="7882" operator="equal">
      <formula>"Indeferido"</formula>
    </cfRule>
  </conditionalFormatting>
  <conditionalFormatting sqref="J497">
    <cfRule type="containsText" dxfId="9422" priority="7879" operator="containsText" text="Cancelado">
      <formula>NOT(ISERROR(SEARCH("Cancelado",J497)))</formula>
    </cfRule>
  </conditionalFormatting>
  <conditionalFormatting sqref="M497">
    <cfRule type="cellIs" dxfId="9421" priority="7876" operator="equal">
      <formula>"Tramitando"</formula>
    </cfRule>
    <cfRule type="cellIs" dxfId="9420" priority="7877" operator="equal">
      <formula>"Deferido"</formula>
    </cfRule>
    <cfRule type="cellIs" dxfId="9419" priority="7878" operator="equal">
      <formula>"Indeferido"</formula>
    </cfRule>
  </conditionalFormatting>
  <conditionalFormatting sqref="M497">
    <cfRule type="containsText" dxfId="9418" priority="7875" operator="containsText" text="Cancelado">
      <formula>NOT(ISERROR(SEARCH("Cancelado",M497)))</formula>
    </cfRule>
  </conditionalFormatting>
  <conditionalFormatting sqref="O497">
    <cfRule type="cellIs" dxfId="9417" priority="7872" operator="equal">
      <formula>"Tramitando"</formula>
    </cfRule>
    <cfRule type="cellIs" dxfId="9416" priority="7873" operator="equal">
      <formula>"Deferido"</formula>
    </cfRule>
    <cfRule type="cellIs" dxfId="9415" priority="7874" operator="equal">
      <formula>"Indeferido"</formula>
    </cfRule>
  </conditionalFormatting>
  <conditionalFormatting sqref="O497">
    <cfRule type="containsText" dxfId="9414" priority="7871" operator="containsText" text="Cancelado">
      <formula>NOT(ISERROR(SEARCH("Cancelado",O497)))</formula>
    </cfRule>
  </conditionalFormatting>
  <conditionalFormatting sqref="Q497">
    <cfRule type="cellIs" dxfId="9413" priority="7868" operator="equal">
      <formula>"Tramitando"</formula>
    </cfRule>
    <cfRule type="cellIs" dxfId="9412" priority="7869" operator="equal">
      <formula>"Deferido"</formula>
    </cfRule>
    <cfRule type="cellIs" dxfId="9411" priority="7870" operator="equal">
      <formula>"Indeferido"</formula>
    </cfRule>
  </conditionalFormatting>
  <conditionalFormatting sqref="Q497">
    <cfRule type="containsText" dxfId="9410" priority="7867" operator="containsText" text="Cancelado">
      <formula>NOT(ISERROR(SEARCH("Cancelado",Q497)))</formula>
    </cfRule>
  </conditionalFormatting>
  <conditionalFormatting sqref="S497">
    <cfRule type="cellIs" dxfId="9409" priority="7864" operator="equal">
      <formula>"Tramitando"</formula>
    </cfRule>
    <cfRule type="cellIs" dxfId="9408" priority="7865" operator="equal">
      <formula>"Deferido"</formula>
    </cfRule>
    <cfRule type="cellIs" dxfId="9407" priority="7866" operator="equal">
      <formula>"Indeferido"</formula>
    </cfRule>
  </conditionalFormatting>
  <conditionalFormatting sqref="S497">
    <cfRule type="containsText" dxfId="9406" priority="7863" operator="containsText" text="Cancelado">
      <formula>NOT(ISERROR(SEARCH("Cancelado",S497)))</formula>
    </cfRule>
  </conditionalFormatting>
  <conditionalFormatting sqref="J498">
    <cfRule type="cellIs" dxfId="9405" priority="7859" operator="equal">
      <formula>"Tramitando"</formula>
    </cfRule>
    <cfRule type="cellIs" dxfId="9404" priority="7860" operator="equal">
      <formula>"Deferido"</formula>
    </cfRule>
    <cfRule type="cellIs" dxfId="9403" priority="7861" operator="equal">
      <formula>"Indeferido"</formula>
    </cfRule>
  </conditionalFormatting>
  <conditionalFormatting sqref="J498">
    <cfRule type="containsText" dxfId="9402" priority="7858" operator="containsText" text="Cancelado">
      <formula>NOT(ISERROR(SEARCH("Cancelado",J498)))</formula>
    </cfRule>
  </conditionalFormatting>
  <conditionalFormatting sqref="M498">
    <cfRule type="cellIs" dxfId="9401" priority="7855" operator="equal">
      <formula>"Tramitando"</formula>
    </cfRule>
    <cfRule type="cellIs" dxfId="9400" priority="7856" operator="equal">
      <formula>"Deferido"</formula>
    </cfRule>
    <cfRule type="cellIs" dxfId="9399" priority="7857" operator="equal">
      <formula>"Indeferido"</formula>
    </cfRule>
  </conditionalFormatting>
  <conditionalFormatting sqref="M498">
    <cfRule type="containsText" dxfId="9398" priority="7854" operator="containsText" text="Cancelado">
      <formula>NOT(ISERROR(SEARCH("Cancelado",M498)))</formula>
    </cfRule>
  </conditionalFormatting>
  <conditionalFormatting sqref="O498">
    <cfRule type="cellIs" dxfId="9397" priority="7851" operator="equal">
      <formula>"Tramitando"</formula>
    </cfRule>
    <cfRule type="cellIs" dxfId="9396" priority="7852" operator="equal">
      <formula>"Deferido"</formula>
    </cfRule>
    <cfRule type="cellIs" dxfId="9395" priority="7853" operator="equal">
      <formula>"Indeferido"</formula>
    </cfRule>
  </conditionalFormatting>
  <conditionalFormatting sqref="O498">
    <cfRule type="containsText" dxfId="9394" priority="7850" operator="containsText" text="Cancelado">
      <formula>NOT(ISERROR(SEARCH("Cancelado",O498)))</formula>
    </cfRule>
  </conditionalFormatting>
  <conditionalFormatting sqref="Q498">
    <cfRule type="cellIs" dxfId="9393" priority="7847" operator="equal">
      <formula>"Tramitando"</formula>
    </cfRule>
    <cfRule type="cellIs" dxfId="9392" priority="7848" operator="equal">
      <formula>"Deferido"</formula>
    </cfRule>
    <cfRule type="cellIs" dxfId="9391" priority="7849" operator="equal">
      <formula>"Indeferido"</formula>
    </cfRule>
  </conditionalFormatting>
  <conditionalFormatting sqref="Q498">
    <cfRule type="containsText" dxfId="9390" priority="7846" operator="containsText" text="Cancelado">
      <formula>NOT(ISERROR(SEARCH("Cancelado",Q498)))</formula>
    </cfRule>
  </conditionalFormatting>
  <conditionalFormatting sqref="S498">
    <cfRule type="cellIs" dxfId="9389" priority="7843" operator="equal">
      <formula>"Tramitando"</formula>
    </cfRule>
    <cfRule type="cellIs" dxfId="9388" priority="7844" operator="equal">
      <formula>"Deferido"</formula>
    </cfRule>
    <cfRule type="cellIs" dxfId="9387" priority="7845" operator="equal">
      <formula>"Indeferido"</formula>
    </cfRule>
  </conditionalFormatting>
  <conditionalFormatting sqref="S498">
    <cfRule type="containsText" dxfId="9386" priority="7842" operator="containsText" text="Cancelado">
      <formula>NOT(ISERROR(SEARCH("Cancelado",S498)))</formula>
    </cfRule>
  </conditionalFormatting>
  <conditionalFormatting sqref="J499:J500">
    <cfRule type="cellIs" dxfId="9385" priority="7838" operator="equal">
      <formula>"Tramitando"</formula>
    </cfRule>
    <cfRule type="cellIs" dxfId="9384" priority="7839" operator="equal">
      <formula>"Deferido"</formula>
    </cfRule>
    <cfRule type="cellIs" dxfId="9383" priority="7840" operator="equal">
      <formula>"Indeferido"</formula>
    </cfRule>
  </conditionalFormatting>
  <conditionalFormatting sqref="J499:J500">
    <cfRule type="containsText" dxfId="9382" priority="7837" operator="containsText" text="Cancelado">
      <formula>NOT(ISERROR(SEARCH("Cancelado",J499)))</formula>
    </cfRule>
  </conditionalFormatting>
  <conditionalFormatting sqref="M499:M500">
    <cfRule type="cellIs" dxfId="9381" priority="7834" operator="equal">
      <formula>"Tramitando"</formula>
    </cfRule>
    <cfRule type="cellIs" dxfId="9380" priority="7835" operator="equal">
      <formula>"Deferido"</formula>
    </cfRule>
    <cfRule type="cellIs" dxfId="9379" priority="7836" operator="equal">
      <formula>"Indeferido"</formula>
    </cfRule>
  </conditionalFormatting>
  <conditionalFormatting sqref="M499:M500">
    <cfRule type="containsText" dxfId="9378" priority="7833" operator="containsText" text="Cancelado">
      <formula>NOT(ISERROR(SEARCH("Cancelado",M499)))</formula>
    </cfRule>
  </conditionalFormatting>
  <conditionalFormatting sqref="O499:O500">
    <cfRule type="cellIs" dxfId="9377" priority="7830" operator="equal">
      <formula>"Tramitando"</formula>
    </cfRule>
    <cfRule type="cellIs" dxfId="9376" priority="7831" operator="equal">
      <formula>"Deferido"</formula>
    </cfRule>
    <cfRule type="cellIs" dxfId="9375" priority="7832" operator="equal">
      <formula>"Indeferido"</formula>
    </cfRule>
  </conditionalFormatting>
  <conditionalFormatting sqref="O499:O500">
    <cfRule type="containsText" dxfId="9374" priority="7829" operator="containsText" text="Cancelado">
      <formula>NOT(ISERROR(SEARCH("Cancelado",O499)))</formula>
    </cfRule>
  </conditionalFormatting>
  <conditionalFormatting sqref="Q499:Q500">
    <cfRule type="cellIs" dxfId="9373" priority="7826" operator="equal">
      <formula>"Tramitando"</formula>
    </cfRule>
    <cfRule type="cellIs" dxfId="9372" priority="7827" operator="equal">
      <formula>"Deferido"</formula>
    </cfRule>
    <cfRule type="cellIs" dxfId="9371" priority="7828" operator="equal">
      <formula>"Indeferido"</formula>
    </cfRule>
  </conditionalFormatting>
  <conditionalFormatting sqref="Q499:Q500">
    <cfRule type="containsText" dxfId="9370" priority="7825" operator="containsText" text="Cancelado">
      <formula>NOT(ISERROR(SEARCH("Cancelado",Q499)))</formula>
    </cfRule>
  </conditionalFormatting>
  <conditionalFormatting sqref="S499:S500">
    <cfRule type="cellIs" dxfId="9369" priority="7822" operator="equal">
      <formula>"Tramitando"</formula>
    </cfRule>
    <cfRule type="cellIs" dxfId="9368" priority="7823" operator="equal">
      <formula>"Deferido"</formula>
    </cfRule>
    <cfRule type="cellIs" dxfId="9367" priority="7824" operator="equal">
      <formula>"Indeferido"</formula>
    </cfRule>
  </conditionalFormatting>
  <conditionalFormatting sqref="S499:S500">
    <cfRule type="containsText" dxfId="9366" priority="7821" operator="containsText" text="Cancelado">
      <formula>NOT(ISERROR(SEARCH("Cancelado",S499)))</formula>
    </cfRule>
  </conditionalFormatting>
  <conditionalFormatting sqref="J501:J502">
    <cfRule type="cellIs" dxfId="9365" priority="7817" operator="equal">
      <formula>"Tramitando"</formula>
    </cfRule>
    <cfRule type="cellIs" dxfId="9364" priority="7818" operator="equal">
      <formula>"Deferido"</formula>
    </cfRule>
    <cfRule type="cellIs" dxfId="9363" priority="7819" operator="equal">
      <formula>"Indeferido"</formula>
    </cfRule>
  </conditionalFormatting>
  <conditionalFormatting sqref="J501:J502">
    <cfRule type="containsText" dxfId="9362" priority="7816" operator="containsText" text="Cancelado">
      <formula>NOT(ISERROR(SEARCH("Cancelado",J501)))</formula>
    </cfRule>
  </conditionalFormatting>
  <conditionalFormatting sqref="M501:M502">
    <cfRule type="cellIs" dxfId="9361" priority="7813" operator="equal">
      <formula>"Tramitando"</formula>
    </cfRule>
    <cfRule type="cellIs" dxfId="9360" priority="7814" operator="equal">
      <formula>"Deferido"</formula>
    </cfRule>
    <cfRule type="cellIs" dxfId="9359" priority="7815" operator="equal">
      <formula>"Indeferido"</formula>
    </cfRule>
  </conditionalFormatting>
  <conditionalFormatting sqref="M501:M502">
    <cfRule type="containsText" dxfId="9358" priority="7812" operator="containsText" text="Cancelado">
      <formula>NOT(ISERROR(SEARCH("Cancelado",M501)))</formula>
    </cfRule>
  </conditionalFormatting>
  <conditionalFormatting sqref="O501:O502">
    <cfRule type="cellIs" dxfId="9357" priority="7809" operator="equal">
      <formula>"Tramitando"</formula>
    </cfRule>
    <cfRule type="cellIs" dxfId="9356" priority="7810" operator="equal">
      <formula>"Deferido"</formula>
    </cfRule>
    <cfRule type="cellIs" dxfId="9355" priority="7811" operator="equal">
      <formula>"Indeferido"</formula>
    </cfRule>
  </conditionalFormatting>
  <conditionalFormatting sqref="O501:O502">
    <cfRule type="containsText" dxfId="9354" priority="7808" operator="containsText" text="Cancelado">
      <formula>NOT(ISERROR(SEARCH("Cancelado",O501)))</formula>
    </cfRule>
  </conditionalFormatting>
  <conditionalFormatting sqref="Q501:Q502">
    <cfRule type="cellIs" dxfId="9353" priority="7805" operator="equal">
      <formula>"Tramitando"</formula>
    </cfRule>
    <cfRule type="cellIs" dxfId="9352" priority="7806" operator="equal">
      <formula>"Deferido"</formula>
    </cfRule>
    <cfRule type="cellIs" dxfId="9351" priority="7807" operator="equal">
      <formula>"Indeferido"</formula>
    </cfRule>
  </conditionalFormatting>
  <conditionalFormatting sqref="Q501:Q502">
    <cfRule type="containsText" dxfId="9350" priority="7804" operator="containsText" text="Cancelado">
      <formula>NOT(ISERROR(SEARCH("Cancelado",Q501)))</formula>
    </cfRule>
  </conditionalFormatting>
  <conditionalFormatting sqref="S501:S502">
    <cfRule type="cellIs" dxfId="9349" priority="7801" operator="equal">
      <formula>"Tramitando"</formula>
    </cfRule>
    <cfRule type="cellIs" dxfId="9348" priority="7802" operator="equal">
      <formula>"Deferido"</formula>
    </cfRule>
    <cfRule type="cellIs" dxfId="9347" priority="7803" operator="equal">
      <formula>"Indeferido"</formula>
    </cfRule>
  </conditionalFormatting>
  <conditionalFormatting sqref="S501:S502">
    <cfRule type="containsText" dxfId="9346" priority="7800" operator="containsText" text="Cancelado">
      <formula>NOT(ISERROR(SEARCH("Cancelado",S501)))</formula>
    </cfRule>
  </conditionalFormatting>
  <conditionalFormatting sqref="J503:J505">
    <cfRule type="cellIs" dxfId="9345" priority="7796" operator="equal">
      <formula>"Tramitando"</formula>
    </cfRule>
    <cfRule type="cellIs" dxfId="9344" priority="7797" operator="equal">
      <formula>"Deferido"</formula>
    </cfRule>
    <cfRule type="cellIs" dxfId="9343" priority="7798" operator="equal">
      <formula>"Indeferido"</formula>
    </cfRule>
  </conditionalFormatting>
  <conditionalFormatting sqref="J503:J505">
    <cfRule type="containsText" dxfId="9342" priority="7795" operator="containsText" text="Cancelado">
      <formula>NOT(ISERROR(SEARCH("Cancelado",J503)))</formula>
    </cfRule>
  </conditionalFormatting>
  <conditionalFormatting sqref="M503:M505">
    <cfRule type="cellIs" dxfId="9341" priority="7792" operator="equal">
      <formula>"Tramitando"</formula>
    </cfRule>
    <cfRule type="cellIs" dxfId="9340" priority="7793" operator="equal">
      <formula>"Deferido"</formula>
    </cfRule>
    <cfRule type="cellIs" dxfId="9339" priority="7794" operator="equal">
      <formula>"Indeferido"</formula>
    </cfRule>
  </conditionalFormatting>
  <conditionalFormatting sqref="M503:M505">
    <cfRule type="containsText" dxfId="9338" priority="7791" operator="containsText" text="Cancelado">
      <formula>NOT(ISERROR(SEARCH("Cancelado",M503)))</formula>
    </cfRule>
  </conditionalFormatting>
  <conditionalFormatting sqref="O503:O505">
    <cfRule type="cellIs" dxfId="9337" priority="7788" operator="equal">
      <formula>"Tramitando"</formula>
    </cfRule>
    <cfRule type="cellIs" dxfId="9336" priority="7789" operator="equal">
      <formula>"Deferido"</formula>
    </cfRule>
    <cfRule type="cellIs" dxfId="9335" priority="7790" operator="equal">
      <formula>"Indeferido"</formula>
    </cfRule>
  </conditionalFormatting>
  <conditionalFormatting sqref="O503:O505">
    <cfRule type="containsText" dxfId="9334" priority="7787" operator="containsText" text="Cancelado">
      <formula>NOT(ISERROR(SEARCH("Cancelado",O503)))</formula>
    </cfRule>
  </conditionalFormatting>
  <conditionalFormatting sqref="Q503:Q505">
    <cfRule type="cellIs" dxfId="9333" priority="7784" operator="equal">
      <formula>"Tramitando"</formula>
    </cfRule>
    <cfRule type="cellIs" dxfId="9332" priority="7785" operator="equal">
      <formula>"Deferido"</formula>
    </cfRule>
    <cfRule type="cellIs" dxfId="9331" priority="7786" operator="equal">
      <formula>"Indeferido"</formula>
    </cfRule>
  </conditionalFormatting>
  <conditionalFormatting sqref="Q503:Q505">
    <cfRule type="containsText" dxfId="9330" priority="7783" operator="containsText" text="Cancelado">
      <formula>NOT(ISERROR(SEARCH("Cancelado",Q503)))</formula>
    </cfRule>
  </conditionalFormatting>
  <conditionalFormatting sqref="S503:S505">
    <cfRule type="cellIs" dxfId="9329" priority="7780" operator="equal">
      <formula>"Tramitando"</formula>
    </cfRule>
    <cfRule type="cellIs" dxfId="9328" priority="7781" operator="equal">
      <formula>"Deferido"</formula>
    </cfRule>
    <cfRule type="cellIs" dxfId="9327" priority="7782" operator="equal">
      <formula>"Indeferido"</formula>
    </cfRule>
  </conditionalFormatting>
  <conditionalFormatting sqref="S503:S505">
    <cfRule type="containsText" dxfId="9326" priority="7779" operator="containsText" text="Cancelado">
      <formula>NOT(ISERROR(SEARCH("Cancelado",S503)))</formula>
    </cfRule>
  </conditionalFormatting>
  <conditionalFormatting sqref="J506:J508">
    <cfRule type="cellIs" dxfId="9325" priority="7775" operator="equal">
      <formula>"Tramitando"</formula>
    </cfRule>
    <cfRule type="cellIs" dxfId="9324" priority="7776" operator="equal">
      <formula>"Deferido"</formula>
    </cfRule>
    <cfRule type="cellIs" dxfId="9323" priority="7777" operator="equal">
      <formula>"Indeferido"</formula>
    </cfRule>
  </conditionalFormatting>
  <conditionalFormatting sqref="J506:J508">
    <cfRule type="containsText" dxfId="9322" priority="7774" operator="containsText" text="Cancelado">
      <formula>NOT(ISERROR(SEARCH("Cancelado",J506)))</formula>
    </cfRule>
  </conditionalFormatting>
  <conditionalFormatting sqref="M506:M508">
    <cfRule type="cellIs" dxfId="9321" priority="7771" operator="equal">
      <formula>"Tramitando"</formula>
    </cfRule>
    <cfRule type="cellIs" dxfId="9320" priority="7772" operator="equal">
      <formula>"Deferido"</formula>
    </cfRule>
    <cfRule type="cellIs" dxfId="9319" priority="7773" operator="equal">
      <formula>"Indeferido"</formula>
    </cfRule>
  </conditionalFormatting>
  <conditionalFormatting sqref="M506:M508">
    <cfRule type="containsText" dxfId="9318" priority="7770" operator="containsText" text="Cancelado">
      <formula>NOT(ISERROR(SEARCH("Cancelado",M506)))</formula>
    </cfRule>
  </conditionalFormatting>
  <conditionalFormatting sqref="O506:O508">
    <cfRule type="cellIs" dxfId="9317" priority="7767" operator="equal">
      <formula>"Tramitando"</formula>
    </cfRule>
    <cfRule type="cellIs" dxfId="9316" priority="7768" operator="equal">
      <formula>"Deferido"</formula>
    </cfRule>
    <cfRule type="cellIs" dxfId="9315" priority="7769" operator="equal">
      <formula>"Indeferido"</formula>
    </cfRule>
  </conditionalFormatting>
  <conditionalFormatting sqref="O506:O508">
    <cfRule type="containsText" dxfId="9314" priority="7766" operator="containsText" text="Cancelado">
      <formula>NOT(ISERROR(SEARCH("Cancelado",O506)))</formula>
    </cfRule>
  </conditionalFormatting>
  <conditionalFormatting sqref="Q506:Q508">
    <cfRule type="cellIs" dxfId="9313" priority="7763" operator="equal">
      <formula>"Tramitando"</formula>
    </cfRule>
    <cfRule type="cellIs" dxfId="9312" priority="7764" operator="equal">
      <formula>"Deferido"</formula>
    </cfRule>
    <cfRule type="cellIs" dxfId="9311" priority="7765" operator="equal">
      <formula>"Indeferido"</formula>
    </cfRule>
  </conditionalFormatting>
  <conditionalFormatting sqref="Q506:Q508">
    <cfRule type="containsText" dxfId="9310" priority="7762" operator="containsText" text="Cancelado">
      <formula>NOT(ISERROR(SEARCH("Cancelado",Q506)))</formula>
    </cfRule>
  </conditionalFormatting>
  <conditionalFormatting sqref="S506:S508">
    <cfRule type="cellIs" dxfId="9309" priority="7759" operator="equal">
      <formula>"Tramitando"</formula>
    </cfRule>
    <cfRule type="cellIs" dxfId="9308" priority="7760" operator="equal">
      <formula>"Deferido"</formula>
    </cfRule>
    <cfRule type="cellIs" dxfId="9307" priority="7761" operator="equal">
      <formula>"Indeferido"</formula>
    </cfRule>
  </conditionalFormatting>
  <conditionalFormatting sqref="S506:S508">
    <cfRule type="containsText" dxfId="9306" priority="7758" operator="containsText" text="Cancelado">
      <formula>NOT(ISERROR(SEARCH("Cancelado",S506)))</formula>
    </cfRule>
  </conditionalFormatting>
  <conditionalFormatting sqref="J509">
    <cfRule type="cellIs" dxfId="9305" priority="7754" operator="equal">
      <formula>"Tramitando"</formula>
    </cfRule>
    <cfRule type="cellIs" dxfId="9304" priority="7755" operator="equal">
      <formula>"Deferido"</formula>
    </cfRule>
    <cfRule type="cellIs" dxfId="9303" priority="7756" operator="equal">
      <formula>"Indeferido"</formula>
    </cfRule>
  </conditionalFormatting>
  <conditionalFormatting sqref="J509">
    <cfRule type="containsText" dxfId="9302" priority="7753" operator="containsText" text="Cancelado">
      <formula>NOT(ISERROR(SEARCH("Cancelado",J509)))</formula>
    </cfRule>
  </conditionalFormatting>
  <conditionalFormatting sqref="M509">
    <cfRule type="cellIs" dxfId="9301" priority="7750" operator="equal">
      <formula>"Tramitando"</formula>
    </cfRule>
    <cfRule type="cellIs" dxfId="9300" priority="7751" operator="equal">
      <formula>"Deferido"</formula>
    </cfRule>
    <cfRule type="cellIs" dxfId="9299" priority="7752" operator="equal">
      <formula>"Indeferido"</formula>
    </cfRule>
  </conditionalFormatting>
  <conditionalFormatting sqref="M509">
    <cfRule type="containsText" dxfId="9298" priority="7749" operator="containsText" text="Cancelado">
      <formula>NOT(ISERROR(SEARCH("Cancelado",M509)))</formula>
    </cfRule>
  </conditionalFormatting>
  <conditionalFormatting sqref="O509">
    <cfRule type="cellIs" dxfId="9297" priority="7746" operator="equal">
      <formula>"Tramitando"</formula>
    </cfRule>
    <cfRule type="cellIs" dxfId="9296" priority="7747" operator="equal">
      <formula>"Deferido"</formula>
    </cfRule>
    <cfRule type="cellIs" dxfId="9295" priority="7748" operator="equal">
      <formula>"Indeferido"</formula>
    </cfRule>
  </conditionalFormatting>
  <conditionalFormatting sqref="O509">
    <cfRule type="containsText" dxfId="9294" priority="7745" operator="containsText" text="Cancelado">
      <formula>NOT(ISERROR(SEARCH("Cancelado",O509)))</formula>
    </cfRule>
  </conditionalFormatting>
  <conditionalFormatting sqref="Q509">
    <cfRule type="cellIs" dxfId="9293" priority="7742" operator="equal">
      <formula>"Tramitando"</formula>
    </cfRule>
    <cfRule type="cellIs" dxfId="9292" priority="7743" operator="equal">
      <formula>"Deferido"</formula>
    </cfRule>
    <cfRule type="cellIs" dxfId="9291" priority="7744" operator="equal">
      <formula>"Indeferido"</formula>
    </cfRule>
  </conditionalFormatting>
  <conditionalFormatting sqref="Q509">
    <cfRule type="containsText" dxfId="9290" priority="7741" operator="containsText" text="Cancelado">
      <formula>NOT(ISERROR(SEARCH("Cancelado",Q509)))</formula>
    </cfRule>
  </conditionalFormatting>
  <conditionalFormatting sqref="S509">
    <cfRule type="cellIs" dxfId="9289" priority="7738" operator="equal">
      <formula>"Tramitando"</formula>
    </cfRule>
    <cfRule type="cellIs" dxfId="9288" priority="7739" operator="equal">
      <formula>"Deferido"</formula>
    </cfRule>
    <cfRule type="cellIs" dxfId="9287" priority="7740" operator="equal">
      <formula>"Indeferido"</formula>
    </cfRule>
  </conditionalFormatting>
  <conditionalFormatting sqref="S509">
    <cfRule type="containsText" dxfId="9286" priority="7737" operator="containsText" text="Cancelado">
      <formula>NOT(ISERROR(SEARCH("Cancelado",S509)))</formula>
    </cfRule>
  </conditionalFormatting>
  <conditionalFormatting sqref="J510">
    <cfRule type="cellIs" dxfId="9285" priority="7733" operator="equal">
      <formula>"Tramitando"</formula>
    </cfRule>
    <cfRule type="cellIs" dxfId="9284" priority="7734" operator="equal">
      <formula>"Deferido"</formula>
    </cfRule>
    <cfRule type="cellIs" dxfId="9283" priority="7735" operator="equal">
      <formula>"Indeferido"</formula>
    </cfRule>
  </conditionalFormatting>
  <conditionalFormatting sqref="J510">
    <cfRule type="containsText" dxfId="9282" priority="7732" operator="containsText" text="Cancelado">
      <formula>NOT(ISERROR(SEARCH("Cancelado",J510)))</formula>
    </cfRule>
  </conditionalFormatting>
  <conditionalFormatting sqref="M510">
    <cfRule type="cellIs" dxfId="9281" priority="7729" operator="equal">
      <formula>"Tramitando"</formula>
    </cfRule>
    <cfRule type="cellIs" dxfId="9280" priority="7730" operator="equal">
      <formula>"Deferido"</formula>
    </cfRule>
    <cfRule type="cellIs" dxfId="9279" priority="7731" operator="equal">
      <formula>"Indeferido"</formula>
    </cfRule>
  </conditionalFormatting>
  <conditionalFormatting sqref="M510">
    <cfRule type="containsText" dxfId="9278" priority="7728" operator="containsText" text="Cancelado">
      <formula>NOT(ISERROR(SEARCH("Cancelado",M510)))</formula>
    </cfRule>
  </conditionalFormatting>
  <conditionalFormatting sqref="O510">
    <cfRule type="cellIs" dxfId="9277" priority="7725" operator="equal">
      <formula>"Tramitando"</formula>
    </cfRule>
    <cfRule type="cellIs" dxfId="9276" priority="7726" operator="equal">
      <formula>"Deferido"</formula>
    </cfRule>
    <cfRule type="cellIs" dxfId="9275" priority="7727" operator="equal">
      <formula>"Indeferido"</formula>
    </cfRule>
  </conditionalFormatting>
  <conditionalFormatting sqref="O510">
    <cfRule type="containsText" dxfId="9274" priority="7724" operator="containsText" text="Cancelado">
      <formula>NOT(ISERROR(SEARCH("Cancelado",O510)))</formula>
    </cfRule>
  </conditionalFormatting>
  <conditionalFormatting sqref="Q510">
    <cfRule type="cellIs" dxfId="9273" priority="7721" operator="equal">
      <formula>"Tramitando"</formula>
    </cfRule>
    <cfRule type="cellIs" dxfId="9272" priority="7722" operator="equal">
      <formula>"Deferido"</formula>
    </cfRule>
    <cfRule type="cellIs" dxfId="9271" priority="7723" operator="equal">
      <formula>"Indeferido"</formula>
    </cfRule>
  </conditionalFormatting>
  <conditionalFormatting sqref="Q510">
    <cfRule type="containsText" dxfId="9270" priority="7720" operator="containsText" text="Cancelado">
      <formula>NOT(ISERROR(SEARCH("Cancelado",Q510)))</formula>
    </cfRule>
  </conditionalFormatting>
  <conditionalFormatting sqref="S510">
    <cfRule type="cellIs" dxfId="9269" priority="7717" operator="equal">
      <formula>"Tramitando"</formula>
    </cfRule>
    <cfRule type="cellIs" dxfId="9268" priority="7718" operator="equal">
      <formula>"Deferido"</formula>
    </cfRule>
    <cfRule type="cellIs" dxfId="9267" priority="7719" operator="equal">
      <formula>"Indeferido"</formula>
    </cfRule>
  </conditionalFormatting>
  <conditionalFormatting sqref="S510">
    <cfRule type="containsText" dxfId="9266" priority="7716" operator="containsText" text="Cancelado">
      <formula>NOT(ISERROR(SEARCH("Cancelado",S510)))</formula>
    </cfRule>
  </conditionalFormatting>
  <conditionalFormatting sqref="O511">
    <cfRule type="cellIs" dxfId="9265" priority="7704" operator="equal">
      <formula>"Tramitando"</formula>
    </cfRule>
    <cfRule type="cellIs" dxfId="9264" priority="7705" operator="equal">
      <formula>"Deferido"</formula>
    </cfRule>
    <cfRule type="cellIs" dxfId="9263" priority="7706" operator="equal">
      <formula>"Indeferido"</formula>
    </cfRule>
  </conditionalFormatting>
  <conditionalFormatting sqref="O511">
    <cfRule type="containsText" dxfId="9262" priority="7703" operator="containsText" text="Cancelado">
      <formula>NOT(ISERROR(SEARCH("Cancelado",O511)))</formula>
    </cfRule>
  </conditionalFormatting>
  <conditionalFormatting sqref="M511">
    <cfRule type="cellIs" dxfId="9261" priority="7708" operator="equal">
      <formula>"Tramitando"</formula>
    </cfRule>
    <cfRule type="cellIs" dxfId="9260" priority="7709" operator="equal">
      <formula>"Deferido"</formula>
    </cfRule>
    <cfRule type="cellIs" dxfId="9259" priority="7710" operator="equal">
      <formula>"Indeferido"</formula>
    </cfRule>
  </conditionalFormatting>
  <conditionalFormatting sqref="M511">
    <cfRule type="containsText" dxfId="9258" priority="7707" operator="containsText" text="Cancelado">
      <formula>NOT(ISERROR(SEARCH("Cancelado",M511)))</formula>
    </cfRule>
  </conditionalFormatting>
  <conditionalFormatting sqref="Q511">
    <cfRule type="cellIs" dxfId="9257" priority="7700" operator="equal">
      <formula>"Tramitando"</formula>
    </cfRule>
    <cfRule type="cellIs" dxfId="9256" priority="7701" operator="equal">
      <formula>"Deferido"</formula>
    </cfRule>
    <cfRule type="cellIs" dxfId="9255" priority="7702" operator="equal">
      <formula>"Indeferido"</formula>
    </cfRule>
  </conditionalFormatting>
  <conditionalFormatting sqref="Q511">
    <cfRule type="containsText" dxfId="9254" priority="7699" operator="containsText" text="Cancelado">
      <formula>NOT(ISERROR(SEARCH("Cancelado",Q511)))</formula>
    </cfRule>
  </conditionalFormatting>
  <conditionalFormatting sqref="S511">
    <cfRule type="cellIs" dxfId="9253" priority="7696" operator="equal">
      <formula>"Tramitando"</formula>
    </cfRule>
    <cfRule type="cellIs" dxfId="9252" priority="7697" operator="equal">
      <formula>"Deferido"</formula>
    </cfRule>
    <cfRule type="cellIs" dxfId="9251" priority="7698" operator="equal">
      <formula>"Indeferido"</formula>
    </cfRule>
  </conditionalFormatting>
  <conditionalFormatting sqref="S511">
    <cfRule type="containsText" dxfId="9250" priority="7695" operator="containsText" text="Cancelado">
      <formula>NOT(ISERROR(SEARCH("Cancelado",S511)))</formula>
    </cfRule>
  </conditionalFormatting>
  <conditionalFormatting sqref="J512">
    <cfRule type="cellIs" dxfId="9249" priority="7691" operator="equal">
      <formula>"Tramitando"</formula>
    </cfRule>
    <cfRule type="cellIs" dxfId="9248" priority="7692" operator="equal">
      <formula>"Deferido"</formula>
    </cfRule>
    <cfRule type="cellIs" dxfId="9247" priority="7693" operator="equal">
      <formula>"Indeferido"</formula>
    </cfRule>
  </conditionalFormatting>
  <conditionalFormatting sqref="J512">
    <cfRule type="containsText" dxfId="9246" priority="7690" operator="containsText" text="Cancelado">
      <formula>NOT(ISERROR(SEARCH("Cancelado",J512)))</formula>
    </cfRule>
  </conditionalFormatting>
  <conditionalFormatting sqref="M512">
    <cfRule type="cellIs" dxfId="9245" priority="7687" operator="equal">
      <formula>"Tramitando"</formula>
    </cfRule>
    <cfRule type="cellIs" dxfId="9244" priority="7688" operator="equal">
      <formula>"Deferido"</formula>
    </cfRule>
    <cfRule type="cellIs" dxfId="9243" priority="7689" operator="equal">
      <formula>"Indeferido"</formula>
    </cfRule>
  </conditionalFormatting>
  <conditionalFormatting sqref="M512">
    <cfRule type="containsText" dxfId="9242" priority="7686" operator="containsText" text="Cancelado">
      <formula>NOT(ISERROR(SEARCH("Cancelado",M512)))</formula>
    </cfRule>
  </conditionalFormatting>
  <conditionalFormatting sqref="O512">
    <cfRule type="cellIs" dxfId="9241" priority="7683" operator="equal">
      <formula>"Tramitando"</formula>
    </cfRule>
    <cfRule type="cellIs" dxfId="9240" priority="7684" operator="equal">
      <formula>"Deferido"</formula>
    </cfRule>
    <cfRule type="cellIs" dxfId="9239" priority="7685" operator="equal">
      <formula>"Indeferido"</formula>
    </cfRule>
  </conditionalFormatting>
  <conditionalFormatting sqref="O512">
    <cfRule type="containsText" dxfId="9238" priority="7682" operator="containsText" text="Cancelado">
      <formula>NOT(ISERROR(SEARCH("Cancelado",O512)))</formula>
    </cfRule>
  </conditionalFormatting>
  <conditionalFormatting sqref="Q512">
    <cfRule type="cellIs" dxfId="9237" priority="7679" operator="equal">
      <formula>"Tramitando"</formula>
    </cfRule>
    <cfRule type="cellIs" dxfId="9236" priority="7680" operator="equal">
      <formula>"Deferido"</formula>
    </cfRule>
    <cfRule type="cellIs" dxfId="9235" priority="7681" operator="equal">
      <formula>"Indeferido"</formula>
    </cfRule>
  </conditionalFormatting>
  <conditionalFormatting sqref="Q512">
    <cfRule type="containsText" dxfId="9234" priority="7678" operator="containsText" text="Cancelado">
      <formula>NOT(ISERROR(SEARCH("Cancelado",Q512)))</formula>
    </cfRule>
  </conditionalFormatting>
  <conditionalFormatting sqref="S512">
    <cfRule type="cellIs" dxfId="9233" priority="7675" operator="equal">
      <formula>"Tramitando"</formula>
    </cfRule>
    <cfRule type="cellIs" dxfId="9232" priority="7676" operator="equal">
      <formula>"Deferido"</formula>
    </cfRule>
    <cfRule type="cellIs" dxfId="9231" priority="7677" operator="equal">
      <formula>"Indeferido"</formula>
    </cfRule>
  </conditionalFormatting>
  <conditionalFormatting sqref="S512">
    <cfRule type="containsText" dxfId="9230" priority="7674" operator="containsText" text="Cancelado">
      <formula>NOT(ISERROR(SEARCH("Cancelado",S512)))</formula>
    </cfRule>
  </conditionalFormatting>
  <conditionalFormatting sqref="M513">
    <cfRule type="cellIs" dxfId="9229" priority="7666" operator="equal">
      <formula>"Tramitando"</formula>
    </cfRule>
    <cfRule type="cellIs" dxfId="9228" priority="7667" operator="equal">
      <formula>"Deferido"</formula>
    </cfRule>
    <cfRule type="cellIs" dxfId="9227" priority="7668" operator="equal">
      <formula>"Indeferido"</formula>
    </cfRule>
  </conditionalFormatting>
  <conditionalFormatting sqref="M513">
    <cfRule type="containsText" dxfId="9226" priority="7665" operator="containsText" text="Cancelado">
      <formula>NOT(ISERROR(SEARCH("Cancelado",M513)))</formula>
    </cfRule>
  </conditionalFormatting>
  <conditionalFormatting sqref="O513">
    <cfRule type="cellIs" dxfId="9225" priority="7662" operator="equal">
      <formula>"Tramitando"</formula>
    </cfRule>
    <cfRule type="cellIs" dxfId="9224" priority="7663" operator="equal">
      <formula>"Deferido"</formula>
    </cfRule>
    <cfRule type="cellIs" dxfId="9223" priority="7664" operator="equal">
      <formula>"Indeferido"</formula>
    </cfRule>
  </conditionalFormatting>
  <conditionalFormatting sqref="O513">
    <cfRule type="containsText" dxfId="9222" priority="7661" operator="containsText" text="Cancelado">
      <formula>NOT(ISERROR(SEARCH("Cancelado",O513)))</formula>
    </cfRule>
  </conditionalFormatting>
  <conditionalFormatting sqref="Q513">
    <cfRule type="cellIs" dxfId="9221" priority="7658" operator="equal">
      <formula>"Tramitando"</formula>
    </cfRule>
    <cfRule type="cellIs" dxfId="9220" priority="7659" operator="equal">
      <formula>"Deferido"</formula>
    </cfRule>
    <cfRule type="cellIs" dxfId="9219" priority="7660" operator="equal">
      <formula>"Indeferido"</formula>
    </cfRule>
  </conditionalFormatting>
  <conditionalFormatting sqref="Q513">
    <cfRule type="containsText" dxfId="9218" priority="7657" operator="containsText" text="Cancelado">
      <formula>NOT(ISERROR(SEARCH("Cancelado",Q513)))</formula>
    </cfRule>
  </conditionalFormatting>
  <conditionalFormatting sqref="S513">
    <cfRule type="cellIs" dxfId="9217" priority="7654" operator="equal">
      <formula>"Tramitando"</formula>
    </cfRule>
    <cfRule type="cellIs" dxfId="9216" priority="7655" operator="equal">
      <formula>"Deferido"</formula>
    </cfRule>
    <cfRule type="cellIs" dxfId="9215" priority="7656" operator="equal">
      <formula>"Indeferido"</formula>
    </cfRule>
  </conditionalFormatting>
  <conditionalFormatting sqref="S513">
    <cfRule type="containsText" dxfId="9214" priority="7653" operator="containsText" text="Cancelado">
      <formula>NOT(ISERROR(SEARCH("Cancelado",S513)))</formula>
    </cfRule>
  </conditionalFormatting>
  <conditionalFormatting sqref="M514">
    <cfRule type="cellIs" dxfId="9213" priority="7645" operator="equal">
      <formula>"Tramitando"</formula>
    </cfRule>
    <cfRule type="cellIs" dxfId="9212" priority="7646" operator="equal">
      <formula>"Deferido"</formula>
    </cfRule>
    <cfRule type="cellIs" dxfId="9211" priority="7647" operator="equal">
      <formula>"Indeferido"</formula>
    </cfRule>
  </conditionalFormatting>
  <conditionalFormatting sqref="M514">
    <cfRule type="containsText" dxfId="9210" priority="7644" operator="containsText" text="Cancelado">
      <formula>NOT(ISERROR(SEARCH("Cancelado",M514)))</formula>
    </cfRule>
  </conditionalFormatting>
  <conditionalFormatting sqref="O514">
    <cfRule type="cellIs" dxfId="9209" priority="7641" operator="equal">
      <formula>"Tramitando"</formula>
    </cfRule>
    <cfRule type="cellIs" dxfId="9208" priority="7642" operator="equal">
      <formula>"Deferido"</formula>
    </cfRule>
    <cfRule type="cellIs" dxfId="9207" priority="7643" operator="equal">
      <formula>"Indeferido"</formula>
    </cfRule>
  </conditionalFormatting>
  <conditionalFormatting sqref="O514">
    <cfRule type="containsText" dxfId="9206" priority="7640" operator="containsText" text="Cancelado">
      <formula>NOT(ISERROR(SEARCH("Cancelado",O514)))</formula>
    </cfRule>
  </conditionalFormatting>
  <conditionalFormatting sqref="Q514">
    <cfRule type="cellIs" dxfId="9205" priority="7637" operator="equal">
      <formula>"Tramitando"</formula>
    </cfRule>
    <cfRule type="cellIs" dxfId="9204" priority="7638" operator="equal">
      <formula>"Deferido"</formula>
    </cfRule>
    <cfRule type="cellIs" dxfId="9203" priority="7639" operator="equal">
      <formula>"Indeferido"</formula>
    </cfRule>
  </conditionalFormatting>
  <conditionalFormatting sqref="Q514">
    <cfRule type="containsText" dxfId="9202" priority="7636" operator="containsText" text="Cancelado">
      <formula>NOT(ISERROR(SEARCH("Cancelado",Q514)))</formula>
    </cfRule>
  </conditionalFormatting>
  <conditionalFormatting sqref="S514">
    <cfRule type="cellIs" dxfId="9201" priority="7633" operator="equal">
      <formula>"Tramitando"</formula>
    </cfRule>
    <cfRule type="cellIs" dxfId="9200" priority="7634" operator="equal">
      <formula>"Deferido"</formula>
    </cfRule>
    <cfRule type="cellIs" dxfId="9199" priority="7635" operator="equal">
      <formula>"Indeferido"</formula>
    </cfRule>
  </conditionalFormatting>
  <conditionalFormatting sqref="S514">
    <cfRule type="containsText" dxfId="9198" priority="7632" operator="containsText" text="Cancelado">
      <formula>NOT(ISERROR(SEARCH("Cancelado",S514)))</formula>
    </cfRule>
  </conditionalFormatting>
  <conditionalFormatting sqref="J515">
    <cfRule type="cellIs" dxfId="9197" priority="7628" operator="equal">
      <formula>"Tramitando"</formula>
    </cfRule>
    <cfRule type="cellIs" dxfId="9196" priority="7629" operator="equal">
      <formula>"Deferido"</formula>
    </cfRule>
    <cfRule type="cellIs" dxfId="9195" priority="7630" operator="equal">
      <formula>"Indeferido"</formula>
    </cfRule>
  </conditionalFormatting>
  <conditionalFormatting sqref="J515">
    <cfRule type="containsText" dxfId="9194" priority="7627" operator="containsText" text="Cancelado">
      <formula>NOT(ISERROR(SEARCH("Cancelado",J515)))</formula>
    </cfRule>
  </conditionalFormatting>
  <conditionalFormatting sqref="M515">
    <cfRule type="cellIs" dxfId="9193" priority="7624" operator="equal">
      <formula>"Tramitando"</formula>
    </cfRule>
    <cfRule type="cellIs" dxfId="9192" priority="7625" operator="equal">
      <formula>"Deferido"</formula>
    </cfRule>
    <cfRule type="cellIs" dxfId="9191" priority="7626" operator="equal">
      <formula>"Indeferido"</formula>
    </cfRule>
  </conditionalFormatting>
  <conditionalFormatting sqref="M515">
    <cfRule type="containsText" dxfId="9190" priority="7623" operator="containsText" text="Cancelado">
      <formula>NOT(ISERROR(SEARCH("Cancelado",M515)))</formula>
    </cfRule>
  </conditionalFormatting>
  <conditionalFormatting sqref="O515">
    <cfRule type="cellIs" dxfId="9189" priority="7620" operator="equal">
      <formula>"Tramitando"</formula>
    </cfRule>
    <cfRule type="cellIs" dxfId="9188" priority="7621" operator="equal">
      <formula>"Deferido"</formula>
    </cfRule>
    <cfRule type="cellIs" dxfId="9187" priority="7622" operator="equal">
      <formula>"Indeferido"</formula>
    </cfRule>
  </conditionalFormatting>
  <conditionalFormatting sqref="O515">
    <cfRule type="containsText" dxfId="9186" priority="7619" operator="containsText" text="Cancelado">
      <formula>NOT(ISERROR(SEARCH("Cancelado",O515)))</formula>
    </cfRule>
  </conditionalFormatting>
  <conditionalFormatting sqref="Q515">
    <cfRule type="cellIs" dxfId="9185" priority="7616" operator="equal">
      <formula>"Tramitando"</formula>
    </cfRule>
    <cfRule type="cellIs" dxfId="9184" priority="7617" operator="equal">
      <formula>"Deferido"</formula>
    </cfRule>
    <cfRule type="cellIs" dxfId="9183" priority="7618" operator="equal">
      <formula>"Indeferido"</formula>
    </cfRule>
  </conditionalFormatting>
  <conditionalFormatting sqref="Q515">
    <cfRule type="containsText" dxfId="9182" priority="7615" operator="containsText" text="Cancelado">
      <formula>NOT(ISERROR(SEARCH("Cancelado",Q515)))</formula>
    </cfRule>
  </conditionalFormatting>
  <conditionalFormatting sqref="S515">
    <cfRule type="cellIs" dxfId="9181" priority="7612" operator="equal">
      <formula>"Tramitando"</formula>
    </cfRule>
    <cfRule type="cellIs" dxfId="9180" priority="7613" operator="equal">
      <formula>"Deferido"</formula>
    </cfRule>
    <cfRule type="cellIs" dxfId="9179" priority="7614" operator="equal">
      <formula>"Indeferido"</formula>
    </cfRule>
  </conditionalFormatting>
  <conditionalFormatting sqref="S515">
    <cfRule type="containsText" dxfId="9178" priority="7611" operator="containsText" text="Cancelado">
      <formula>NOT(ISERROR(SEARCH("Cancelado",S515)))</formula>
    </cfRule>
  </conditionalFormatting>
  <conditionalFormatting sqref="J516:J517">
    <cfRule type="cellIs" dxfId="9177" priority="7607" operator="equal">
      <formula>"Tramitando"</formula>
    </cfRule>
    <cfRule type="cellIs" dxfId="9176" priority="7608" operator="equal">
      <formula>"Deferido"</formula>
    </cfRule>
    <cfRule type="cellIs" dxfId="9175" priority="7609" operator="equal">
      <formula>"Indeferido"</formula>
    </cfRule>
  </conditionalFormatting>
  <conditionalFormatting sqref="J516:J517">
    <cfRule type="containsText" dxfId="9174" priority="7606" operator="containsText" text="Cancelado">
      <formula>NOT(ISERROR(SEARCH("Cancelado",J516)))</formula>
    </cfRule>
  </conditionalFormatting>
  <conditionalFormatting sqref="M516:M517">
    <cfRule type="cellIs" dxfId="9173" priority="7603" operator="equal">
      <formula>"Tramitando"</formula>
    </cfRule>
    <cfRule type="cellIs" dxfId="9172" priority="7604" operator="equal">
      <formula>"Deferido"</formula>
    </cfRule>
    <cfRule type="cellIs" dxfId="9171" priority="7605" operator="equal">
      <formula>"Indeferido"</formula>
    </cfRule>
  </conditionalFormatting>
  <conditionalFormatting sqref="M516:M517">
    <cfRule type="containsText" dxfId="9170" priority="7602" operator="containsText" text="Cancelado">
      <formula>NOT(ISERROR(SEARCH("Cancelado",M516)))</formula>
    </cfRule>
  </conditionalFormatting>
  <conditionalFormatting sqref="O516:O517">
    <cfRule type="cellIs" dxfId="9169" priority="7599" operator="equal">
      <formula>"Tramitando"</formula>
    </cfRule>
    <cfRule type="cellIs" dxfId="9168" priority="7600" operator="equal">
      <formula>"Deferido"</formula>
    </cfRule>
    <cfRule type="cellIs" dxfId="9167" priority="7601" operator="equal">
      <formula>"Indeferido"</formula>
    </cfRule>
  </conditionalFormatting>
  <conditionalFormatting sqref="O516:O517">
    <cfRule type="containsText" dxfId="9166" priority="7598" operator="containsText" text="Cancelado">
      <formula>NOT(ISERROR(SEARCH("Cancelado",O516)))</formula>
    </cfRule>
  </conditionalFormatting>
  <conditionalFormatting sqref="Q516:Q517">
    <cfRule type="cellIs" dxfId="9165" priority="7595" operator="equal">
      <formula>"Tramitando"</formula>
    </cfRule>
    <cfRule type="cellIs" dxfId="9164" priority="7596" operator="equal">
      <formula>"Deferido"</formula>
    </cfRule>
    <cfRule type="cellIs" dxfId="9163" priority="7597" operator="equal">
      <formula>"Indeferido"</formula>
    </cfRule>
  </conditionalFormatting>
  <conditionalFormatting sqref="Q516:Q517">
    <cfRule type="containsText" dxfId="9162" priority="7594" operator="containsText" text="Cancelado">
      <formula>NOT(ISERROR(SEARCH("Cancelado",Q516)))</formula>
    </cfRule>
  </conditionalFormatting>
  <conditionalFormatting sqref="S516:S517">
    <cfRule type="cellIs" dxfId="9161" priority="7591" operator="equal">
      <formula>"Tramitando"</formula>
    </cfRule>
    <cfRule type="cellIs" dxfId="9160" priority="7592" operator="equal">
      <formula>"Deferido"</formula>
    </cfRule>
    <cfRule type="cellIs" dxfId="9159" priority="7593" operator="equal">
      <formula>"Indeferido"</formula>
    </cfRule>
  </conditionalFormatting>
  <conditionalFormatting sqref="S516:S517">
    <cfRule type="containsText" dxfId="9158" priority="7590" operator="containsText" text="Cancelado">
      <formula>NOT(ISERROR(SEARCH("Cancelado",S516)))</formula>
    </cfRule>
  </conditionalFormatting>
  <conditionalFormatting sqref="S518:S519">
    <cfRule type="cellIs" dxfId="9157" priority="7570" operator="equal">
      <formula>"Tramitando"</formula>
    </cfRule>
    <cfRule type="cellIs" dxfId="9156" priority="7571" operator="equal">
      <formula>"Deferido"</formula>
    </cfRule>
    <cfRule type="cellIs" dxfId="9155" priority="7572" operator="equal">
      <formula>"Indeferido"</formula>
    </cfRule>
  </conditionalFormatting>
  <conditionalFormatting sqref="S518:S519">
    <cfRule type="containsText" dxfId="9154" priority="7569" operator="containsText" text="Cancelado">
      <formula>NOT(ISERROR(SEARCH("Cancelado",S518)))</formula>
    </cfRule>
  </conditionalFormatting>
  <conditionalFormatting sqref="M518:M519">
    <cfRule type="cellIs" dxfId="9153" priority="7582" operator="equal">
      <formula>"Tramitando"</formula>
    </cfRule>
    <cfRule type="cellIs" dxfId="9152" priority="7583" operator="equal">
      <formula>"Deferido"</formula>
    </cfRule>
    <cfRule type="cellIs" dxfId="9151" priority="7584" operator="equal">
      <formula>"Indeferido"</formula>
    </cfRule>
  </conditionalFormatting>
  <conditionalFormatting sqref="M518:M519">
    <cfRule type="containsText" dxfId="9150" priority="7581" operator="containsText" text="Cancelado">
      <formula>NOT(ISERROR(SEARCH("Cancelado",M518)))</formula>
    </cfRule>
  </conditionalFormatting>
  <conditionalFormatting sqref="O518:O519">
    <cfRule type="cellIs" dxfId="9149" priority="7578" operator="equal">
      <formula>"Tramitando"</formula>
    </cfRule>
    <cfRule type="cellIs" dxfId="9148" priority="7579" operator="equal">
      <formula>"Deferido"</formula>
    </cfRule>
    <cfRule type="cellIs" dxfId="9147" priority="7580" operator="equal">
      <formula>"Indeferido"</formula>
    </cfRule>
  </conditionalFormatting>
  <conditionalFormatting sqref="O518:O519">
    <cfRule type="containsText" dxfId="9146" priority="7577" operator="containsText" text="Cancelado">
      <formula>NOT(ISERROR(SEARCH("Cancelado",O518)))</formula>
    </cfRule>
  </conditionalFormatting>
  <conditionalFormatting sqref="Q518:Q519">
    <cfRule type="cellIs" dxfId="9145" priority="7574" operator="equal">
      <formula>"Tramitando"</formula>
    </cfRule>
    <cfRule type="cellIs" dxfId="9144" priority="7575" operator="equal">
      <formula>"Deferido"</formula>
    </cfRule>
    <cfRule type="cellIs" dxfId="9143" priority="7576" operator="equal">
      <formula>"Indeferido"</formula>
    </cfRule>
  </conditionalFormatting>
  <conditionalFormatting sqref="Q518:Q519">
    <cfRule type="containsText" dxfId="9142" priority="7573" operator="containsText" text="Cancelado">
      <formula>NOT(ISERROR(SEARCH("Cancelado",Q518)))</formula>
    </cfRule>
  </conditionalFormatting>
  <conditionalFormatting sqref="Q520:Q521">
    <cfRule type="cellIs" dxfId="9141" priority="7553" operator="equal">
      <formula>"Tramitando"</formula>
    </cfRule>
    <cfRule type="cellIs" dxfId="9140" priority="7554" operator="equal">
      <formula>"Deferido"</formula>
    </cfRule>
    <cfRule type="cellIs" dxfId="9139" priority="7555" operator="equal">
      <formula>"Indeferido"</formula>
    </cfRule>
  </conditionalFormatting>
  <conditionalFormatting sqref="Q520:Q521">
    <cfRule type="containsText" dxfId="9138" priority="7552" operator="containsText" text="Cancelado">
      <formula>NOT(ISERROR(SEARCH("Cancelado",Q520)))</formula>
    </cfRule>
  </conditionalFormatting>
  <conditionalFormatting sqref="M520:M521">
    <cfRule type="cellIs" dxfId="9137" priority="7561" operator="equal">
      <formula>"Tramitando"</formula>
    </cfRule>
    <cfRule type="cellIs" dxfId="9136" priority="7562" operator="equal">
      <formula>"Deferido"</formula>
    </cfRule>
    <cfRule type="cellIs" dxfId="9135" priority="7563" operator="equal">
      <formula>"Indeferido"</formula>
    </cfRule>
  </conditionalFormatting>
  <conditionalFormatting sqref="M520:M521">
    <cfRule type="containsText" dxfId="9134" priority="7560" operator="containsText" text="Cancelado">
      <formula>NOT(ISERROR(SEARCH("Cancelado",M520)))</formula>
    </cfRule>
  </conditionalFormatting>
  <conditionalFormatting sqref="O520:O521">
    <cfRule type="cellIs" dxfId="9133" priority="7557" operator="equal">
      <formula>"Tramitando"</formula>
    </cfRule>
    <cfRule type="cellIs" dxfId="9132" priority="7558" operator="equal">
      <formula>"Deferido"</formula>
    </cfRule>
    <cfRule type="cellIs" dxfId="9131" priority="7559" operator="equal">
      <formula>"Indeferido"</formula>
    </cfRule>
  </conditionalFormatting>
  <conditionalFormatting sqref="O520:O521">
    <cfRule type="containsText" dxfId="9130" priority="7556" operator="containsText" text="Cancelado">
      <formula>NOT(ISERROR(SEARCH("Cancelado",O520)))</formula>
    </cfRule>
  </conditionalFormatting>
  <conditionalFormatting sqref="S520:S521">
    <cfRule type="cellIs" dxfId="9129" priority="7549" operator="equal">
      <formula>"Tramitando"</formula>
    </cfRule>
    <cfRule type="cellIs" dxfId="9128" priority="7550" operator="equal">
      <formula>"Deferido"</formula>
    </cfRule>
    <cfRule type="cellIs" dxfId="9127" priority="7551" operator="equal">
      <formula>"Indeferido"</formula>
    </cfRule>
  </conditionalFormatting>
  <conditionalFormatting sqref="S520:S521">
    <cfRule type="containsText" dxfId="9126" priority="7548" operator="containsText" text="Cancelado">
      <formula>NOT(ISERROR(SEARCH("Cancelado",S520)))</formula>
    </cfRule>
  </conditionalFormatting>
  <conditionalFormatting sqref="J522">
    <cfRule type="cellIs" dxfId="9125" priority="7544" operator="equal">
      <formula>"Tramitando"</formula>
    </cfRule>
    <cfRule type="cellIs" dxfId="9124" priority="7545" operator="equal">
      <formula>"Deferido"</formula>
    </cfRule>
    <cfRule type="cellIs" dxfId="9123" priority="7546" operator="equal">
      <formula>"Indeferido"</formula>
    </cfRule>
  </conditionalFormatting>
  <conditionalFormatting sqref="J522">
    <cfRule type="containsText" dxfId="9122" priority="7543" operator="containsText" text="Cancelado">
      <formula>NOT(ISERROR(SEARCH("Cancelado",J522)))</formula>
    </cfRule>
  </conditionalFormatting>
  <conditionalFormatting sqref="M522">
    <cfRule type="cellIs" dxfId="9121" priority="7540" operator="equal">
      <formula>"Tramitando"</formula>
    </cfRule>
    <cfRule type="cellIs" dxfId="9120" priority="7541" operator="equal">
      <formula>"Deferido"</formula>
    </cfRule>
    <cfRule type="cellIs" dxfId="9119" priority="7542" operator="equal">
      <formula>"Indeferido"</formula>
    </cfRule>
  </conditionalFormatting>
  <conditionalFormatting sqref="M522">
    <cfRule type="containsText" dxfId="9118" priority="7539" operator="containsText" text="Cancelado">
      <formula>NOT(ISERROR(SEARCH("Cancelado",M522)))</formula>
    </cfRule>
  </conditionalFormatting>
  <conditionalFormatting sqref="O522">
    <cfRule type="cellIs" dxfId="9117" priority="7536" operator="equal">
      <formula>"Tramitando"</formula>
    </cfRule>
    <cfRule type="cellIs" dxfId="9116" priority="7537" operator="equal">
      <formula>"Deferido"</formula>
    </cfRule>
    <cfRule type="cellIs" dxfId="9115" priority="7538" operator="equal">
      <formula>"Indeferido"</formula>
    </cfRule>
  </conditionalFormatting>
  <conditionalFormatting sqref="O522">
    <cfRule type="containsText" dxfId="9114" priority="7535" operator="containsText" text="Cancelado">
      <formula>NOT(ISERROR(SEARCH("Cancelado",O522)))</formula>
    </cfRule>
  </conditionalFormatting>
  <conditionalFormatting sqref="Q522">
    <cfRule type="cellIs" dxfId="9113" priority="7532" operator="equal">
      <formula>"Tramitando"</formula>
    </cfRule>
    <cfRule type="cellIs" dxfId="9112" priority="7533" operator="equal">
      <formula>"Deferido"</formula>
    </cfRule>
    <cfRule type="cellIs" dxfId="9111" priority="7534" operator="equal">
      <formula>"Indeferido"</formula>
    </cfRule>
  </conditionalFormatting>
  <conditionalFormatting sqref="Q522">
    <cfRule type="containsText" dxfId="9110" priority="7531" operator="containsText" text="Cancelado">
      <formula>NOT(ISERROR(SEARCH("Cancelado",Q522)))</formula>
    </cfRule>
  </conditionalFormatting>
  <conditionalFormatting sqref="S522">
    <cfRule type="cellIs" dxfId="9109" priority="7528" operator="equal">
      <formula>"Tramitando"</formula>
    </cfRule>
    <cfRule type="cellIs" dxfId="9108" priority="7529" operator="equal">
      <formula>"Deferido"</formula>
    </cfRule>
    <cfRule type="cellIs" dxfId="9107" priority="7530" operator="equal">
      <formula>"Indeferido"</formula>
    </cfRule>
  </conditionalFormatting>
  <conditionalFormatting sqref="S522">
    <cfRule type="containsText" dxfId="9106" priority="7527" operator="containsText" text="Cancelado">
      <formula>NOT(ISERROR(SEARCH("Cancelado",S522)))</formula>
    </cfRule>
  </conditionalFormatting>
  <conditionalFormatting sqref="O523:O524">
    <cfRule type="cellIs" dxfId="9105" priority="7515" operator="equal">
      <formula>"Tramitando"</formula>
    </cfRule>
    <cfRule type="cellIs" dxfId="9104" priority="7516" operator="equal">
      <formula>"Deferido"</formula>
    </cfRule>
    <cfRule type="cellIs" dxfId="9103" priority="7517" operator="equal">
      <formula>"Indeferido"</formula>
    </cfRule>
  </conditionalFormatting>
  <conditionalFormatting sqref="O523:O524">
    <cfRule type="containsText" dxfId="9102" priority="7514" operator="containsText" text="Cancelado">
      <formula>NOT(ISERROR(SEARCH("Cancelado",O523)))</formula>
    </cfRule>
  </conditionalFormatting>
  <conditionalFormatting sqref="M523:M524">
    <cfRule type="cellIs" dxfId="9101" priority="7519" operator="equal">
      <formula>"Tramitando"</formula>
    </cfRule>
    <cfRule type="cellIs" dxfId="9100" priority="7520" operator="equal">
      <formula>"Deferido"</formula>
    </cfRule>
    <cfRule type="cellIs" dxfId="9099" priority="7521" operator="equal">
      <formula>"Indeferido"</formula>
    </cfRule>
  </conditionalFormatting>
  <conditionalFormatting sqref="M523:M524">
    <cfRule type="containsText" dxfId="9098" priority="7518" operator="containsText" text="Cancelado">
      <formula>NOT(ISERROR(SEARCH("Cancelado",M523)))</formula>
    </cfRule>
  </conditionalFormatting>
  <conditionalFormatting sqref="Q523:Q524">
    <cfRule type="cellIs" dxfId="9097" priority="7511" operator="equal">
      <formula>"Tramitando"</formula>
    </cfRule>
    <cfRule type="cellIs" dxfId="9096" priority="7512" operator="equal">
      <formula>"Deferido"</formula>
    </cfRule>
    <cfRule type="cellIs" dxfId="9095" priority="7513" operator="equal">
      <formula>"Indeferido"</formula>
    </cfRule>
  </conditionalFormatting>
  <conditionalFormatting sqref="Q523:Q524">
    <cfRule type="containsText" dxfId="9094" priority="7510" operator="containsText" text="Cancelado">
      <formula>NOT(ISERROR(SEARCH("Cancelado",Q523)))</formula>
    </cfRule>
  </conditionalFormatting>
  <conditionalFormatting sqref="S523:S524">
    <cfRule type="cellIs" dxfId="9093" priority="7507" operator="equal">
      <formula>"Tramitando"</formula>
    </cfRule>
    <cfRule type="cellIs" dxfId="9092" priority="7508" operator="equal">
      <formula>"Deferido"</formula>
    </cfRule>
    <cfRule type="cellIs" dxfId="9091" priority="7509" operator="equal">
      <formula>"Indeferido"</formula>
    </cfRule>
  </conditionalFormatting>
  <conditionalFormatting sqref="S523:S524">
    <cfRule type="containsText" dxfId="9090" priority="7506" operator="containsText" text="Cancelado">
      <formula>NOT(ISERROR(SEARCH("Cancelado",S523)))</formula>
    </cfRule>
  </conditionalFormatting>
  <conditionalFormatting sqref="J511">
    <cfRule type="cellIs" dxfId="9089" priority="7503" operator="equal">
      <formula>"Tramitando"</formula>
    </cfRule>
    <cfRule type="cellIs" dxfId="9088" priority="7504" operator="equal">
      <formula>"Deferido"</formula>
    </cfRule>
    <cfRule type="cellIs" dxfId="9087" priority="7505" operator="equal">
      <formula>"Indeferido"</formula>
    </cfRule>
  </conditionalFormatting>
  <conditionalFormatting sqref="J511">
    <cfRule type="containsText" dxfId="9086" priority="7502" operator="containsText" text="Cancelado">
      <formula>NOT(ISERROR(SEARCH("Cancelado",J511)))</formula>
    </cfRule>
  </conditionalFormatting>
  <conditionalFormatting sqref="J491">
    <cfRule type="cellIs" dxfId="9085" priority="7499" operator="equal">
      <formula>"Tramitando"</formula>
    </cfRule>
    <cfRule type="cellIs" dxfId="9084" priority="7500" operator="equal">
      <formula>"Deferido"</formula>
    </cfRule>
    <cfRule type="cellIs" dxfId="9083" priority="7501" operator="equal">
      <formula>"Indeferido"</formula>
    </cfRule>
  </conditionalFormatting>
  <conditionalFormatting sqref="J491">
    <cfRule type="containsText" dxfId="9082" priority="7498" operator="containsText" text="Cancelado">
      <formula>NOT(ISERROR(SEARCH("Cancelado",J491)))</formula>
    </cfRule>
  </conditionalFormatting>
  <conditionalFormatting sqref="J513">
    <cfRule type="cellIs" dxfId="9081" priority="7495" operator="equal">
      <formula>"Tramitando"</formula>
    </cfRule>
    <cfRule type="cellIs" dxfId="9080" priority="7496" operator="equal">
      <formula>"Deferido"</formula>
    </cfRule>
    <cfRule type="cellIs" dxfId="9079" priority="7497" operator="equal">
      <formula>"Indeferido"</formula>
    </cfRule>
  </conditionalFormatting>
  <conditionalFormatting sqref="J513">
    <cfRule type="containsText" dxfId="9078" priority="7494" operator="containsText" text="Cancelado">
      <formula>NOT(ISERROR(SEARCH("Cancelado",J513)))</formula>
    </cfRule>
  </conditionalFormatting>
  <conditionalFormatting sqref="J518:J519">
    <cfRule type="cellIs" dxfId="9077" priority="7491" operator="equal">
      <formula>"Tramitando"</formula>
    </cfRule>
    <cfRule type="cellIs" dxfId="9076" priority="7492" operator="equal">
      <formula>"Deferido"</formula>
    </cfRule>
    <cfRule type="cellIs" dxfId="9075" priority="7493" operator="equal">
      <formula>"Indeferido"</formula>
    </cfRule>
  </conditionalFormatting>
  <conditionalFormatting sqref="J518:J519">
    <cfRule type="containsText" dxfId="9074" priority="7490" operator="containsText" text="Cancelado">
      <formula>NOT(ISERROR(SEARCH("Cancelado",J518)))</formula>
    </cfRule>
  </conditionalFormatting>
  <conditionalFormatting sqref="J520">
    <cfRule type="cellIs" dxfId="9073" priority="7487" operator="equal">
      <formula>"Tramitando"</formula>
    </cfRule>
    <cfRule type="cellIs" dxfId="9072" priority="7488" operator="equal">
      <formula>"Deferido"</formula>
    </cfRule>
    <cfRule type="cellIs" dxfId="9071" priority="7489" operator="equal">
      <formula>"Indeferido"</formula>
    </cfRule>
  </conditionalFormatting>
  <conditionalFormatting sqref="J520">
    <cfRule type="containsText" dxfId="9070" priority="7486" operator="containsText" text="Cancelado">
      <formula>NOT(ISERROR(SEARCH("Cancelado",J520)))</formula>
    </cfRule>
  </conditionalFormatting>
  <conditionalFormatting sqref="J523">
    <cfRule type="cellIs" dxfId="9069" priority="7483" operator="equal">
      <formula>"Tramitando"</formula>
    </cfRule>
    <cfRule type="cellIs" dxfId="9068" priority="7484" operator="equal">
      <formula>"Deferido"</formula>
    </cfRule>
    <cfRule type="cellIs" dxfId="9067" priority="7485" operator="equal">
      <formula>"Indeferido"</formula>
    </cfRule>
  </conditionalFormatting>
  <conditionalFormatting sqref="J523">
    <cfRule type="containsText" dxfId="9066" priority="7482" operator="containsText" text="Cancelado">
      <formula>NOT(ISERROR(SEARCH("Cancelado",J523)))</formula>
    </cfRule>
  </conditionalFormatting>
  <conditionalFormatting sqref="J514">
    <cfRule type="cellIs" dxfId="9065" priority="7479" operator="equal">
      <formula>"Tramitando"</formula>
    </cfRule>
    <cfRule type="cellIs" dxfId="9064" priority="7480" operator="equal">
      <formula>"Deferido"</formula>
    </cfRule>
    <cfRule type="cellIs" dxfId="9063" priority="7481" operator="equal">
      <formula>"Indeferido"</formula>
    </cfRule>
  </conditionalFormatting>
  <conditionalFormatting sqref="J514">
    <cfRule type="containsText" dxfId="9062" priority="7478" operator="containsText" text="Cancelado">
      <formula>NOT(ISERROR(SEARCH("Cancelado",J514)))</formula>
    </cfRule>
  </conditionalFormatting>
  <conditionalFormatting sqref="J525:J526">
    <cfRule type="cellIs" dxfId="9061" priority="7474" operator="equal">
      <formula>"Tramitando"</formula>
    </cfRule>
    <cfRule type="cellIs" dxfId="9060" priority="7475" operator="equal">
      <formula>"Deferido"</formula>
    </cfRule>
    <cfRule type="cellIs" dxfId="9059" priority="7476" operator="equal">
      <formula>"Indeferido"</formula>
    </cfRule>
  </conditionalFormatting>
  <conditionalFormatting sqref="J525:J526">
    <cfRule type="containsText" dxfId="9058" priority="7473" operator="containsText" text="Cancelado">
      <formula>NOT(ISERROR(SEARCH("Cancelado",J525)))</formula>
    </cfRule>
  </conditionalFormatting>
  <conditionalFormatting sqref="M525:M526">
    <cfRule type="cellIs" dxfId="9057" priority="7470" operator="equal">
      <formula>"Tramitando"</formula>
    </cfRule>
    <cfRule type="cellIs" dxfId="9056" priority="7471" operator="equal">
      <formula>"Deferido"</formula>
    </cfRule>
    <cfRule type="cellIs" dxfId="9055" priority="7472" operator="equal">
      <formula>"Indeferido"</formula>
    </cfRule>
  </conditionalFormatting>
  <conditionalFormatting sqref="M525:M526">
    <cfRule type="containsText" dxfId="9054" priority="7469" operator="containsText" text="Cancelado">
      <formula>NOT(ISERROR(SEARCH("Cancelado",M525)))</formula>
    </cfRule>
  </conditionalFormatting>
  <conditionalFormatting sqref="O525:O526">
    <cfRule type="cellIs" dxfId="9053" priority="7466" operator="equal">
      <formula>"Tramitando"</formula>
    </cfRule>
    <cfRule type="cellIs" dxfId="9052" priority="7467" operator="equal">
      <formula>"Deferido"</formula>
    </cfRule>
    <cfRule type="cellIs" dxfId="9051" priority="7468" operator="equal">
      <formula>"Indeferido"</formula>
    </cfRule>
  </conditionalFormatting>
  <conditionalFormatting sqref="O525:O526">
    <cfRule type="containsText" dxfId="9050" priority="7465" operator="containsText" text="Cancelado">
      <formula>NOT(ISERROR(SEARCH("Cancelado",O525)))</formula>
    </cfRule>
  </conditionalFormatting>
  <conditionalFormatting sqref="Q525:Q526">
    <cfRule type="cellIs" dxfId="9049" priority="7462" operator="equal">
      <formula>"Tramitando"</formula>
    </cfRule>
    <cfRule type="cellIs" dxfId="9048" priority="7463" operator="equal">
      <formula>"Deferido"</formula>
    </cfRule>
    <cfRule type="cellIs" dxfId="9047" priority="7464" operator="equal">
      <formula>"Indeferido"</formula>
    </cfRule>
  </conditionalFormatting>
  <conditionalFormatting sqref="Q525:Q526">
    <cfRule type="containsText" dxfId="9046" priority="7461" operator="containsText" text="Cancelado">
      <formula>NOT(ISERROR(SEARCH("Cancelado",Q525)))</formula>
    </cfRule>
  </conditionalFormatting>
  <conditionalFormatting sqref="S525:S526">
    <cfRule type="cellIs" dxfId="9045" priority="7458" operator="equal">
      <formula>"Tramitando"</formula>
    </cfRule>
    <cfRule type="cellIs" dxfId="9044" priority="7459" operator="equal">
      <formula>"Deferido"</formula>
    </cfRule>
    <cfRule type="cellIs" dxfId="9043" priority="7460" operator="equal">
      <formula>"Indeferido"</formula>
    </cfRule>
  </conditionalFormatting>
  <conditionalFormatting sqref="S525:S526">
    <cfRule type="containsText" dxfId="9042" priority="7457" operator="containsText" text="Cancelado">
      <formula>NOT(ISERROR(SEARCH("Cancelado",S525)))</formula>
    </cfRule>
  </conditionalFormatting>
  <conditionalFormatting sqref="J527:J528">
    <cfRule type="cellIs" dxfId="9041" priority="7453" operator="equal">
      <formula>"Tramitando"</formula>
    </cfRule>
    <cfRule type="cellIs" dxfId="9040" priority="7454" operator="equal">
      <formula>"Deferido"</formula>
    </cfRule>
    <cfRule type="cellIs" dxfId="9039" priority="7455" operator="equal">
      <formula>"Indeferido"</formula>
    </cfRule>
  </conditionalFormatting>
  <conditionalFormatting sqref="J527:J528">
    <cfRule type="containsText" dxfId="9038" priority="7452" operator="containsText" text="Cancelado">
      <formula>NOT(ISERROR(SEARCH("Cancelado",J527)))</formula>
    </cfRule>
  </conditionalFormatting>
  <conditionalFormatting sqref="M527:M528">
    <cfRule type="cellIs" dxfId="9037" priority="7449" operator="equal">
      <formula>"Tramitando"</formula>
    </cfRule>
    <cfRule type="cellIs" dxfId="9036" priority="7450" operator="equal">
      <formula>"Deferido"</formula>
    </cfRule>
    <cfRule type="cellIs" dxfId="9035" priority="7451" operator="equal">
      <formula>"Indeferido"</formula>
    </cfRule>
  </conditionalFormatting>
  <conditionalFormatting sqref="M527:M528">
    <cfRule type="containsText" dxfId="9034" priority="7448" operator="containsText" text="Cancelado">
      <formula>NOT(ISERROR(SEARCH("Cancelado",M527)))</formula>
    </cfRule>
  </conditionalFormatting>
  <conditionalFormatting sqref="O527:O528">
    <cfRule type="cellIs" dxfId="9033" priority="7445" operator="equal">
      <formula>"Tramitando"</formula>
    </cfRule>
    <cfRule type="cellIs" dxfId="9032" priority="7446" operator="equal">
      <formula>"Deferido"</formula>
    </cfRule>
    <cfRule type="cellIs" dxfId="9031" priority="7447" operator="equal">
      <formula>"Indeferido"</formula>
    </cfRule>
  </conditionalFormatting>
  <conditionalFormatting sqref="O527:O528">
    <cfRule type="containsText" dxfId="9030" priority="7444" operator="containsText" text="Cancelado">
      <formula>NOT(ISERROR(SEARCH("Cancelado",O527)))</formula>
    </cfRule>
  </conditionalFormatting>
  <conditionalFormatting sqref="Q527:Q528">
    <cfRule type="cellIs" dxfId="9029" priority="7441" operator="equal">
      <formula>"Tramitando"</formula>
    </cfRule>
    <cfRule type="cellIs" dxfId="9028" priority="7442" operator="equal">
      <formula>"Deferido"</formula>
    </cfRule>
    <cfRule type="cellIs" dxfId="9027" priority="7443" operator="equal">
      <formula>"Indeferido"</formula>
    </cfRule>
  </conditionalFormatting>
  <conditionalFormatting sqref="Q527:Q528">
    <cfRule type="containsText" dxfId="9026" priority="7440" operator="containsText" text="Cancelado">
      <formula>NOT(ISERROR(SEARCH("Cancelado",Q527)))</formula>
    </cfRule>
  </conditionalFormatting>
  <conditionalFormatting sqref="S527:S528">
    <cfRule type="cellIs" dxfId="9025" priority="7437" operator="equal">
      <formula>"Tramitando"</formula>
    </cfRule>
    <cfRule type="cellIs" dxfId="9024" priority="7438" operator="equal">
      <formula>"Deferido"</formula>
    </cfRule>
    <cfRule type="cellIs" dxfId="9023" priority="7439" operator="equal">
      <formula>"Indeferido"</formula>
    </cfRule>
  </conditionalFormatting>
  <conditionalFormatting sqref="S527:S528">
    <cfRule type="containsText" dxfId="9022" priority="7436" operator="containsText" text="Cancelado">
      <formula>NOT(ISERROR(SEARCH("Cancelado",S527)))</formula>
    </cfRule>
  </conditionalFormatting>
  <conditionalFormatting sqref="M529">
    <cfRule type="cellIs" dxfId="9021" priority="7428" operator="equal">
      <formula>"Tramitando"</formula>
    </cfRule>
    <cfRule type="cellIs" dxfId="9020" priority="7429" operator="equal">
      <formula>"Deferido"</formula>
    </cfRule>
    <cfRule type="cellIs" dxfId="9019" priority="7430" operator="equal">
      <formula>"Indeferido"</formula>
    </cfRule>
  </conditionalFormatting>
  <conditionalFormatting sqref="M529">
    <cfRule type="containsText" dxfId="9018" priority="7427" operator="containsText" text="Cancelado">
      <formula>NOT(ISERROR(SEARCH("Cancelado",M529)))</formula>
    </cfRule>
  </conditionalFormatting>
  <conditionalFormatting sqref="O529">
    <cfRule type="cellIs" dxfId="9017" priority="7424" operator="equal">
      <formula>"Tramitando"</formula>
    </cfRule>
    <cfRule type="cellIs" dxfId="9016" priority="7425" operator="equal">
      <formula>"Deferido"</formula>
    </cfRule>
    <cfRule type="cellIs" dxfId="9015" priority="7426" operator="equal">
      <formula>"Indeferido"</formula>
    </cfRule>
  </conditionalFormatting>
  <conditionalFormatting sqref="O529">
    <cfRule type="containsText" dxfId="9014" priority="7423" operator="containsText" text="Cancelado">
      <formula>NOT(ISERROR(SEARCH("Cancelado",O529)))</formula>
    </cfRule>
  </conditionalFormatting>
  <conditionalFormatting sqref="Q529">
    <cfRule type="cellIs" dxfId="9013" priority="7420" operator="equal">
      <formula>"Tramitando"</formula>
    </cfRule>
    <cfRule type="cellIs" dxfId="9012" priority="7421" operator="equal">
      <formula>"Deferido"</formula>
    </cfRule>
    <cfRule type="cellIs" dxfId="9011" priority="7422" operator="equal">
      <formula>"Indeferido"</formula>
    </cfRule>
  </conditionalFormatting>
  <conditionalFormatting sqref="Q529">
    <cfRule type="containsText" dxfId="9010" priority="7419" operator="containsText" text="Cancelado">
      <formula>NOT(ISERROR(SEARCH("Cancelado",Q529)))</formula>
    </cfRule>
  </conditionalFormatting>
  <conditionalFormatting sqref="S529">
    <cfRule type="cellIs" dxfId="9009" priority="7416" operator="equal">
      <formula>"Tramitando"</formula>
    </cfRule>
    <cfRule type="cellIs" dxfId="9008" priority="7417" operator="equal">
      <formula>"Deferido"</formula>
    </cfRule>
    <cfRule type="cellIs" dxfId="9007" priority="7418" operator="equal">
      <formula>"Indeferido"</formula>
    </cfRule>
  </conditionalFormatting>
  <conditionalFormatting sqref="S529">
    <cfRule type="containsText" dxfId="9006" priority="7415" operator="containsText" text="Cancelado">
      <formula>NOT(ISERROR(SEARCH("Cancelado",S529)))</formula>
    </cfRule>
  </conditionalFormatting>
  <conditionalFormatting sqref="J530">
    <cfRule type="cellIs" dxfId="9005" priority="7411" operator="equal">
      <formula>"Tramitando"</formula>
    </cfRule>
    <cfRule type="cellIs" dxfId="9004" priority="7412" operator="equal">
      <formula>"Deferido"</formula>
    </cfRule>
    <cfRule type="cellIs" dxfId="9003" priority="7413" operator="equal">
      <formula>"Indeferido"</formula>
    </cfRule>
  </conditionalFormatting>
  <conditionalFormatting sqref="J530">
    <cfRule type="containsText" dxfId="9002" priority="7410" operator="containsText" text="Cancelado">
      <formula>NOT(ISERROR(SEARCH("Cancelado",J530)))</formula>
    </cfRule>
  </conditionalFormatting>
  <conditionalFormatting sqref="M530">
    <cfRule type="cellIs" dxfId="9001" priority="7407" operator="equal">
      <formula>"Tramitando"</formula>
    </cfRule>
    <cfRule type="cellIs" dxfId="9000" priority="7408" operator="equal">
      <formula>"Deferido"</formula>
    </cfRule>
    <cfRule type="cellIs" dxfId="8999" priority="7409" operator="equal">
      <formula>"Indeferido"</formula>
    </cfRule>
  </conditionalFormatting>
  <conditionalFormatting sqref="M530">
    <cfRule type="containsText" dxfId="8998" priority="7406" operator="containsText" text="Cancelado">
      <formula>NOT(ISERROR(SEARCH("Cancelado",M530)))</formula>
    </cfRule>
  </conditionalFormatting>
  <conditionalFormatting sqref="O530">
    <cfRule type="cellIs" dxfId="8997" priority="7403" operator="equal">
      <formula>"Tramitando"</formula>
    </cfRule>
    <cfRule type="cellIs" dxfId="8996" priority="7404" operator="equal">
      <formula>"Deferido"</formula>
    </cfRule>
    <cfRule type="cellIs" dxfId="8995" priority="7405" operator="equal">
      <formula>"Indeferido"</formula>
    </cfRule>
  </conditionalFormatting>
  <conditionalFormatting sqref="O530">
    <cfRule type="containsText" dxfId="8994" priority="7402" operator="containsText" text="Cancelado">
      <formula>NOT(ISERROR(SEARCH("Cancelado",O530)))</formula>
    </cfRule>
  </conditionalFormatting>
  <conditionalFormatting sqref="Q530">
    <cfRule type="cellIs" dxfId="8993" priority="7399" operator="equal">
      <formula>"Tramitando"</formula>
    </cfRule>
    <cfRule type="cellIs" dxfId="8992" priority="7400" operator="equal">
      <formula>"Deferido"</formula>
    </cfRule>
    <cfRule type="cellIs" dxfId="8991" priority="7401" operator="equal">
      <formula>"Indeferido"</formula>
    </cfRule>
  </conditionalFormatting>
  <conditionalFormatting sqref="Q530">
    <cfRule type="containsText" dxfId="8990" priority="7398" operator="containsText" text="Cancelado">
      <formula>NOT(ISERROR(SEARCH("Cancelado",Q530)))</formula>
    </cfRule>
  </conditionalFormatting>
  <conditionalFormatting sqref="S530">
    <cfRule type="cellIs" dxfId="8989" priority="7395" operator="equal">
      <formula>"Tramitando"</formula>
    </cfRule>
    <cfRule type="cellIs" dxfId="8988" priority="7396" operator="equal">
      <formula>"Deferido"</formula>
    </cfRule>
    <cfRule type="cellIs" dxfId="8987" priority="7397" operator="equal">
      <formula>"Indeferido"</formula>
    </cfRule>
  </conditionalFormatting>
  <conditionalFormatting sqref="S530">
    <cfRule type="containsText" dxfId="8986" priority="7394" operator="containsText" text="Cancelado">
      <formula>NOT(ISERROR(SEARCH("Cancelado",S530)))</formula>
    </cfRule>
  </conditionalFormatting>
  <conditionalFormatting sqref="J531">
    <cfRule type="cellIs" dxfId="8985" priority="7390" operator="equal">
      <formula>"Tramitando"</formula>
    </cfRule>
    <cfRule type="cellIs" dxfId="8984" priority="7391" operator="equal">
      <formula>"Deferido"</formula>
    </cfRule>
    <cfRule type="cellIs" dxfId="8983" priority="7392" operator="equal">
      <formula>"Indeferido"</formula>
    </cfRule>
  </conditionalFormatting>
  <conditionalFormatting sqref="J531">
    <cfRule type="containsText" dxfId="8982" priority="7389" operator="containsText" text="Cancelado">
      <formula>NOT(ISERROR(SEARCH("Cancelado",J531)))</formula>
    </cfRule>
  </conditionalFormatting>
  <conditionalFormatting sqref="M531">
    <cfRule type="cellIs" dxfId="8981" priority="7386" operator="equal">
      <formula>"Tramitando"</formula>
    </cfRule>
    <cfRule type="cellIs" dxfId="8980" priority="7387" operator="equal">
      <formula>"Deferido"</formula>
    </cfRule>
    <cfRule type="cellIs" dxfId="8979" priority="7388" operator="equal">
      <formula>"Indeferido"</formula>
    </cfRule>
  </conditionalFormatting>
  <conditionalFormatting sqref="M531">
    <cfRule type="containsText" dxfId="8978" priority="7385" operator="containsText" text="Cancelado">
      <formula>NOT(ISERROR(SEARCH("Cancelado",M531)))</formula>
    </cfRule>
  </conditionalFormatting>
  <conditionalFormatting sqref="O531">
    <cfRule type="cellIs" dxfId="8977" priority="7382" operator="equal">
      <formula>"Tramitando"</formula>
    </cfRule>
    <cfRule type="cellIs" dxfId="8976" priority="7383" operator="equal">
      <formula>"Deferido"</formula>
    </cfRule>
    <cfRule type="cellIs" dxfId="8975" priority="7384" operator="equal">
      <formula>"Indeferido"</formula>
    </cfRule>
  </conditionalFormatting>
  <conditionalFormatting sqref="O531">
    <cfRule type="containsText" dxfId="8974" priority="7381" operator="containsText" text="Cancelado">
      <formula>NOT(ISERROR(SEARCH("Cancelado",O531)))</formula>
    </cfRule>
  </conditionalFormatting>
  <conditionalFormatting sqref="Q531">
    <cfRule type="cellIs" dxfId="8973" priority="7378" operator="equal">
      <formula>"Tramitando"</formula>
    </cfRule>
    <cfRule type="cellIs" dxfId="8972" priority="7379" operator="equal">
      <formula>"Deferido"</formula>
    </cfRule>
    <cfRule type="cellIs" dxfId="8971" priority="7380" operator="equal">
      <formula>"Indeferido"</formula>
    </cfRule>
  </conditionalFormatting>
  <conditionalFormatting sqref="Q531">
    <cfRule type="containsText" dxfId="8970" priority="7377" operator="containsText" text="Cancelado">
      <formula>NOT(ISERROR(SEARCH("Cancelado",Q531)))</formula>
    </cfRule>
  </conditionalFormatting>
  <conditionalFormatting sqref="S531">
    <cfRule type="cellIs" dxfId="8969" priority="7374" operator="equal">
      <formula>"Tramitando"</formula>
    </cfRule>
    <cfRule type="cellIs" dxfId="8968" priority="7375" operator="equal">
      <formula>"Deferido"</formula>
    </cfRule>
    <cfRule type="cellIs" dxfId="8967" priority="7376" operator="equal">
      <formula>"Indeferido"</formula>
    </cfRule>
  </conditionalFormatting>
  <conditionalFormatting sqref="S531">
    <cfRule type="containsText" dxfId="8966" priority="7373" operator="containsText" text="Cancelado">
      <formula>NOT(ISERROR(SEARCH("Cancelado",S531)))</formula>
    </cfRule>
  </conditionalFormatting>
  <conditionalFormatting sqref="J532">
    <cfRule type="cellIs" dxfId="8965" priority="7368" operator="equal">
      <formula>"Tramitando"</formula>
    </cfRule>
    <cfRule type="cellIs" dxfId="8964" priority="7369" operator="equal">
      <formula>"Deferido"</formula>
    </cfRule>
    <cfRule type="cellIs" dxfId="8963" priority="7370" operator="equal">
      <formula>"Indeferido"</formula>
    </cfRule>
  </conditionalFormatting>
  <conditionalFormatting sqref="J532">
    <cfRule type="containsText" dxfId="8962" priority="7367" operator="containsText" text="Cancelado">
      <formula>NOT(ISERROR(SEARCH("Cancelado",J532)))</formula>
    </cfRule>
  </conditionalFormatting>
  <conditionalFormatting sqref="M532">
    <cfRule type="cellIs" dxfId="8961" priority="7364" operator="equal">
      <formula>"Tramitando"</formula>
    </cfRule>
    <cfRule type="cellIs" dxfId="8960" priority="7365" operator="equal">
      <formula>"Deferido"</formula>
    </cfRule>
    <cfRule type="cellIs" dxfId="8959" priority="7366" operator="equal">
      <formula>"Indeferido"</formula>
    </cfRule>
  </conditionalFormatting>
  <conditionalFormatting sqref="M532">
    <cfRule type="containsText" dxfId="8958" priority="7363" operator="containsText" text="Cancelado">
      <formula>NOT(ISERROR(SEARCH("Cancelado",M532)))</formula>
    </cfRule>
  </conditionalFormatting>
  <conditionalFormatting sqref="O532">
    <cfRule type="cellIs" dxfId="8957" priority="7360" operator="equal">
      <formula>"Tramitando"</formula>
    </cfRule>
    <cfRule type="cellIs" dxfId="8956" priority="7361" operator="equal">
      <formula>"Deferido"</formula>
    </cfRule>
    <cfRule type="cellIs" dxfId="8955" priority="7362" operator="equal">
      <formula>"Indeferido"</formula>
    </cfRule>
  </conditionalFormatting>
  <conditionalFormatting sqref="O532">
    <cfRule type="containsText" dxfId="8954" priority="7359" operator="containsText" text="Cancelado">
      <formula>NOT(ISERROR(SEARCH("Cancelado",O532)))</formula>
    </cfRule>
  </conditionalFormatting>
  <conditionalFormatting sqref="Q532">
    <cfRule type="cellIs" dxfId="8953" priority="7356" operator="equal">
      <formula>"Tramitando"</formula>
    </cfRule>
    <cfRule type="cellIs" dxfId="8952" priority="7357" operator="equal">
      <formula>"Deferido"</formula>
    </cfRule>
    <cfRule type="cellIs" dxfId="8951" priority="7358" operator="equal">
      <formula>"Indeferido"</formula>
    </cfRule>
  </conditionalFormatting>
  <conditionalFormatting sqref="Q532">
    <cfRule type="containsText" dxfId="8950" priority="7355" operator="containsText" text="Cancelado">
      <formula>NOT(ISERROR(SEARCH("Cancelado",Q532)))</formula>
    </cfRule>
  </conditionalFormatting>
  <conditionalFormatting sqref="S532">
    <cfRule type="cellIs" dxfId="8949" priority="7352" operator="equal">
      <formula>"Tramitando"</formula>
    </cfRule>
    <cfRule type="cellIs" dxfId="8948" priority="7353" operator="equal">
      <formula>"Deferido"</formula>
    </cfRule>
    <cfRule type="cellIs" dxfId="8947" priority="7354" operator="equal">
      <formula>"Indeferido"</formula>
    </cfRule>
  </conditionalFormatting>
  <conditionalFormatting sqref="S532">
    <cfRule type="containsText" dxfId="8946" priority="7351" operator="containsText" text="Cancelado">
      <formula>NOT(ISERROR(SEARCH("Cancelado",S532)))</formula>
    </cfRule>
  </conditionalFormatting>
  <conditionalFormatting sqref="J533">
    <cfRule type="cellIs" dxfId="8945" priority="7347" operator="equal">
      <formula>"Tramitando"</formula>
    </cfRule>
    <cfRule type="cellIs" dxfId="8944" priority="7348" operator="equal">
      <formula>"Deferido"</formula>
    </cfRule>
    <cfRule type="cellIs" dxfId="8943" priority="7349" operator="equal">
      <formula>"Indeferido"</formula>
    </cfRule>
  </conditionalFormatting>
  <conditionalFormatting sqref="J533">
    <cfRule type="containsText" dxfId="8942" priority="7346" operator="containsText" text="Cancelado">
      <formula>NOT(ISERROR(SEARCH("Cancelado",J533)))</formula>
    </cfRule>
  </conditionalFormatting>
  <conditionalFormatting sqref="M533">
    <cfRule type="cellIs" dxfId="8941" priority="7343" operator="equal">
      <formula>"Tramitando"</formula>
    </cfRule>
    <cfRule type="cellIs" dxfId="8940" priority="7344" operator="equal">
      <formula>"Deferido"</formula>
    </cfRule>
    <cfRule type="cellIs" dxfId="8939" priority="7345" operator="equal">
      <formula>"Indeferido"</formula>
    </cfRule>
  </conditionalFormatting>
  <conditionalFormatting sqref="M533">
    <cfRule type="containsText" dxfId="8938" priority="7342" operator="containsText" text="Cancelado">
      <formula>NOT(ISERROR(SEARCH("Cancelado",M533)))</formula>
    </cfRule>
  </conditionalFormatting>
  <conditionalFormatting sqref="O533">
    <cfRule type="cellIs" dxfId="8937" priority="7339" operator="equal">
      <formula>"Tramitando"</formula>
    </cfRule>
    <cfRule type="cellIs" dxfId="8936" priority="7340" operator="equal">
      <formula>"Deferido"</formula>
    </cfRule>
    <cfRule type="cellIs" dxfId="8935" priority="7341" operator="equal">
      <formula>"Indeferido"</formula>
    </cfRule>
  </conditionalFormatting>
  <conditionalFormatting sqref="O533">
    <cfRule type="containsText" dxfId="8934" priority="7338" operator="containsText" text="Cancelado">
      <formula>NOT(ISERROR(SEARCH("Cancelado",O533)))</formula>
    </cfRule>
  </conditionalFormatting>
  <conditionalFormatting sqref="Q533">
    <cfRule type="cellIs" dxfId="8933" priority="7335" operator="equal">
      <formula>"Tramitando"</formula>
    </cfRule>
    <cfRule type="cellIs" dxfId="8932" priority="7336" operator="equal">
      <formula>"Deferido"</formula>
    </cfRule>
    <cfRule type="cellIs" dxfId="8931" priority="7337" operator="equal">
      <formula>"Indeferido"</formula>
    </cfRule>
  </conditionalFormatting>
  <conditionalFormatting sqref="Q533">
    <cfRule type="containsText" dxfId="8930" priority="7334" operator="containsText" text="Cancelado">
      <formula>NOT(ISERROR(SEARCH("Cancelado",Q533)))</formula>
    </cfRule>
  </conditionalFormatting>
  <conditionalFormatting sqref="S533">
    <cfRule type="cellIs" dxfId="8929" priority="7331" operator="equal">
      <formula>"Tramitando"</formula>
    </cfRule>
    <cfRule type="cellIs" dxfId="8928" priority="7332" operator="equal">
      <formula>"Deferido"</formula>
    </cfRule>
    <cfRule type="cellIs" dxfId="8927" priority="7333" operator="equal">
      <formula>"Indeferido"</formula>
    </cfRule>
  </conditionalFormatting>
  <conditionalFormatting sqref="S533">
    <cfRule type="containsText" dxfId="8926" priority="7330" operator="containsText" text="Cancelado">
      <formula>NOT(ISERROR(SEARCH("Cancelado",S533)))</formula>
    </cfRule>
  </conditionalFormatting>
  <conditionalFormatting sqref="J534">
    <cfRule type="cellIs" dxfId="8925" priority="7326" operator="equal">
      <formula>"Tramitando"</formula>
    </cfRule>
    <cfRule type="cellIs" dxfId="8924" priority="7327" operator="equal">
      <formula>"Deferido"</formula>
    </cfRule>
    <cfRule type="cellIs" dxfId="8923" priority="7328" operator="equal">
      <formula>"Indeferido"</formula>
    </cfRule>
  </conditionalFormatting>
  <conditionalFormatting sqref="J534">
    <cfRule type="containsText" dxfId="8922" priority="7325" operator="containsText" text="Cancelado">
      <formula>NOT(ISERROR(SEARCH("Cancelado",J534)))</formula>
    </cfRule>
  </conditionalFormatting>
  <conditionalFormatting sqref="M534">
    <cfRule type="cellIs" dxfId="8921" priority="7322" operator="equal">
      <formula>"Tramitando"</formula>
    </cfRule>
    <cfRule type="cellIs" dxfId="8920" priority="7323" operator="equal">
      <formula>"Deferido"</formula>
    </cfRule>
    <cfRule type="cellIs" dxfId="8919" priority="7324" operator="equal">
      <formula>"Indeferido"</formula>
    </cfRule>
  </conditionalFormatting>
  <conditionalFormatting sqref="M534">
    <cfRule type="containsText" dxfId="8918" priority="7321" operator="containsText" text="Cancelado">
      <formula>NOT(ISERROR(SEARCH("Cancelado",M534)))</formula>
    </cfRule>
  </conditionalFormatting>
  <conditionalFormatting sqref="O534">
    <cfRule type="cellIs" dxfId="8917" priority="7318" operator="equal">
      <formula>"Tramitando"</formula>
    </cfRule>
    <cfRule type="cellIs" dxfId="8916" priority="7319" operator="equal">
      <formula>"Deferido"</formula>
    </cfRule>
    <cfRule type="cellIs" dxfId="8915" priority="7320" operator="equal">
      <formula>"Indeferido"</formula>
    </cfRule>
  </conditionalFormatting>
  <conditionalFormatting sqref="O534">
    <cfRule type="containsText" dxfId="8914" priority="7317" operator="containsText" text="Cancelado">
      <formula>NOT(ISERROR(SEARCH("Cancelado",O534)))</formula>
    </cfRule>
  </conditionalFormatting>
  <conditionalFormatting sqref="Q534">
    <cfRule type="cellIs" dxfId="8913" priority="7314" operator="equal">
      <formula>"Tramitando"</formula>
    </cfRule>
    <cfRule type="cellIs" dxfId="8912" priority="7315" operator="equal">
      <formula>"Deferido"</formula>
    </cfRule>
    <cfRule type="cellIs" dxfId="8911" priority="7316" operator="equal">
      <formula>"Indeferido"</formula>
    </cfRule>
  </conditionalFormatting>
  <conditionalFormatting sqref="Q534">
    <cfRule type="containsText" dxfId="8910" priority="7313" operator="containsText" text="Cancelado">
      <formula>NOT(ISERROR(SEARCH("Cancelado",Q534)))</formula>
    </cfRule>
  </conditionalFormatting>
  <conditionalFormatting sqref="S534">
    <cfRule type="cellIs" dxfId="8909" priority="7310" operator="equal">
      <formula>"Tramitando"</formula>
    </cfRule>
    <cfRule type="cellIs" dxfId="8908" priority="7311" operator="equal">
      <formula>"Deferido"</formula>
    </cfRule>
    <cfRule type="cellIs" dxfId="8907" priority="7312" operator="equal">
      <formula>"Indeferido"</formula>
    </cfRule>
  </conditionalFormatting>
  <conditionalFormatting sqref="S534">
    <cfRule type="containsText" dxfId="8906" priority="7309" operator="containsText" text="Cancelado">
      <formula>NOT(ISERROR(SEARCH("Cancelado",S534)))</formula>
    </cfRule>
  </conditionalFormatting>
  <conditionalFormatting sqref="J535">
    <cfRule type="cellIs" dxfId="8905" priority="7305" operator="equal">
      <formula>"Tramitando"</formula>
    </cfRule>
    <cfRule type="cellIs" dxfId="8904" priority="7306" operator="equal">
      <formula>"Deferido"</formula>
    </cfRule>
    <cfRule type="cellIs" dxfId="8903" priority="7307" operator="equal">
      <formula>"Indeferido"</formula>
    </cfRule>
  </conditionalFormatting>
  <conditionalFormatting sqref="J535">
    <cfRule type="containsText" dxfId="8902" priority="7304" operator="containsText" text="Cancelado">
      <formula>NOT(ISERROR(SEARCH("Cancelado",J535)))</formula>
    </cfRule>
  </conditionalFormatting>
  <conditionalFormatting sqref="M535">
    <cfRule type="cellIs" dxfId="8901" priority="7301" operator="equal">
      <formula>"Tramitando"</formula>
    </cfRule>
    <cfRule type="cellIs" dxfId="8900" priority="7302" operator="equal">
      <formula>"Deferido"</formula>
    </cfRule>
    <cfRule type="cellIs" dxfId="8899" priority="7303" operator="equal">
      <formula>"Indeferido"</formula>
    </cfRule>
  </conditionalFormatting>
  <conditionalFormatting sqref="M535">
    <cfRule type="containsText" dxfId="8898" priority="7300" operator="containsText" text="Cancelado">
      <formula>NOT(ISERROR(SEARCH("Cancelado",M535)))</formula>
    </cfRule>
  </conditionalFormatting>
  <conditionalFormatting sqref="O535">
    <cfRule type="cellIs" dxfId="8897" priority="7297" operator="equal">
      <formula>"Tramitando"</formula>
    </cfRule>
    <cfRule type="cellIs" dxfId="8896" priority="7298" operator="equal">
      <formula>"Deferido"</formula>
    </cfRule>
    <cfRule type="cellIs" dxfId="8895" priority="7299" operator="equal">
      <formula>"Indeferido"</formula>
    </cfRule>
  </conditionalFormatting>
  <conditionalFormatting sqref="O535">
    <cfRule type="containsText" dxfId="8894" priority="7296" operator="containsText" text="Cancelado">
      <formula>NOT(ISERROR(SEARCH("Cancelado",O535)))</formula>
    </cfRule>
  </conditionalFormatting>
  <conditionalFormatting sqref="Q535">
    <cfRule type="cellIs" dxfId="8893" priority="7293" operator="equal">
      <formula>"Tramitando"</formula>
    </cfRule>
    <cfRule type="cellIs" dxfId="8892" priority="7294" operator="equal">
      <formula>"Deferido"</formula>
    </cfRule>
    <cfRule type="cellIs" dxfId="8891" priority="7295" operator="equal">
      <formula>"Indeferido"</formula>
    </cfRule>
  </conditionalFormatting>
  <conditionalFormatting sqref="Q535">
    <cfRule type="containsText" dxfId="8890" priority="7292" operator="containsText" text="Cancelado">
      <formula>NOT(ISERROR(SEARCH("Cancelado",Q535)))</formula>
    </cfRule>
  </conditionalFormatting>
  <conditionalFormatting sqref="S535">
    <cfRule type="cellIs" dxfId="8889" priority="7289" operator="equal">
      <formula>"Tramitando"</formula>
    </cfRule>
    <cfRule type="cellIs" dxfId="8888" priority="7290" operator="equal">
      <formula>"Deferido"</formula>
    </cfRule>
    <cfRule type="cellIs" dxfId="8887" priority="7291" operator="equal">
      <formula>"Indeferido"</formula>
    </cfRule>
  </conditionalFormatting>
  <conditionalFormatting sqref="S535">
    <cfRule type="containsText" dxfId="8886" priority="7288" operator="containsText" text="Cancelado">
      <formula>NOT(ISERROR(SEARCH("Cancelado",S535)))</formula>
    </cfRule>
  </conditionalFormatting>
  <conditionalFormatting sqref="J536">
    <cfRule type="cellIs" dxfId="8885" priority="7284" operator="equal">
      <formula>"Tramitando"</formula>
    </cfRule>
    <cfRule type="cellIs" dxfId="8884" priority="7285" operator="equal">
      <formula>"Deferido"</formula>
    </cfRule>
    <cfRule type="cellIs" dxfId="8883" priority="7286" operator="equal">
      <formula>"Indeferido"</formula>
    </cfRule>
  </conditionalFormatting>
  <conditionalFormatting sqref="J536">
    <cfRule type="containsText" dxfId="8882" priority="7283" operator="containsText" text="Cancelado">
      <formula>NOT(ISERROR(SEARCH("Cancelado",J536)))</formula>
    </cfRule>
  </conditionalFormatting>
  <conditionalFormatting sqref="M536">
    <cfRule type="cellIs" dxfId="8881" priority="7280" operator="equal">
      <formula>"Tramitando"</formula>
    </cfRule>
    <cfRule type="cellIs" dxfId="8880" priority="7281" operator="equal">
      <formula>"Deferido"</formula>
    </cfRule>
    <cfRule type="cellIs" dxfId="8879" priority="7282" operator="equal">
      <formula>"Indeferido"</formula>
    </cfRule>
  </conditionalFormatting>
  <conditionalFormatting sqref="M536">
    <cfRule type="containsText" dxfId="8878" priority="7279" operator="containsText" text="Cancelado">
      <formula>NOT(ISERROR(SEARCH("Cancelado",M536)))</formula>
    </cfRule>
  </conditionalFormatting>
  <conditionalFormatting sqref="O536">
    <cfRule type="cellIs" dxfId="8877" priority="7276" operator="equal">
      <formula>"Tramitando"</formula>
    </cfRule>
    <cfRule type="cellIs" dxfId="8876" priority="7277" operator="equal">
      <formula>"Deferido"</formula>
    </cfRule>
    <cfRule type="cellIs" dxfId="8875" priority="7278" operator="equal">
      <formula>"Indeferido"</formula>
    </cfRule>
  </conditionalFormatting>
  <conditionalFormatting sqref="O536">
    <cfRule type="containsText" dxfId="8874" priority="7275" operator="containsText" text="Cancelado">
      <formula>NOT(ISERROR(SEARCH("Cancelado",O536)))</formula>
    </cfRule>
  </conditionalFormatting>
  <conditionalFormatting sqref="Q536">
    <cfRule type="cellIs" dxfId="8873" priority="7272" operator="equal">
      <formula>"Tramitando"</formula>
    </cfRule>
    <cfRule type="cellIs" dxfId="8872" priority="7273" operator="equal">
      <formula>"Deferido"</formula>
    </cfRule>
    <cfRule type="cellIs" dxfId="8871" priority="7274" operator="equal">
      <formula>"Indeferido"</formula>
    </cfRule>
  </conditionalFormatting>
  <conditionalFormatting sqref="Q536">
    <cfRule type="containsText" dxfId="8870" priority="7271" operator="containsText" text="Cancelado">
      <formula>NOT(ISERROR(SEARCH("Cancelado",Q536)))</formula>
    </cfRule>
  </conditionalFormatting>
  <conditionalFormatting sqref="S536">
    <cfRule type="cellIs" dxfId="8869" priority="7268" operator="equal">
      <formula>"Tramitando"</formula>
    </cfRule>
    <cfRule type="cellIs" dxfId="8868" priority="7269" operator="equal">
      <formula>"Deferido"</formula>
    </cfRule>
    <cfRule type="cellIs" dxfId="8867" priority="7270" operator="equal">
      <formula>"Indeferido"</formula>
    </cfRule>
  </conditionalFormatting>
  <conditionalFormatting sqref="S536">
    <cfRule type="containsText" dxfId="8866" priority="7267" operator="containsText" text="Cancelado">
      <formula>NOT(ISERROR(SEARCH("Cancelado",S536)))</formula>
    </cfRule>
  </conditionalFormatting>
  <conditionalFormatting sqref="J537">
    <cfRule type="cellIs" dxfId="8865" priority="7263" operator="equal">
      <formula>"Tramitando"</formula>
    </cfRule>
    <cfRule type="cellIs" dxfId="8864" priority="7264" operator="equal">
      <formula>"Deferido"</formula>
    </cfRule>
    <cfRule type="cellIs" dxfId="8863" priority="7265" operator="equal">
      <formula>"Indeferido"</formula>
    </cfRule>
  </conditionalFormatting>
  <conditionalFormatting sqref="J537">
    <cfRule type="containsText" dxfId="8862" priority="7262" operator="containsText" text="Cancelado">
      <formula>NOT(ISERROR(SEARCH("Cancelado",J537)))</formula>
    </cfRule>
  </conditionalFormatting>
  <conditionalFormatting sqref="M537">
    <cfRule type="cellIs" dxfId="8861" priority="7259" operator="equal">
      <formula>"Tramitando"</formula>
    </cfRule>
    <cfRule type="cellIs" dxfId="8860" priority="7260" operator="equal">
      <formula>"Deferido"</formula>
    </cfRule>
    <cfRule type="cellIs" dxfId="8859" priority="7261" operator="equal">
      <formula>"Indeferido"</formula>
    </cfRule>
  </conditionalFormatting>
  <conditionalFormatting sqref="M537">
    <cfRule type="containsText" dxfId="8858" priority="7258" operator="containsText" text="Cancelado">
      <formula>NOT(ISERROR(SEARCH("Cancelado",M537)))</formula>
    </cfRule>
  </conditionalFormatting>
  <conditionalFormatting sqref="O537">
    <cfRule type="cellIs" dxfId="8857" priority="7255" operator="equal">
      <formula>"Tramitando"</formula>
    </cfRule>
    <cfRule type="cellIs" dxfId="8856" priority="7256" operator="equal">
      <formula>"Deferido"</formula>
    </cfRule>
    <cfRule type="cellIs" dxfId="8855" priority="7257" operator="equal">
      <formula>"Indeferido"</formula>
    </cfRule>
  </conditionalFormatting>
  <conditionalFormatting sqref="O537">
    <cfRule type="containsText" dxfId="8854" priority="7254" operator="containsText" text="Cancelado">
      <formula>NOT(ISERROR(SEARCH("Cancelado",O537)))</formula>
    </cfRule>
  </conditionalFormatting>
  <conditionalFormatting sqref="Q537">
    <cfRule type="cellIs" dxfId="8853" priority="7251" operator="equal">
      <formula>"Tramitando"</formula>
    </cfRule>
    <cfRule type="cellIs" dxfId="8852" priority="7252" operator="equal">
      <formula>"Deferido"</formula>
    </cfRule>
    <cfRule type="cellIs" dxfId="8851" priority="7253" operator="equal">
      <formula>"Indeferido"</formula>
    </cfRule>
  </conditionalFormatting>
  <conditionalFormatting sqref="Q537">
    <cfRule type="containsText" dxfId="8850" priority="7250" operator="containsText" text="Cancelado">
      <formula>NOT(ISERROR(SEARCH("Cancelado",Q537)))</formula>
    </cfRule>
  </conditionalFormatting>
  <conditionalFormatting sqref="S537">
    <cfRule type="cellIs" dxfId="8849" priority="7247" operator="equal">
      <formula>"Tramitando"</formula>
    </cfRule>
    <cfRule type="cellIs" dxfId="8848" priority="7248" operator="equal">
      <formula>"Deferido"</formula>
    </cfRule>
    <cfRule type="cellIs" dxfId="8847" priority="7249" operator="equal">
      <formula>"Indeferido"</formula>
    </cfRule>
  </conditionalFormatting>
  <conditionalFormatting sqref="S537">
    <cfRule type="containsText" dxfId="8846" priority="7246" operator="containsText" text="Cancelado">
      <formula>NOT(ISERROR(SEARCH("Cancelado",S537)))</formula>
    </cfRule>
  </conditionalFormatting>
  <conditionalFormatting sqref="J538">
    <cfRule type="cellIs" dxfId="8845" priority="7242" operator="equal">
      <formula>"Tramitando"</formula>
    </cfRule>
    <cfRule type="cellIs" dxfId="8844" priority="7243" operator="equal">
      <formula>"Deferido"</formula>
    </cfRule>
    <cfRule type="cellIs" dxfId="8843" priority="7244" operator="equal">
      <formula>"Indeferido"</formula>
    </cfRule>
  </conditionalFormatting>
  <conditionalFormatting sqref="J538">
    <cfRule type="containsText" dxfId="8842" priority="7241" operator="containsText" text="Cancelado">
      <formula>NOT(ISERROR(SEARCH("Cancelado",J538)))</formula>
    </cfRule>
  </conditionalFormatting>
  <conditionalFormatting sqref="M538">
    <cfRule type="cellIs" dxfId="8841" priority="7238" operator="equal">
      <formula>"Tramitando"</formula>
    </cfRule>
    <cfRule type="cellIs" dxfId="8840" priority="7239" operator="equal">
      <formula>"Deferido"</formula>
    </cfRule>
    <cfRule type="cellIs" dxfId="8839" priority="7240" operator="equal">
      <formula>"Indeferido"</formula>
    </cfRule>
  </conditionalFormatting>
  <conditionalFormatting sqref="M538">
    <cfRule type="containsText" dxfId="8838" priority="7237" operator="containsText" text="Cancelado">
      <formula>NOT(ISERROR(SEARCH("Cancelado",M538)))</formula>
    </cfRule>
  </conditionalFormatting>
  <conditionalFormatting sqref="O538">
    <cfRule type="cellIs" dxfId="8837" priority="7234" operator="equal">
      <formula>"Tramitando"</formula>
    </cfRule>
    <cfRule type="cellIs" dxfId="8836" priority="7235" operator="equal">
      <formula>"Deferido"</formula>
    </cfRule>
    <cfRule type="cellIs" dxfId="8835" priority="7236" operator="equal">
      <formula>"Indeferido"</formula>
    </cfRule>
  </conditionalFormatting>
  <conditionalFormatting sqref="O538">
    <cfRule type="containsText" dxfId="8834" priority="7233" operator="containsText" text="Cancelado">
      <formula>NOT(ISERROR(SEARCH("Cancelado",O538)))</formula>
    </cfRule>
  </conditionalFormatting>
  <conditionalFormatting sqref="Q538">
    <cfRule type="cellIs" dxfId="8833" priority="7230" operator="equal">
      <formula>"Tramitando"</formula>
    </cfRule>
    <cfRule type="cellIs" dxfId="8832" priority="7231" operator="equal">
      <formula>"Deferido"</formula>
    </cfRule>
    <cfRule type="cellIs" dxfId="8831" priority="7232" operator="equal">
      <formula>"Indeferido"</formula>
    </cfRule>
  </conditionalFormatting>
  <conditionalFormatting sqref="Q538">
    <cfRule type="containsText" dxfId="8830" priority="7229" operator="containsText" text="Cancelado">
      <formula>NOT(ISERROR(SEARCH("Cancelado",Q538)))</formula>
    </cfRule>
  </conditionalFormatting>
  <conditionalFormatting sqref="S538">
    <cfRule type="cellIs" dxfId="8829" priority="7226" operator="equal">
      <formula>"Tramitando"</formula>
    </cfRule>
    <cfRule type="cellIs" dxfId="8828" priority="7227" operator="equal">
      <formula>"Deferido"</formula>
    </cfRule>
    <cfRule type="cellIs" dxfId="8827" priority="7228" operator="equal">
      <formula>"Indeferido"</formula>
    </cfRule>
  </conditionalFormatting>
  <conditionalFormatting sqref="S538">
    <cfRule type="containsText" dxfId="8826" priority="7225" operator="containsText" text="Cancelado">
      <formula>NOT(ISERROR(SEARCH("Cancelado",S538)))</formula>
    </cfRule>
  </conditionalFormatting>
  <conditionalFormatting sqref="J539">
    <cfRule type="cellIs" dxfId="8825" priority="7221" operator="equal">
      <formula>"Tramitando"</formula>
    </cfRule>
    <cfRule type="cellIs" dxfId="8824" priority="7222" operator="equal">
      <formula>"Deferido"</formula>
    </cfRule>
    <cfRule type="cellIs" dxfId="8823" priority="7223" operator="equal">
      <formula>"Indeferido"</formula>
    </cfRule>
  </conditionalFormatting>
  <conditionalFormatting sqref="J539">
    <cfRule type="containsText" dxfId="8822" priority="7220" operator="containsText" text="Cancelado">
      <formula>NOT(ISERROR(SEARCH("Cancelado",J539)))</formula>
    </cfRule>
  </conditionalFormatting>
  <conditionalFormatting sqref="M539">
    <cfRule type="cellIs" dxfId="8821" priority="7217" operator="equal">
      <formula>"Tramitando"</formula>
    </cfRule>
    <cfRule type="cellIs" dxfId="8820" priority="7218" operator="equal">
      <formula>"Deferido"</formula>
    </cfRule>
    <cfRule type="cellIs" dxfId="8819" priority="7219" operator="equal">
      <formula>"Indeferido"</formula>
    </cfRule>
  </conditionalFormatting>
  <conditionalFormatting sqref="M539">
    <cfRule type="containsText" dxfId="8818" priority="7216" operator="containsText" text="Cancelado">
      <formula>NOT(ISERROR(SEARCH("Cancelado",M539)))</formula>
    </cfRule>
  </conditionalFormatting>
  <conditionalFormatting sqref="O539">
    <cfRule type="cellIs" dxfId="8817" priority="7213" operator="equal">
      <formula>"Tramitando"</formula>
    </cfRule>
    <cfRule type="cellIs" dxfId="8816" priority="7214" operator="equal">
      <formula>"Deferido"</formula>
    </cfRule>
    <cfRule type="cellIs" dxfId="8815" priority="7215" operator="equal">
      <formula>"Indeferido"</formula>
    </cfRule>
  </conditionalFormatting>
  <conditionalFormatting sqref="O539">
    <cfRule type="containsText" dxfId="8814" priority="7212" operator="containsText" text="Cancelado">
      <formula>NOT(ISERROR(SEARCH("Cancelado",O539)))</formula>
    </cfRule>
  </conditionalFormatting>
  <conditionalFormatting sqref="Q539">
    <cfRule type="cellIs" dxfId="8813" priority="7209" operator="equal">
      <formula>"Tramitando"</formula>
    </cfRule>
    <cfRule type="cellIs" dxfId="8812" priority="7210" operator="equal">
      <formula>"Deferido"</formula>
    </cfRule>
    <cfRule type="cellIs" dxfId="8811" priority="7211" operator="equal">
      <formula>"Indeferido"</formula>
    </cfRule>
  </conditionalFormatting>
  <conditionalFormatting sqref="Q539">
    <cfRule type="containsText" dxfId="8810" priority="7208" operator="containsText" text="Cancelado">
      <formula>NOT(ISERROR(SEARCH("Cancelado",Q539)))</formula>
    </cfRule>
  </conditionalFormatting>
  <conditionalFormatting sqref="S539">
    <cfRule type="cellIs" dxfId="8809" priority="7205" operator="equal">
      <formula>"Tramitando"</formula>
    </cfRule>
    <cfRule type="cellIs" dxfId="8808" priority="7206" operator="equal">
      <formula>"Deferido"</formula>
    </cfRule>
    <cfRule type="cellIs" dxfId="8807" priority="7207" operator="equal">
      <formula>"Indeferido"</formula>
    </cfRule>
  </conditionalFormatting>
  <conditionalFormatting sqref="S539">
    <cfRule type="containsText" dxfId="8806" priority="7204" operator="containsText" text="Cancelado">
      <formula>NOT(ISERROR(SEARCH("Cancelado",S539)))</formula>
    </cfRule>
  </conditionalFormatting>
  <conditionalFormatting sqref="J540">
    <cfRule type="cellIs" dxfId="8805" priority="7200" operator="equal">
      <formula>"Tramitando"</formula>
    </cfRule>
    <cfRule type="cellIs" dxfId="8804" priority="7201" operator="equal">
      <formula>"Deferido"</formula>
    </cfRule>
    <cfRule type="cellIs" dxfId="8803" priority="7202" operator="equal">
      <formula>"Indeferido"</formula>
    </cfRule>
  </conditionalFormatting>
  <conditionalFormatting sqref="J540">
    <cfRule type="containsText" dxfId="8802" priority="7199" operator="containsText" text="Cancelado">
      <formula>NOT(ISERROR(SEARCH("Cancelado",J540)))</formula>
    </cfRule>
  </conditionalFormatting>
  <conditionalFormatting sqref="M540">
    <cfRule type="cellIs" dxfId="8801" priority="7196" operator="equal">
      <formula>"Tramitando"</formula>
    </cfRule>
    <cfRule type="cellIs" dxfId="8800" priority="7197" operator="equal">
      <formula>"Deferido"</formula>
    </cfRule>
    <cfRule type="cellIs" dxfId="8799" priority="7198" operator="equal">
      <formula>"Indeferido"</formula>
    </cfRule>
  </conditionalFormatting>
  <conditionalFormatting sqref="M540">
    <cfRule type="containsText" dxfId="8798" priority="7195" operator="containsText" text="Cancelado">
      <formula>NOT(ISERROR(SEARCH("Cancelado",M540)))</formula>
    </cfRule>
  </conditionalFormatting>
  <conditionalFormatting sqref="O540">
    <cfRule type="cellIs" dxfId="8797" priority="7192" operator="equal">
      <formula>"Tramitando"</formula>
    </cfRule>
    <cfRule type="cellIs" dxfId="8796" priority="7193" operator="equal">
      <formula>"Deferido"</formula>
    </cfRule>
    <cfRule type="cellIs" dxfId="8795" priority="7194" operator="equal">
      <formula>"Indeferido"</formula>
    </cfRule>
  </conditionalFormatting>
  <conditionalFormatting sqref="O540">
    <cfRule type="containsText" dxfId="8794" priority="7191" operator="containsText" text="Cancelado">
      <formula>NOT(ISERROR(SEARCH("Cancelado",O540)))</formula>
    </cfRule>
  </conditionalFormatting>
  <conditionalFormatting sqref="Q540">
    <cfRule type="cellIs" dxfId="8793" priority="7188" operator="equal">
      <formula>"Tramitando"</formula>
    </cfRule>
    <cfRule type="cellIs" dxfId="8792" priority="7189" operator="equal">
      <formula>"Deferido"</formula>
    </cfRule>
    <cfRule type="cellIs" dxfId="8791" priority="7190" operator="equal">
      <formula>"Indeferido"</formula>
    </cfRule>
  </conditionalFormatting>
  <conditionalFormatting sqref="Q540">
    <cfRule type="containsText" dxfId="8790" priority="7187" operator="containsText" text="Cancelado">
      <formula>NOT(ISERROR(SEARCH("Cancelado",Q540)))</formula>
    </cfRule>
  </conditionalFormatting>
  <conditionalFormatting sqref="S540">
    <cfRule type="cellIs" dxfId="8789" priority="7184" operator="equal">
      <formula>"Tramitando"</formula>
    </cfRule>
    <cfRule type="cellIs" dxfId="8788" priority="7185" operator="equal">
      <formula>"Deferido"</formula>
    </cfRule>
    <cfRule type="cellIs" dxfId="8787" priority="7186" operator="equal">
      <formula>"Indeferido"</formula>
    </cfRule>
  </conditionalFormatting>
  <conditionalFormatting sqref="S540">
    <cfRule type="containsText" dxfId="8786" priority="7183" operator="containsText" text="Cancelado">
      <formula>NOT(ISERROR(SEARCH("Cancelado",S540)))</formula>
    </cfRule>
  </conditionalFormatting>
  <conditionalFormatting sqref="J541">
    <cfRule type="cellIs" dxfId="8785" priority="7179" operator="equal">
      <formula>"Tramitando"</formula>
    </cfRule>
    <cfRule type="cellIs" dxfId="8784" priority="7180" operator="equal">
      <formula>"Deferido"</formula>
    </cfRule>
    <cfRule type="cellIs" dxfId="8783" priority="7181" operator="equal">
      <formula>"Indeferido"</formula>
    </cfRule>
  </conditionalFormatting>
  <conditionalFormatting sqref="J541">
    <cfRule type="containsText" dxfId="8782" priority="7178" operator="containsText" text="Cancelado">
      <formula>NOT(ISERROR(SEARCH("Cancelado",J541)))</formula>
    </cfRule>
  </conditionalFormatting>
  <conditionalFormatting sqref="M541">
    <cfRule type="cellIs" dxfId="8781" priority="7175" operator="equal">
      <formula>"Tramitando"</formula>
    </cfRule>
    <cfRule type="cellIs" dxfId="8780" priority="7176" operator="equal">
      <formula>"Deferido"</formula>
    </cfRule>
    <cfRule type="cellIs" dxfId="8779" priority="7177" operator="equal">
      <formula>"Indeferido"</formula>
    </cfRule>
  </conditionalFormatting>
  <conditionalFormatting sqref="M541">
    <cfRule type="containsText" dxfId="8778" priority="7174" operator="containsText" text="Cancelado">
      <formula>NOT(ISERROR(SEARCH("Cancelado",M541)))</formula>
    </cfRule>
  </conditionalFormatting>
  <conditionalFormatting sqref="O541">
    <cfRule type="cellIs" dxfId="8777" priority="7171" operator="equal">
      <formula>"Tramitando"</formula>
    </cfRule>
    <cfRule type="cellIs" dxfId="8776" priority="7172" operator="equal">
      <formula>"Deferido"</formula>
    </cfRule>
    <cfRule type="cellIs" dxfId="8775" priority="7173" operator="equal">
      <formula>"Indeferido"</formula>
    </cfRule>
  </conditionalFormatting>
  <conditionalFormatting sqref="O541">
    <cfRule type="containsText" dxfId="8774" priority="7170" operator="containsText" text="Cancelado">
      <formula>NOT(ISERROR(SEARCH("Cancelado",O541)))</formula>
    </cfRule>
  </conditionalFormatting>
  <conditionalFormatting sqref="Q541">
    <cfRule type="cellIs" dxfId="8773" priority="7167" operator="equal">
      <formula>"Tramitando"</formula>
    </cfRule>
    <cfRule type="cellIs" dxfId="8772" priority="7168" operator="equal">
      <formula>"Deferido"</formula>
    </cfRule>
    <cfRule type="cellIs" dxfId="8771" priority="7169" operator="equal">
      <formula>"Indeferido"</formula>
    </cfRule>
  </conditionalFormatting>
  <conditionalFormatting sqref="Q541">
    <cfRule type="containsText" dxfId="8770" priority="7166" operator="containsText" text="Cancelado">
      <formula>NOT(ISERROR(SEARCH("Cancelado",Q541)))</formula>
    </cfRule>
  </conditionalFormatting>
  <conditionalFormatting sqref="S541">
    <cfRule type="cellIs" dxfId="8769" priority="7163" operator="equal">
      <formula>"Tramitando"</formula>
    </cfRule>
    <cfRule type="cellIs" dxfId="8768" priority="7164" operator="equal">
      <formula>"Deferido"</formula>
    </cfRule>
    <cfRule type="cellIs" dxfId="8767" priority="7165" operator="equal">
      <formula>"Indeferido"</formula>
    </cfRule>
  </conditionalFormatting>
  <conditionalFormatting sqref="S541">
    <cfRule type="containsText" dxfId="8766" priority="7162" operator="containsText" text="Cancelado">
      <formula>NOT(ISERROR(SEARCH("Cancelado",S541)))</formula>
    </cfRule>
  </conditionalFormatting>
  <conditionalFormatting sqref="J542:J543">
    <cfRule type="cellIs" dxfId="8765" priority="7158" operator="equal">
      <formula>"Tramitando"</formula>
    </cfRule>
    <cfRule type="cellIs" dxfId="8764" priority="7159" operator="equal">
      <formula>"Deferido"</formula>
    </cfRule>
    <cfRule type="cellIs" dxfId="8763" priority="7160" operator="equal">
      <formula>"Indeferido"</formula>
    </cfRule>
  </conditionalFormatting>
  <conditionalFormatting sqref="J542:J543">
    <cfRule type="containsText" dxfId="8762" priority="7157" operator="containsText" text="Cancelado">
      <formula>NOT(ISERROR(SEARCH("Cancelado",J542)))</formula>
    </cfRule>
  </conditionalFormatting>
  <conditionalFormatting sqref="M542:M543">
    <cfRule type="cellIs" dxfId="8761" priority="7154" operator="equal">
      <formula>"Tramitando"</formula>
    </cfRule>
    <cfRule type="cellIs" dxfId="8760" priority="7155" operator="equal">
      <formula>"Deferido"</formula>
    </cfRule>
    <cfRule type="cellIs" dxfId="8759" priority="7156" operator="equal">
      <formula>"Indeferido"</formula>
    </cfRule>
  </conditionalFormatting>
  <conditionalFormatting sqref="M542:M543">
    <cfRule type="containsText" dxfId="8758" priority="7153" operator="containsText" text="Cancelado">
      <formula>NOT(ISERROR(SEARCH("Cancelado",M542)))</formula>
    </cfRule>
  </conditionalFormatting>
  <conditionalFormatting sqref="O542:O543">
    <cfRule type="cellIs" dxfId="8757" priority="7150" operator="equal">
      <formula>"Tramitando"</formula>
    </cfRule>
    <cfRule type="cellIs" dxfId="8756" priority="7151" operator="equal">
      <formula>"Deferido"</formula>
    </cfRule>
    <cfRule type="cellIs" dxfId="8755" priority="7152" operator="equal">
      <formula>"Indeferido"</formula>
    </cfRule>
  </conditionalFormatting>
  <conditionalFormatting sqref="O542:O543">
    <cfRule type="containsText" dxfId="8754" priority="7149" operator="containsText" text="Cancelado">
      <formula>NOT(ISERROR(SEARCH("Cancelado",O542)))</formula>
    </cfRule>
  </conditionalFormatting>
  <conditionalFormatting sqref="Q542:Q543">
    <cfRule type="cellIs" dxfId="8753" priority="7146" operator="equal">
      <formula>"Tramitando"</formula>
    </cfRule>
    <cfRule type="cellIs" dxfId="8752" priority="7147" operator="equal">
      <formula>"Deferido"</formula>
    </cfRule>
    <cfRule type="cellIs" dxfId="8751" priority="7148" operator="equal">
      <formula>"Indeferido"</formula>
    </cfRule>
  </conditionalFormatting>
  <conditionalFormatting sqref="Q542:Q543">
    <cfRule type="containsText" dxfId="8750" priority="7145" operator="containsText" text="Cancelado">
      <formula>NOT(ISERROR(SEARCH("Cancelado",Q542)))</formula>
    </cfRule>
  </conditionalFormatting>
  <conditionalFormatting sqref="S542:S543">
    <cfRule type="cellIs" dxfId="8749" priority="7142" operator="equal">
      <formula>"Tramitando"</formula>
    </cfRule>
    <cfRule type="cellIs" dxfId="8748" priority="7143" operator="equal">
      <formula>"Deferido"</formula>
    </cfRule>
    <cfRule type="cellIs" dxfId="8747" priority="7144" operator="equal">
      <formula>"Indeferido"</formula>
    </cfRule>
  </conditionalFormatting>
  <conditionalFormatting sqref="S542:S543">
    <cfRule type="containsText" dxfId="8746" priority="7141" operator="containsText" text="Cancelado">
      <formula>NOT(ISERROR(SEARCH("Cancelado",S542)))</formula>
    </cfRule>
  </conditionalFormatting>
  <conditionalFormatting sqref="J544">
    <cfRule type="cellIs" dxfId="8745" priority="7137" operator="equal">
      <formula>"Tramitando"</formula>
    </cfRule>
    <cfRule type="cellIs" dxfId="8744" priority="7138" operator="equal">
      <formula>"Deferido"</formula>
    </cfRule>
    <cfRule type="cellIs" dxfId="8743" priority="7139" operator="equal">
      <formula>"Indeferido"</formula>
    </cfRule>
  </conditionalFormatting>
  <conditionalFormatting sqref="J544">
    <cfRule type="containsText" dxfId="8742" priority="7136" operator="containsText" text="Cancelado">
      <formula>NOT(ISERROR(SEARCH("Cancelado",J544)))</formula>
    </cfRule>
  </conditionalFormatting>
  <conditionalFormatting sqref="M544">
    <cfRule type="cellIs" dxfId="8741" priority="7133" operator="equal">
      <formula>"Tramitando"</formula>
    </cfRule>
    <cfRule type="cellIs" dxfId="8740" priority="7134" operator="equal">
      <formula>"Deferido"</formula>
    </cfRule>
    <cfRule type="cellIs" dxfId="8739" priority="7135" operator="equal">
      <formula>"Indeferido"</formula>
    </cfRule>
  </conditionalFormatting>
  <conditionalFormatting sqref="M544">
    <cfRule type="containsText" dxfId="8738" priority="7132" operator="containsText" text="Cancelado">
      <formula>NOT(ISERROR(SEARCH("Cancelado",M544)))</formula>
    </cfRule>
  </conditionalFormatting>
  <conditionalFormatting sqref="O544">
    <cfRule type="cellIs" dxfId="8737" priority="7129" operator="equal">
      <formula>"Tramitando"</formula>
    </cfRule>
    <cfRule type="cellIs" dxfId="8736" priority="7130" operator="equal">
      <formula>"Deferido"</formula>
    </cfRule>
    <cfRule type="cellIs" dxfId="8735" priority="7131" operator="equal">
      <formula>"Indeferido"</formula>
    </cfRule>
  </conditionalFormatting>
  <conditionalFormatting sqref="O544">
    <cfRule type="containsText" dxfId="8734" priority="7128" operator="containsText" text="Cancelado">
      <formula>NOT(ISERROR(SEARCH("Cancelado",O544)))</formula>
    </cfRule>
  </conditionalFormatting>
  <conditionalFormatting sqref="Q544">
    <cfRule type="cellIs" dxfId="8733" priority="7125" operator="equal">
      <formula>"Tramitando"</formula>
    </cfRule>
    <cfRule type="cellIs" dxfId="8732" priority="7126" operator="equal">
      <formula>"Deferido"</formula>
    </cfRule>
    <cfRule type="cellIs" dxfId="8731" priority="7127" operator="equal">
      <formula>"Indeferido"</formula>
    </cfRule>
  </conditionalFormatting>
  <conditionalFormatting sqref="Q544">
    <cfRule type="containsText" dxfId="8730" priority="7124" operator="containsText" text="Cancelado">
      <formula>NOT(ISERROR(SEARCH("Cancelado",Q544)))</formula>
    </cfRule>
  </conditionalFormatting>
  <conditionalFormatting sqref="S544">
    <cfRule type="cellIs" dxfId="8729" priority="7121" operator="equal">
      <formula>"Tramitando"</formula>
    </cfRule>
    <cfRule type="cellIs" dxfId="8728" priority="7122" operator="equal">
      <formula>"Deferido"</formula>
    </cfRule>
    <cfRule type="cellIs" dxfId="8727" priority="7123" operator="equal">
      <formula>"Indeferido"</formula>
    </cfRule>
  </conditionalFormatting>
  <conditionalFormatting sqref="S544">
    <cfRule type="containsText" dxfId="8726" priority="7120" operator="containsText" text="Cancelado">
      <formula>NOT(ISERROR(SEARCH("Cancelado",S544)))</formula>
    </cfRule>
  </conditionalFormatting>
  <conditionalFormatting sqref="M545">
    <cfRule type="cellIs" dxfId="8725" priority="7112" operator="equal">
      <formula>"Tramitando"</formula>
    </cfRule>
    <cfRule type="cellIs" dxfId="8724" priority="7113" operator="equal">
      <formula>"Deferido"</formula>
    </cfRule>
    <cfRule type="cellIs" dxfId="8723" priority="7114" operator="equal">
      <formula>"Indeferido"</formula>
    </cfRule>
  </conditionalFormatting>
  <conditionalFormatting sqref="M545">
    <cfRule type="containsText" dxfId="8722" priority="7111" operator="containsText" text="Cancelado">
      <formula>NOT(ISERROR(SEARCH("Cancelado",M545)))</formula>
    </cfRule>
  </conditionalFormatting>
  <conditionalFormatting sqref="O545">
    <cfRule type="cellIs" dxfId="8721" priority="7108" operator="equal">
      <formula>"Tramitando"</formula>
    </cfRule>
    <cfRule type="cellIs" dxfId="8720" priority="7109" operator="equal">
      <formula>"Deferido"</formula>
    </cfRule>
    <cfRule type="cellIs" dxfId="8719" priority="7110" operator="equal">
      <formula>"Indeferido"</formula>
    </cfRule>
  </conditionalFormatting>
  <conditionalFormatting sqref="O545">
    <cfRule type="containsText" dxfId="8718" priority="7107" operator="containsText" text="Cancelado">
      <formula>NOT(ISERROR(SEARCH("Cancelado",O545)))</formula>
    </cfRule>
  </conditionalFormatting>
  <conditionalFormatting sqref="Q545">
    <cfRule type="cellIs" dxfId="8717" priority="7104" operator="equal">
      <formula>"Tramitando"</formula>
    </cfRule>
    <cfRule type="cellIs" dxfId="8716" priority="7105" operator="equal">
      <formula>"Deferido"</formula>
    </cfRule>
    <cfRule type="cellIs" dxfId="8715" priority="7106" operator="equal">
      <formula>"Indeferido"</formula>
    </cfRule>
  </conditionalFormatting>
  <conditionalFormatting sqref="Q545">
    <cfRule type="containsText" dxfId="8714" priority="7103" operator="containsText" text="Cancelado">
      <formula>NOT(ISERROR(SEARCH("Cancelado",Q545)))</formula>
    </cfRule>
  </conditionalFormatting>
  <conditionalFormatting sqref="S545">
    <cfRule type="cellIs" dxfId="8713" priority="7100" operator="equal">
      <formula>"Tramitando"</formula>
    </cfRule>
    <cfRule type="cellIs" dxfId="8712" priority="7101" operator="equal">
      <formula>"Deferido"</formula>
    </cfRule>
    <cfRule type="cellIs" dxfId="8711" priority="7102" operator="equal">
      <formula>"Indeferido"</formula>
    </cfRule>
  </conditionalFormatting>
  <conditionalFormatting sqref="S545">
    <cfRule type="containsText" dxfId="8710" priority="7099" operator="containsText" text="Cancelado">
      <formula>NOT(ISERROR(SEARCH("Cancelado",S545)))</formula>
    </cfRule>
  </conditionalFormatting>
  <conditionalFormatting sqref="M546">
    <cfRule type="cellIs" dxfId="8709" priority="7091" operator="equal">
      <formula>"Tramitando"</formula>
    </cfRule>
    <cfRule type="cellIs" dxfId="8708" priority="7092" operator="equal">
      <formula>"Deferido"</formula>
    </cfRule>
    <cfRule type="cellIs" dxfId="8707" priority="7093" operator="equal">
      <formula>"Indeferido"</formula>
    </cfRule>
  </conditionalFormatting>
  <conditionalFormatting sqref="M546">
    <cfRule type="containsText" dxfId="8706" priority="7090" operator="containsText" text="Cancelado">
      <formula>NOT(ISERROR(SEARCH("Cancelado",M546)))</formula>
    </cfRule>
  </conditionalFormatting>
  <conditionalFormatting sqref="O546">
    <cfRule type="cellIs" dxfId="8705" priority="7087" operator="equal">
      <formula>"Tramitando"</formula>
    </cfRule>
    <cfRule type="cellIs" dxfId="8704" priority="7088" operator="equal">
      <formula>"Deferido"</formula>
    </cfRule>
    <cfRule type="cellIs" dxfId="8703" priority="7089" operator="equal">
      <formula>"Indeferido"</formula>
    </cfRule>
  </conditionalFormatting>
  <conditionalFormatting sqref="O546">
    <cfRule type="containsText" dxfId="8702" priority="7086" operator="containsText" text="Cancelado">
      <formula>NOT(ISERROR(SEARCH("Cancelado",O546)))</formula>
    </cfRule>
  </conditionalFormatting>
  <conditionalFormatting sqref="Q546">
    <cfRule type="cellIs" dxfId="8701" priority="7083" operator="equal">
      <formula>"Tramitando"</formula>
    </cfRule>
    <cfRule type="cellIs" dxfId="8700" priority="7084" operator="equal">
      <formula>"Deferido"</formula>
    </cfRule>
    <cfRule type="cellIs" dxfId="8699" priority="7085" operator="equal">
      <formula>"Indeferido"</formula>
    </cfRule>
  </conditionalFormatting>
  <conditionalFormatting sqref="Q546">
    <cfRule type="containsText" dxfId="8698" priority="7082" operator="containsText" text="Cancelado">
      <formula>NOT(ISERROR(SEARCH("Cancelado",Q546)))</formula>
    </cfRule>
  </conditionalFormatting>
  <conditionalFormatting sqref="S546">
    <cfRule type="cellIs" dxfId="8697" priority="7079" operator="equal">
      <formula>"Tramitando"</formula>
    </cfRule>
    <cfRule type="cellIs" dxfId="8696" priority="7080" operator="equal">
      <formula>"Deferido"</formula>
    </cfRule>
    <cfRule type="cellIs" dxfId="8695" priority="7081" operator="equal">
      <formula>"Indeferido"</formula>
    </cfRule>
  </conditionalFormatting>
  <conditionalFormatting sqref="S546">
    <cfRule type="containsText" dxfId="8694" priority="7078" operator="containsText" text="Cancelado">
      <formula>NOT(ISERROR(SEARCH("Cancelado",S546)))</formula>
    </cfRule>
  </conditionalFormatting>
  <conditionalFormatting sqref="J547">
    <cfRule type="cellIs" dxfId="8693" priority="7074" operator="equal">
      <formula>"Tramitando"</formula>
    </cfRule>
    <cfRule type="cellIs" dxfId="8692" priority="7075" operator="equal">
      <formula>"Deferido"</formula>
    </cfRule>
    <cfRule type="cellIs" dxfId="8691" priority="7076" operator="equal">
      <formula>"Indeferido"</formula>
    </cfRule>
  </conditionalFormatting>
  <conditionalFormatting sqref="J547">
    <cfRule type="containsText" dxfId="8690" priority="7073" operator="containsText" text="Cancelado">
      <formula>NOT(ISERROR(SEARCH("Cancelado",J547)))</formula>
    </cfRule>
  </conditionalFormatting>
  <conditionalFormatting sqref="O547">
    <cfRule type="cellIs" dxfId="8689" priority="7066" operator="equal">
      <formula>"Tramitando"</formula>
    </cfRule>
    <cfRule type="cellIs" dxfId="8688" priority="7067" operator="equal">
      <formula>"Deferido"</formula>
    </cfRule>
    <cfRule type="cellIs" dxfId="8687" priority="7068" operator="equal">
      <formula>"Indeferido"</formula>
    </cfRule>
  </conditionalFormatting>
  <conditionalFormatting sqref="O547">
    <cfRule type="containsText" dxfId="8686" priority="7065" operator="containsText" text="Cancelado">
      <formula>NOT(ISERROR(SEARCH("Cancelado",O547)))</formula>
    </cfRule>
  </conditionalFormatting>
  <conditionalFormatting sqref="Q547">
    <cfRule type="cellIs" dxfId="8685" priority="7062" operator="equal">
      <formula>"Tramitando"</formula>
    </cfRule>
    <cfRule type="cellIs" dxfId="8684" priority="7063" operator="equal">
      <formula>"Deferido"</formula>
    </cfRule>
    <cfRule type="cellIs" dxfId="8683" priority="7064" operator="equal">
      <formula>"Indeferido"</formula>
    </cfRule>
  </conditionalFormatting>
  <conditionalFormatting sqref="Q547">
    <cfRule type="containsText" dxfId="8682" priority="7061" operator="containsText" text="Cancelado">
      <formula>NOT(ISERROR(SEARCH("Cancelado",Q547)))</formula>
    </cfRule>
  </conditionalFormatting>
  <conditionalFormatting sqref="S547">
    <cfRule type="cellIs" dxfId="8681" priority="7058" operator="equal">
      <formula>"Tramitando"</formula>
    </cfRule>
    <cfRule type="cellIs" dxfId="8680" priority="7059" operator="equal">
      <formula>"Deferido"</formula>
    </cfRule>
    <cfRule type="cellIs" dxfId="8679" priority="7060" operator="equal">
      <formula>"Indeferido"</formula>
    </cfRule>
  </conditionalFormatting>
  <conditionalFormatting sqref="S547">
    <cfRule type="containsText" dxfId="8678" priority="7057" operator="containsText" text="Cancelado">
      <formula>NOT(ISERROR(SEARCH("Cancelado",S547)))</formula>
    </cfRule>
  </conditionalFormatting>
  <conditionalFormatting sqref="J548">
    <cfRule type="cellIs" dxfId="8677" priority="7053" operator="equal">
      <formula>"Tramitando"</formula>
    </cfRule>
    <cfRule type="cellIs" dxfId="8676" priority="7054" operator="equal">
      <formula>"Deferido"</formula>
    </cfRule>
    <cfRule type="cellIs" dxfId="8675" priority="7055" operator="equal">
      <formula>"Indeferido"</formula>
    </cfRule>
  </conditionalFormatting>
  <conditionalFormatting sqref="J548">
    <cfRule type="containsText" dxfId="8674" priority="7052" operator="containsText" text="Cancelado">
      <formula>NOT(ISERROR(SEARCH("Cancelado",J548)))</formula>
    </cfRule>
  </conditionalFormatting>
  <conditionalFormatting sqref="O548">
    <cfRule type="cellIs" dxfId="8673" priority="7045" operator="equal">
      <formula>"Tramitando"</formula>
    </cfRule>
    <cfRule type="cellIs" dxfId="8672" priority="7046" operator="equal">
      <formula>"Deferido"</formula>
    </cfRule>
    <cfRule type="cellIs" dxfId="8671" priority="7047" operator="equal">
      <formula>"Indeferido"</formula>
    </cfRule>
  </conditionalFormatting>
  <conditionalFormatting sqref="O548">
    <cfRule type="containsText" dxfId="8670" priority="7044" operator="containsText" text="Cancelado">
      <formula>NOT(ISERROR(SEARCH("Cancelado",O548)))</formula>
    </cfRule>
  </conditionalFormatting>
  <conditionalFormatting sqref="Q548">
    <cfRule type="cellIs" dxfId="8669" priority="7041" operator="equal">
      <formula>"Tramitando"</formula>
    </cfRule>
    <cfRule type="cellIs" dxfId="8668" priority="7042" operator="equal">
      <formula>"Deferido"</formula>
    </cfRule>
    <cfRule type="cellIs" dxfId="8667" priority="7043" operator="equal">
      <formula>"Indeferido"</formula>
    </cfRule>
  </conditionalFormatting>
  <conditionalFormatting sqref="Q548">
    <cfRule type="containsText" dxfId="8666" priority="7040" operator="containsText" text="Cancelado">
      <formula>NOT(ISERROR(SEARCH("Cancelado",Q548)))</formula>
    </cfRule>
  </conditionalFormatting>
  <conditionalFormatting sqref="S548">
    <cfRule type="cellIs" dxfId="8665" priority="7037" operator="equal">
      <formula>"Tramitando"</formula>
    </cfRule>
    <cfRule type="cellIs" dxfId="8664" priority="7038" operator="equal">
      <formula>"Deferido"</formula>
    </cfRule>
    <cfRule type="cellIs" dxfId="8663" priority="7039" operator="equal">
      <formula>"Indeferido"</formula>
    </cfRule>
  </conditionalFormatting>
  <conditionalFormatting sqref="S548">
    <cfRule type="containsText" dxfId="8662" priority="7036" operator="containsText" text="Cancelado">
      <formula>NOT(ISERROR(SEARCH("Cancelado",S548)))</formula>
    </cfRule>
  </conditionalFormatting>
  <conditionalFormatting sqref="J549">
    <cfRule type="cellIs" dxfId="8661" priority="7032" operator="equal">
      <formula>"Tramitando"</formula>
    </cfRule>
    <cfRule type="cellIs" dxfId="8660" priority="7033" operator="equal">
      <formula>"Deferido"</formula>
    </cfRule>
    <cfRule type="cellIs" dxfId="8659" priority="7034" operator="equal">
      <formula>"Indeferido"</formula>
    </cfRule>
  </conditionalFormatting>
  <conditionalFormatting sqref="J549">
    <cfRule type="containsText" dxfId="8658" priority="7031" operator="containsText" text="Cancelado">
      <formula>NOT(ISERROR(SEARCH("Cancelado",J549)))</formula>
    </cfRule>
  </conditionalFormatting>
  <conditionalFormatting sqref="O549">
    <cfRule type="cellIs" dxfId="8657" priority="7024" operator="equal">
      <formula>"Tramitando"</formula>
    </cfRule>
    <cfRule type="cellIs" dxfId="8656" priority="7025" operator="equal">
      <formula>"Deferido"</formula>
    </cfRule>
    <cfRule type="cellIs" dxfId="8655" priority="7026" operator="equal">
      <formula>"Indeferido"</formula>
    </cfRule>
  </conditionalFormatting>
  <conditionalFormatting sqref="O549">
    <cfRule type="containsText" dxfId="8654" priority="7023" operator="containsText" text="Cancelado">
      <formula>NOT(ISERROR(SEARCH("Cancelado",O549)))</formula>
    </cfRule>
  </conditionalFormatting>
  <conditionalFormatting sqref="Q549">
    <cfRule type="cellIs" dxfId="8653" priority="7020" operator="equal">
      <formula>"Tramitando"</formula>
    </cfRule>
    <cfRule type="cellIs" dxfId="8652" priority="7021" operator="equal">
      <formula>"Deferido"</formula>
    </cfRule>
    <cfRule type="cellIs" dxfId="8651" priority="7022" operator="equal">
      <formula>"Indeferido"</formula>
    </cfRule>
  </conditionalFormatting>
  <conditionalFormatting sqref="Q549">
    <cfRule type="containsText" dxfId="8650" priority="7019" operator="containsText" text="Cancelado">
      <formula>NOT(ISERROR(SEARCH("Cancelado",Q549)))</formula>
    </cfRule>
  </conditionalFormatting>
  <conditionalFormatting sqref="S549">
    <cfRule type="cellIs" dxfId="8649" priority="7016" operator="equal">
      <formula>"Tramitando"</formula>
    </cfRule>
    <cfRule type="cellIs" dxfId="8648" priority="7017" operator="equal">
      <formula>"Deferido"</formula>
    </cfRule>
    <cfRule type="cellIs" dxfId="8647" priority="7018" operator="equal">
      <formula>"Indeferido"</formula>
    </cfRule>
  </conditionalFormatting>
  <conditionalFormatting sqref="S549">
    <cfRule type="containsText" dxfId="8646" priority="7015" operator="containsText" text="Cancelado">
      <formula>NOT(ISERROR(SEARCH("Cancelado",S549)))</formula>
    </cfRule>
  </conditionalFormatting>
  <conditionalFormatting sqref="J546">
    <cfRule type="cellIs" dxfId="8645" priority="7010" operator="equal">
      <formula>"Tramitando"</formula>
    </cfRule>
    <cfRule type="cellIs" dxfId="8644" priority="7011" operator="equal">
      <formula>"Deferido"</formula>
    </cfRule>
    <cfRule type="cellIs" dxfId="8643" priority="7012" operator="equal">
      <formula>"Indeferido"</formula>
    </cfRule>
  </conditionalFormatting>
  <conditionalFormatting sqref="J546">
    <cfRule type="containsText" dxfId="8642" priority="7009" operator="containsText" text="Cancelado">
      <formula>NOT(ISERROR(SEARCH("Cancelado",J546)))</formula>
    </cfRule>
  </conditionalFormatting>
  <conditionalFormatting sqref="J545">
    <cfRule type="cellIs" dxfId="8641" priority="7005" operator="equal">
      <formula>"Tramitando"</formula>
    </cfRule>
    <cfRule type="cellIs" dxfId="8640" priority="7006" operator="equal">
      <formula>"Deferido"</formula>
    </cfRule>
    <cfRule type="cellIs" dxfId="8639" priority="7007" operator="equal">
      <formula>"Indeferido"</formula>
    </cfRule>
  </conditionalFormatting>
  <conditionalFormatting sqref="J545">
    <cfRule type="containsText" dxfId="8638" priority="7004" operator="containsText" text="Cancelado">
      <formula>NOT(ISERROR(SEARCH("Cancelado",J545)))</formula>
    </cfRule>
  </conditionalFormatting>
  <conditionalFormatting sqref="M547">
    <cfRule type="cellIs" dxfId="8637" priority="7000" operator="equal">
      <formula>"Tramitando"</formula>
    </cfRule>
    <cfRule type="cellIs" dxfId="8636" priority="7001" operator="equal">
      <formula>"Deferido"</formula>
    </cfRule>
    <cfRule type="cellIs" dxfId="8635" priority="7002" operator="equal">
      <formula>"Indeferido"</formula>
    </cfRule>
  </conditionalFormatting>
  <conditionalFormatting sqref="M547">
    <cfRule type="containsText" dxfId="8634" priority="6999" operator="containsText" text="Cancelado">
      <formula>NOT(ISERROR(SEARCH("Cancelado",M547)))</formula>
    </cfRule>
  </conditionalFormatting>
  <conditionalFormatting sqref="M548">
    <cfRule type="cellIs" dxfId="8633" priority="6995" operator="equal">
      <formula>"Tramitando"</formula>
    </cfRule>
    <cfRule type="cellIs" dxfId="8632" priority="6996" operator="equal">
      <formula>"Deferido"</formula>
    </cfRule>
    <cfRule type="cellIs" dxfId="8631" priority="6997" operator="equal">
      <formula>"Indeferido"</formula>
    </cfRule>
  </conditionalFormatting>
  <conditionalFormatting sqref="M548">
    <cfRule type="containsText" dxfId="8630" priority="6994" operator="containsText" text="Cancelado">
      <formula>NOT(ISERROR(SEARCH("Cancelado",M548)))</formula>
    </cfRule>
  </conditionalFormatting>
  <conditionalFormatting sqref="M549">
    <cfRule type="cellIs" dxfId="8629" priority="6990" operator="equal">
      <formula>"Tramitando"</formula>
    </cfRule>
    <cfRule type="cellIs" dxfId="8628" priority="6991" operator="equal">
      <formula>"Deferido"</formula>
    </cfRule>
    <cfRule type="cellIs" dxfId="8627" priority="6992" operator="equal">
      <formula>"Indeferido"</formula>
    </cfRule>
  </conditionalFormatting>
  <conditionalFormatting sqref="M549">
    <cfRule type="containsText" dxfId="8626" priority="6989" operator="containsText" text="Cancelado">
      <formula>NOT(ISERROR(SEARCH("Cancelado",M549)))</formula>
    </cfRule>
  </conditionalFormatting>
  <conditionalFormatting sqref="J550">
    <cfRule type="cellIs" dxfId="8625" priority="6985" operator="equal">
      <formula>"Tramitando"</formula>
    </cfRule>
    <cfRule type="cellIs" dxfId="8624" priority="6986" operator="equal">
      <formula>"Deferido"</formula>
    </cfRule>
    <cfRule type="cellIs" dxfId="8623" priority="6987" operator="equal">
      <formula>"Indeferido"</formula>
    </cfRule>
  </conditionalFormatting>
  <conditionalFormatting sqref="J550">
    <cfRule type="containsText" dxfId="8622" priority="6984" operator="containsText" text="Cancelado">
      <formula>NOT(ISERROR(SEARCH("Cancelado",J550)))</formula>
    </cfRule>
  </conditionalFormatting>
  <conditionalFormatting sqref="M550">
    <cfRule type="cellIs" dxfId="8621" priority="6981" operator="equal">
      <formula>"Tramitando"</formula>
    </cfRule>
    <cfRule type="cellIs" dxfId="8620" priority="6982" operator="equal">
      <formula>"Deferido"</formula>
    </cfRule>
    <cfRule type="cellIs" dxfId="8619" priority="6983" operator="equal">
      <formula>"Indeferido"</formula>
    </cfRule>
  </conditionalFormatting>
  <conditionalFormatting sqref="M550">
    <cfRule type="containsText" dxfId="8618" priority="6980" operator="containsText" text="Cancelado">
      <formula>NOT(ISERROR(SEARCH("Cancelado",M550)))</formula>
    </cfRule>
  </conditionalFormatting>
  <conditionalFormatting sqref="O550">
    <cfRule type="cellIs" dxfId="8617" priority="6977" operator="equal">
      <formula>"Tramitando"</formula>
    </cfRule>
    <cfRule type="cellIs" dxfId="8616" priority="6978" operator="equal">
      <formula>"Deferido"</formula>
    </cfRule>
    <cfRule type="cellIs" dxfId="8615" priority="6979" operator="equal">
      <formula>"Indeferido"</formula>
    </cfRule>
  </conditionalFormatting>
  <conditionalFormatting sqref="O550">
    <cfRule type="containsText" dxfId="8614" priority="6976" operator="containsText" text="Cancelado">
      <formula>NOT(ISERROR(SEARCH("Cancelado",O550)))</formula>
    </cfRule>
  </conditionalFormatting>
  <conditionalFormatting sqref="Q550">
    <cfRule type="cellIs" dxfId="8613" priority="6973" operator="equal">
      <formula>"Tramitando"</formula>
    </cfRule>
    <cfRule type="cellIs" dxfId="8612" priority="6974" operator="equal">
      <formula>"Deferido"</formula>
    </cfRule>
    <cfRule type="cellIs" dxfId="8611" priority="6975" operator="equal">
      <formula>"Indeferido"</formula>
    </cfRule>
  </conditionalFormatting>
  <conditionalFormatting sqref="Q550">
    <cfRule type="containsText" dxfId="8610" priority="6972" operator="containsText" text="Cancelado">
      <formula>NOT(ISERROR(SEARCH("Cancelado",Q550)))</formula>
    </cfRule>
  </conditionalFormatting>
  <conditionalFormatting sqref="S550">
    <cfRule type="cellIs" dxfId="8609" priority="6969" operator="equal">
      <formula>"Tramitando"</formula>
    </cfRule>
    <cfRule type="cellIs" dxfId="8608" priority="6970" operator="equal">
      <formula>"Deferido"</formula>
    </cfRule>
    <cfRule type="cellIs" dxfId="8607" priority="6971" operator="equal">
      <formula>"Indeferido"</formula>
    </cfRule>
  </conditionalFormatting>
  <conditionalFormatting sqref="S550">
    <cfRule type="containsText" dxfId="8606" priority="6968" operator="containsText" text="Cancelado">
      <formula>NOT(ISERROR(SEARCH("Cancelado",S550)))</formula>
    </cfRule>
  </conditionalFormatting>
  <conditionalFormatting sqref="J551">
    <cfRule type="cellIs" dxfId="8605" priority="6964" operator="equal">
      <formula>"Tramitando"</formula>
    </cfRule>
    <cfRule type="cellIs" dxfId="8604" priority="6965" operator="equal">
      <formula>"Deferido"</formula>
    </cfRule>
    <cfRule type="cellIs" dxfId="8603" priority="6966" operator="equal">
      <formula>"Indeferido"</formula>
    </cfRule>
  </conditionalFormatting>
  <conditionalFormatting sqref="J551">
    <cfRule type="containsText" dxfId="8602" priority="6963" operator="containsText" text="Cancelado">
      <formula>NOT(ISERROR(SEARCH("Cancelado",J551)))</formula>
    </cfRule>
  </conditionalFormatting>
  <conditionalFormatting sqref="M551">
    <cfRule type="cellIs" dxfId="8601" priority="6960" operator="equal">
      <formula>"Tramitando"</formula>
    </cfRule>
    <cfRule type="cellIs" dxfId="8600" priority="6961" operator="equal">
      <formula>"Deferido"</formula>
    </cfRule>
    <cfRule type="cellIs" dxfId="8599" priority="6962" operator="equal">
      <formula>"Indeferido"</formula>
    </cfRule>
  </conditionalFormatting>
  <conditionalFormatting sqref="M551">
    <cfRule type="containsText" dxfId="8598" priority="6959" operator="containsText" text="Cancelado">
      <formula>NOT(ISERROR(SEARCH("Cancelado",M551)))</formula>
    </cfRule>
  </conditionalFormatting>
  <conditionalFormatting sqref="O551">
    <cfRule type="cellIs" dxfId="8597" priority="6956" operator="equal">
      <formula>"Tramitando"</formula>
    </cfRule>
    <cfRule type="cellIs" dxfId="8596" priority="6957" operator="equal">
      <formula>"Deferido"</formula>
    </cfRule>
    <cfRule type="cellIs" dxfId="8595" priority="6958" operator="equal">
      <formula>"Indeferido"</formula>
    </cfRule>
  </conditionalFormatting>
  <conditionalFormatting sqref="O551">
    <cfRule type="containsText" dxfId="8594" priority="6955" operator="containsText" text="Cancelado">
      <formula>NOT(ISERROR(SEARCH("Cancelado",O551)))</formula>
    </cfRule>
  </conditionalFormatting>
  <conditionalFormatting sqref="Q551">
    <cfRule type="cellIs" dxfId="8593" priority="6952" operator="equal">
      <formula>"Tramitando"</formula>
    </cfRule>
    <cfRule type="cellIs" dxfId="8592" priority="6953" operator="equal">
      <formula>"Deferido"</formula>
    </cfRule>
    <cfRule type="cellIs" dxfId="8591" priority="6954" operator="equal">
      <formula>"Indeferido"</formula>
    </cfRule>
  </conditionalFormatting>
  <conditionalFormatting sqref="Q551">
    <cfRule type="containsText" dxfId="8590" priority="6951" operator="containsText" text="Cancelado">
      <formula>NOT(ISERROR(SEARCH("Cancelado",Q551)))</formula>
    </cfRule>
  </conditionalFormatting>
  <conditionalFormatting sqref="S551">
    <cfRule type="cellIs" dxfId="8589" priority="6948" operator="equal">
      <formula>"Tramitando"</formula>
    </cfRule>
    <cfRule type="cellIs" dxfId="8588" priority="6949" operator="equal">
      <formula>"Deferido"</formula>
    </cfRule>
    <cfRule type="cellIs" dxfId="8587" priority="6950" operator="equal">
      <formula>"Indeferido"</formula>
    </cfRule>
  </conditionalFormatting>
  <conditionalFormatting sqref="S551">
    <cfRule type="containsText" dxfId="8586" priority="6947" operator="containsText" text="Cancelado">
      <formula>NOT(ISERROR(SEARCH("Cancelado",S551)))</formula>
    </cfRule>
  </conditionalFormatting>
  <conditionalFormatting sqref="J552">
    <cfRule type="cellIs" dxfId="8585" priority="6943" operator="equal">
      <formula>"Tramitando"</formula>
    </cfRule>
    <cfRule type="cellIs" dxfId="8584" priority="6944" operator="equal">
      <formula>"Deferido"</formula>
    </cfRule>
    <cfRule type="cellIs" dxfId="8583" priority="6945" operator="equal">
      <formula>"Indeferido"</formula>
    </cfRule>
  </conditionalFormatting>
  <conditionalFormatting sqref="J552">
    <cfRule type="containsText" dxfId="8582" priority="6942" operator="containsText" text="Cancelado">
      <formula>NOT(ISERROR(SEARCH("Cancelado",J552)))</formula>
    </cfRule>
  </conditionalFormatting>
  <conditionalFormatting sqref="M552">
    <cfRule type="cellIs" dxfId="8581" priority="6939" operator="equal">
      <formula>"Tramitando"</formula>
    </cfRule>
    <cfRule type="cellIs" dxfId="8580" priority="6940" operator="equal">
      <formula>"Deferido"</formula>
    </cfRule>
    <cfRule type="cellIs" dxfId="8579" priority="6941" operator="equal">
      <formula>"Indeferido"</formula>
    </cfRule>
  </conditionalFormatting>
  <conditionalFormatting sqref="M552">
    <cfRule type="containsText" dxfId="8578" priority="6938" operator="containsText" text="Cancelado">
      <formula>NOT(ISERROR(SEARCH("Cancelado",M552)))</formula>
    </cfRule>
  </conditionalFormatting>
  <conditionalFormatting sqref="O552">
    <cfRule type="cellIs" dxfId="8577" priority="6935" operator="equal">
      <formula>"Tramitando"</formula>
    </cfRule>
    <cfRule type="cellIs" dxfId="8576" priority="6936" operator="equal">
      <formula>"Deferido"</formula>
    </cfRule>
    <cfRule type="cellIs" dxfId="8575" priority="6937" operator="equal">
      <formula>"Indeferido"</formula>
    </cfRule>
  </conditionalFormatting>
  <conditionalFormatting sqref="O552">
    <cfRule type="containsText" dxfId="8574" priority="6934" operator="containsText" text="Cancelado">
      <formula>NOT(ISERROR(SEARCH("Cancelado",O552)))</formula>
    </cfRule>
  </conditionalFormatting>
  <conditionalFormatting sqref="Q552">
    <cfRule type="cellIs" dxfId="8573" priority="6931" operator="equal">
      <formula>"Tramitando"</formula>
    </cfRule>
    <cfRule type="cellIs" dxfId="8572" priority="6932" operator="equal">
      <formula>"Deferido"</formula>
    </cfRule>
    <cfRule type="cellIs" dxfId="8571" priority="6933" operator="equal">
      <formula>"Indeferido"</formula>
    </cfRule>
  </conditionalFormatting>
  <conditionalFormatting sqref="Q552">
    <cfRule type="containsText" dxfId="8570" priority="6930" operator="containsText" text="Cancelado">
      <formula>NOT(ISERROR(SEARCH("Cancelado",Q552)))</formula>
    </cfRule>
  </conditionalFormatting>
  <conditionalFormatting sqref="S552">
    <cfRule type="cellIs" dxfId="8569" priority="6927" operator="equal">
      <formula>"Tramitando"</formula>
    </cfRule>
    <cfRule type="cellIs" dxfId="8568" priority="6928" operator="equal">
      <formula>"Deferido"</formula>
    </cfRule>
    <cfRule type="cellIs" dxfId="8567" priority="6929" operator="equal">
      <formula>"Indeferido"</formula>
    </cfRule>
  </conditionalFormatting>
  <conditionalFormatting sqref="S552">
    <cfRule type="containsText" dxfId="8566" priority="6926" operator="containsText" text="Cancelado">
      <formula>NOT(ISERROR(SEARCH("Cancelado",S552)))</formula>
    </cfRule>
  </conditionalFormatting>
  <conditionalFormatting sqref="J553">
    <cfRule type="cellIs" dxfId="8565" priority="6918" operator="equal">
      <formula>"Tramitando"</formula>
    </cfRule>
    <cfRule type="cellIs" dxfId="8564" priority="6919" operator="equal">
      <formula>"Deferido"</formula>
    </cfRule>
    <cfRule type="cellIs" dxfId="8563" priority="6920" operator="equal">
      <formula>"Indeferido"</formula>
    </cfRule>
  </conditionalFormatting>
  <conditionalFormatting sqref="J553">
    <cfRule type="containsText" dxfId="8562" priority="6917" operator="containsText" text="Cancelado">
      <formula>NOT(ISERROR(SEARCH("Cancelado",J553)))</formula>
    </cfRule>
  </conditionalFormatting>
  <conditionalFormatting sqref="M553">
    <cfRule type="cellIs" dxfId="8561" priority="6914" operator="equal">
      <formula>"Tramitando"</formula>
    </cfRule>
    <cfRule type="cellIs" dxfId="8560" priority="6915" operator="equal">
      <formula>"Deferido"</formula>
    </cfRule>
    <cfRule type="cellIs" dxfId="8559" priority="6916" operator="equal">
      <formula>"Indeferido"</formula>
    </cfRule>
  </conditionalFormatting>
  <conditionalFormatting sqref="M553">
    <cfRule type="containsText" dxfId="8558" priority="6913" operator="containsText" text="Cancelado">
      <formula>NOT(ISERROR(SEARCH("Cancelado",M553)))</formula>
    </cfRule>
  </conditionalFormatting>
  <conditionalFormatting sqref="O553">
    <cfRule type="cellIs" dxfId="8557" priority="6910" operator="equal">
      <formula>"Tramitando"</formula>
    </cfRule>
    <cfRule type="cellIs" dxfId="8556" priority="6911" operator="equal">
      <formula>"Deferido"</formula>
    </cfRule>
    <cfRule type="cellIs" dxfId="8555" priority="6912" operator="equal">
      <formula>"Indeferido"</formula>
    </cfRule>
  </conditionalFormatting>
  <conditionalFormatting sqref="O553">
    <cfRule type="containsText" dxfId="8554" priority="6909" operator="containsText" text="Cancelado">
      <formula>NOT(ISERROR(SEARCH("Cancelado",O553)))</formula>
    </cfRule>
  </conditionalFormatting>
  <conditionalFormatting sqref="Q553">
    <cfRule type="cellIs" dxfId="8553" priority="6906" operator="equal">
      <formula>"Tramitando"</formula>
    </cfRule>
    <cfRule type="cellIs" dxfId="8552" priority="6907" operator="equal">
      <formula>"Deferido"</formula>
    </cfRule>
    <cfRule type="cellIs" dxfId="8551" priority="6908" operator="equal">
      <formula>"Indeferido"</formula>
    </cfRule>
  </conditionalFormatting>
  <conditionalFormatting sqref="Q553">
    <cfRule type="containsText" dxfId="8550" priority="6905" operator="containsText" text="Cancelado">
      <formula>NOT(ISERROR(SEARCH("Cancelado",Q553)))</formula>
    </cfRule>
  </conditionalFormatting>
  <conditionalFormatting sqref="S553">
    <cfRule type="cellIs" dxfId="8549" priority="6902" operator="equal">
      <formula>"Tramitando"</formula>
    </cfRule>
    <cfRule type="cellIs" dxfId="8548" priority="6903" operator="equal">
      <formula>"Deferido"</formula>
    </cfRule>
    <cfRule type="cellIs" dxfId="8547" priority="6904" operator="equal">
      <formula>"Indeferido"</formula>
    </cfRule>
  </conditionalFormatting>
  <conditionalFormatting sqref="S553">
    <cfRule type="containsText" dxfId="8546" priority="6901" operator="containsText" text="Cancelado">
      <formula>NOT(ISERROR(SEARCH("Cancelado",S553)))</formula>
    </cfRule>
  </conditionalFormatting>
  <conditionalFormatting sqref="J554">
    <cfRule type="cellIs" dxfId="8545" priority="6897" operator="equal">
      <formula>"Tramitando"</formula>
    </cfRule>
    <cfRule type="cellIs" dxfId="8544" priority="6898" operator="equal">
      <formula>"Deferido"</formula>
    </cfRule>
    <cfRule type="cellIs" dxfId="8543" priority="6899" operator="equal">
      <formula>"Indeferido"</formula>
    </cfRule>
  </conditionalFormatting>
  <conditionalFormatting sqref="J554">
    <cfRule type="containsText" dxfId="8542" priority="6896" operator="containsText" text="Cancelado">
      <formula>NOT(ISERROR(SEARCH("Cancelado",J554)))</formula>
    </cfRule>
  </conditionalFormatting>
  <conditionalFormatting sqref="M554">
    <cfRule type="cellIs" dxfId="8541" priority="6893" operator="equal">
      <formula>"Tramitando"</formula>
    </cfRule>
    <cfRule type="cellIs" dxfId="8540" priority="6894" operator="equal">
      <formula>"Deferido"</formula>
    </cfRule>
    <cfRule type="cellIs" dxfId="8539" priority="6895" operator="equal">
      <formula>"Indeferido"</formula>
    </cfRule>
  </conditionalFormatting>
  <conditionalFormatting sqref="M554">
    <cfRule type="containsText" dxfId="8538" priority="6892" operator="containsText" text="Cancelado">
      <formula>NOT(ISERROR(SEARCH("Cancelado",M554)))</formula>
    </cfRule>
  </conditionalFormatting>
  <conditionalFormatting sqref="O554">
    <cfRule type="cellIs" dxfId="8537" priority="6889" operator="equal">
      <formula>"Tramitando"</formula>
    </cfRule>
    <cfRule type="cellIs" dxfId="8536" priority="6890" operator="equal">
      <formula>"Deferido"</formula>
    </cfRule>
    <cfRule type="cellIs" dxfId="8535" priority="6891" operator="equal">
      <formula>"Indeferido"</formula>
    </cfRule>
  </conditionalFormatting>
  <conditionalFormatting sqref="O554">
    <cfRule type="containsText" dxfId="8534" priority="6888" operator="containsText" text="Cancelado">
      <formula>NOT(ISERROR(SEARCH("Cancelado",O554)))</formula>
    </cfRule>
  </conditionalFormatting>
  <conditionalFormatting sqref="Q554">
    <cfRule type="cellIs" dxfId="8533" priority="6885" operator="equal">
      <formula>"Tramitando"</formula>
    </cfRule>
    <cfRule type="cellIs" dxfId="8532" priority="6886" operator="equal">
      <formula>"Deferido"</formula>
    </cfRule>
    <cfRule type="cellIs" dxfId="8531" priority="6887" operator="equal">
      <formula>"Indeferido"</formula>
    </cfRule>
  </conditionalFormatting>
  <conditionalFormatting sqref="Q554">
    <cfRule type="containsText" dxfId="8530" priority="6884" operator="containsText" text="Cancelado">
      <formula>NOT(ISERROR(SEARCH("Cancelado",Q554)))</formula>
    </cfRule>
  </conditionalFormatting>
  <conditionalFormatting sqref="S554">
    <cfRule type="cellIs" dxfId="8529" priority="6881" operator="equal">
      <formula>"Tramitando"</formula>
    </cfRule>
    <cfRule type="cellIs" dxfId="8528" priority="6882" operator="equal">
      <formula>"Deferido"</formula>
    </cfRule>
    <cfRule type="cellIs" dxfId="8527" priority="6883" operator="equal">
      <formula>"Indeferido"</formula>
    </cfRule>
  </conditionalFormatting>
  <conditionalFormatting sqref="S554">
    <cfRule type="containsText" dxfId="8526" priority="6880" operator="containsText" text="Cancelado">
      <formula>NOT(ISERROR(SEARCH("Cancelado",S554)))</formula>
    </cfRule>
  </conditionalFormatting>
  <conditionalFormatting sqref="J555">
    <cfRule type="cellIs" dxfId="8525" priority="6876" operator="equal">
      <formula>"Tramitando"</formula>
    </cfRule>
    <cfRule type="cellIs" dxfId="8524" priority="6877" operator="equal">
      <formula>"Deferido"</formula>
    </cfRule>
    <cfRule type="cellIs" dxfId="8523" priority="6878" operator="equal">
      <formula>"Indeferido"</formula>
    </cfRule>
  </conditionalFormatting>
  <conditionalFormatting sqref="J555">
    <cfRule type="containsText" dxfId="8522" priority="6875" operator="containsText" text="Cancelado">
      <formula>NOT(ISERROR(SEARCH("Cancelado",J555)))</formula>
    </cfRule>
  </conditionalFormatting>
  <conditionalFormatting sqref="M555">
    <cfRule type="cellIs" dxfId="8521" priority="6872" operator="equal">
      <formula>"Tramitando"</formula>
    </cfRule>
    <cfRule type="cellIs" dxfId="8520" priority="6873" operator="equal">
      <formula>"Deferido"</formula>
    </cfRule>
    <cfRule type="cellIs" dxfId="8519" priority="6874" operator="equal">
      <formula>"Indeferido"</formula>
    </cfRule>
  </conditionalFormatting>
  <conditionalFormatting sqref="M555">
    <cfRule type="containsText" dxfId="8518" priority="6871" operator="containsText" text="Cancelado">
      <formula>NOT(ISERROR(SEARCH("Cancelado",M555)))</formula>
    </cfRule>
  </conditionalFormatting>
  <conditionalFormatting sqref="O555">
    <cfRule type="cellIs" dxfId="8517" priority="6868" operator="equal">
      <formula>"Tramitando"</formula>
    </cfRule>
    <cfRule type="cellIs" dxfId="8516" priority="6869" operator="equal">
      <formula>"Deferido"</formula>
    </cfRule>
    <cfRule type="cellIs" dxfId="8515" priority="6870" operator="equal">
      <formula>"Indeferido"</formula>
    </cfRule>
  </conditionalFormatting>
  <conditionalFormatting sqref="O555">
    <cfRule type="containsText" dxfId="8514" priority="6867" operator="containsText" text="Cancelado">
      <formula>NOT(ISERROR(SEARCH("Cancelado",O555)))</formula>
    </cfRule>
  </conditionalFormatting>
  <conditionalFormatting sqref="Q555">
    <cfRule type="cellIs" dxfId="8513" priority="6864" operator="equal">
      <formula>"Tramitando"</formula>
    </cfRule>
    <cfRule type="cellIs" dxfId="8512" priority="6865" operator="equal">
      <formula>"Deferido"</formula>
    </cfRule>
    <cfRule type="cellIs" dxfId="8511" priority="6866" operator="equal">
      <formula>"Indeferido"</formula>
    </cfRule>
  </conditionalFormatting>
  <conditionalFormatting sqref="Q555">
    <cfRule type="containsText" dxfId="8510" priority="6863" operator="containsText" text="Cancelado">
      <formula>NOT(ISERROR(SEARCH("Cancelado",Q555)))</formula>
    </cfRule>
  </conditionalFormatting>
  <conditionalFormatting sqref="S555">
    <cfRule type="cellIs" dxfId="8509" priority="6860" operator="equal">
      <formula>"Tramitando"</formula>
    </cfRule>
    <cfRule type="cellIs" dxfId="8508" priority="6861" operator="equal">
      <formula>"Deferido"</formula>
    </cfRule>
    <cfRule type="cellIs" dxfId="8507" priority="6862" operator="equal">
      <formula>"Indeferido"</formula>
    </cfRule>
  </conditionalFormatting>
  <conditionalFormatting sqref="S555">
    <cfRule type="containsText" dxfId="8506" priority="6859" operator="containsText" text="Cancelado">
      <formula>NOT(ISERROR(SEARCH("Cancelado",S555)))</formula>
    </cfRule>
  </conditionalFormatting>
  <conditionalFormatting sqref="J556">
    <cfRule type="cellIs" dxfId="8505" priority="6855" operator="equal">
      <formula>"Tramitando"</formula>
    </cfRule>
    <cfRule type="cellIs" dxfId="8504" priority="6856" operator="equal">
      <formula>"Deferido"</formula>
    </cfRule>
    <cfRule type="cellIs" dxfId="8503" priority="6857" operator="equal">
      <formula>"Indeferido"</formula>
    </cfRule>
  </conditionalFormatting>
  <conditionalFormatting sqref="J556">
    <cfRule type="containsText" dxfId="8502" priority="6854" operator="containsText" text="Cancelado">
      <formula>NOT(ISERROR(SEARCH("Cancelado",J556)))</formula>
    </cfRule>
  </conditionalFormatting>
  <conditionalFormatting sqref="M556">
    <cfRule type="cellIs" dxfId="8501" priority="6851" operator="equal">
      <formula>"Tramitando"</formula>
    </cfRule>
    <cfRule type="cellIs" dxfId="8500" priority="6852" operator="equal">
      <formula>"Deferido"</formula>
    </cfRule>
    <cfRule type="cellIs" dxfId="8499" priority="6853" operator="equal">
      <formula>"Indeferido"</formula>
    </cfRule>
  </conditionalFormatting>
  <conditionalFormatting sqref="M556">
    <cfRule type="containsText" dxfId="8498" priority="6850" operator="containsText" text="Cancelado">
      <formula>NOT(ISERROR(SEARCH("Cancelado",M556)))</formula>
    </cfRule>
  </conditionalFormatting>
  <conditionalFormatting sqref="O556">
    <cfRule type="cellIs" dxfId="8497" priority="6847" operator="equal">
      <formula>"Tramitando"</formula>
    </cfRule>
    <cfRule type="cellIs" dxfId="8496" priority="6848" operator="equal">
      <formula>"Deferido"</formula>
    </cfRule>
    <cfRule type="cellIs" dxfId="8495" priority="6849" operator="equal">
      <formula>"Indeferido"</formula>
    </cfRule>
  </conditionalFormatting>
  <conditionalFormatting sqref="O556">
    <cfRule type="containsText" dxfId="8494" priority="6846" operator="containsText" text="Cancelado">
      <formula>NOT(ISERROR(SEARCH("Cancelado",O556)))</formula>
    </cfRule>
  </conditionalFormatting>
  <conditionalFormatting sqref="Q556">
    <cfRule type="cellIs" dxfId="8493" priority="6843" operator="equal">
      <formula>"Tramitando"</formula>
    </cfRule>
    <cfRule type="cellIs" dxfId="8492" priority="6844" operator="equal">
      <formula>"Deferido"</formula>
    </cfRule>
    <cfRule type="cellIs" dxfId="8491" priority="6845" operator="equal">
      <formula>"Indeferido"</formula>
    </cfRule>
  </conditionalFormatting>
  <conditionalFormatting sqref="Q556">
    <cfRule type="containsText" dxfId="8490" priority="6842" operator="containsText" text="Cancelado">
      <formula>NOT(ISERROR(SEARCH("Cancelado",Q556)))</formula>
    </cfRule>
  </conditionalFormatting>
  <conditionalFormatting sqref="S556">
    <cfRule type="cellIs" dxfId="8489" priority="6839" operator="equal">
      <formula>"Tramitando"</formula>
    </cfRule>
    <cfRule type="cellIs" dxfId="8488" priority="6840" operator="equal">
      <formula>"Deferido"</formula>
    </cfRule>
    <cfRule type="cellIs" dxfId="8487" priority="6841" operator="equal">
      <formula>"Indeferido"</formula>
    </cfRule>
  </conditionalFormatting>
  <conditionalFormatting sqref="S556">
    <cfRule type="containsText" dxfId="8486" priority="6838" operator="containsText" text="Cancelado">
      <formula>NOT(ISERROR(SEARCH("Cancelado",S556)))</formula>
    </cfRule>
  </conditionalFormatting>
  <conditionalFormatting sqref="J557">
    <cfRule type="cellIs" dxfId="8485" priority="6834" operator="equal">
      <formula>"Tramitando"</formula>
    </cfRule>
    <cfRule type="cellIs" dxfId="8484" priority="6835" operator="equal">
      <formula>"Deferido"</formula>
    </cfRule>
    <cfRule type="cellIs" dxfId="8483" priority="6836" operator="equal">
      <formula>"Indeferido"</formula>
    </cfRule>
  </conditionalFormatting>
  <conditionalFormatting sqref="J557">
    <cfRule type="containsText" dxfId="8482" priority="6833" operator="containsText" text="Cancelado">
      <formula>NOT(ISERROR(SEARCH("Cancelado",J557)))</formula>
    </cfRule>
  </conditionalFormatting>
  <conditionalFormatting sqref="M557">
    <cfRule type="cellIs" dxfId="8481" priority="6830" operator="equal">
      <formula>"Tramitando"</formula>
    </cfRule>
    <cfRule type="cellIs" dxfId="8480" priority="6831" operator="equal">
      <formula>"Deferido"</formula>
    </cfRule>
    <cfRule type="cellIs" dxfId="8479" priority="6832" operator="equal">
      <formula>"Indeferido"</formula>
    </cfRule>
  </conditionalFormatting>
  <conditionalFormatting sqref="M557">
    <cfRule type="containsText" dxfId="8478" priority="6829" operator="containsText" text="Cancelado">
      <formula>NOT(ISERROR(SEARCH("Cancelado",M557)))</formula>
    </cfRule>
  </conditionalFormatting>
  <conditionalFormatting sqref="O557">
    <cfRule type="cellIs" dxfId="8477" priority="6826" operator="equal">
      <formula>"Tramitando"</formula>
    </cfRule>
    <cfRule type="cellIs" dxfId="8476" priority="6827" operator="equal">
      <formula>"Deferido"</formula>
    </cfRule>
    <cfRule type="cellIs" dxfId="8475" priority="6828" operator="equal">
      <formula>"Indeferido"</formula>
    </cfRule>
  </conditionalFormatting>
  <conditionalFormatting sqref="O557">
    <cfRule type="containsText" dxfId="8474" priority="6825" operator="containsText" text="Cancelado">
      <formula>NOT(ISERROR(SEARCH("Cancelado",O557)))</formula>
    </cfRule>
  </conditionalFormatting>
  <conditionalFormatting sqref="Q557">
    <cfRule type="cellIs" dxfId="8473" priority="6822" operator="equal">
      <formula>"Tramitando"</formula>
    </cfRule>
    <cfRule type="cellIs" dxfId="8472" priority="6823" operator="equal">
      <formula>"Deferido"</formula>
    </cfRule>
    <cfRule type="cellIs" dxfId="8471" priority="6824" operator="equal">
      <formula>"Indeferido"</formula>
    </cfRule>
  </conditionalFormatting>
  <conditionalFormatting sqref="Q557">
    <cfRule type="containsText" dxfId="8470" priority="6821" operator="containsText" text="Cancelado">
      <formula>NOT(ISERROR(SEARCH("Cancelado",Q557)))</formula>
    </cfRule>
  </conditionalFormatting>
  <conditionalFormatting sqref="S557">
    <cfRule type="cellIs" dxfId="8469" priority="6818" operator="equal">
      <formula>"Tramitando"</formula>
    </cfRule>
    <cfRule type="cellIs" dxfId="8468" priority="6819" operator="equal">
      <formula>"Deferido"</formula>
    </cfRule>
    <cfRule type="cellIs" dxfId="8467" priority="6820" operator="equal">
      <formula>"Indeferido"</formula>
    </cfRule>
  </conditionalFormatting>
  <conditionalFormatting sqref="S557">
    <cfRule type="containsText" dxfId="8466" priority="6817" operator="containsText" text="Cancelado">
      <formula>NOT(ISERROR(SEARCH("Cancelado",S557)))</formula>
    </cfRule>
  </conditionalFormatting>
  <conditionalFormatting sqref="J558">
    <cfRule type="cellIs" dxfId="8465" priority="6813" operator="equal">
      <formula>"Tramitando"</formula>
    </cfRule>
    <cfRule type="cellIs" dxfId="8464" priority="6814" operator="equal">
      <formula>"Deferido"</formula>
    </cfRule>
    <cfRule type="cellIs" dxfId="8463" priority="6815" operator="equal">
      <formula>"Indeferido"</formula>
    </cfRule>
  </conditionalFormatting>
  <conditionalFormatting sqref="J558">
    <cfRule type="containsText" dxfId="8462" priority="6812" operator="containsText" text="Cancelado">
      <formula>NOT(ISERROR(SEARCH("Cancelado",J558)))</formula>
    </cfRule>
  </conditionalFormatting>
  <conditionalFormatting sqref="M558">
    <cfRule type="cellIs" dxfId="8461" priority="6809" operator="equal">
      <formula>"Tramitando"</formula>
    </cfRule>
    <cfRule type="cellIs" dxfId="8460" priority="6810" operator="equal">
      <formula>"Deferido"</formula>
    </cfRule>
    <cfRule type="cellIs" dxfId="8459" priority="6811" operator="equal">
      <formula>"Indeferido"</formula>
    </cfRule>
  </conditionalFormatting>
  <conditionalFormatting sqref="M558">
    <cfRule type="containsText" dxfId="8458" priority="6808" operator="containsText" text="Cancelado">
      <formula>NOT(ISERROR(SEARCH("Cancelado",M558)))</formula>
    </cfRule>
  </conditionalFormatting>
  <conditionalFormatting sqref="O558">
    <cfRule type="cellIs" dxfId="8457" priority="6805" operator="equal">
      <formula>"Tramitando"</formula>
    </cfRule>
    <cfRule type="cellIs" dxfId="8456" priority="6806" operator="equal">
      <formula>"Deferido"</formula>
    </cfRule>
    <cfRule type="cellIs" dxfId="8455" priority="6807" operator="equal">
      <formula>"Indeferido"</formula>
    </cfRule>
  </conditionalFormatting>
  <conditionalFormatting sqref="O558">
    <cfRule type="containsText" dxfId="8454" priority="6804" operator="containsText" text="Cancelado">
      <formula>NOT(ISERROR(SEARCH("Cancelado",O558)))</formula>
    </cfRule>
  </conditionalFormatting>
  <conditionalFormatting sqref="Q558">
    <cfRule type="cellIs" dxfId="8453" priority="6801" operator="equal">
      <formula>"Tramitando"</formula>
    </cfRule>
    <cfRule type="cellIs" dxfId="8452" priority="6802" operator="equal">
      <formula>"Deferido"</formula>
    </cfRule>
    <cfRule type="cellIs" dxfId="8451" priority="6803" operator="equal">
      <formula>"Indeferido"</formula>
    </cfRule>
  </conditionalFormatting>
  <conditionalFormatting sqref="Q558">
    <cfRule type="containsText" dxfId="8450" priority="6800" operator="containsText" text="Cancelado">
      <formula>NOT(ISERROR(SEARCH("Cancelado",Q558)))</formula>
    </cfRule>
  </conditionalFormatting>
  <conditionalFormatting sqref="S558">
    <cfRule type="cellIs" dxfId="8449" priority="6797" operator="equal">
      <formula>"Tramitando"</formula>
    </cfRule>
    <cfRule type="cellIs" dxfId="8448" priority="6798" operator="equal">
      <formula>"Deferido"</formula>
    </cfRule>
    <cfRule type="cellIs" dxfId="8447" priority="6799" operator="equal">
      <formula>"Indeferido"</formula>
    </cfRule>
  </conditionalFormatting>
  <conditionalFormatting sqref="S558">
    <cfRule type="containsText" dxfId="8446" priority="6796" operator="containsText" text="Cancelado">
      <formula>NOT(ISERROR(SEARCH("Cancelado",S558)))</formula>
    </cfRule>
  </conditionalFormatting>
  <conditionalFormatting sqref="J559">
    <cfRule type="cellIs" dxfId="8445" priority="6792" operator="equal">
      <formula>"Tramitando"</formula>
    </cfRule>
    <cfRule type="cellIs" dxfId="8444" priority="6793" operator="equal">
      <formula>"Deferido"</formula>
    </cfRule>
    <cfRule type="cellIs" dxfId="8443" priority="6794" operator="equal">
      <formula>"Indeferido"</formula>
    </cfRule>
  </conditionalFormatting>
  <conditionalFormatting sqref="J559">
    <cfRule type="containsText" dxfId="8442" priority="6791" operator="containsText" text="Cancelado">
      <formula>NOT(ISERROR(SEARCH("Cancelado",J559)))</formula>
    </cfRule>
  </conditionalFormatting>
  <conditionalFormatting sqref="M559">
    <cfRule type="cellIs" dxfId="8441" priority="6788" operator="equal">
      <formula>"Tramitando"</formula>
    </cfRule>
    <cfRule type="cellIs" dxfId="8440" priority="6789" operator="equal">
      <formula>"Deferido"</formula>
    </cfRule>
    <cfRule type="cellIs" dxfId="8439" priority="6790" operator="equal">
      <formula>"Indeferido"</formula>
    </cfRule>
  </conditionalFormatting>
  <conditionalFormatting sqref="M559">
    <cfRule type="containsText" dxfId="8438" priority="6787" operator="containsText" text="Cancelado">
      <formula>NOT(ISERROR(SEARCH("Cancelado",M559)))</formula>
    </cfRule>
  </conditionalFormatting>
  <conditionalFormatting sqref="O559">
    <cfRule type="cellIs" dxfId="8437" priority="6784" operator="equal">
      <formula>"Tramitando"</formula>
    </cfRule>
    <cfRule type="cellIs" dxfId="8436" priority="6785" operator="equal">
      <formula>"Deferido"</formula>
    </cfRule>
    <cfRule type="cellIs" dxfId="8435" priority="6786" operator="equal">
      <formula>"Indeferido"</formula>
    </cfRule>
  </conditionalFormatting>
  <conditionalFormatting sqref="O559">
    <cfRule type="containsText" dxfId="8434" priority="6783" operator="containsText" text="Cancelado">
      <formula>NOT(ISERROR(SEARCH("Cancelado",O559)))</formula>
    </cfRule>
  </conditionalFormatting>
  <conditionalFormatting sqref="Q559">
    <cfRule type="cellIs" dxfId="8433" priority="6780" operator="equal">
      <formula>"Tramitando"</formula>
    </cfRule>
    <cfRule type="cellIs" dxfId="8432" priority="6781" operator="equal">
      <formula>"Deferido"</formula>
    </cfRule>
    <cfRule type="cellIs" dxfId="8431" priority="6782" operator="equal">
      <formula>"Indeferido"</formula>
    </cfRule>
  </conditionalFormatting>
  <conditionalFormatting sqref="Q559">
    <cfRule type="containsText" dxfId="8430" priority="6779" operator="containsText" text="Cancelado">
      <formula>NOT(ISERROR(SEARCH("Cancelado",Q559)))</formula>
    </cfRule>
  </conditionalFormatting>
  <conditionalFormatting sqref="S559">
    <cfRule type="cellIs" dxfId="8429" priority="6776" operator="equal">
      <formula>"Tramitando"</formula>
    </cfRule>
    <cfRule type="cellIs" dxfId="8428" priority="6777" operator="equal">
      <formula>"Deferido"</formula>
    </cfRule>
    <cfRule type="cellIs" dxfId="8427" priority="6778" operator="equal">
      <formula>"Indeferido"</formula>
    </cfRule>
  </conditionalFormatting>
  <conditionalFormatting sqref="S559">
    <cfRule type="containsText" dxfId="8426" priority="6775" operator="containsText" text="Cancelado">
      <formula>NOT(ISERROR(SEARCH("Cancelado",S559)))</formula>
    </cfRule>
  </conditionalFormatting>
  <conditionalFormatting sqref="J560">
    <cfRule type="cellIs" dxfId="8425" priority="6771" operator="equal">
      <formula>"Tramitando"</formula>
    </cfRule>
    <cfRule type="cellIs" dxfId="8424" priority="6772" operator="equal">
      <formula>"Deferido"</formula>
    </cfRule>
    <cfRule type="cellIs" dxfId="8423" priority="6773" operator="equal">
      <formula>"Indeferido"</formula>
    </cfRule>
  </conditionalFormatting>
  <conditionalFormatting sqref="J560">
    <cfRule type="containsText" dxfId="8422" priority="6770" operator="containsText" text="Cancelado">
      <formula>NOT(ISERROR(SEARCH("Cancelado",J560)))</formula>
    </cfRule>
  </conditionalFormatting>
  <conditionalFormatting sqref="M560">
    <cfRule type="cellIs" dxfId="8421" priority="6767" operator="equal">
      <formula>"Tramitando"</formula>
    </cfRule>
    <cfRule type="cellIs" dxfId="8420" priority="6768" operator="equal">
      <formula>"Deferido"</formula>
    </cfRule>
    <cfRule type="cellIs" dxfId="8419" priority="6769" operator="equal">
      <formula>"Indeferido"</formula>
    </cfRule>
  </conditionalFormatting>
  <conditionalFormatting sqref="M560">
    <cfRule type="containsText" dxfId="8418" priority="6766" operator="containsText" text="Cancelado">
      <formula>NOT(ISERROR(SEARCH("Cancelado",M560)))</formula>
    </cfRule>
  </conditionalFormatting>
  <conditionalFormatting sqref="O560">
    <cfRule type="cellIs" dxfId="8417" priority="6763" operator="equal">
      <formula>"Tramitando"</formula>
    </cfRule>
    <cfRule type="cellIs" dxfId="8416" priority="6764" operator="equal">
      <formula>"Deferido"</formula>
    </cfRule>
    <cfRule type="cellIs" dxfId="8415" priority="6765" operator="equal">
      <formula>"Indeferido"</formula>
    </cfRule>
  </conditionalFormatting>
  <conditionalFormatting sqref="O560">
    <cfRule type="containsText" dxfId="8414" priority="6762" operator="containsText" text="Cancelado">
      <formula>NOT(ISERROR(SEARCH("Cancelado",O560)))</formula>
    </cfRule>
  </conditionalFormatting>
  <conditionalFormatting sqref="Q560">
    <cfRule type="cellIs" dxfId="8413" priority="6759" operator="equal">
      <formula>"Tramitando"</formula>
    </cfRule>
    <cfRule type="cellIs" dxfId="8412" priority="6760" operator="equal">
      <formula>"Deferido"</formula>
    </cfRule>
    <cfRule type="cellIs" dxfId="8411" priority="6761" operator="equal">
      <formula>"Indeferido"</formula>
    </cfRule>
  </conditionalFormatting>
  <conditionalFormatting sqref="Q560">
    <cfRule type="containsText" dxfId="8410" priority="6758" operator="containsText" text="Cancelado">
      <formula>NOT(ISERROR(SEARCH("Cancelado",Q560)))</formula>
    </cfRule>
  </conditionalFormatting>
  <conditionalFormatting sqref="S560">
    <cfRule type="cellIs" dxfId="8409" priority="6755" operator="equal">
      <formula>"Tramitando"</formula>
    </cfRule>
    <cfRule type="cellIs" dxfId="8408" priority="6756" operator="equal">
      <formula>"Deferido"</formula>
    </cfRule>
    <cfRule type="cellIs" dxfId="8407" priority="6757" operator="equal">
      <formula>"Indeferido"</formula>
    </cfRule>
  </conditionalFormatting>
  <conditionalFormatting sqref="S560">
    <cfRule type="containsText" dxfId="8406" priority="6754" operator="containsText" text="Cancelado">
      <formula>NOT(ISERROR(SEARCH("Cancelado",S560)))</formula>
    </cfRule>
  </conditionalFormatting>
  <conditionalFormatting sqref="J561">
    <cfRule type="cellIs" dxfId="8405" priority="6750" operator="equal">
      <formula>"Tramitando"</formula>
    </cfRule>
    <cfRule type="cellIs" dxfId="8404" priority="6751" operator="equal">
      <formula>"Deferido"</formula>
    </cfRule>
    <cfRule type="cellIs" dxfId="8403" priority="6752" operator="equal">
      <formula>"Indeferido"</formula>
    </cfRule>
  </conditionalFormatting>
  <conditionalFormatting sqref="J561">
    <cfRule type="containsText" dxfId="8402" priority="6749" operator="containsText" text="Cancelado">
      <formula>NOT(ISERROR(SEARCH("Cancelado",J561)))</formula>
    </cfRule>
  </conditionalFormatting>
  <conditionalFormatting sqref="M561">
    <cfRule type="cellIs" dxfId="8401" priority="6746" operator="equal">
      <formula>"Tramitando"</formula>
    </cfRule>
    <cfRule type="cellIs" dxfId="8400" priority="6747" operator="equal">
      <formula>"Deferido"</formula>
    </cfRule>
    <cfRule type="cellIs" dxfId="8399" priority="6748" operator="equal">
      <formula>"Indeferido"</formula>
    </cfRule>
  </conditionalFormatting>
  <conditionalFormatting sqref="M561">
    <cfRule type="containsText" dxfId="8398" priority="6745" operator="containsText" text="Cancelado">
      <formula>NOT(ISERROR(SEARCH("Cancelado",M561)))</formula>
    </cfRule>
  </conditionalFormatting>
  <conditionalFormatting sqref="O561">
    <cfRule type="cellIs" dxfId="8397" priority="6742" operator="equal">
      <formula>"Tramitando"</formula>
    </cfRule>
    <cfRule type="cellIs" dxfId="8396" priority="6743" operator="equal">
      <formula>"Deferido"</formula>
    </cfRule>
    <cfRule type="cellIs" dxfId="8395" priority="6744" operator="equal">
      <formula>"Indeferido"</formula>
    </cfRule>
  </conditionalFormatting>
  <conditionalFormatting sqref="O561">
    <cfRule type="containsText" dxfId="8394" priority="6741" operator="containsText" text="Cancelado">
      <formula>NOT(ISERROR(SEARCH("Cancelado",O561)))</formula>
    </cfRule>
  </conditionalFormatting>
  <conditionalFormatting sqref="Q561">
    <cfRule type="cellIs" dxfId="8393" priority="6738" operator="equal">
      <formula>"Tramitando"</formula>
    </cfRule>
    <cfRule type="cellIs" dxfId="8392" priority="6739" operator="equal">
      <formula>"Deferido"</formula>
    </cfRule>
    <cfRule type="cellIs" dxfId="8391" priority="6740" operator="equal">
      <formula>"Indeferido"</formula>
    </cfRule>
  </conditionalFormatting>
  <conditionalFormatting sqref="Q561">
    <cfRule type="containsText" dxfId="8390" priority="6737" operator="containsText" text="Cancelado">
      <formula>NOT(ISERROR(SEARCH("Cancelado",Q561)))</formula>
    </cfRule>
  </conditionalFormatting>
  <conditionalFormatting sqref="S561">
    <cfRule type="cellIs" dxfId="8389" priority="6734" operator="equal">
      <formula>"Tramitando"</formula>
    </cfRule>
    <cfRule type="cellIs" dxfId="8388" priority="6735" operator="equal">
      <formula>"Deferido"</formula>
    </cfRule>
    <cfRule type="cellIs" dxfId="8387" priority="6736" operator="equal">
      <formula>"Indeferido"</formula>
    </cfRule>
  </conditionalFormatting>
  <conditionalFormatting sqref="S561">
    <cfRule type="containsText" dxfId="8386" priority="6733" operator="containsText" text="Cancelado">
      <formula>NOT(ISERROR(SEARCH("Cancelado",S561)))</formula>
    </cfRule>
  </conditionalFormatting>
  <conditionalFormatting sqref="J562">
    <cfRule type="cellIs" dxfId="8385" priority="6729" operator="equal">
      <formula>"Tramitando"</formula>
    </cfRule>
    <cfRule type="cellIs" dxfId="8384" priority="6730" operator="equal">
      <formula>"Deferido"</formula>
    </cfRule>
    <cfRule type="cellIs" dxfId="8383" priority="6731" operator="equal">
      <formula>"Indeferido"</formula>
    </cfRule>
  </conditionalFormatting>
  <conditionalFormatting sqref="J562">
    <cfRule type="containsText" dxfId="8382" priority="6728" operator="containsText" text="Cancelado">
      <formula>NOT(ISERROR(SEARCH("Cancelado",J562)))</formula>
    </cfRule>
  </conditionalFormatting>
  <conditionalFormatting sqref="M562">
    <cfRule type="cellIs" dxfId="8381" priority="6725" operator="equal">
      <formula>"Tramitando"</formula>
    </cfRule>
    <cfRule type="cellIs" dxfId="8380" priority="6726" operator="equal">
      <formula>"Deferido"</formula>
    </cfRule>
    <cfRule type="cellIs" dxfId="8379" priority="6727" operator="equal">
      <formula>"Indeferido"</formula>
    </cfRule>
  </conditionalFormatting>
  <conditionalFormatting sqref="M562">
    <cfRule type="containsText" dxfId="8378" priority="6724" operator="containsText" text="Cancelado">
      <formula>NOT(ISERROR(SEARCH("Cancelado",M562)))</formula>
    </cfRule>
  </conditionalFormatting>
  <conditionalFormatting sqref="O562">
    <cfRule type="cellIs" dxfId="8377" priority="6721" operator="equal">
      <formula>"Tramitando"</formula>
    </cfRule>
    <cfRule type="cellIs" dxfId="8376" priority="6722" operator="equal">
      <formula>"Deferido"</formula>
    </cfRule>
    <cfRule type="cellIs" dxfId="8375" priority="6723" operator="equal">
      <formula>"Indeferido"</formula>
    </cfRule>
  </conditionalFormatting>
  <conditionalFormatting sqref="O562">
    <cfRule type="containsText" dxfId="8374" priority="6720" operator="containsText" text="Cancelado">
      <formula>NOT(ISERROR(SEARCH("Cancelado",O562)))</formula>
    </cfRule>
  </conditionalFormatting>
  <conditionalFormatting sqref="Q562">
    <cfRule type="cellIs" dxfId="8373" priority="6717" operator="equal">
      <formula>"Tramitando"</formula>
    </cfRule>
    <cfRule type="cellIs" dxfId="8372" priority="6718" operator="equal">
      <formula>"Deferido"</formula>
    </cfRule>
    <cfRule type="cellIs" dxfId="8371" priority="6719" operator="equal">
      <formula>"Indeferido"</formula>
    </cfRule>
  </conditionalFormatting>
  <conditionalFormatting sqref="Q562">
    <cfRule type="containsText" dxfId="8370" priority="6716" operator="containsText" text="Cancelado">
      <formula>NOT(ISERROR(SEARCH("Cancelado",Q562)))</formula>
    </cfRule>
  </conditionalFormatting>
  <conditionalFormatting sqref="S562">
    <cfRule type="cellIs" dxfId="8369" priority="6713" operator="equal">
      <formula>"Tramitando"</formula>
    </cfRule>
    <cfRule type="cellIs" dxfId="8368" priority="6714" operator="equal">
      <formula>"Deferido"</formula>
    </cfRule>
    <cfRule type="cellIs" dxfId="8367" priority="6715" operator="equal">
      <formula>"Indeferido"</formula>
    </cfRule>
  </conditionalFormatting>
  <conditionalFormatting sqref="S562">
    <cfRule type="containsText" dxfId="8366" priority="6712" operator="containsText" text="Cancelado">
      <formula>NOT(ISERROR(SEARCH("Cancelado",S562)))</formula>
    </cfRule>
  </conditionalFormatting>
  <conditionalFormatting sqref="J563">
    <cfRule type="cellIs" dxfId="8365" priority="6708" operator="equal">
      <formula>"Tramitando"</formula>
    </cfRule>
    <cfRule type="cellIs" dxfId="8364" priority="6709" operator="equal">
      <formula>"Deferido"</formula>
    </cfRule>
    <cfRule type="cellIs" dxfId="8363" priority="6710" operator="equal">
      <formula>"Indeferido"</formula>
    </cfRule>
  </conditionalFormatting>
  <conditionalFormatting sqref="J563">
    <cfRule type="containsText" dxfId="8362" priority="6707" operator="containsText" text="Cancelado">
      <formula>NOT(ISERROR(SEARCH("Cancelado",J563)))</formula>
    </cfRule>
  </conditionalFormatting>
  <conditionalFormatting sqref="M563">
    <cfRule type="cellIs" dxfId="8361" priority="6704" operator="equal">
      <formula>"Tramitando"</formula>
    </cfRule>
    <cfRule type="cellIs" dxfId="8360" priority="6705" operator="equal">
      <formula>"Deferido"</formula>
    </cfRule>
    <cfRule type="cellIs" dxfId="8359" priority="6706" operator="equal">
      <formula>"Indeferido"</formula>
    </cfRule>
  </conditionalFormatting>
  <conditionalFormatting sqref="M563">
    <cfRule type="containsText" dxfId="8358" priority="6703" operator="containsText" text="Cancelado">
      <formula>NOT(ISERROR(SEARCH("Cancelado",M563)))</formula>
    </cfRule>
  </conditionalFormatting>
  <conditionalFormatting sqref="O563">
    <cfRule type="cellIs" dxfId="8357" priority="6700" operator="equal">
      <formula>"Tramitando"</formula>
    </cfRule>
    <cfRule type="cellIs" dxfId="8356" priority="6701" operator="equal">
      <formula>"Deferido"</formula>
    </cfRule>
    <cfRule type="cellIs" dxfId="8355" priority="6702" operator="equal">
      <formula>"Indeferido"</formula>
    </cfRule>
  </conditionalFormatting>
  <conditionalFormatting sqref="O563">
    <cfRule type="containsText" dxfId="8354" priority="6699" operator="containsText" text="Cancelado">
      <formula>NOT(ISERROR(SEARCH("Cancelado",O563)))</formula>
    </cfRule>
  </conditionalFormatting>
  <conditionalFormatting sqref="Q563">
    <cfRule type="cellIs" dxfId="8353" priority="6696" operator="equal">
      <formula>"Tramitando"</formula>
    </cfRule>
    <cfRule type="cellIs" dxfId="8352" priority="6697" operator="equal">
      <formula>"Deferido"</formula>
    </cfRule>
    <cfRule type="cellIs" dxfId="8351" priority="6698" operator="equal">
      <formula>"Indeferido"</formula>
    </cfRule>
  </conditionalFormatting>
  <conditionalFormatting sqref="Q563">
    <cfRule type="containsText" dxfId="8350" priority="6695" operator="containsText" text="Cancelado">
      <formula>NOT(ISERROR(SEARCH("Cancelado",Q563)))</formula>
    </cfRule>
  </conditionalFormatting>
  <conditionalFormatting sqref="S563">
    <cfRule type="cellIs" dxfId="8349" priority="6692" operator="equal">
      <formula>"Tramitando"</formula>
    </cfRule>
    <cfRule type="cellIs" dxfId="8348" priority="6693" operator="equal">
      <formula>"Deferido"</formula>
    </cfRule>
    <cfRule type="cellIs" dxfId="8347" priority="6694" operator="equal">
      <formula>"Indeferido"</formula>
    </cfRule>
  </conditionalFormatting>
  <conditionalFormatting sqref="S563">
    <cfRule type="containsText" dxfId="8346" priority="6691" operator="containsText" text="Cancelado">
      <formula>NOT(ISERROR(SEARCH("Cancelado",S563)))</formula>
    </cfRule>
  </conditionalFormatting>
  <conditionalFormatting sqref="J564">
    <cfRule type="cellIs" dxfId="8345" priority="6687" operator="equal">
      <formula>"Tramitando"</formula>
    </cfRule>
    <cfRule type="cellIs" dxfId="8344" priority="6688" operator="equal">
      <formula>"Deferido"</formula>
    </cfRule>
    <cfRule type="cellIs" dxfId="8343" priority="6689" operator="equal">
      <formula>"Indeferido"</formula>
    </cfRule>
  </conditionalFormatting>
  <conditionalFormatting sqref="J564">
    <cfRule type="containsText" dxfId="8342" priority="6686" operator="containsText" text="Cancelado">
      <formula>NOT(ISERROR(SEARCH("Cancelado",J564)))</formula>
    </cfRule>
  </conditionalFormatting>
  <conditionalFormatting sqref="M564">
    <cfRule type="cellIs" dxfId="8341" priority="6683" operator="equal">
      <formula>"Tramitando"</formula>
    </cfRule>
    <cfRule type="cellIs" dxfId="8340" priority="6684" operator="equal">
      <formula>"Deferido"</formula>
    </cfRule>
    <cfRule type="cellIs" dxfId="8339" priority="6685" operator="equal">
      <formula>"Indeferido"</formula>
    </cfRule>
  </conditionalFormatting>
  <conditionalFormatting sqref="M564">
    <cfRule type="containsText" dxfId="8338" priority="6682" operator="containsText" text="Cancelado">
      <formula>NOT(ISERROR(SEARCH("Cancelado",M564)))</formula>
    </cfRule>
  </conditionalFormatting>
  <conditionalFormatting sqref="O564">
    <cfRule type="cellIs" dxfId="8337" priority="6679" operator="equal">
      <formula>"Tramitando"</formula>
    </cfRule>
    <cfRule type="cellIs" dxfId="8336" priority="6680" operator="equal">
      <formula>"Deferido"</formula>
    </cfRule>
    <cfRule type="cellIs" dxfId="8335" priority="6681" operator="equal">
      <formula>"Indeferido"</formula>
    </cfRule>
  </conditionalFormatting>
  <conditionalFormatting sqref="O564">
    <cfRule type="containsText" dxfId="8334" priority="6678" operator="containsText" text="Cancelado">
      <formula>NOT(ISERROR(SEARCH("Cancelado",O564)))</formula>
    </cfRule>
  </conditionalFormatting>
  <conditionalFormatting sqref="Q564">
    <cfRule type="cellIs" dxfId="8333" priority="6675" operator="equal">
      <formula>"Tramitando"</formula>
    </cfRule>
    <cfRule type="cellIs" dxfId="8332" priority="6676" operator="equal">
      <formula>"Deferido"</formula>
    </cfRule>
    <cfRule type="cellIs" dxfId="8331" priority="6677" operator="equal">
      <formula>"Indeferido"</formula>
    </cfRule>
  </conditionalFormatting>
  <conditionalFormatting sqref="Q564">
    <cfRule type="containsText" dxfId="8330" priority="6674" operator="containsText" text="Cancelado">
      <formula>NOT(ISERROR(SEARCH("Cancelado",Q564)))</formula>
    </cfRule>
  </conditionalFormatting>
  <conditionalFormatting sqref="S564">
    <cfRule type="cellIs" dxfId="8329" priority="6671" operator="equal">
      <formula>"Tramitando"</formula>
    </cfRule>
    <cfRule type="cellIs" dxfId="8328" priority="6672" operator="equal">
      <formula>"Deferido"</formula>
    </cfRule>
    <cfRule type="cellIs" dxfId="8327" priority="6673" operator="equal">
      <formula>"Indeferido"</formula>
    </cfRule>
  </conditionalFormatting>
  <conditionalFormatting sqref="S564">
    <cfRule type="containsText" dxfId="8326" priority="6670" operator="containsText" text="Cancelado">
      <formula>NOT(ISERROR(SEARCH("Cancelado",S564)))</formula>
    </cfRule>
  </conditionalFormatting>
  <conditionalFormatting sqref="J565">
    <cfRule type="cellIs" dxfId="8325" priority="6666" operator="equal">
      <formula>"Tramitando"</formula>
    </cfRule>
    <cfRule type="cellIs" dxfId="8324" priority="6667" operator="equal">
      <formula>"Deferido"</formula>
    </cfRule>
    <cfRule type="cellIs" dxfId="8323" priority="6668" operator="equal">
      <formula>"Indeferido"</formula>
    </cfRule>
  </conditionalFormatting>
  <conditionalFormatting sqref="J565">
    <cfRule type="containsText" dxfId="8322" priority="6665" operator="containsText" text="Cancelado">
      <formula>NOT(ISERROR(SEARCH("Cancelado",J565)))</formula>
    </cfRule>
  </conditionalFormatting>
  <conditionalFormatting sqref="M565:M566">
    <cfRule type="cellIs" dxfId="8321" priority="6662" operator="equal">
      <formula>"Tramitando"</formula>
    </cfRule>
    <cfRule type="cellIs" dxfId="8320" priority="6663" operator="equal">
      <formula>"Deferido"</formula>
    </cfRule>
    <cfRule type="cellIs" dxfId="8319" priority="6664" operator="equal">
      <formula>"Indeferido"</formula>
    </cfRule>
  </conditionalFormatting>
  <conditionalFormatting sqref="M565:M566">
    <cfRule type="containsText" dxfId="8318" priority="6661" operator="containsText" text="Cancelado">
      <formula>NOT(ISERROR(SEARCH("Cancelado",M565)))</formula>
    </cfRule>
  </conditionalFormatting>
  <conditionalFormatting sqref="O565:O566">
    <cfRule type="cellIs" dxfId="8317" priority="6658" operator="equal">
      <formula>"Tramitando"</formula>
    </cfRule>
    <cfRule type="cellIs" dxfId="8316" priority="6659" operator="equal">
      <formula>"Deferido"</formula>
    </cfRule>
    <cfRule type="cellIs" dxfId="8315" priority="6660" operator="equal">
      <formula>"Indeferido"</formula>
    </cfRule>
  </conditionalFormatting>
  <conditionalFormatting sqref="O565:O566">
    <cfRule type="containsText" dxfId="8314" priority="6657" operator="containsText" text="Cancelado">
      <formula>NOT(ISERROR(SEARCH("Cancelado",O565)))</formula>
    </cfRule>
  </conditionalFormatting>
  <conditionalFormatting sqref="Q565:Q566">
    <cfRule type="cellIs" dxfId="8313" priority="6654" operator="equal">
      <formula>"Tramitando"</formula>
    </cfRule>
    <cfRule type="cellIs" dxfId="8312" priority="6655" operator="equal">
      <formula>"Deferido"</formula>
    </cfRule>
    <cfRule type="cellIs" dxfId="8311" priority="6656" operator="equal">
      <formula>"Indeferido"</formula>
    </cfRule>
  </conditionalFormatting>
  <conditionalFormatting sqref="Q565:Q566">
    <cfRule type="containsText" dxfId="8310" priority="6653" operator="containsText" text="Cancelado">
      <formula>NOT(ISERROR(SEARCH("Cancelado",Q565)))</formula>
    </cfRule>
  </conditionalFormatting>
  <conditionalFormatting sqref="S565:S566">
    <cfRule type="cellIs" dxfId="8309" priority="6650" operator="equal">
      <formula>"Tramitando"</formula>
    </cfRule>
    <cfRule type="cellIs" dxfId="8308" priority="6651" operator="equal">
      <formula>"Deferido"</formula>
    </cfRule>
    <cfRule type="cellIs" dxfId="8307" priority="6652" operator="equal">
      <formula>"Indeferido"</formula>
    </cfRule>
  </conditionalFormatting>
  <conditionalFormatting sqref="S565:S566">
    <cfRule type="containsText" dxfId="8306" priority="6649" operator="containsText" text="Cancelado">
      <formula>NOT(ISERROR(SEARCH("Cancelado",S565)))</formula>
    </cfRule>
  </conditionalFormatting>
  <conditionalFormatting sqref="J567">
    <cfRule type="cellIs" dxfId="8305" priority="6645" operator="equal">
      <formula>"Tramitando"</formula>
    </cfRule>
    <cfRule type="cellIs" dxfId="8304" priority="6646" operator="equal">
      <formula>"Deferido"</formula>
    </cfRule>
    <cfRule type="cellIs" dxfId="8303" priority="6647" operator="equal">
      <formula>"Indeferido"</formula>
    </cfRule>
  </conditionalFormatting>
  <conditionalFormatting sqref="J567">
    <cfRule type="containsText" dxfId="8302" priority="6644" operator="containsText" text="Cancelado">
      <formula>NOT(ISERROR(SEARCH("Cancelado",J567)))</formula>
    </cfRule>
  </conditionalFormatting>
  <conditionalFormatting sqref="M567">
    <cfRule type="cellIs" dxfId="8301" priority="6641" operator="equal">
      <formula>"Tramitando"</formula>
    </cfRule>
    <cfRule type="cellIs" dxfId="8300" priority="6642" operator="equal">
      <formula>"Deferido"</formula>
    </cfRule>
    <cfRule type="cellIs" dxfId="8299" priority="6643" operator="equal">
      <formula>"Indeferido"</formula>
    </cfRule>
  </conditionalFormatting>
  <conditionalFormatting sqref="M567">
    <cfRule type="containsText" dxfId="8298" priority="6640" operator="containsText" text="Cancelado">
      <formula>NOT(ISERROR(SEARCH("Cancelado",M567)))</formula>
    </cfRule>
  </conditionalFormatting>
  <conditionalFormatting sqref="O567">
    <cfRule type="cellIs" dxfId="8297" priority="6637" operator="equal">
      <formula>"Tramitando"</formula>
    </cfRule>
    <cfRule type="cellIs" dxfId="8296" priority="6638" operator="equal">
      <formula>"Deferido"</formula>
    </cfRule>
    <cfRule type="cellIs" dxfId="8295" priority="6639" operator="equal">
      <formula>"Indeferido"</formula>
    </cfRule>
  </conditionalFormatting>
  <conditionalFormatting sqref="O567">
    <cfRule type="containsText" dxfId="8294" priority="6636" operator="containsText" text="Cancelado">
      <formula>NOT(ISERROR(SEARCH("Cancelado",O567)))</formula>
    </cfRule>
  </conditionalFormatting>
  <conditionalFormatting sqref="Q567">
    <cfRule type="cellIs" dxfId="8293" priority="6633" operator="equal">
      <formula>"Tramitando"</formula>
    </cfRule>
    <cfRule type="cellIs" dxfId="8292" priority="6634" operator="equal">
      <formula>"Deferido"</formula>
    </cfRule>
    <cfRule type="cellIs" dxfId="8291" priority="6635" operator="equal">
      <formula>"Indeferido"</formula>
    </cfRule>
  </conditionalFormatting>
  <conditionalFormatting sqref="Q567">
    <cfRule type="containsText" dxfId="8290" priority="6632" operator="containsText" text="Cancelado">
      <formula>NOT(ISERROR(SEARCH("Cancelado",Q567)))</formula>
    </cfRule>
  </conditionalFormatting>
  <conditionalFormatting sqref="S567">
    <cfRule type="cellIs" dxfId="8289" priority="6629" operator="equal">
      <formula>"Tramitando"</formula>
    </cfRule>
    <cfRule type="cellIs" dxfId="8288" priority="6630" operator="equal">
      <formula>"Deferido"</formula>
    </cfRule>
    <cfRule type="cellIs" dxfId="8287" priority="6631" operator="equal">
      <formula>"Indeferido"</formula>
    </cfRule>
  </conditionalFormatting>
  <conditionalFormatting sqref="S567">
    <cfRule type="containsText" dxfId="8286" priority="6628" operator="containsText" text="Cancelado">
      <formula>NOT(ISERROR(SEARCH("Cancelado",S567)))</formula>
    </cfRule>
  </conditionalFormatting>
  <conditionalFormatting sqref="J568">
    <cfRule type="cellIs" dxfId="8285" priority="6624" operator="equal">
      <formula>"Tramitando"</formula>
    </cfRule>
    <cfRule type="cellIs" dxfId="8284" priority="6625" operator="equal">
      <formula>"Deferido"</formula>
    </cfRule>
    <cfRule type="cellIs" dxfId="8283" priority="6626" operator="equal">
      <formula>"Indeferido"</formula>
    </cfRule>
  </conditionalFormatting>
  <conditionalFormatting sqref="J568">
    <cfRule type="containsText" dxfId="8282" priority="6623" operator="containsText" text="Cancelado">
      <formula>NOT(ISERROR(SEARCH("Cancelado",J568)))</formula>
    </cfRule>
  </conditionalFormatting>
  <conditionalFormatting sqref="M568">
    <cfRule type="cellIs" dxfId="8281" priority="6620" operator="equal">
      <formula>"Tramitando"</formula>
    </cfRule>
    <cfRule type="cellIs" dxfId="8280" priority="6621" operator="equal">
      <formula>"Deferido"</formula>
    </cfRule>
    <cfRule type="cellIs" dxfId="8279" priority="6622" operator="equal">
      <formula>"Indeferido"</formula>
    </cfRule>
  </conditionalFormatting>
  <conditionalFormatting sqref="M568">
    <cfRule type="containsText" dxfId="8278" priority="6619" operator="containsText" text="Cancelado">
      <formula>NOT(ISERROR(SEARCH("Cancelado",M568)))</formula>
    </cfRule>
  </conditionalFormatting>
  <conditionalFormatting sqref="O568">
    <cfRule type="cellIs" dxfId="8277" priority="6616" operator="equal">
      <formula>"Tramitando"</formula>
    </cfRule>
    <cfRule type="cellIs" dxfId="8276" priority="6617" operator="equal">
      <formula>"Deferido"</formula>
    </cfRule>
    <cfRule type="cellIs" dxfId="8275" priority="6618" operator="equal">
      <formula>"Indeferido"</formula>
    </cfRule>
  </conditionalFormatting>
  <conditionalFormatting sqref="O568">
    <cfRule type="containsText" dxfId="8274" priority="6615" operator="containsText" text="Cancelado">
      <formula>NOT(ISERROR(SEARCH("Cancelado",O568)))</formula>
    </cfRule>
  </conditionalFormatting>
  <conditionalFormatting sqref="Q568">
    <cfRule type="cellIs" dxfId="8273" priority="6612" operator="equal">
      <formula>"Tramitando"</formula>
    </cfRule>
    <cfRule type="cellIs" dxfId="8272" priority="6613" operator="equal">
      <formula>"Deferido"</formula>
    </cfRule>
    <cfRule type="cellIs" dxfId="8271" priority="6614" operator="equal">
      <formula>"Indeferido"</formula>
    </cfRule>
  </conditionalFormatting>
  <conditionalFormatting sqref="Q568">
    <cfRule type="containsText" dxfId="8270" priority="6611" operator="containsText" text="Cancelado">
      <formula>NOT(ISERROR(SEARCH("Cancelado",Q568)))</formula>
    </cfRule>
  </conditionalFormatting>
  <conditionalFormatting sqref="S568">
    <cfRule type="cellIs" dxfId="8269" priority="6608" operator="equal">
      <formula>"Tramitando"</formula>
    </cfRule>
    <cfRule type="cellIs" dxfId="8268" priority="6609" operator="equal">
      <formula>"Deferido"</formula>
    </cfRule>
    <cfRule type="cellIs" dxfId="8267" priority="6610" operator="equal">
      <formula>"Indeferido"</formula>
    </cfRule>
  </conditionalFormatting>
  <conditionalFormatting sqref="S568">
    <cfRule type="containsText" dxfId="8266" priority="6607" operator="containsText" text="Cancelado">
      <formula>NOT(ISERROR(SEARCH("Cancelado",S568)))</formula>
    </cfRule>
  </conditionalFormatting>
  <conditionalFormatting sqref="J569">
    <cfRule type="cellIs" dxfId="8265" priority="6603" operator="equal">
      <formula>"Tramitando"</formula>
    </cfRule>
    <cfRule type="cellIs" dxfId="8264" priority="6604" operator="equal">
      <formula>"Deferido"</formula>
    </cfRule>
    <cfRule type="cellIs" dxfId="8263" priority="6605" operator="equal">
      <formula>"Indeferido"</formula>
    </cfRule>
  </conditionalFormatting>
  <conditionalFormatting sqref="J569">
    <cfRule type="containsText" dxfId="8262" priority="6602" operator="containsText" text="Cancelado">
      <formula>NOT(ISERROR(SEARCH("Cancelado",J569)))</formula>
    </cfRule>
  </conditionalFormatting>
  <conditionalFormatting sqref="M569">
    <cfRule type="cellIs" dxfId="8261" priority="6599" operator="equal">
      <formula>"Tramitando"</formula>
    </cfRule>
    <cfRule type="cellIs" dxfId="8260" priority="6600" operator="equal">
      <formula>"Deferido"</formula>
    </cfRule>
    <cfRule type="cellIs" dxfId="8259" priority="6601" operator="equal">
      <formula>"Indeferido"</formula>
    </cfRule>
  </conditionalFormatting>
  <conditionalFormatting sqref="M569">
    <cfRule type="containsText" dxfId="8258" priority="6598" operator="containsText" text="Cancelado">
      <formula>NOT(ISERROR(SEARCH("Cancelado",M569)))</formula>
    </cfRule>
  </conditionalFormatting>
  <conditionalFormatting sqref="O569">
    <cfRule type="cellIs" dxfId="8257" priority="6595" operator="equal">
      <formula>"Tramitando"</formula>
    </cfRule>
    <cfRule type="cellIs" dxfId="8256" priority="6596" operator="equal">
      <formula>"Deferido"</formula>
    </cfRule>
    <cfRule type="cellIs" dxfId="8255" priority="6597" operator="equal">
      <formula>"Indeferido"</formula>
    </cfRule>
  </conditionalFormatting>
  <conditionalFormatting sqref="O569">
    <cfRule type="containsText" dxfId="8254" priority="6594" operator="containsText" text="Cancelado">
      <formula>NOT(ISERROR(SEARCH("Cancelado",O569)))</formula>
    </cfRule>
  </conditionalFormatting>
  <conditionalFormatting sqref="Q569">
    <cfRule type="cellIs" dxfId="8253" priority="6591" operator="equal">
      <formula>"Tramitando"</formula>
    </cfRule>
    <cfRule type="cellIs" dxfId="8252" priority="6592" operator="equal">
      <formula>"Deferido"</formula>
    </cfRule>
    <cfRule type="cellIs" dxfId="8251" priority="6593" operator="equal">
      <formula>"Indeferido"</formula>
    </cfRule>
  </conditionalFormatting>
  <conditionalFormatting sqref="Q569">
    <cfRule type="containsText" dxfId="8250" priority="6590" operator="containsText" text="Cancelado">
      <formula>NOT(ISERROR(SEARCH("Cancelado",Q569)))</formula>
    </cfRule>
  </conditionalFormatting>
  <conditionalFormatting sqref="S569">
    <cfRule type="cellIs" dxfId="8249" priority="6587" operator="equal">
      <formula>"Tramitando"</formula>
    </cfRule>
    <cfRule type="cellIs" dxfId="8248" priority="6588" operator="equal">
      <formula>"Deferido"</formula>
    </cfRule>
    <cfRule type="cellIs" dxfId="8247" priority="6589" operator="equal">
      <formula>"Indeferido"</formula>
    </cfRule>
  </conditionalFormatting>
  <conditionalFormatting sqref="S569">
    <cfRule type="containsText" dxfId="8246" priority="6586" operator="containsText" text="Cancelado">
      <formula>NOT(ISERROR(SEARCH("Cancelado",S569)))</formula>
    </cfRule>
  </conditionalFormatting>
  <conditionalFormatting sqref="J566">
    <cfRule type="cellIs" dxfId="8245" priority="6583" operator="equal">
      <formula>"Tramitando"</formula>
    </cfRule>
    <cfRule type="cellIs" dxfId="8244" priority="6584" operator="equal">
      <formula>"Deferido"</formula>
    </cfRule>
    <cfRule type="cellIs" dxfId="8243" priority="6585" operator="equal">
      <formula>"Indeferido"</formula>
    </cfRule>
  </conditionalFormatting>
  <conditionalFormatting sqref="J566">
    <cfRule type="containsText" dxfId="8242" priority="6582" operator="containsText" text="Cancelado">
      <formula>NOT(ISERROR(SEARCH("Cancelado",J566)))</formula>
    </cfRule>
  </conditionalFormatting>
  <conditionalFormatting sqref="J570">
    <cfRule type="cellIs" dxfId="8241" priority="6578" operator="equal">
      <formula>"Tramitando"</formula>
    </cfRule>
    <cfRule type="cellIs" dxfId="8240" priority="6579" operator="equal">
      <formula>"Deferido"</formula>
    </cfRule>
    <cfRule type="cellIs" dxfId="8239" priority="6580" operator="equal">
      <formula>"Indeferido"</formula>
    </cfRule>
  </conditionalFormatting>
  <conditionalFormatting sqref="J570">
    <cfRule type="containsText" dxfId="8238" priority="6577" operator="containsText" text="Cancelado">
      <formula>NOT(ISERROR(SEARCH("Cancelado",J570)))</formula>
    </cfRule>
  </conditionalFormatting>
  <conditionalFormatting sqref="M570">
    <cfRule type="cellIs" dxfId="8237" priority="6574" operator="equal">
      <formula>"Tramitando"</formula>
    </cfRule>
    <cfRule type="cellIs" dxfId="8236" priority="6575" operator="equal">
      <formula>"Deferido"</formula>
    </cfRule>
    <cfRule type="cellIs" dxfId="8235" priority="6576" operator="equal">
      <formula>"Indeferido"</formula>
    </cfRule>
  </conditionalFormatting>
  <conditionalFormatting sqref="M570">
    <cfRule type="containsText" dxfId="8234" priority="6573" operator="containsText" text="Cancelado">
      <formula>NOT(ISERROR(SEARCH("Cancelado",M570)))</formula>
    </cfRule>
  </conditionalFormatting>
  <conditionalFormatting sqref="O570">
    <cfRule type="cellIs" dxfId="8233" priority="6570" operator="equal">
      <formula>"Tramitando"</formula>
    </cfRule>
    <cfRule type="cellIs" dxfId="8232" priority="6571" operator="equal">
      <formula>"Deferido"</formula>
    </cfRule>
    <cfRule type="cellIs" dxfId="8231" priority="6572" operator="equal">
      <formula>"Indeferido"</formula>
    </cfRule>
  </conditionalFormatting>
  <conditionalFormatting sqref="O570">
    <cfRule type="containsText" dxfId="8230" priority="6569" operator="containsText" text="Cancelado">
      <formula>NOT(ISERROR(SEARCH("Cancelado",O570)))</formula>
    </cfRule>
  </conditionalFormatting>
  <conditionalFormatting sqref="Q570">
    <cfRule type="cellIs" dxfId="8229" priority="6566" operator="equal">
      <formula>"Tramitando"</formula>
    </cfRule>
    <cfRule type="cellIs" dxfId="8228" priority="6567" operator="equal">
      <formula>"Deferido"</formula>
    </cfRule>
    <cfRule type="cellIs" dxfId="8227" priority="6568" operator="equal">
      <formula>"Indeferido"</formula>
    </cfRule>
  </conditionalFormatting>
  <conditionalFormatting sqref="Q570">
    <cfRule type="containsText" dxfId="8226" priority="6565" operator="containsText" text="Cancelado">
      <formula>NOT(ISERROR(SEARCH("Cancelado",Q570)))</formula>
    </cfRule>
  </conditionalFormatting>
  <conditionalFormatting sqref="S570">
    <cfRule type="cellIs" dxfId="8225" priority="6562" operator="equal">
      <formula>"Tramitando"</formula>
    </cfRule>
    <cfRule type="cellIs" dxfId="8224" priority="6563" operator="equal">
      <formula>"Deferido"</formula>
    </cfRule>
    <cfRule type="cellIs" dxfId="8223" priority="6564" operator="equal">
      <formula>"Indeferido"</formula>
    </cfRule>
  </conditionalFormatting>
  <conditionalFormatting sqref="S570">
    <cfRule type="containsText" dxfId="8222" priority="6561" operator="containsText" text="Cancelado">
      <formula>NOT(ISERROR(SEARCH("Cancelado",S570)))</formula>
    </cfRule>
  </conditionalFormatting>
  <conditionalFormatting sqref="J571">
    <cfRule type="cellIs" dxfId="8221" priority="6557" operator="equal">
      <formula>"Tramitando"</formula>
    </cfRule>
    <cfRule type="cellIs" dxfId="8220" priority="6558" operator="equal">
      <formula>"Deferido"</formula>
    </cfRule>
    <cfRule type="cellIs" dxfId="8219" priority="6559" operator="equal">
      <formula>"Indeferido"</formula>
    </cfRule>
  </conditionalFormatting>
  <conditionalFormatting sqref="J571">
    <cfRule type="containsText" dxfId="8218" priority="6556" operator="containsText" text="Cancelado">
      <formula>NOT(ISERROR(SEARCH("Cancelado",J571)))</formula>
    </cfRule>
  </conditionalFormatting>
  <conditionalFormatting sqref="M571">
    <cfRule type="cellIs" dxfId="8217" priority="6553" operator="equal">
      <formula>"Tramitando"</formula>
    </cfRule>
    <cfRule type="cellIs" dxfId="8216" priority="6554" operator="equal">
      <formula>"Deferido"</formula>
    </cfRule>
    <cfRule type="cellIs" dxfId="8215" priority="6555" operator="equal">
      <formula>"Indeferido"</formula>
    </cfRule>
  </conditionalFormatting>
  <conditionalFormatting sqref="M571">
    <cfRule type="containsText" dxfId="8214" priority="6552" operator="containsText" text="Cancelado">
      <formula>NOT(ISERROR(SEARCH("Cancelado",M571)))</formula>
    </cfRule>
  </conditionalFormatting>
  <conditionalFormatting sqref="O571">
    <cfRule type="cellIs" dxfId="8213" priority="6549" operator="equal">
      <formula>"Tramitando"</formula>
    </cfRule>
    <cfRule type="cellIs" dxfId="8212" priority="6550" operator="equal">
      <formula>"Deferido"</formula>
    </cfRule>
    <cfRule type="cellIs" dxfId="8211" priority="6551" operator="equal">
      <formula>"Indeferido"</formula>
    </cfRule>
  </conditionalFormatting>
  <conditionalFormatting sqref="O571">
    <cfRule type="containsText" dxfId="8210" priority="6548" operator="containsText" text="Cancelado">
      <formula>NOT(ISERROR(SEARCH("Cancelado",O571)))</formula>
    </cfRule>
  </conditionalFormatting>
  <conditionalFormatting sqref="Q571">
    <cfRule type="cellIs" dxfId="8209" priority="6545" operator="equal">
      <formula>"Tramitando"</formula>
    </cfRule>
    <cfRule type="cellIs" dxfId="8208" priority="6546" operator="equal">
      <formula>"Deferido"</formula>
    </cfRule>
    <cfRule type="cellIs" dxfId="8207" priority="6547" operator="equal">
      <formula>"Indeferido"</formula>
    </cfRule>
  </conditionalFormatting>
  <conditionalFormatting sqref="Q571">
    <cfRule type="containsText" dxfId="8206" priority="6544" operator="containsText" text="Cancelado">
      <formula>NOT(ISERROR(SEARCH("Cancelado",Q571)))</formula>
    </cfRule>
  </conditionalFormatting>
  <conditionalFormatting sqref="S571">
    <cfRule type="cellIs" dxfId="8205" priority="6541" operator="equal">
      <formula>"Tramitando"</formula>
    </cfRule>
    <cfRule type="cellIs" dxfId="8204" priority="6542" operator="equal">
      <formula>"Deferido"</formula>
    </cfRule>
    <cfRule type="cellIs" dxfId="8203" priority="6543" operator="equal">
      <formula>"Indeferido"</formula>
    </cfRule>
  </conditionalFormatting>
  <conditionalFormatting sqref="S571">
    <cfRule type="containsText" dxfId="8202" priority="6540" operator="containsText" text="Cancelado">
      <formula>NOT(ISERROR(SEARCH("Cancelado",S571)))</formula>
    </cfRule>
  </conditionalFormatting>
  <conditionalFormatting sqref="J572">
    <cfRule type="cellIs" dxfId="8201" priority="6536" operator="equal">
      <formula>"Tramitando"</formula>
    </cfRule>
    <cfRule type="cellIs" dxfId="8200" priority="6537" operator="equal">
      <formula>"Deferido"</formula>
    </cfRule>
    <cfRule type="cellIs" dxfId="8199" priority="6538" operator="equal">
      <formula>"Indeferido"</formula>
    </cfRule>
  </conditionalFormatting>
  <conditionalFormatting sqref="J572">
    <cfRule type="containsText" dxfId="8198" priority="6535" operator="containsText" text="Cancelado">
      <formula>NOT(ISERROR(SEARCH("Cancelado",J572)))</formula>
    </cfRule>
  </conditionalFormatting>
  <conditionalFormatting sqref="M572">
    <cfRule type="cellIs" dxfId="8197" priority="6532" operator="equal">
      <formula>"Tramitando"</formula>
    </cfRule>
    <cfRule type="cellIs" dxfId="8196" priority="6533" operator="equal">
      <formula>"Deferido"</formula>
    </cfRule>
    <cfRule type="cellIs" dxfId="8195" priority="6534" operator="equal">
      <formula>"Indeferido"</formula>
    </cfRule>
  </conditionalFormatting>
  <conditionalFormatting sqref="M572">
    <cfRule type="containsText" dxfId="8194" priority="6531" operator="containsText" text="Cancelado">
      <formula>NOT(ISERROR(SEARCH("Cancelado",M572)))</formula>
    </cfRule>
  </conditionalFormatting>
  <conditionalFormatting sqref="O572">
    <cfRule type="cellIs" dxfId="8193" priority="6528" operator="equal">
      <formula>"Tramitando"</formula>
    </cfRule>
    <cfRule type="cellIs" dxfId="8192" priority="6529" operator="equal">
      <formula>"Deferido"</formula>
    </cfRule>
    <cfRule type="cellIs" dxfId="8191" priority="6530" operator="equal">
      <formula>"Indeferido"</formula>
    </cfRule>
  </conditionalFormatting>
  <conditionalFormatting sqref="O572">
    <cfRule type="containsText" dxfId="8190" priority="6527" operator="containsText" text="Cancelado">
      <formula>NOT(ISERROR(SEARCH("Cancelado",O572)))</formula>
    </cfRule>
  </conditionalFormatting>
  <conditionalFormatting sqref="Q572">
    <cfRule type="cellIs" dxfId="8189" priority="6524" operator="equal">
      <formula>"Tramitando"</formula>
    </cfRule>
    <cfRule type="cellIs" dxfId="8188" priority="6525" operator="equal">
      <formula>"Deferido"</formula>
    </cfRule>
    <cfRule type="cellIs" dxfId="8187" priority="6526" operator="equal">
      <formula>"Indeferido"</formula>
    </cfRule>
  </conditionalFormatting>
  <conditionalFormatting sqref="Q572">
    <cfRule type="containsText" dxfId="8186" priority="6523" operator="containsText" text="Cancelado">
      <formula>NOT(ISERROR(SEARCH("Cancelado",Q572)))</formula>
    </cfRule>
  </conditionalFormatting>
  <conditionalFormatting sqref="S572">
    <cfRule type="cellIs" dxfId="8185" priority="6520" operator="equal">
      <formula>"Tramitando"</formula>
    </cfRule>
    <cfRule type="cellIs" dxfId="8184" priority="6521" operator="equal">
      <formula>"Deferido"</formula>
    </cfRule>
    <cfRule type="cellIs" dxfId="8183" priority="6522" operator="equal">
      <formula>"Indeferido"</formula>
    </cfRule>
  </conditionalFormatting>
  <conditionalFormatting sqref="S572">
    <cfRule type="containsText" dxfId="8182" priority="6519" operator="containsText" text="Cancelado">
      <formula>NOT(ISERROR(SEARCH("Cancelado",S572)))</formula>
    </cfRule>
  </conditionalFormatting>
  <conditionalFormatting sqref="J573">
    <cfRule type="cellIs" dxfId="8181" priority="6515" operator="equal">
      <formula>"Tramitando"</formula>
    </cfRule>
    <cfRule type="cellIs" dxfId="8180" priority="6516" operator="equal">
      <formula>"Deferido"</formula>
    </cfRule>
    <cfRule type="cellIs" dxfId="8179" priority="6517" operator="equal">
      <formula>"Indeferido"</formula>
    </cfRule>
  </conditionalFormatting>
  <conditionalFormatting sqref="J573">
    <cfRule type="containsText" dxfId="8178" priority="6514" operator="containsText" text="Cancelado">
      <formula>NOT(ISERROR(SEARCH("Cancelado",J573)))</formula>
    </cfRule>
  </conditionalFormatting>
  <conditionalFormatting sqref="M573">
    <cfRule type="cellIs" dxfId="8177" priority="6511" operator="equal">
      <formula>"Tramitando"</formula>
    </cfRule>
    <cfRule type="cellIs" dxfId="8176" priority="6512" operator="equal">
      <formula>"Deferido"</formula>
    </cfRule>
    <cfRule type="cellIs" dxfId="8175" priority="6513" operator="equal">
      <formula>"Indeferido"</formula>
    </cfRule>
  </conditionalFormatting>
  <conditionalFormatting sqref="M573">
    <cfRule type="containsText" dxfId="8174" priority="6510" operator="containsText" text="Cancelado">
      <formula>NOT(ISERROR(SEARCH("Cancelado",M573)))</formula>
    </cfRule>
  </conditionalFormatting>
  <conditionalFormatting sqref="O573">
    <cfRule type="cellIs" dxfId="8173" priority="6507" operator="equal">
      <formula>"Tramitando"</formula>
    </cfRule>
    <cfRule type="cellIs" dxfId="8172" priority="6508" operator="equal">
      <formula>"Deferido"</formula>
    </cfRule>
    <cfRule type="cellIs" dxfId="8171" priority="6509" operator="equal">
      <formula>"Indeferido"</formula>
    </cfRule>
  </conditionalFormatting>
  <conditionalFormatting sqref="O573">
    <cfRule type="containsText" dxfId="8170" priority="6506" operator="containsText" text="Cancelado">
      <formula>NOT(ISERROR(SEARCH("Cancelado",O573)))</formula>
    </cfRule>
  </conditionalFormatting>
  <conditionalFormatting sqref="Q573">
    <cfRule type="cellIs" dxfId="8169" priority="6503" operator="equal">
      <formula>"Tramitando"</formula>
    </cfRule>
    <cfRule type="cellIs" dxfId="8168" priority="6504" operator="equal">
      <formula>"Deferido"</formula>
    </cfRule>
    <cfRule type="cellIs" dxfId="8167" priority="6505" operator="equal">
      <formula>"Indeferido"</formula>
    </cfRule>
  </conditionalFormatting>
  <conditionalFormatting sqref="Q573">
    <cfRule type="containsText" dxfId="8166" priority="6502" operator="containsText" text="Cancelado">
      <formula>NOT(ISERROR(SEARCH("Cancelado",Q573)))</formula>
    </cfRule>
  </conditionalFormatting>
  <conditionalFormatting sqref="S573">
    <cfRule type="cellIs" dxfId="8165" priority="6499" operator="equal">
      <formula>"Tramitando"</formula>
    </cfRule>
    <cfRule type="cellIs" dxfId="8164" priority="6500" operator="equal">
      <formula>"Deferido"</formula>
    </cfRule>
    <cfRule type="cellIs" dxfId="8163" priority="6501" operator="equal">
      <formula>"Indeferido"</formula>
    </cfRule>
  </conditionalFormatting>
  <conditionalFormatting sqref="S573">
    <cfRule type="containsText" dxfId="8162" priority="6498" operator="containsText" text="Cancelado">
      <formula>NOT(ISERROR(SEARCH("Cancelado",S573)))</formula>
    </cfRule>
  </conditionalFormatting>
  <conditionalFormatting sqref="J574">
    <cfRule type="cellIs" dxfId="8161" priority="6494" operator="equal">
      <formula>"Tramitando"</formula>
    </cfRule>
    <cfRule type="cellIs" dxfId="8160" priority="6495" operator="equal">
      <formula>"Deferido"</formula>
    </cfRule>
    <cfRule type="cellIs" dxfId="8159" priority="6496" operator="equal">
      <formula>"Indeferido"</formula>
    </cfRule>
  </conditionalFormatting>
  <conditionalFormatting sqref="J574">
    <cfRule type="containsText" dxfId="8158" priority="6493" operator="containsText" text="Cancelado">
      <formula>NOT(ISERROR(SEARCH("Cancelado",J574)))</formula>
    </cfRule>
  </conditionalFormatting>
  <conditionalFormatting sqref="M574">
    <cfRule type="cellIs" dxfId="8157" priority="6490" operator="equal">
      <formula>"Tramitando"</formula>
    </cfRule>
    <cfRule type="cellIs" dxfId="8156" priority="6491" operator="equal">
      <formula>"Deferido"</formula>
    </cfRule>
    <cfRule type="cellIs" dxfId="8155" priority="6492" operator="equal">
      <formula>"Indeferido"</formula>
    </cfRule>
  </conditionalFormatting>
  <conditionalFormatting sqref="M574">
    <cfRule type="containsText" dxfId="8154" priority="6489" operator="containsText" text="Cancelado">
      <formula>NOT(ISERROR(SEARCH("Cancelado",M574)))</formula>
    </cfRule>
  </conditionalFormatting>
  <conditionalFormatting sqref="O574">
    <cfRule type="cellIs" dxfId="8153" priority="6486" operator="equal">
      <formula>"Tramitando"</formula>
    </cfRule>
    <cfRule type="cellIs" dxfId="8152" priority="6487" operator="equal">
      <formula>"Deferido"</formula>
    </cfRule>
    <cfRule type="cellIs" dxfId="8151" priority="6488" operator="equal">
      <formula>"Indeferido"</formula>
    </cfRule>
  </conditionalFormatting>
  <conditionalFormatting sqref="O574">
    <cfRule type="containsText" dxfId="8150" priority="6485" operator="containsText" text="Cancelado">
      <formula>NOT(ISERROR(SEARCH("Cancelado",O574)))</formula>
    </cfRule>
  </conditionalFormatting>
  <conditionalFormatting sqref="Q574">
    <cfRule type="cellIs" dxfId="8149" priority="6482" operator="equal">
      <formula>"Tramitando"</formula>
    </cfRule>
    <cfRule type="cellIs" dxfId="8148" priority="6483" operator="equal">
      <formula>"Deferido"</formula>
    </cfRule>
    <cfRule type="cellIs" dxfId="8147" priority="6484" operator="equal">
      <formula>"Indeferido"</formula>
    </cfRule>
  </conditionalFormatting>
  <conditionalFormatting sqref="Q574">
    <cfRule type="containsText" dxfId="8146" priority="6481" operator="containsText" text="Cancelado">
      <formula>NOT(ISERROR(SEARCH("Cancelado",Q574)))</formula>
    </cfRule>
  </conditionalFormatting>
  <conditionalFormatting sqref="S574">
    <cfRule type="cellIs" dxfId="8145" priority="6478" operator="equal">
      <formula>"Tramitando"</formula>
    </cfRule>
    <cfRule type="cellIs" dxfId="8144" priority="6479" operator="equal">
      <formula>"Deferido"</formula>
    </cfRule>
    <cfRule type="cellIs" dxfId="8143" priority="6480" operator="equal">
      <formula>"Indeferido"</formula>
    </cfRule>
  </conditionalFormatting>
  <conditionalFormatting sqref="S574">
    <cfRule type="containsText" dxfId="8142" priority="6477" operator="containsText" text="Cancelado">
      <formula>NOT(ISERROR(SEARCH("Cancelado",S574)))</formula>
    </cfRule>
  </conditionalFormatting>
  <conditionalFormatting sqref="J575">
    <cfRule type="cellIs" dxfId="8141" priority="6473" operator="equal">
      <formula>"Tramitando"</formula>
    </cfRule>
    <cfRule type="cellIs" dxfId="8140" priority="6474" operator="equal">
      <formula>"Deferido"</formula>
    </cfRule>
    <cfRule type="cellIs" dxfId="8139" priority="6475" operator="equal">
      <formula>"Indeferido"</formula>
    </cfRule>
  </conditionalFormatting>
  <conditionalFormatting sqref="J575">
    <cfRule type="containsText" dxfId="8138" priority="6472" operator="containsText" text="Cancelado">
      <formula>NOT(ISERROR(SEARCH("Cancelado",J575)))</formula>
    </cfRule>
  </conditionalFormatting>
  <conditionalFormatting sqref="M575">
    <cfRule type="cellIs" dxfId="8137" priority="6469" operator="equal">
      <formula>"Tramitando"</formula>
    </cfRule>
    <cfRule type="cellIs" dxfId="8136" priority="6470" operator="equal">
      <formula>"Deferido"</formula>
    </cfRule>
    <cfRule type="cellIs" dxfId="8135" priority="6471" operator="equal">
      <formula>"Indeferido"</formula>
    </cfRule>
  </conditionalFormatting>
  <conditionalFormatting sqref="M575">
    <cfRule type="containsText" dxfId="8134" priority="6468" operator="containsText" text="Cancelado">
      <formula>NOT(ISERROR(SEARCH("Cancelado",M575)))</formula>
    </cfRule>
  </conditionalFormatting>
  <conditionalFormatting sqref="O575">
    <cfRule type="cellIs" dxfId="8133" priority="6465" operator="equal">
      <formula>"Tramitando"</formula>
    </cfRule>
    <cfRule type="cellIs" dxfId="8132" priority="6466" operator="equal">
      <formula>"Deferido"</formula>
    </cfRule>
    <cfRule type="cellIs" dxfId="8131" priority="6467" operator="equal">
      <formula>"Indeferido"</formula>
    </cfRule>
  </conditionalFormatting>
  <conditionalFormatting sqref="O575">
    <cfRule type="containsText" dxfId="8130" priority="6464" operator="containsText" text="Cancelado">
      <formula>NOT(ISERROR(SEARCH("Cancelado",O575)))</formula>
    </cfRule>
  </conditionalFormatting>
  <conditionalFormatting sqref="Q575">
    <cfRule type="cellIs" dxfId="8129" priority="6461" operator="equal">
      <formula>"Tramitando"</formula>
    </cfRule>
    <cfRule type="cellIs" dxfId="8128" priority="6462" operator="equal">
      <formula>"Deferido"</formula>
    </cfRule>
    <cfRule type="cellIs" dxfId="8127" priority="6463" operator="equal">
      <formula>"Indeferido"</formula>
    </cfRule>
  </conditionalFormatting>
  <conditionalFormatting sqref="Q575">
    <cfRule type="containsText" dxfId="8126" priority="6460" operator="containsText" text="Cancelado">
      <formula>NOT(ISERROR(SEARCH("Cancelado",Q575)))</formula>
    </cfRule>
  </conditionalFormatting>
  <conditionalFormatting sqref="S575">
    <cfRule type="cellIs" dxfId="8125" priority="6457" operator="equal">
      <formula>"Tramitando"</formula>
    </cfRule>
    <cfRule type="cellIs" dxfId="8124" priority="6458" operator="equal">
      <formula>"Deferido"</formula>
    </cfRule>
    <cfRule type="cellIs" dxfId="8123" priority="6459" operator="equal">
      <formula>"Indeferido"</formula>
    </cfRule>
  </conditionalFormatting>
  <conditionalFormatting sqref="S575">
    <cfRule type="containsText" dxfId="8122" priority="6456" operator="containsText" text="Cancelado">
      <formula>NOT(ISERROR(SEARCH("Cancelado",S575)))</formula>
    </cfRule>
  </conditionalFormatting>
  <conditionalFormatting sqref="J576">
    <cfRule type="cellIs" dxfId="8121" priority="6452" operator="equal">
      <formula>"Tramitando"</formula>
    </cfRule>
    <cfRule type="cellIs" dxfId="8120" priority="6453" operator="equal">
      <formula>"Deferido"</formula>
    </cfRule>
    <cfRule type="cellIs" dxfId="8119" priority="6454" operator="equal">
      <formula>"Indeferido"</formula>
    </cfRule>
  </conditionalFormatting>
  <conditionalFormatting sqref="J576">
    <cfRule type="containsText" dxfId="8118" priority="6451" operator="containsText" text="Cancelado">
      <formula>NOT(ISERROR(SEARCH("Cancelado",J576)))</formula>
    </cfRule>
  </conditionalFormatting>
  <conditionalFormatting sqref="M576">
    <cfRule type="cellIs" dxfId="8117" priority="6448" operator="equal">
      <formula>"Tramitando"</formula>
    </cfRule>
    <cfRule type="cellIs" dxfId="8116" priority="6449" operator="equal">
      <formula>"Deferido"</formula>
    </cfRule>
    <cfRule type="cellIs" dxfId="8115" priority="6450" operator="equal">
      <formula>"Indeferido"</formula>
    </cfRule>
  </conditionalFormatting>
  <conditionalFormatting sqref="M576">
    <cfRule type="containsText" dxfId="8114" priority="6447" operator="containsText" text="Cancelado">
      <formula>NOT(ISERROR(SEARCH("Cancelado",M576)))</formula>
    </cfRule>
  </conditionalFormatting>
  <conditionalFormatting sqref="O576">
    <cfRule type="cellIs" dxfId="8113" priority="6444" operator="equal">
      <formula>"Tramitando"</formula>
    </cfRule>
    <cfRule type="cellIs" dxfId="8112" priority="6445" operator="equal">
      <formula>"Deferido"</formula>
    </cfRule>
    <cfRule type="cellIs" dxfId="8111" priority="6446" operator="equal">
      <formula>"Indeferido"</formula>
    </cfRule>
  </conditionalFormatting>
  <conditionalFormatting sqref="O576">
    <cfRule type="containsText" dxfId="8110" priority="6443" operator="containsText" text="Cancelado">
      <formula>NOT(ISERROR(SEARCH("Cancelado",O576)))</formula>
    </cfRule>
  </conditionalFormatting>
  <conditionalFormatting sqref="Q576">
    <cfRule type="cellIs" dxfId="8109" priority="6440" operator="equal">
      <formula>"Tramitando"</formula>
    </cfRule>
    <cfRule type="cellIs" dxfId="8108" priority="6441" operator="equal">
      <formula>"Deferido"</formula>
    </cfRule>
    <cfRule type="cellIs" dxfId="8107" priority="6442" operator="equal">
      <formula>"Indeferido"</formula>
    </cfRule>
  </conditionalFormatting>
  <conditionalFormatting sqref="Q576">
    <cfRule type="containsText" dxfId="8106" priority="6439" operator="containsText" text="Cancelado">
      <formula>NOT(ISERROR(SEARCH("Cancelado",Q576)))</formula>
    </cfRule>
  </conditionalFormatting>
  <conditionalFormatting sqref="S576">
    <cfRule type="cellIs" dxfId="8105" priority="6436" operator="equal">
      <formula>"Tramitando"</formula>
    </cfRule>
    <cfRule type="cellIs" dxfId="8104" priority="6437" operator="equal">
      <formula>"Deferido"</formula>
    </cfRule>
    <cfRule type="cellIs" dxfId="8103" priority="6438" operator="equal">
      <formula>"Indeferido"</formula>
    </cfRule>
  </conditionalFormatting>
  <conditionalFormatting sqref="S576">
    <cfRule type="containsText" dxfId="8102" priority="6435" operator="containsText" text="Cancelado">
      <formula>NOT(ISERROR(SEARCH("Cancelado",S576)))</formula>
    </cfRule>
  </conditionalFormatting>
  <conditionalFormatting sqref="J577">
    <cfRule type="cellIs" dxfId="8101" priority="6431" operator="equal">
      <formula>"Tramitando"</formula>
    </cfRule>
    <cfRule type="cellIs" dxfId="8100" priority="6432" operator="equal">
      <formula>"Deferido"</formula>
    </cfRule>
    <cfRule type="cellIs" dxfId="8099" priority="6433" operator="equal">
      <formula>"Indeferido"</formula>
    </cfRule>
  </conditionalFormatting>
  <conditionalFormatting sqref="J577">
    <cfRule type="containsText" dxfId="8098" priority="6430" operator="containsText" text="Cancelado">
      <formula>NOT(ISERROR(SEARCH("Cancelado",J577)))</formula>
    </cfRule>
  </conditionalFormatting>
  <conditionalFormatting sqref="M577">
    <cfRule type="cellIs" dxfId="8097" priority="6427" operator="equal">
      <formula>"Tramitando"</formula>
    </cfRule>
    <cfRule type="cellIs" dxfId="8096" priority="6428" operator="equal">
      <formula>"Deferido"</formula>
    </cfRule>
    <cfRule type="cellIs" dxfId="8095" priority="6429" operator="equal">
      <formula>"Indeferido"</formula>
    </cfRule>
  </conditionalFormatting>
  <conditionalFormatting sqref="M577">
    <cfRule type="containsText" dxfId="8094" priority="6426" operator="containsText" text="Cancelado">
      <formula>NOT(ISERROR(SEARCH("Cancelado",M577)))</formula>
    </cfRule>
  </conditionalFormatting>
  <conditionalFormatting sqref="O577">
    <cfRule type="cellIs" dxfId="8093" priority="6423" operator="equal">
      <formula>"Tramitando"</formula>
    </cfRule>
    <cfRule type="cellIs" dxfId="8092" priority="6424" operator="equal">
      <formula>"Deferido"</formula>
    </cfRule>
    <cfRule type="cellIs" dxfId="8091" priority="6425" operator="equal">
      <formula>"Indeferido"</formula>
    </cfRule>
  </conditionalFormatting>
  <conditionalFormatting sqref="O577">
    <cfRule type="containsText" dxfId="8090" priority="6422" operator="containsText" text="Cancelado">
      <formula>NOT(ISERROR(SEARCH("Cancelado",O577)))</formula>
    </cfRule>
  </conditionalFormatting>
  <conditionalFormatting sqref="Q577">
    <cfRule type="cellIs" dxfId="8089" priority="6419" operator="equal">
      <formula>"Tramitando"</formula>
    </cfRule>
    <cfRule type="cellIs" dxfId="8088" priority="6420" operator="equal">
      <formula>"Deferido"</formula>
    </cfRule>
    <cfRule type="cellIs" dxfId="8087" priority="6421" operator="equal">
      <formula>"Indeferido"</formula>
    </cfRule>
  </conditionalFormatting>
  <conditionalFormatting sqref="Q577">
    <cfRule type="containsText" dxfId="8086" priority="6418" operator="containsText" text="Cancelado">
      <formula>NOT(ISERROR(SEARCH("Cancelado",Q577)))</formula>
    </cfRule>
  </conditionalFormatting>
  <conditionalFormatting sqref="S577">
    <cfRule type="cellIs" dxfId="8085" priority="6415" operator="equal">
      <formula>"Tramitando"</formula>
    </cfRule>
    <cfRule type="cellIs" dxfId="8084" priority="6416" operator="equal">
      <formula>"Deferido"</formula>
    </cfRule>
    <cfRule type="cellIs" dxfId="8083" priority="6417" operator="equal">
      <formula>"Indeferido"</formula>
    </cfRule>
  </conditionalFormatting>
  <conditionalFormatting sqref="S577">
    <cfRule type="containsText" dxfId="8082" priority="6414" operator="containsText" text="Cancelado">
      <formula>NOT(ISERROR(SEARCH("Cancelado",S577)))</formula>
    </cfRule>
  </conditionalFormatting>
  <conditionalFormatting sqref="J578:J579">
    <cfRule type="cellIs" dxfId="8081" priority="6410" operator="equal">
      <formula>"Tramitando"</formula>
    </cfRule>
    <cfRule type="cellIs" dxfId="8080" priority="6411" operator="equal">
      <formula>"Deferido"</formula>
    </cfRule>
    <cfRule type="cellIs" dxfId="8079" priority="6412" operator="equal">
      <formula>"Indeferido"</formula>
    </cfRule>
  </conditionalFormatting>
  <conditionalFormatting sqref="J578:J579">
    <cfRule type="containsText" dxfId="8078" priority="6409" operator="containsText" text="Cancelado">
      <formula>NOT(ISERROR(SEARCH("Cancelado",J578)))</formula>
    </cfRule>
  </conditionalFormatting>
  <conditionalFormatting sqref="M578:M579">
    <cfRule type="cellIs" dxfId="8077" priority="6406" operator="equal">
      <formula>"Tramitando"</formula>
    </cfRule>
    <cfRule type="cellIs" dxfId="8076" priority="6407" operator="equal">
      <formula>"Deferido"</formula>
    </cfRule>
    <cfRule type="cellIs" dxfId="8075" priority="6408" operator="equal">
      <formula>"Indeferido"</formula>
    </cfRule>
  </conditionalFormatting>
  <conditionalFormatting sqref="M578:M579">
    <cfRule type="containsText" dxfId="8074" priority="6405" operator="containsText" text="Cancelado">
      <formula>NOT(ISERROR(SEARCH("Cancelado",M578)))</formula>
    </cfRule>
  </conditionalFormatting>
  <conditionalFormatting sqref="O578:O579">
    <cfRule type="cellIs" dxfId="8073" priority="6402" operator="equal">
      <formula>"Tramitando"</formula>
    </cfRule>
    <cfRule type="cellIs" dxfId="8072" priority="6403" operator="equal">
      <formula>"Deferido"</formula>
    </cfRule>
    <cfRule type="cellIs" dxfId="8071" priority="6404" operator="equal">
      <formula>"Indeferido"</formula>
    </cfRule>
  </conditionalFormatting>
  <conditionalFormatting sqref="O578:O579">
    <cfRule type="containsText" dxfId="8070" priority="6401" operator="containsText" text="Cancelado">
      <formula>NOT(ISERROR(SEARCH("Cancelado",O578)))</formula>
    </cfRule>
  </conditionalFormatting>
  <conditionalFormatting sqref="Q578:Q579">
    <cfRule type="cellIs" dxfId="8069" priority="6398" operator="equal">
      <formula>"Tramitando"</formula>
    </cfRule>
    <cfRule type="cellIs" dxfId="8068" priority="6399" operator="equal">
      <formula>"Deferido"</formula>
    </cfRule>
    <cfRule type="cellIs" dxfId="8067" priority="6400" operator="equal">
      <formula>"Indeferido"</formula>
    </cfRule>
  </conditionalFormatting>
  <conditionalFormatting sqref="Q578:Q579">
    <cfRule type="containsText" dxfId="8066" priority="6397" operator="containsText" text="Cancelado">
      <formula>NOT(ISERROR(SEARCH("Cancelado",Q578)))</formula>
    </cfRule>
  </conditionalFormatting>
  <conditionalFormatting sqref="S578:S579">
    <cfRule type="cellIs" dxfId="8065" priority="6394" operator="equal">
      <formula>"Tramitando"</formula>
    </cfRule>
    <cfRule type="cellIs" dxfId="8064" priority="6395" operator="equal">
      <formula>"Deferido"</formula>
    </cfRule>
    <cfRule type="cellIs" dxfId="8063" priority="6396" operator="equal">
      <formula>"Indeferido"</formula>
    </cfRule>
  </conditionalFormatting>
  <conditionalFormatting sqref="S578:S579">
    <cfRule type="containsText" dxfId="8062" priority="6393" operator="containsText" text="Cancelado">
      <formula>NOT(ISERROR(SEARCH("Cancelado",S578)))</formula>
    </cfRule>
  </conditionalFormatting>
  <conditionalFormatting sqref="J580:J581">
    <cfRule type="cellIs" dxfId="8061" priority="6389" operator="equal">
      <formula>"Tramitando"</formula>
    </cfRule>
    <cfRule type="cellIs" dxfId="8060" priority="6390" operator="equal">
      <formula>"Deferido"</formula>
    </cfRule>
    <cfRule type="cellIs" dxfId="8059" priority="6391" operator="equal">
      <formula>"Indeferido"</formula>
    </cfRule>
  </conditionalFormatting>
  <conditionalFormatting sqref="J580:J581">
    <cfRule type="containsText" dxfId="8058" priority="6388" operator="containsText" text="Cancelado">
      <formula>NOT(ISERROR(SEARCH("Cancelado",J580)))</formula>
    </cfRule>
  </conditionalFormatting>
  <conditionalFormatting sqref="M580:M581">
    <cfRule type="cellIs" dxfId="8057" priority="6385" operator="equal">
      <formula>"Tramitando"</formula>
    </cfRule>
    <cfRule type="cellIs" dxfId="8056" priority="6386" operator="equal">
      <formula>"Deferido"</formula>
    </cfRule>
    <cfRule type="cellIs" dxfId="8055" priority="6387" operator="equal">
      <formula>"Indeferido"</formula>
    </cfRule>
  </conditionalFormatting>
  <conditionalFormatting sqref="M580:M581">
    <cfRule type="containsText" dxfId="8054" priority="6384" operator="containsText" text="Cancelado">
      <formula>NOT(ISERROR(SEARCH("Cancelado",M580)))</formula>
    </cfRule>
  </conditionalFormatting>
  <conditionalFormatting sqref="O580:O581">
    <cfRule type="cellIs" dxfId="8053" priority="6381" operator="equal">
      <formula>"Tramitando"</formula>
    </cfRule>
    <cfRule type="cellIs" dxfId="8052" priority="6382" operator="equal">
      <formula>"Deferido"</formula>
    </cfRule>
    <cfRule type="cellIs" dxfId="8051" priority="6383" operator="equal">
      <formula>"Indeferido"</formula>
    </cfRule>
  </conditionalFormatting>
  <conditionalFormatting sqref="O580:O581">
    <cfRule type="containsText" dxfId="8050" priority="6380" operator="containsText" text="Cancelado">
      <formula>NOT(ISERROR(SEARCH("Cancelado",O580)))</formula>
    </cfRule>
  </conditionalFormatting>
  <conditionalFormatting sqref="Q580:Q581">
    <cfRule type="cellIs" dxfId="8049" priority="6377" operator="equal">
      <formula>"Tramitando"</formula>
    </cfRule>
    <cfRule type="cellIs" dxfId="8048" priority="6378" operator="equal">
      <formula>"Deferido"</formula>
    </cfRule>
    <cfRule type="cellIs" dxfId="8047" priority="6379" operator="equal">
      <formula>"Indeferido"</formula>
    </cfRule>
  </conditionalFormatting>
  <conditionalFormatting sqref="Q580:Q581">
    <cfRule type="containsText" dxfId="8046" priority="6376" operator="containsText" text="Cancelado">
      <formula>NOT(ISERROR(SEARCH("Cancelado",Q580)))</formula>
    </cfRule>
  </conditionalFormatting>
  <conditionalFormatting sqref="S580:S581">
    <cfRule type="cellIs" dxfId="8045" priority="6373" operator="equal">
      <formula>"Tramitando"</formula>
    </cfRule>
    <cfRule type="cellIs" dxfId="8044" priority="6374" operator="equal">
      <formula>"Deferido"</formula>
    </cfRule>
    <cfRule type="cellIs" dxfId="8043" priority="6375" operator="equal">
      <formula>"Indeferido"</formula>
    </cfRule>
  </conditionalFormatting>
  <conditionalFormatting sqref="S580:S581">
    <cfRule type="containsText" dxfId="8042" priority="6372" operator="containsText" text="Cancelado">
      <formula>NOT(ISERROR(SEARCH("Cancelado",S580)))</formula>
    </cfRule>
  </conditionalFormatting>
  <conditionalFormatting sqref="J582:J583">
    <cfRule type="cellIs" dxfId="8041" priority="6368" operator="equal">
      <formula>"Tramitando"</formula>
    </cfRule>
    <cfRule type="cellIs" dxfId="8040" priority="6369" operator="equal">
      <formula>"Deferido"</formula>
    </cfRule>
    <cfRule type="cellIs" dxfId="8039" priority="6370" operator="equal">
      <formula>"Indeferido"</formula>
    </cfRule>
  </conditionalFormatting>
  <conditionalFormatting sqref="J582:J583">
    <cfRule type="containsText" dxfId="8038" priority="6367" operator="containsText" text="Cancelado">
      <formula>NOT(ISERROR(SEARCH("Cancelado",J582)))</formula>
    </cfRule>
  </conditionalFormatting>
  <conditionalFormatting sqref="M582:M583">
    <cfRule type="cellIs" dxfId="8037" priority="6364" operator="equal">
      <formula>"Tramitando"</formula>
    </cfRule>
    <cfRule type="cellIs" dxfId="8036" priority="6365" operator="equal">
      <formula>"Deferido"</formula>
    </cfRule>
    <cfRule type="cellIs" dxfId="8035" priority="6366" operator="equal">
      <formula>"Indeferido"</formula>
    </cfRule>
  </conditionalFormatting>
  <conditionalFormatting sqref="M582:M583">
    <cfRule type="containsText" dxfId="8034" priority="6363" operator="containsText" text="Cancelado">
      <formula>NOT(ISERROR(SEARCH("Cancelado",M582)))</formula>
    </cfRule>
  </conditionalFormatting>
  <conditionalFormatting sqref="O582:O583">
    <cfRule type="cellIs" dxfId="8033" priority="6360" operator="equal">
      <formula>"Tramitando"</formula>
    </cfRule>
    <cfRule type="cellIs" dxfId="8032" priority="6361" operator="equal">
      <formula>"Deferido"</formula>
    </cfRule>
    <cfRule type="cellIs" dxfId="8031" priority="6362" operator="equal">
      <formula>"Indeferido"</formula>
    </cfRule>
  </conditionalFormatting>
  <conditionalFormatting sqref="O582:O583">
    <cfRule type="containsText" dxfId="8030" priority="6359" operator="containsText" text="Cancelado">
      <formula>NOT(ISERROR(SEARCH("Cancelado",O582)))</formula>
    </cfRule>
  </conditionalFormatting>
  <conditionalFormatting sqref="Q582:Q583">
    <cfRule type="cellIs" dxfId="8029" priority="6356" operator="equal">
      <formula>"Tramitando"</formula>
    </cfRule>
    <cfRule type="cellIs" dxfId="8028" priority="6357" operator="equal">
      <formula>"Deferido"</formula>
    </cfRule>
    <cfRule type="cellIs" dxfId="8027" priority="6358" operator="equal">
      <formula>"Indeferido"</formula>
    </cfRule>
  </conditionalFormatting>
  <conditionalFormatting sqref="Q582:Q583">
    <cfRule type="containsText" dxfId="8026" priority="6355" operator="containsText" text="Cancelado">
      <formula>NOT(ISERROR(SEARCH("Cancelado",Q582)))</formula>
    </cfRule>
  </conditionalFormatting>
  <conditionalFormatting sqref="S582:S583">
    <cfRule type="cellIs" dxfId="8025" priority="6352" operator="equal">
      <formula>"Tramitando"</formula>
    </cfRule>
    <cfRule type="cellIs" dxfId="8024" priority="6353" operator="equal">
      <formula>"Deferido"</formula>
    </cfRule>
    <cfRule type="cellIs" dxfId="8023" priority="6354" operator="equal">
      <formula>"Indeferido"</formula>
    </cfRule>
  </conditionalFormatting>
  <conditionalFormatting sqref="S582:S583">
    <cfRule type="containsText" dxfId="8022" priority="6351" operator="containsText" text="Cancelado">
      <formula>NOT(ISERROR(SEARCH("Cancelado",S582)))</formula>
    </cfRule>
  </conditionalFormatting>
  <conditionalFormatting sqref="J584">
    <cfRule type="cellIs" dxfId="8021" priority="6347" operator="equal">
      <formula>"Tramitando"</formula>
    </cfRule>
    <cfRule type="cellIs" dxfId="8020" priority="6348" operator="equal">
      <formula>"Deferido"</formula>
    </cfRule>
    <cfRule type="cellIs" dxfId="8019" priority="6349" operator="equal">
      <formula>"Indeferido"</formula>
    </cfRule>
  </conditionalFormatting>
  <conditionalFormatting sqref="J584">
    <cfRule type="containsText" dxfId="8018" priority="6346" operator="containsText" text="Cancelado">
      <formula>NOT(ISERROR(SEARCH("Cancelado",J584)))</formula>
    </cfRule>
  </conditionalFormatting>
  <conditionalFormatting sqref="M584">
    <cfRule type="cellIs" dxfId="8017" priority="6343" operator="equal">
      <formula>"Tramitando"</formula>
    </cfRule>
    <cfRule type="cellIs" dxfId="8016" priority="6344" operator="equal">
      <formula>"Deferido"</formula>
    </cfRule>
    <cfRule type="cellIs" dxfId="8015" priority="6345" operator="equal">
      <formula>"Indeferido"</formula>
    </cfRule>
  </conditionalFormatting>
  <conditionalFormatting sqref="M584">
    <cfRule type="containsText" dxfId="8014" priority="6342" operator="containsText" text="Cancelado">
      <formula>NOT(ISERROR(SEARCH("Cancelado",M584)))</formula>
    </cfRule>
  </conditionalFormatting>
  <conditionalFormatting sqref="O584">
    <cfRule type="cellIs" dxfId="8013" priority="6339" operator="equal">
      <formula>"Tramitando"</formula>
    </cfRule>
    <cfRule type="cellIs" dxfId="8012" priority="6340" operator="equal">
      <formula>"Deferido"</formula>
    </cfRule>
    <cfRule type="cellIs" dxfId="8011" priority="6341" operator="equal">
      <formula>"Indeferido"</formula>
    </cfRule>
  </conditionalFormatting>
  <conditionalFormatting sqref="O584">
    <cfRule type="containsText" dxfId="8010" priority="6338" operator="containsText" text="Cancelado">
      <formula>NOT(ISERROR(SEARCH("Cancelado",O584)))</formula>
    </cfRule>
  </conditionalFormatting>
  <conditionalFormatting sqref="Q584">
    <cfRule type="cellIs" dxfId="8009" priority="6335" operator="equal">
      <formula>"Tramitando"</formula>
    </cfRule>
    <cfRule type="cellIs" dxfId="8008" priority="6336" operator="equal">
      <formula>"Deferido"</formula>
    </cfRule>
    <cfRule type="cellIs" dxfId="8007" priority="6337" operator="equal">
      <formula>"Indeferido"</formula>
    </cfRule>
  </conditionalFormatting>
  <conditionalFormatting sqref="Q584">
    <cfRule type="containsText" dxfId="8006" priority="6334" operator="containsText" text="Cancelado">
      <formula>NOT(ISERROR(SEARCH("Cancelado",Q584)))</formula>
    </cfRule>
  </conditionalFormatting>
  <conditionalFormatting sqref="S584">
    <cfRule type="cellIs" dxfId="8005" priority="6331" operator="equal">
      <formula>"Tramitando"</formula>
    </cfRule>
    <cfRule type="cellIs" dxfId="8004" priority="6332" operator="equal">
      <formula>"Deferido"</formula>
    </cfRule>
    <cfRule type="cellIs" dxfId="8003" priority="6333" operator="equal">
      <formula>"Indeferido"</formula>
    </cfRule>
  </conditionalFormatting>
  <conditionalFormatting sqref="S584">
    <cfRule type="containsText" dxfId="8002" priority="6330" operator="containsText" text="Cancelado">
      <formula>NOT(ISERROR(SEARCH("Cancelado",S584)))</formula>
    </cfRule>
  </conditionalFormatting>
  <conditionalFormatting sqref="J585">
    <cfRule type="cellIs" dxfId="8001" priority="6326" operator="equal">
      <formula>"Tramitando"</formula>
    </cfRule>
    <cfRule type="cellIs" dxfId="8000" priority="6327" operator="equal">
      <formula>"Deferido"</formula>
    </cfRule>
    <cfRule type="cellIs" dxfId="7999" priority="6328" operator="equal">
      <formula>"Indeferido"</formula>
    </cfRule>
  </conditionalFormatting>
  <conditionalFormatting sqref="J585">
    <cfRule type="containsText" dxfId="7998" priority="6325" operator="containsText" text="Cancelado">
      <formula>NOT(ISERROR(SEARCH("Cancelado",J585)))</formula>
    </cfRule>
  </conditionalFormatting>
  <conditionalFormatting sqref="M585">
    <cfRule type="cellIs" dxfId="7997" priority="6322" operator="equal">
      <formula>"Tramitando"</formula>
    </cfRule>
    <cfRule type="cellIs" dxfId="7996" priority="6323" operator="equal">
      <formula>"Deferido"</formula>
    </cfRule>
    <cfRule type="cellIs" dxfId="7995" priority="6324" operator="equal">
      <formula>"Indeferido"</formula>
    </cfRule>
  </conditionalFormatting>
  <conditionalFormatting sqref="M585">
    <cfRule type="containsText" dxfId="7994" priority="6321" operator="containsText" text="Cancelado">
      <formula>NOT(ISERROR(SEARCH("Cancelado",M585)))</formula>
    </cfRule>
  </conditionalFormatting>
  <conditionalFormatting sqref="O585">
    <cfRule type="cellIs" dxfId="7993" priority="6318" operator="equal">
      <formula>"Tramitando"</formula>
    </cfRule>
    <cfRule type="cellIs" dxfId="7992" priority="6319" operator="equal">
      <formula>"Deferido"</formula>
    </cfRule>
    <cfRule type="cellIs" dxfId="7991" priority="6320" operator="equal">
      <formula>"Indeferido"</formula>
    </cfRule>
  </conditionalFormatting>
  <conditionalFormatting sqref="O585">
    <cfRule type="containsText" dxfId="7990" priority="6317" operator="containsText" text="Cancelado">
      <formula>NOT(ISERROR(SEARCH("Cancelado",O585)))</formula>
    </cfRule>
  </conditionalFormatting>
  <conditionalFormatting sqref="Q585">
    <cfRule type="cellIs" dxfId="7989" priority="6314" operator="equal">
      <formula>"Tramitando"</formula>
    </cfRule>
    <cfRule type="cellIs" dxfId="7988" priority="6315" operator="equal">
      <formula>"Deferido"</formula>
    </cfRule>
    <cfRule type="cellIs" dxfId="7987" priority="6316" operator="equal">
      <formula>"Indeferido"</formula>
    </cfRule>
  </conditionalFormatting>
  <conditionalFormatting sqref="Q585">
    <cfRule type="containsText" dxfId="7986" priority="6313" operator="containsText" text="Cancelado">
      <formula>NOT(ISERROR(SEARCH("Cancelado",Q585)))</formula>
    </cfRule>
  </conditionalFormatting>
  <conditionalFormatting sqref="S585">
    <cfRule type="cellIs" dxfId="7985" priority="6310" operator="equal">
      <formula>"Tramitando"</formula>
    </cfRule>
    <cfRule type="cellIs" dxfId="7984" priority="6311" operator="equal">
      <formula>"Deferido"</formula>
    </cfRule>
    <cfRule type="cellIs" dxfId="7983" priority="6312" operator="equal">
      <formula>"Indeferido"</formula>
    </cfRule>
  </conditionalFormatting>
  <conditionalFormatting sqref="S585">
    <cfRule type="containsText" dxfId="7982" priority="6309" operator="containsText" text="Cancelado">
      <formula>NOT(ISERROR(SEARCH("Cancelado",S585)))</formula>
    </cfRule>
  </conditionalFormatting>
  <conditionalFormatting sqref="J586">
    <cfRule type="cellIs" dxfId="7981" priority="6305" operator="equal">
      <formula>"Tramitando"</formula>
    </cfRule>
    <cfRule type="cellIs" dxfId="7980" priority="6306" operator="equal">
      <formula>"Deferido"</formula>
    </cfRule>
    <cfRule type="cellIs" dxfId="7979" priority="6307" operator="equal">
      <formula>"Indeferido"</formula>
    </cfRule>
  </conditionalFormatting>
  <conditionalFormatting sqref="J586">
    <cfRule type="containsText" dxfId="7978" priority="6304" operator="containsText" text="Cancelado">
      <formula>NOT(ISERROR(SEARCH("Cancelado",J586)))</formula>
    </cfRule>
  </conditionalFormatting>
  <conditionalFormatting sqref="M586">
    <cfRule type="cellIs" dxfId="7977" priority="6301" operator="equal">
      <formula>"Tramitando"</formula>
    </cfRule>
    <cfRule type="cellIs" dxfId="7976" priority="6302" operator="equal">
      <formula>"Deferido"</formula>
    </cfRule>
    <cfRule type="cellIs" dxfId="7975" priority="6303" operator="equal">
      <formula>"Indeferido"</formula>
    </cfRule>
  </conditionalFormatting>
  <conditionalFormatting sqref="M586">
    <cfRule type="containsText" dxfId="7974" priority="6300" operator="containsText" text="Cancelado">
      <formula>NOT(ISERROR(SEARCH("Cancelado",M586)))</formula>
    </cfRule>
  </conditionalFormatting>
  <conditionalFormatting sqref="O586">
    <cfRule type="cellIs" dxfId="7973" priority="6297" operator="equal">
      <formula>"Tramitando"</formula>
    </cfRule>
    <cfRule type="cellIs" dxfId="7972" priority="6298" operator="equal">
      <formula>"Deferido"</formula>
    </cfRule>
    <cfRule type="cellIs" dxfId="7971" priority="6299" operator="equal">
      <formula>"Indeferido"</formula>
    </cfRule>
  </conditionalFormatting>
  <conditionalFormatting sqref="O586">
    <cfRule type="containsText" dxfId="7970" priority="6296" operator="containsText" text="Cancelado">
      <formula>NOT(ISERROR(SEARCH("Cancelado",O586)))</formula>
    </cfRule>
  </conditionalFormatting>
  <conditionalFormatting sqref="Q586">
    <cfRule type="cellIs" dxfId="7969" priority="6293" operator="equal">
      <formula>"Tramitando"</formula>
    </cfRule>
    <cfRule type="cellIs" dxfId="7968" priority="6294" operator="equal">
      <formula>"Deferido"</formula>
    </cfRule>
    <cfRule type="cellIs" dxfId="7967" priority="6295" operator="equal">
      <formula>"Indeferido"</formula>
    </cfRule>
  </conditionalFormatting>
  <conditionalFormatting sqref="Q586">
    <cfRule type="containsText" dxfId="7966" priority="6292" operator="containsText" text="Cancelado">
      <formula>NOT(ISERROR(SEARCH("Cancelado",Q586)))</formula>
    </cfRule>
  </conditionalFormatting>
  <conditionalFormatting sqref="S586">
    <cfRule type="cellIs" dxfId="7965" priority="6289" operator="equal">
      <formula>"Tramitando"</formula>
    </cfRule>
    <cfRule type="cellIs" dxfId="7964" priority="6290" operator="equal">
      <formula>"Deferido"</formula>
    </cfRule>
    <cfRule type="cellIs" dxfId="7963" priority="6291" operator="equal">
      <formula>"Indeferido"</formula>
    </cfRule>
  </conditionalFormatting>
  <conditionalFormatting sqref="S586">
    <cfRule type="containsText" dxfId="7962" priority="6288" operator="containsText" text="Cancelado">
      <formula>NOT(ISERROR(SEARCH("Cancelado",S586)))</formula>
    </cfRule>
  </conditionalFormatting>
  <conditionalFormatting sqref="J587">
    <cfRule type="cellIs" dxfId="7961" priority="6284" operator="equal">
      <formula>"Tramitando"</formula>
    </cfRule>
    <cfRule type="cellIs" dxfId="7960" priority="6285" operator="equal">
      <formula>"Deferido"</formula>
    </cfRule>
    <cfRule type="cellIs" dxfId="7959" priority="6286" operator="equal">
      <formula>"Indeferido"</formula>
    </cfRule>
  </conditionalFormatting>
  <conditionalFormatting sqref="J587">
    <cfRule type="containsText" dxfId="7958" priority="6283" operator="containsText" text="Cancelado">
      <formula>NOT(ISERROR(SEARCH("Cancelado",J587)))</formula>
    </cfRule>
  </conditionalFormatting>
  <conditionalFormatting sqref="M587">
    <cfRule type="cellIs" dxfId="7957" priority="6280" operator="equal">
      <formula>"Tramitando"</formula>
    </cfRule>
    <cfRule type="cellIs" dxfId="7956" priority="6281" operator="equal">
      <formula>"Deferido"</formula>
    </cfRule>
    <cfRule type="cellIs" dxfId="7955" priority="6282" operator="equal">
      <formula>"Indeferido"</formula>
    </cfRule>
  </conditionalFormatting>
  <conditionalFormatting sqref="M587">
    <cfRule type="containsText" dxfId="7954" priority="6279" operator="containsText" text="Cancelado">
      <formula>NOT(ISERROR(SEARCH("Cancelado",M587)))</formula>
    </cfRule>
  </conditionalFormatting>
  <conditionalFormatting sqref="O587">
    <cfRule type="cellIs" dxfId="7953" priority="6276" operator="equal">
      <formula>"Tramitando"</formula>
    </cfRule>
    <cfRule type="cellIs" dxfId="7952" priority="6277" operator="equal">
      <formula>"Deferido"</formula>
    </cfRule>
    <cfRule type="cellIs" dxfId="7951" priority="6278" operator="equal">
      <formula>"Indeferido"</formula>
    </cfRule>
  </conditionalFormatting>
  <conditionalFormatting sqref="O587">
    <cfRule type="containsText" dxfId="7950" priority="6275" operator="containsText" text="Cancelado">
      <formula>NOT(ISERROR(SEARCH("Cancelado",O587)))</formula>
    </cfRule>
  </conditionalFormatting>
  <conditionalFormatting sqref="Q587">
    <cfRule type="cellIs" dxfId="7949" priority="6272" operator="equal">
      <formula>"Tramitando"</formula>
    </cfRule>
    <cfRule type="cellIs" dxfId="7948" priority="6273" operator="equal">
      <formula>"Deferido"</formula>
    </cfRule>
    <cfRule type="cellIs" dxfId="7947" priority="6274" operator="equal">
      <formula>"Indeferido"</formula>
    </cfRule>
  </conditionalFormatting>
  <conditionalFormatting sqref="Q587">
    <cfRule type="containsText" dxfId="7946" priority="6271" operator="containsText" text="Cancelado">
      <formula>NOT(ISERROR(SEARCH("Cancelado",Q587)))</formula>
    </cfRule>
  </conditionalFormatting>
  <conditionalFormatting sqref="S587">
    <cfRule type="cellIs" dxfId="7945" priority="6268" operator="equal">
      <formula>"Tramitando"</formula>
    </cfRule>
    <cfRule type="cellIs" dxfId="7944" priority="6269" operator="equal">
      <formula>"Deferido"</formula>
    </cfRule>
    <cfRule type="cellIs" dxfId="7943" priority="6270" operator="equal">
      <formula>"Indeferido"</formula>
    </cfRule>
  </conditionalFormatting>
  <conditionalFormatting sqref="S587">
    <cfRule type="containsText" dxfId="7942" priority="6267" operator="containsText" text="Cancelado">
      <formula>NOT(ISERROR(SEARCH("Cancelado",S587)))</formula>
    </cfRule>
  </conditionalFormatting>
  <conditionalFormatting sqref="J588">
    <cfRule type="cellIs" dxfId="7941" priority="6263" operator="equal">
      <formula>"Tramitando"</formula>
    </cfRule>
    <cfRule type="cellIs" dxfId="7940" priority="6264" operator="equal">
      <formula>"Deferido"</formula>
    </cfRule>
    <cfRule type="cellIs" dxfId="7939" priority="6265" operator="equal">
      <formula>"Indeferido"</formula>
    </cfRule>
  </conditionalFormatting>
  <conditionalFormatting sqref="J588">
    <cfRule type="containsText" dxfId="7938" priority="6262" operator="containsText" text="Cancelado">
      <formula>NOT(ISERROR(SEARCH("Cancelado",J588)))</formula>
    </cfRule>
  </conditionalFormatting>
  <conditionalFormatting sqref="M588">
    <cfRule type="cellIs" dxfId="7937" priority="6259" operator="equal">
      <formula>"Tramitando"</formula>
    </cfRule>
    <cfRule type="cellIs" dxfId="7936" priority="6260" operator="equal">
      <formula>"Deferido"</formula>
    </cfRule>
    <cfRule type="cellIs" dxfId="7935" priority="6261" operator="equal">
      <formula>"Indeferido"</formula>
    </cfRule>
  </conditionalFormatting>
  <conditionalFormatting sqref="M588">
    <cfRule type="containsText" dxfId="7934" priority="6258" operator="containsText" text="Cancelado">
      <formula>NOT(ISERROR(SEARCH("Cancelado",M588)))</formula>
    </cfRule>
  </conditionalFormatting>
  <conditionalFormatting sqref="O588">
    <cfRule type="cellIs" dxfId="7933" priority="6255" operator="equal">
      <formula>"Tramitando"</formula>
    </cfRule>
    <cfRule type="cellIs" dxfId="7932" priority="6256" operator="equal">
      <formula>"Deferido"</formula>
    </cfRule>
    <cfRule type="cellIs" dxfId="7931" priority="6257" operator="equal">
      <formula>"Indeferido"</formula>
    </cfRule>
  </conditionalFormatting>
  <conditionalFormatting sqref="O588">
    <cfRule type="containsText" dxfId="7930" priority="6254" operator="containsText" text="Cancelado">
      <formula>NOT(ISERROR(SEARCH("Cancelado",O588)))</formula>
    </cfRule>
  </conditionalFormatting>
  <conditionalFormatting sqref="Q588">
    <cfRule type="cellIs" dxfId="7929" priority="6251" operator="equal">
      <formula>"Tramitando"</formula>
    </cfRule>
    <cfRule type="cellIs" dxfId="7928" priority="6252" operator="equal">
      <formula>"Deferido"</formula>
    </cfRule>
    <cfRule type="cellIs" dxfId="7927" priority="6253" operator="equal">
      <formula>"Indeferido"</formula>
    </cfRule>
  </conditionalFormatting>
  <conditionalFormatting sqref="Q588">
    <cfRule type="containsText" dxfId="7926" priority="6250" operator="containsText" text="Cancelado">
      <formula>NOT(ISERROR(SEARCH("Cancelado",Q588)))</formula>
    </cfRule>
  </conditionalFormatting>
  <conditionalFormatting sqref="S588">
    <cfRule type="cellIs" dxfId="7925" priority="6247" operator="equal">
      <formula>"Tramitando"</formula>
    </cfRule>
    <cfRule type="cellIs" dxfId="7924" priority="6248" operator="equal">
      <formula>"Deferido"</formula>
    </cfRule>
    <cfRule type="cellIs" dxfId="7923" priority="6249" operator="equal">
      <formula>"Indeferido"</formula>
    </cfRule>
  </conditionalFormatting>
  <conditionalFormatting sqref="S588">
    <cfRule type="containsText" dxfId="7922" priority="6246" operator="containsText" text="Cancelado">
      <formula>NOT(ISERROR(SEARCH("Cancelado",S588)))</formula>
    </cfRule>
  </conditionalFormatting>
  <conditionalFormatting sqref="J589">
    <cfRule type="cellIs" dxfId="7921" priority="6242" operator="equal">
      <formula>"Tramitando"</formula>
    </cfRule>
    <cfRule type="cellIs" dxfId="7920" priority="6243" operator="equal">
      <formula>"Deferido"</formula>
    </cfRule>
    <cfRule type="cellIs" dxfId="7919" priority="6244" operator="equal">
      <formula>"Indeferido"</formula>
    </cfRule>
  </conditionalFormatting>
  <conditionalFormatting sqref="J589">
    <cfRule type="containsText" dxfId="7918" priority="6241" operator="containsText" text="Cancelado">
      <formula>NOT(ISERROR(SEARCH("Cancelado",J589)))</formula>
    </cfRule>
  </conditionalFormatting>
  <conditionalFormatting sqref="M589">
    <cfRule type="cellIs" dxfId="7917" priority="6238" operator="equal">
      <formula>"Tramitando"</formula>
    </cfRule>
    <cfRule type="cellIs" dxfId="7916" priority="6239" operator="equal">
      <formula>"Deferido"</formula>
    </cfRule>
    <cfRule type="cellIs" dxfId="7915" priority="6240" operator="equal">
      <formula>"Indeferido"</formula>
    </cfRule>
  </conditionalFormatting>
  <conditionalFormatting sqref="M589">
    <cfRule type="containsText" dxfId="7914" priority="6237" operator="containsText" text="Cancelado">
      <formula>NOT(ISERROR(SEARCH("Cancelado",M589)))</formula>
    </cfRule>
  </conditionalFormatting>
  <conditionalFormatting sqref="O589">
    <cfRule type="cellIs" dxfId="7913" priority="6234" operator="equal">
      <formula>"Tramitando"</formula>
    </cfRule>
    <cfRule type="cellIs" dxfId="7912" priority="6235" operator="equal">
      <formula>"Deferido"</formula>
    </cfRule>
    <cfRule type="cellIs" dxfId="7911" priority="6236" operator="equal">
      <formula>"Indeferido"</formula>
    </cfRule>
  </conditionalFormatting>
  <conditionalFormatting sqref="O589">
    <cfRule type="containsText" dxfId="7910" priority="6233" operator="containsText" text="Cancelado">
      <formula>NOT(ISERROR(SEARCH("Cancelado",O589)))</formula>
    </cfRule>
  </conditionalFormatting>
  <conditionalFormatting sqref="Q589">
    <cfRule type="cellIs" dxfId="7909" priority="6230" operator="equal">
      <formula>"Tramitando"</formula>
    </cfRule>
    <cfRule type="cellIs" dxfId="7908" priority="6231" operator="equal">
      <formula>"Deferido"</formula>
    </cfRule>
    <cfRule type="cellIs" dxfId="7907" priority="6232" operator="equal">
      <formula>"Indeferido"</formula>
    </cfRule>
  </conditionalFormatting>
  <conditionalFormatting sqref="Q589">
    <cfRule type="containsText" dxfId="7906" priority="6229" operator="containsText" text="Cancelado">
      <formula>NOT(ISERROR(SEARCH("Cancelado",Q589)))</formula>
    </cfRule>
  </conditionalFormatting>
  <conditionalFormatting sqref="S589">
    <cfRule type="cellIs" dxfId="7905" priority="6226" operator="equal">
      <formula>"Tramitando"</formula>
    </cfRule>
    <cfRule type="cellIs" dxfId="7904" priority="6227" operator="equal">
      <formula>"Deferido"</formula>
    </cfRule>
    <cfRule type="cellIs" dxfId="7903" priority="6228" operator="equal">
      <formula>"Indeferido"</formula>
    </cfRule>
  </conditionalFormatting>
  <conditionalFormatting sqref="S589">
    <cfRule type="containsText" dxfId="7902" priority="6225" operator="containsText" text="Cancelado">
      <formula>NOT(ISERROR(SEARCH("Cancelado",S589)))</formula>
    </cfRule>
  </conditionalFormatting>
  <conditionalFormatting sqref="J590">
    <cfRule type="cellIs" dxfId="7901" priority="6221" operator="equal">
      <formula>"Tramitando"</formula>
    </cfRule>
    <cfRule type="cellIs" dxfId="7900" priority="6222" operator="equal">
      <formula>"Deferido"</formula>
    </cfRule>
    <cfRule type="cellIs" dxfId="7899" priority="6223" operator="equal">
      <formula>"Indeferido"</formula>
    </cfRule>
  </conditionalFormatting>
  <conditionalFormatting sqref="J590">
    <cfRule type="containsText" dxfId="7898" priority="6220" operator="containsText" text="Cancelado">
      <formula>NOT(ISERROR(SEARCH("Cancelado",J590)))</formula>
    </cfRule>
  </conditionalFormatting>
  <conditionalFormatting sqref="M590">
    <cfRule type="cellIs" dxfId="7897" priority="6217" operator="equal">
      <formula>"Tramitando"</formula>
    </cfRule>
    <cfRule type="cellIs" dxfId="7896" priority="6218" operator="equal">
      <formula>"Deferido"</formula>
    </cfRule>
    <cfRule type="cellIs" dxfId="7895" priority="6219" operator="equal">
      <formula>"Indeferido"</formula>
    </cfRule>
  </conditionalFormatting>
  <conditionalFormatting sqref="M590">
    <cfRule type="containsText" dxfId="7894" priority="6216" operator="containsText" text="Cancelado">
      <formula>NOT(ISERROR(SEARCH("Cancelado",M590)))</formula>
    </cfRule>
  </conditionalFormatting>
  <conditionalFormatting sqref="O590">
    <cfRule type="cellIs" dxfId="7893" priority="6213" operator="equal">
      <formula>"Tramitando"</formula>
    </cfRule>
    <cfRule type="cellIs" dxfId="7892" priority="6214" operator="equal">
      <formula>"Deferido"</formula>
    </cfRule>
    <cfRule type="cellIs" dxfId="7891" priority="6215" operator="equal">
      <formula>"Indeferido"</formula>
    </cfRule>
  </conditionalFormatting>
  <conditionalFormatting sqref="O590">
    <cfRule type="containsText" dxfId="7890" priority="6212" operator="containsText" text="Cancelado">
      <formula>NOT(ISERROR(SEARCH("Cancelado",O590)))</formula>
    </cfRule>
  </conditionalFormatting>
  <conditionalFormatting sqref="Q590">
    <cfRule type="cellIs" dxfId="7889" priority="6209" operator="equal">
      <formula>"Tramitando"</formula>
    </cfRule>
    <cfRule type="cellIs" dxfId="7888" priority="6210" operator="equal">
      <formula>"Deferido"</formula>
    </cfRule>
    <cfRule type="cellIs" dxfId="7887" priority="6211" operator="equal">
      <formula>"Indeferido"</formula>
    </cfRule>
  </conditionalFormatting>
  <conditionalFormatting sqref="Q590">
    <cfRule type="containsText" dxfId="7886" priority="6208" operator="containsText" text="Cancelado">
      <formula>NOT(ISERROR(SEARCH("Cancelado",Q590)))</formula>
    </cfRule>
  </conditionalFormatting>
  <conditionalFormatting sqref="S590">
    <cfRule type="cellIs" dxfId="7885" priority="6205" operator="equal">
      <formula>"Tramitando"</formula>
    </cfRule>
    <cfRule type="cellIs" dxfId="7884" priority="6206" operator="equal">
      <formula>"Deferido"</formula>
    </cfRule>
    <cfRule type="cellIs" dxfId="7883" priority="6207" operator="equal">
      <formula>"Indeferido"</formula>
    </cfRule>
  </conditionalFormatting>
  <conditionalFormatting sqref="S590">
    <cfRule type="containsText" dxfId="7882" priority="6204" operator="containsText" text="Cancelado">
      <formula>NOT(ISERROR(SEARCH("Cancelado",S590)))</formula>
    </cfRule>
  </conditionalFormatting>
  <conditionalFormatting sqref="J591">
    <cfRule type="cellIs" dxfId="7881" priority="6200" operator="equal">
      <formula>"Tramitando"</formula>
    </cfRule>
    <cfRule type="cellIs" dxfId="7880" priority="6201" operator="equal">
      <formula>"Deferido"</formula>
    </cfRule>
    <cfRule type="cellIs" dxfId="7879" priority="6202" operator="equal">
      <formula>"Indeferido"</formula>
    </cfRule>
  </conditionalFormatting>
  <conditionalFormatting sqref="J591">
    <cfRule type="containsText" dxfId="7878" priority="6199" operator="containsText" text="Cancelado">
      <formula>NOT(ISERROR(SEARCH("Cancelado",J591)))</formula>
    </cfRule>
  </conditionalFormatting>
  <conditionalFormatting sqref="M591">
    <cfRule type="cellIs" dxfId="7877" priority="6196" operator="equal">
      <formula>"Tramitando"</formula>
    </cfRule>
    <cfRule type="cellIs" dxfId="7876" priority="6197" operator="equal">
      <formula>"Deferido"</formula>
    </cfRule>
    <cfRule type="cellIs" dxfId="7875" priority="6198" operator="equal">
      <formula>"Indeferido"</formula>
    </cfRule>
  </conditionalFormatting>
  <conditionalFormatting sqref="M591">
    <cfRule type="containsText" dxfId="7874" priority="6195" operator="containsText" text="Cancelado">
      <formula>NOT(ISERROR(SEARCH("Cancelado",M591)))</formula>
    </cfRule>
  </conditionalFormatting>
  <conditionalFormatting sqref="O591">
    <cfRule type="cellIs" dxfId="7873" priority="6192" operator="equal">
      <formula>"Tramitando"</formula>
    </cfRule>
    <cfRule type="cellIs" dxfId="7872" priority="6193" operator="equal">
      <formula>"Deferido"</formula>
    </cfRule>
    <cfRule type="cellIs" dxfId="7871" priority="6194" operator="equal">
      <formula>"Indeferido"</formula>
    </cfRule>
  </conditionalFormatting>
  <conditionalFormatting sqref="O591">
    <cfRule type="containsText" dxfId="7870" priority="6191" operator="containsText" text="Cancelado">
      <formula>NOT(ISERROR(SEARCH("Cancelado",O591)))</formula>
    </cfRule>
  </conditionalFormatting>
  <conditionalFormatting sqref="Q591">
    <cfRule type="cellIs" dxfId="7869" priority="6188" operator="equal">
      <formula>"Tramitando"</formula>
    </cfRule>
    <cfRule type="cellIs" dxfId="7868" priority="6189" operator="equal">
      <formula>"Deferido"</formula>
    </cfRule>
    <cfRule type="cellIs" dxfId="7867" priority="6190" operator="equal">
      <formula>"Indeferido"</formula>
    </cfRule>
  </conditionalFormatting>
  <conditionalFormatting sqref="Q591">
    <cfRule type="containsText" dxfId="7866" priority="6187" operator="containsText" text="Cancelado">
      <formula>NOT(ISERROR(SEARCH("Cancelado",Q591)))</formula>
    </cfRule>
  </conditionalFormatting>
  <conditionalFormatting sqref="S591">
    <cfRule type="cellIs" dxfId="7865" priority="6184" operator="equal">
      <formula>"Tramitando"</formula>
    </cfRule>
    <cfRule type="cellIs" dxfId="7864" priority="6185" operator="equal">
      <formula>"Deferido"</formula>
    </cfRule>
    <cfRule type="cellIs" dxfId="7863" priority="6186" operator="equal">
      <formula>"Indeferido"</formula>
    </cfRule>
  </conditionalFormatting>
  <conditionalFormatting sqref="S591">
    <cfRule type="containsText" dxfId="7862" priority="6183" operator="containsText" text="Cancelado">
      <formula>NOT(ISERROR(SEARCH("Cancelado",S591)))</formula>
    </cfRule>
  </conditionalFormatting>
  <conditionalFormatting sqref="J592">
    <cfRule type="cellIs" dxfId="7861" priority="6179" operator="equal">
      <formula>"Tramitando"</formula>
    </cfRule>
    <cfRule type="cellIs" dxfId="7860" priority="6180" operator="equal">
      <formula>"Deferido"</formula>
    </cfRule>
    <cfRule type="cellIs" dxfId="7859" priority="6181" operator="equal">
      <formula>"Indeferido"</formula>
    </cfRule>
  </conditionalFormatting>
  <conditionalFormatting sqref="J592">
    <cfRule type="containsText" dxfId="7858" priority="6178" operator="containsText" text="Cancelado">
      <formula>NOT(ISERROR(SEARCH("Cancelado",J592)))</formula>
    </cfRule>
  </conditionalFormatting>
  <conditionalFormatting sqref="M592">
    <cfRule type="cellIs" dxfId="7857" priority="6175" operator="equal">
      <formula>"Tramitando"</formula>
    </cfRule>
    <cfRule type="cellIs" dxfId="7856" priority="6176" operator="equal">
      <formula>"Deferido"</formula>
    </cfRule>
    <cfRule type="cellIs" dxfId="7855" priority="6177" operator="equal">
      <formula>"Indeferido"</formula>
    </cfRule>
  </conditionalFormatting>
  <conditionalFormatting sqref="M592">
    <cfRule type="containsText" dxfId="7854" priority="6174" operator="containsText" text="Cancelado">
      <formula>NOT(ISERROR(SEARCH("Cancelado",M592)))</formula>
    </cfRule>
  </conditionalFormatting>
  <conditionalFormatting sqref="O592">
    <cfRule type="cellIs" dxfId="7853" priority="6171" operator="equal">
      <formula>"Tramitando"</formula>
    </cfRule>
    <cfRule type="cellIs" dxfId="7852" priority="6172" operator="equal">
      <formula>"Deferido"</formula>
    </cfRule>
    <cfRule type="cellIs" dxfId="7851" priority="6173" operator="equal">
      <formula>"Indeferido"</formula>
    </cfRule>
  </conditionalFormatting>
  <conditionalFormatting sqref="O592">
    <cfRule type="containsText" dxfId="7850" priority="6170" operator="containsText" text="Cancelado">
      <formula>NOT(ISERROR(SEARCH("Cancelado",O592)))</formula>
    </cfRule>
  </conditionalFormatting>
  <conditionalFormatting sqref="Q592">
    <cfRule type="cellIs" dxfId="7849" priority="6167" operator="equal">
      <formula>"Tramitando"</formula>
    </cfRule>
    <cfRule type="cellIs" dxfId="7848" priority="6168" operator="equal">
      <formula>"Deferido"</formula>
    </cfRule>
    <cfRule type="cellIs" dxfId="7847" priority="6169" operator="equal">
      <formula>"Indeferido"</formula>
    </cfRule>
  </conditionalFormatting>
  <conditionalFormatting sqref="Q592">
    <cfRule type="containsText" dxfId="7846" priority="6166" operator="containsText" text="Cancelado">
      <formula>NOT(ISERROR(SEARCH("Cancelado",Q592)))</formula>
    </cfRule>
  </conditionalFormatting>
  <conditionalFormatting sqref="S592">
    <cfRule type="cellIs" dxfId="7845" priority="6163" operator="equal">
      <formula>"Tramitando"</formula>
    </cfRule>
    <cfRule type="cellIs" dxfId="7844" priority="6164" operator="equal">
      <formula>"Deferido"</formula>
    </cfRule>
    <cfRule type="cellIs" dxfId="7843" priority="6165" operator="equal">
      <formula>"Indeferido"</formula>
    </cfRule>
  </conditionalFormatting>
  <conditionalFormatting sqref="S592">
    <cfRule type="containsText" dxfId="7842" priority="6162" operator="containsText" text="Cancelado">
      <formula>NOT(ISERROR(SEARCH("Cancelado",S592)))</formula>
    </cfRule>
  </conditionalFormatting>
  <conditionalFormatting sqref="J593">
    <cfRule type="cellIs" dxfId="7841" priority="6158" operator="equal">
      <formula>"Tramitando"</formula>
    </cfRule>
    <cfRule type="cellIs" dxfId="7840" priority="6159" operator="equal">
      <formula>"Deferido"</formula>
    </cfRule>
    <cfRule type="cellIs" dxfId="7839" priority="6160" operator="equal">
      <formula>"Indeferido"</formula>
    </cfRule>
  </conditionalFormatting>
  <conditionalFormatting sqref="J593">
    <cfRule type="containsText" dxfId="7838" priority="6157" operator="containsText" text="Cancelado">
      <formula>NOT(ISERROR(SEARCH("Cancelado",J593)))</formula>
    </cfRule>
  </conditionalFormatting>
  <conditionalFormatting sqref="M593">
    <cfRule type="cellIs" dxfId="7837" priority="6154" operator="equal">
      <formula>"Tramitando"</formula>
    </cfRule>
    <cfRule type="cellIs" dxfId="7836" priority="6155" operator="equal">
      <formula>"Deferido"</formula>
    </cfRule>
    <cfRule type="cellIs" dxfId="7835" priority="6156" operator="equal">
      <formula>"Indeferido"</formula>
    </cfRule>
  </conditionalFormatting>
  <conditionalFormatting sqref="M593">
    <cfRule type="containsText" dxfId="7834" priority="6153" operator="containsText" text="Cancelado">
      <formula>NOT(ISERROR(SEARCH("Cancelado",M593)))</formula>
    </cfRule>
  </conditionalFormatting>
  <conditionalFormatting sqref="O593">
    <cfRule type="cellIs" dxfId="7833" priority="6150" operator="equal">
      <formula>"Tramitando"</formula>
    </cfRule>
    <cfRule type="cellIs" dxfId="7832" priority="6151" operator="equal">
      <formula>"Deferido"</formula>
    </cfRule>
    <cfRule type="cellIs" dxfId="7831" priority="6152" operator="equal">
      <formula>"Indeferido"</formula>
    </cfRule>
  </conditionalFormatting>
  <conditionalFormatting sqref="O593">
    <cfRule type="containsText" dxfId="7830" priority="6149" operator="containsText" text="Cancelado">
      <formula>NOT(ISERROR(SEARCH("Cancelado",O593)))</formula>
    </cfRule>
  </conditionalFormatting>
  <conditionalFormatting sqref="Q593">
    <cfRule type="cellIs" dxfId="7829" priority="6146" operator="equal">
      <formula>"Tramitando"</formula>
    </cfRule>
    <cfRule type="cellIs" dxfId="7828" priority="6147" operator="equal">
      <formula>"Deferido"</formula>
    </cfRule>
    <cfRule type="cellIs" dxfId="7827" priority="6148" operator="equal">
      <formula>"Indeferido"</formula>
    </cfRule>
  </conditionalFormatting>
  <conditionalFormatting sqref="Q593">
    <cfRule type="containsText" dxfId="7826" priority="6145" operator="containsText" text="Cancelado">
      <formula>NOT(ISERROR(SEARCH("Cancelado",Q593)))</formula>
    </cfRule>
  </conditionalFormatting>
  <conditionalFormatting sqref="S593">
    <cfRule type="cellIs" dxfId="7825" priority="6142" operator="equal">
      <formula>"Tramitando"</formula>
    </cfRule>
    <cfRule type="cellIs" dxfId="7824" priority="6143" operator="equal">
      <formula>"Deferido"</formula>
    </cfRule>
    <cfRule type="cellIs" dxfId="7823" priority="6144" operator="equal">
      <formula>"Indeferido"</formula>
    </cfRule>
  </conditionalFormatting>
  <conditionalFormatting sqref="S593">
    <cfRule type="containsText" dxfId="7822" priority="6141" operator="containsText" text="Cancelado">
      <formula>NOT(ISERROR(SEARCH("Cancelado",S593)))</formula>
    </cfRule>
  </conditionalFormatting>
  <conditionalFormatting sqref="J594">
    <cfRule type="cellIs" dxfId="7821" priority="6137" operator="equal">
      <formula>"Tramitando"</formula>
    </cfRule>
    <cfRule type="cellIs" dxfId="7820" priority="6138" operator="equal">
      <formula>"Deferido"</formula>
    </cfRule>
    <cfRule type="cellIs" dxfId="7819" priority="6139" operator="equal">
      <formula>"Indeferido"</formula>
    </cfRule>
  </conditionalFormatting>
  <conditionalFormatting sqref="J594">
    <cfRule type="containsText" dxfId="7818" priority="6136" operator="containsText" text="Cancelado">
      <formula>NOT(ISERROR(SEARCH("Cancelado",J594)))</formula>
    </cfRule>
  </conditionalFormatting>
  <conditionalFormatting sqref="M594">
    <cfRule type="cellIs" dxfId="7817" priority="6133" operator="equal">
      <formula>"Tramitando"</formula>
    </cfRule>
    <cfRule type="cellIs" dxfId="7816" priority="6134" operator="equal">
      <formula>"Deferido"</formula>
    </cfRule>
    <cfRule type="cellIs" dxfId="7815" priority="6135" operator="equal">
      <formula>"Indeferido"</formula>
    </cfRule>
  </conditionalFormatting>
  <conditionalFormatting sqref="M594">
    <cfRule type="containsText" dxfId="7814" priority="6132" operator="containsText" text="Cancelado">
      <formula>NOT(ISERROR(SEARCH("Cancelado",M594)))</formula>
    </cfRule>
  </conditionalFormatting>
  <conditionalFormatting sqref="O594">
    <cfRule type="cellIs" dxfId="7813" priority="6129" operator="equal">
      <formula>"Tramitando"</formula>
    </cfRule>
    <cfRule type="cellIs" dxfId="7812" priority="6130" operator="equal">
      <formula>"Deferido"</formula>
    </cfRule>
    <cfRule type="cellIs" dxfId="7811" priority="6131" operator="equal">
      <formula>"Indeferido"</formula>
    </cfRule>
  </conditionalFormatting>
  <conditionalFormatting sqref="O594">
    <cfRule type="containsText" dxfId="7810" priority="6128" operator="containsText" text="Cancelado">
      <formula>NOT(ISERROR(SEARCH("Cancelado",O594)))</formula>
    </cfRule>
  </conditionalFormatting>
  <conditionalFormatting sqref="Q594">
    <cfRule type="cellIs" dxfId="7809" priority="6125" operator="equal">
      <formula>"Tramitando"</formula>
    </cfRule>
    <cfRule type="cellIs" dxfId="7808" priority="6126" operator="equal">
      <formula>"Deferido"</formula>
    </cfRule>
    <cfRule type="cellIs" dxfId="7807" priority="6127" operator="equal">
      <formula>"Indeferido"</formula>
    </cfRule>
  </conditionalFormatting>
  <conditionalFormatting sqref="Q594">
    <cfRule type="containsText" dxfId="7806" priority="6124" operator="containsText" text="Cancelado">
      <formula>NOT(ISERROR(SEARCH("Cancelado",Q594)))</formula>
    </cfRule>
  </conditionalFormatting>
  <conditionalFormatting sqref="S594">
    <cfRule type="cellIs" dxfId="7805" priority="6121" operator="equal">
      <formula>"Tramitando"</formula>
    </cfRule>
    <cfRule type="cellIs" dxfId="7804" priority="6122" operator="equal">
      <formula>"Deferido"</formula>
    </cfRule>
    <cfRule type="cellIs" dxfId="7803" priority="6123" operator="equal">
      <formula>"Indeferido"</formula>
    </cfRule>
  </conditionalFormatting>
  <conditionalFormatting sqref="S594">
    <cfRule type="containsText" dxfId="7802" priority="6120" operator="containsText" text="Cancelado">
      <formula>NOT(ISERROR(SEARCH("Cancelado",S594)))</formula>
    </cfRule>
  </conditionalFormatting>
  <conditionalFormatting sqref="J595">
    <cfRule type="cellIs" dxfId="7801" priority="6116" operator="equal">
      <formula>"Tramitando"</formula>
    </cfRule>
    <cfRule type="cellIs" dxfId="7800" priority="6117" operator="equal">
      <formula>"Deferido"</formula>
    </cfRule>
    <cfRule type="cellIs" dxfId="7799" priority="6118" operator="equal">
      <formula>"Indeferido"</formula>
    </cfRule>
  </conditionalFormatting>
  <conditionalFormatting sqref="J595">
    <cfRule type="containsText" dxfId="7798" priority="6115" operator="containsText" text="Cancelado">
      <formula>NOT(ISERROR(SEARCH("Cancelado",J595)))</formula>
    </cfRule>
  </conditionalFormatting>
  <conditionalFormatting sqref="M595">
    <cfRule type="cellIs" dxfId="7797" priority="6112" operator="equal">
      <formula>"Tramitando"</formula>
    </cfRule>
    <cfRule type="cellIs" dxfId="7796" priority="6113" operator="equal">
      <formula>"Deferido"</formula>
    </cfRule>
    <cfRule type="cellIs" dxfId="7795" priority="6114" operator="equal">
      <formula>"Indeferido"</formula>
    </cfRule>
  </conditionalFormatting>
  <conditionalFormatting sqref="M595">
    <cfRule type="containsText" dxfId="7794" priority="6111" operator="containsText" text="Cancelado">
      <formula>NOT(ISERROR(SEARCH("Cancelado",M595)))</formula>
    </cfRule>
  </conditionalFormatting>
  <conditionalFormatting sqref="O595">
    <cfRule type="cellIs" dxfId="7793" priority="6108" operator="equal">
      <formula>"Tramitando"</formula>
    </cfRule>
    <cfRule type="cellIs" dxfId="7792" priority="6109" operator="equal">
      <formula>"Deferido"</formula>
    </cfRule>
    <cfRule type="cellIs" dxfId="7791" priority="6110" operator="equal">
      <formula>"Indeferido"</formula>
    </cfRule>
  </conditionalFormatting>
  <conditionalFormatting sqref="O595">
    <cfRule type="containsText" dxfId="7790" priority="6107" operator="containsText" text="Cancelado">
      <formula>NOT(ISERROR(SEARCH("Cancelado",O595)))</formula>
    </cfRule>
  </conditionalFormatting>
  <conditionalFormatting sqref="Q595">
    <cfRule type="cellIs" dxfId="7789" priority="6104" operator="equal">
      <formula>"Tramitando"</formula>
    </cfRule>
    <cfRule type="cellIs" dxfId="7788" priority="6105" operator="equal">
      <formula>"Deferido"</formula>
    </cfRule>
    <cfRule type="cellIs" dxfId="7787" priority="6106" operator="equal">
      <formula>"Indeferido"</formula>
    </cfRule>
  </conditionalFormatting>
  <conditionalFormatting sqref="Q595">
    <cfRule type="containsText" dxfId="7786" priority="6103" operator="containsText" text="Cancelado">
      <formula>NOT(ISERROR(SEARCH("Cancelado",Q595)))</formula>
    </cfRule>
  </conditionalFormatting>
  <conditionalFormatting sqref="S595">
    <cfRule type="cellIs" dxfId="7785" priority="6100" operator="equal">
      <formula>"Tramitando"</formula>
    </cfRule>
    <cfRule type="cellIs" dxfId="7784" priority="6101" operator="equal">
      <formula>"Deferido"</formula>
    </cfRule>
    <cfRule type="cellIs" dxfId="7783" priority="6102" operator="equal">
      <formula>"Indeferido"</formula>
    </cfRule>
  </conditionalFormatting>
  <conditionalFormatting sqref="S595">
    <cfRule type="containsText" dxfId="7782" priority="6099" operator="containsText" text="Cancelado">
      <formula>NOT(ISERROR(SEARCH("Cancelado",S595)))</formula>
    </cfRule>
  </conditionalFormatting>
  <conditionalFormatting sqref="J596">
    <cfRule type="cellIs" dxfId="7781" priority="6095" operator="equal">
      <formula>"Tramitando"</formula>
    </cfRule>
    <cfRule type="cellIs" dxfId="7780" priority="6096" operator="equal">
      <formula>"Deferido"</formula>
    </cfRule>
    <cfRule type="cellIs" dxfId="7779" priority="6097" operator="equal">
      <formula>"Indeferido"</formula>
    </cfRule>
  </conditionalFormatting>
  <conditionalFormatting sqref="J596">
    <cfRule type="containsText" dxfId="7778" priority="6094" operator="containsText" text="Cancelado">
      <formula>NOT(ISERROR(SEARCH("Cancelado",J596)))</formula>
    </cfRule>
  </conditionalFormatting>
  <conditionalFormatting sqref="M596">
    <cfRule type="cellIs" dxfId="7777" priority="6091" operator="equal">
      <formula>"Tramitando"</formula>
    </cfRule>
    <cfRule type="cellIs" dxfId="7776" priority="6092" operator="equal">
      <formula>"Deferido"</formula>
    </cfRule>
    <cfRule type="cellIs" dxfId="7775" priority="6093" operator="equal">
      <formula>"Indeferido"</formula>
    </cfRule>
  </conditionalFormatting>
  <conditionalFormatting sqref="M596">
    <cfRule type="containsText" dxfId="7774" priority="6090" operator="containsText" text="Cancelado">
      <formula>NOT(ISERROR(SEARCH("Cancelado",M596)))</formula>
    </cfRule>
  </conditionalFormatting>
  <conditionalFormatting sqref="O596">
    <cfRule type="cellIs" dxfId="7773" priority="6087" operator="equal">
      <formula>"Tramitando"</formula>
    </cfRule>
    <cfRule type="cellIs" dxfId="7772" priority="6088" operator="equal">
      <formula>"Deferido"</formula>
    </cfRule>
    <cfRule type="cellIs" dxfId="7771" priority="6089" operator="equal">
      <formula>"Indeferido"</formula>
    </cfRule>
  </conditionalFormatting>
  <conditionalFormatting sqref="O596">
    <cfRule type="containsText" dxfId="7770" priority="6086" operator="containsText" text="Cancelado">
      <formula>NOT(ISERROR(SEARCH("Cancelado",O596)))</formula>
    </cfRule>
  </conditionalFormatting>
  <conditionalFormatting sqref="Q596">
    <cfRule type="cellIs" dxfId="7769" priority="6083" operator="equal">
      <formula>"Tramitando"</formula>
    </cfRule>
    <cfRule type="cellIs" dxfId="7768" priority="6084" operator="equal">
      <formula>"Deferido"</formula>
    </cfRule>
    <cfRule type="cellIs" dxfId="7767" priority="6085" operator="equal">
      <formula>"Indeferido"</formula>
    </cfRule>
  </conditionalFormatting>
  <conditionalFormatting sqref="Q596">
    <cfRule type="containsText" dxfId="7766" priority="6082" operator="containsText" text="Cancelado">
      <formula>NOT(ISERROR(SEARCH("Cancelado",Q596)))</formula>
    </cfRule>
  </conditionalFormatting>
  <conditionalFormatting sqref="S596">
    <cfRule type="cellIs" dxfId="7765" priority="6079" operator="equal">
      <formula>"Tramitando"</formula>
    </cfRule>
    <cfRule type="cellIs" dxfId="7764" priority="6080" operator="equal">
      <formula>"Deferido"</formula>
    </cfRule>
    <cfRule type="cellIs" dxfId="7763" priority="6081" operator="equal">
      <formula>"Indeferido"</formula>
    </cfRule>
  </conditionalFormatting>
  <conditionalFormatting sqref="S596">
    <cfRule type="containsText" dxfId="7762" priority="6078" operator="containsText" text="Cancelado">
      <formula>NOT(ISERROR(SEARCH("Cancelado",S596)))</formula>
    </cfRule>
  </conditionalFormatting>
  <conditionalFormatting sqref="J597">
    <cfRule type="cellIs" dxfId="7761" priority="6074" operator="equal">
      <formula>"Tramitando"</formula>
    </cfRule>
    <cfRule type="cellIs" dxfId="7760" priority="6075" operator="equal">
      <formula>"Deferido"</formula>
    </cfRule>
    <cfRule type="cellIs" dxfId="7759" priority="6076" operator="equal">
      <formula>"Indeferido"</formula>
    </cfRule>
  </conditionalFormatting>
  <conditionalFormatting sqref="J597">
    <cfRule type="containsText" dxfId="7758" priority="6073" operator="containsText" text="Cancelado">
      <formula>NOT(ISERROR(SEARCH("Cancelado",J597)))</formula>
    </cfRule>
  </conditionalFormatting>
  <conditionalFormatting sqref="M597">
    <cfRule type="cellIs" dxfId="7757" priority="6070" operator="equal">
      <formula>"Tramitando"</formula>
    </cfRule>
    <cfRule type="cellIs" dxfId="7756" priority="6071" operator="equal">
      <formula>"Deferido"</formula>
    </cfRule>
    <cfRule type="cellIs" dxfId="7755" priority="6072" operator="equal">
      <formula>"Indeferido"</formula>
    </cfRule>
  </conditionalFormatting>
  <conditionalFormatting sqref="M597">
    <cfRule type="containsText" dxfId="7754" priority="6069" operator="containsText" text="Cancelado">
      <formula>NOT(ISERROR(SEARCH("Cancelado",M597)))</formula>
    </cfRule>
  </conditionalFormatting>
  <conditionalFormatting sqref="O597">
    <cfRule type="cellIs" dxfId="7753" priority="6066" operator="equal">
      <formula>"Tramitando"</formula>
    </cfRule>
    <cfRule type="cellIs" dxfId="7752" priority="6067" operator="equal">
      <formula>"Deferido"</formula>
    </cfRule>
    <cfRule type="cellIs" dxfId="7751" priority="6068" operator="equal">
      <formula>"Indeferido"</formula>
    </cfRule>
  </conditionalFormatting>
  <conditionalFormatting sqref="O597">
    <cfRule type="containsText" dxfId="7750" priority="6065" operator="containsText" text="Cancelado">
      <formula>NOT(ISERROR(SEARCH("Cancelado",O597)))</formula>
    </cfRule>
  </conditionalFormatting>
  <conditionalFormatting sqref="Q597">
    <cfRule type="cellIs" dxfId="7749" priority="6062" operator="equal">
      <formula>"Tramitando"</formula>
    </cfRule>
    <cfRule type="cellIs" dxfId="7748" priority="6063" operator="equal">
      <formula>"Deferido"</formula>
    </cfRule>
    <cfRule type="cellIs" dxfId="7747" priority="6064" operator="equal">
      <formula>"Indeferido"</formula>
    </cfRule>
  </conditionalFormatting>
  <conditionalFormatting sqref="Q597">
    <cfRule type="containsText" dxfId="7746" priority="6061" operator="containsText" text="Cancelado">
      <formula>NOT(ISERROR(SEARCH("Cancelado",Q597)))</formula>
    </cfRule>
  </conditionalFormatting>
  <conditionalFormatting sqref="S597">
    <cfRule type="cellIs" dxfId="7745" priority="6058" operator="equal">
      <formula>"Tramitando"</formula>
    </cfRule>
    <cfRule type="cellIs" dxfId="7744" priority="6059" operator="equal">
      <formula>"Deferido"</formula>
    </cfRule>
    <cfRule type="cellIs" dxfId="7743" priority="6060" operator="equal">
      <formula>"Indeferido"</formula>
    </cfRule>
  </conditionalFormatting>
  <conditionalFormatting sqref="S597">
    <cfRule type="containsText" dxfId="7742" priority="6057" operator="containsText" text="Cancelado">
      <formula>NOT(ISERROR(SEARCH("Cancelado",S597)))</formula>
    </cfRule>
  </conditionalFormatting>
  <conditionalFormatting sqref="J598">
    <cfRule type="cellIs" dxfId="7741" priority="6053" operator="equal">
      <formula>"Tramitando"</formula>
    </cfRule>
    <cfRule type="cellIs" dxfId="7740" priority="6054" operator="equal">
      <formula>"Deferido"</formula>
    </cfRule>
    <cfRule type="cellIs" dxfId="7739" priority="6055" operator="equal">
      <formula>"Indeferido"</formula>
    </cfRule>
  </conditionalFormatting>
  <conditionalFormatting sqref="J598">
    <cfRule type="containsText" dxfId="7738" priority="6052" operator="containsText" text="Cancelado">
      <formula>NOT(ISERROR(SEARCH("Cancelado",J598)))</formula>
    </cfRule>
  </conditionalFormatting>
  <conditionalFormatting sqref="M598">
    <cfRule type="cellIs" dxfId="7737" priority="6049" operator="equal">
      <formula>"Tramitando"</formula>
    </cfRule>
    <cfRule type="cellIs" dxfId="7736" priority="6050" operator="equal">
      <formula>"Deferido"</formula>
    </cfRule>
    <cfRule type="cellIs" dxfId="7735" priority="6051" operator="equal">
      <formula>"Indeferido"</formula>
    </cfRule>
  </conditionalFormatting>
  <conditionalFormatting sqref="M598">
    <cfRule type="containsText" dxfId="7734" priority="6048" operator="containsText" text="Cancelado">
      <formula>NOT(ISERROR(SEARCH("Cancelado",M598)))</formula>
    </cfRule>
  </conditionalFormatting>
  <conditionalFormatting sqref="O598">
    <cfRule type="cellIs" dxfId="7733" priority="6045" operator="equal">
      <formula>"Tramitando"</formula>
    </cfRule>
    <cfRule type="cellIs" dxfId="7732" priority="6046" operator="equal">
      <formula>"Deferido"</formula>
    </cfRule>
    <cfRule type="cellIs" dxfId="7731" priority="6047" operator="equal">
      <formula>"Indeferido"</formula>
    </cfRule>
  </conditionalFormatting>
  <conditionalFormatting sqref="O598">
    <cfRule type="containsText" dxfId="7730" priority="6044" operator="containsText" text="Cancelado">
      <formula>NOT(ISERROR(SEARCH("Cancelado",O598)))</formula>
    </cfRule>
  </conditionalFormatting>
  <conditionalFormatting sqref="Q598">
    <cfRule type="cellIs" dxfId="7729" priority="6041" operator="equal">
      <formula>"Tramitando"</formula>
    </cfRule>
    <cfRule type="cellIs" dxfId="7728" priority="6042" operator="equal">
      <formula>"Deferido"</formula>
    </cfRule>
    <cfRule type="cellIs" dxfId="7727" priority="6043" operator="equal">
      <formula>"Indeferido"</formula>
    </cfRule>
  </conditionalFormatting>
  <conditionalFormatting sqref="Q598">
    <cfRule type="containsText" dxfId="7726" priority="6040" operator="containsText" text="Cancelado">
      <formula>NOT(ISERROR(SEARCH("Cancelado",Q598)))</formula>
    </cfRule>
  </conditionalFormatting>
  <conditionalFormatting sqref="S598">
    <cfRule type="cellIs" dxfId="7725" priority="6037" operator="equal">
      <formula>"Tramitando"</formula>
    </cfRule>
    <cfRule type="cellIs" dxfId="7724" priority="6038" operator="equal">
      <formula>"Deferido"</formula>
    </cfRule>
    <cfRule type="cellIs" dxfId="7723" priority="6039" operator="equal">
      <formula>"Indeferido"</formula>
    </cfRule>
  </conditionalFormatting>
  <conditionalFormatting sqref="S598">
    <cfRule type="containsText" dxfId="7722" priority="6036" operator="containsText" text="Cancelado">
      <formula>NOT(ISERROR(SEARCH("Cancelado",S598)))</formula>
    </cfRule>
  </conditionalFormatting>
  <conditionalFormatting sqref="J599">
    <cfRule type="cellIs" dxfId="7721" priority="6032" operator="equal">
      <formula>"Tramitando"</formula>
    </cfRule>
    <cfRule type="cellIs" dxfId="7720" priority="6033" operator="equal">
      <formula>"Deferido"</formula>
    </cfRule>
    <cfRule type="cellIs" dxfId="7719" priority="6034" operator="equal">
      <formula>"Indeferido"</formula>
    </cfRule>
  </conditionalFormatting>
  <conditionalFormatting sqref="J599">
    <cfRule type="containsText" dxfId="7718" priority="6031" operator="containsText" text="Cancelado">
      <formula>NOT(ISERROR(SEARCH("Cancelado",J599)))</formula>
    </cfRule>
  </conditionalFormatting>
  <conditionalFormatting sqref="M599">
    <cfRule type="cellIs" dxfId="7717" priority="6028" operator="equal">
      <formula>"Tramitando"</formula>
    </cfRule>
    <cfRule type="cellIs" dxfId="7716" priority="6029" operator="equal">
      <formula>"Deferido"</formula>
    </cfRule>
    <cfRule type="cellIs" dxfId="7715" priority="6030" operator="equal">
      <formula>"Indeferido"</formula>
    </cfRule>
  </conditionalFormatting>
  <conditionalFormatting sqref="M599">
    <cfRule type="containsText" dxfId="7714" priority="6027" operator="containsText" text="Cancelado">
      <formula>NOT(ISERROR(SEARCH("Cancelado",M599)))</formula>
    </cfRule>
  </conditionalFormatting>
  <conditionalFormatting sqref="O599">
    <cfRule type="cellIs" dxfId="7713" priority="6024" operator="equal">
      <formula>"Tramitando"</formula>
    </cfRule>
    <cfRule type="cellIs" dxfId="7712" priority="6025" operator="equal">
      <formula>"Deferido"</formula>
    </cfRule>
    <cfRule type="cellIs" dxfId="7711" priority="6026" operator="equal">
      <formula>"Indeferido"</formula>
    </cfRule>
  </conditionalFormatting>
  <conditionalFormatting sqref="O599">
    <cfRule type="containsText" dxfId="7710" priority="6023" operator="containsText" text="Cancelado">
      <formula>NOT(ISERROR(SEARCH("Cancelado",O599)))</formula>
    </cfRule>
  </conditionalFormatting>
  <conditionalFormatting sqref="Q599">
    <cfRule type="cellIs" dxfId="7709" priority="6020" operator="equal">
      <formula>"Tramitando"</formula>
    </cfRule>
    <cfRule type="cellIs" dxfId="7708" priority="6021" operator="equal">
      <formula>"Deferido"</formula>
    </cfRule>
    <cfRule type="cellIs" dxfId="7707" priority="6022" operator="equal">
      <formula>"Indeferido"</formula>
    </cfRule>
  </conditionalFormatting>
  <conditionalFormatting sqref="Q599">
    <cfRule type="containsText" dxfId="7706" priority="6019" operator="containsText" text="Cancelado">
      <formula>NOT(ISERROR(SEARCH("Cancelado",Q599)))</formula>
    </cfRule>
  </conditionalFormatting>
  <conditionalFormatting sqref="S599">
    <cfRule type="cellIs" dxfId="7705" priority="6016" operator="equal">
      <formula>"Tramitando"</formula>
    </cfRule>
    <cfRule type="cellIs" dxfId="7704" priority="6017" operator="equal">
      <formula>"Deferido"</formula>
    </cfRule>
    <cfRule type="cellIs" dxfId="7703" priority="6018" operator="equal">
      <formula>"Indeferido"</formula>
    </cfRule>
  </conditionalFormatting>
  <conditionalFormatting sqref="S599">
    <cfRule type="containsText" dxfId="7702" priority="6015" operator="containsText" text="Cancelado">
      <formula>NOT(ISERROR(SEARCH("Cancelado",S599)))</formula>
    </cfRule>
  </conditionalFormatting>
  <conditionalFormatting sqref="J600">
    <cfRule type="cellIs" dxfId="7701" priority="6011" operator="equal">
      <formula>"Tramitando"</formula>
    </cfRule>
    <cfRule type="cellIs" dxfId="7700" priority="6012" operator="equal">
      <formula>"Deferido"</formula>
    </cfRule>
    <cfRule type="cellIs" dxfId="7699" priority="6013" operator="equal">
      <formula>"Indeferido"</formula>
    </cfRule>
  </conditionalFormatting>
  <conditionalFormatting sqref="J600">
    <cfRule type="containsText" dxfId="7698" priority="6010" operator="containsText" text="Cancelado">
      <formula>NOT(ISERROR(SEARCH("Cancelado",J600)))</formula>
    </cfRule>
  </conditionalFormatting>
  <conditionalFormatting sqref="M600">
    <cfRule type="cellIs" dxfId="7697" priority="6007" operator="equal">
      <formula>"Tramitando"</formula>
    </cfRule>
    <cfRule type="cellIs" dxfId="7696" priority="6008" operator="equal">
      <formula>"Deferido"</formula>
    </cfRule>
    <cfRule type="cellIs" dxfId="7695" priority="6009" operator="equal">
      <formula>"Indeferido"</formula>
    </cfRule>
  </conditionalFormatting>
  <conditionalFormatting sqref="M600">
    <cfRule type="containsText" dxfId="7694" priority="6006" operator="containsText" text="Cancelado">
      <formula>NOT(ISERROR(SEARCH("Cancelado",M600)))</formula>
    </cfRule>
  </conditionalFormatting>
  <conditionalFormatting sqref="O600">
    <cfRule type="cellIs" dxfId="7693" priority="6003" operator="equal">
      <formula>"Tramitando"</formula>
    </cfRule>
    <cfRule type="cellIs" dxfId="7692" priority="6004" operator="equal">
      <formula>"Deferido"</formula>
    </cfRule>
    <cfRule type="cellIs" dxfId="7691" priority="6005" operator="equal">
      <formula>"Indeferido"</formula>
    </cfRule>
  </conditionalFormatting>
  <conditionalFormatting sqref="O600">
    <cfRule type="containsText" dxfId="7690" priority="6002" operator="containsText" text="Cancelado">
      <formula>NOT(ISERROR(SEARCH("Cancelado",O600)))</formula>
    </cfRule>
  </conditionalFormatting>
  <conditionalFormatting sqref="Q600">
    <cfRule type="cellIs" dxfId="7689" priority="5999" operator="equal">
      <formula>"Tramitando"</formula>
    </cfRule>
    <cfRule type="cellIs" dxfId="7688" priority="6000" operator="equal">
      <formula>"Deferido"</formula>
    </cfRule>
    <cfRule type="cellIs" dxfId="7687" priority="6001" operator="equal">
      <formula>"Indeferido"</formula>
    </cfRule>
  </conditionalFormatting>
  <conditionalFormatting sqref="Q600">
    <cfRule type="containsText" dxfId="7686" priority="5998" operator="containsText" text="Cancelado">
      <formula>NOT(ISERROR(SEARCH("Cancelado",Q600)))</formula>
    </cfRule>
  </conditionalFormatting>
  <conditionalFormatting sqref="S600">
    <cfRule type="cellIs" dxfId="7685" priority="5995" operator="equal">
      <formula>"Tramitando"</formula>
    </cfRule>
    <cfRule type="cellIs" dxfId="7684" priority="5996" operator="equal">
      <formula>"Deferido"</formula>
    </cfRule>
    <cfRule type="cellIs" dxfId="7683" priority="5997" operator="equal">
      <formula>"Indeferido"</formula>
    </cfRule>
  </conditionalFormatting>
  <conditionalFormatting sqref="S600">
    <cfRule type="containsText" dxfId="7682" priority="5994" operator="containsText" text="Cancelado">
      <formula>NOT(ISERROR(SEARCH("Cancelado",S600)))</formula>
    </cfRule>
  </conditionalFormatting>
  <conditionalFormatting sqref="J601">
    <cfRule type="cellIs" dxfId="7681" priority="5990" operator="equal">
      <formula>"Tramitando"</formula>
    </cfRule>
    <cfRule type="cellIs" dxfId="7680" priority="5991" operator="equal">
      <formula>"Deferido"</formula>
    </cfRule>
    <cfRule type="cellIs" dxfId="7679" priority="5992" operator="equal">
      <formula>"Indeferido"</formula>
    </cfRule>
  </conditionalFormatting>
  <conditionalFormatting sqref="J601">
    <cfRule type="containsText" dxfId="7678" priority="5989" operator="containsText" text="Cancelado">
      <formula>NOT(ISERROR(SEARCH("Cancelado",J601)))</formula>
    </cfRule>
  </conditionalFormatting>
  <conditionalFormatting sqref="M601">
    <cfRule type="cellIs" dxfId="7677" priority="5986" operator="equal">
      <formula>"Tramitando"</formula>
    </cfRule>
    <cfRule type="cellIs" dxfId="7676" priority="5987" operator="equal">
      <formula>"Deferido"</formula>
    </cfRule>
    <cfRule type="cellIs" dxfId="7675" priority="5988" operator="equal">
      <formula>"Indeferido"</formula>
    </cfRule>
  </conditionalFormatting>
  <conditionalFormatting sqref="M601">
    <cfRule type="containsText" dxfId="7674" priority="5985" operator="containsText" text="Cancelado">
      <formula>NOT(ISERROR(SEARCH("Cancelado",M601)))</formula>
    </cfRule>
  </conditionalFormatting>
  <conditionalFormatting sqref="O601">
    <cfRule type="cellIs" dxfId="7673" priority="5982" operator="equal">
      <formula>"Tramitando"</formula>
    </cfRule>
    <cfRule type="cellIs" dxfId="7672" priority="5983" operator="equal">
      <formula>"Deferido"</formula>
    </cfRule>
    <cfRule type="cellIs" dxfId="7671" priority="5984" operator="equal">
      <formula>"Indeferido"</formula>
    </cfRule>
  </conditionalFormatting>
  <conditionalFormatting sqref="O601">
    <cfRule type="containsText" dxfId="7670" priority="5981" operator="containsText" text="Cancelado">
      <formula>NOT(ISERROR(SEARCH("Cancelado",O601)))</formula>
    </cfRule>
  </conditionalFormatting>
  <conditionalFormatting sqref="Q601">
    <cfRule type="cellIs" dxfId="7669" priority="5978" operator="equal">
      <formula>"Tramitando"</formula>
    </cfRule>
    <cfRule type="cellIs" dxfId="7668" priority="5979" operator="equal">
      <formula>"Deferido"</formula>
    </cfRule>
    <cfRule type="cellIs" dxfId="7667" priority="5980" operator="equal">
      <formula>"Indeferido"</formula>
    </cfRule>
  </conditionalFormatting>
  <conditionalFormatting sqref="Q601">
    <cfRule type="containsText" dxfId="7666" priority="5977" operator="containsText" text="Cancelado">
      <formula>NOT(ISERROR(SEARCH("Cancelado",Q601)))</formula>
    </cfRule>
  </conditionalFormatting>
  <conditionalFormatting sqref="S601">
    <cfRule type="cellIs" dxfId="7665" priority="5974" operator="equal">
      <formula>"Tramitando"</formula>
    </cfRule>
    <cfRule type="cellIs" dxfId="7664" priority="5975" operator="equal">
      <formula>"Deferido"</formula>
    </cfRule>
    <cfRule type="cellIs" dxfId="7663" priority="5976" operator="equal">
      <formula>"Indeferido"</formula>
    </cfRule>
  </conditionalFormatting>
  <conditionalFormatting sqref="S601">
    <cfRule type="containsText" dxfId="7662" priority="5973" operator="containsText" text="Cancelado">
      <formula>NOT(ISERROR(SEARCH("Cancelado",S601)))</formula>
    </cfRule>
  </conditionalFormatting>
  <conditionalFormatting sqref="J602">
    <cfRule type="cellIs" dxfId="7661" priority="5969" operator="equal">
      <formula>"Tramitando"</formula>
    </cfRule>
    <cfRule type="cellIs" dxfId="7660" priority="5970" operator="equal">
      <formula>"Deferido"</formula>
    </cfRule>
    <cfRule type="cellIs" dxfId="7659" priority="5971" operator="equal">
      <formula>"Indeferido"</formula>
    </cfRule>
  </conditionalFormatting>
  <conditionalFormatting sqref="J602">
    <cfRule type="containsText" dxfId="7658" priority="5968" operator="containsText" text="Cancelado">
      <formula>NOT(ISERROR(SEARCH("Cancelado",J602)))</formula>
    </cfRule>
  </conditionalFormatting>
  <conditionalFormatting sqref="M602">
    <cfRule type="cellIs" dxfId="7657" priority="5965" operator="equal">
      <formula>"Tramitando"</formula>
    </cfRule>
    <cfRule type="cellIs" dxfId="7656" priority="5966" operator="equal">
      <formula>"Deferido"</formula>
    </cfRule>
    <cfRule type="cellIs" dxfId="7655" priority="5967" operator="equal">
      <formula>"Indeferido"</formula>
    </cfRule>
  </conditionalFormatting>
  <conditionalFormatting sqref="M602">
    <cfRule type="containsText" dxfId="7654" priority="5964" operator="containsText" text="Cancelado">
      <formula>NOT(ISERROR(SEARCH("Cancelado",M602)))</formula>
    </cfRule>
  </conditionalFormatting>
  <conditionalFormatting sqref="O602">
    <cfRule type="cellIs" dxfId="7653" priority="5961" operator="equal">
      <formula>"Tramitando"</formula>
    </cfRule>
    <cfRule type="cellIs" dxfId="7652" priority="5962" operator="equal">
      <formula>"Deferido"</formula>
    </cfRule>
    <cfRule type="cellIs" dxfId="7651" priority="5963" operator="equal">
      <formula>"Indeferido"</formula>
    </cfRule>
  </conditionalFormatting>
  <conditionalFormatting sqref="O602">
    <cfRule type="containsText" dxfId="7650" priority="5960" operator="containsText" text="Cancelado">
      <formula>NOT(ISERROR(SEARCH("Cancelado",O602)))</formula>
    </cfRule>
  </conditionalFormatting>
  <conditionalFormatting sqref="Q602">
    <cfRule type="cellIs" dxfId="7649" priority="5957" operator="equal">
      <formula>"Tramitando"</formula>
    </cfRule>
    <cfRule type="cellIs" dxfId="7648" priority="5958" operator="equal">
      <formula>"Deferido"</formula>
    </cfRule>
    <cfRule type="cellIs" dxfId="7647" priority="5959" operator="equal">
      <formula>"Indeferido"</formula>
    </cfRule>
  </conditionalFormatting>
  <conditionalFormatting sqref="Q602">
    <cfRule type="containsText" dxfId="7646" priority="5956" operator="containsText" text="Cancelado">
      <formula>NOT(ISERROR(SEARCH("Cancelado",Q602)))</formula>
    </cfRule>
  </conditionalFormatting>
  <conditionalFormatting sqref="S602">
    <cfRule type="cellIs" dxfId="7645" priority="5953" operator="equal">
      <formula>"Tramitando"</formula>
    </cfRule>
    <cfRule type="cellIs" dxfId="7644" priority="5954" operator="equal">
      <formula>"Deferido"</formula>
    </cfRule>
    <cfRule type="cellIs" dxfId="7643" priority="5955" operator="equal">
      <formula>"Indeferido"</formula>
    </cfRule>
  </conditionalFormatting>
  <conditionalFormatting sqref="S602">
    <cfRule type="containsText" dxfId="7642" priority="5952" operator="containsText" text="Cancelado">
      <formula>NOT(ISERROR(SEARCH("Cancelado",S602)))</formula>
    </cfRule>
  </conditionalFormatting>
  <conditionalFormatting sqref="J603">
    <cfRule type="cellIs" dxfId="7641" priority="5948" operator="equal">
      <formula>"Tramitando"</formula>
    </cfRule>
    <cfRule type="cellIs" dxfId="7640" priority="5949" operator="equal">
      <formula>"Deferido"</formula>
    </cfRule>
    <cfRule type="cellIs" dxfId="7639" priority="5950" operator="equal">
      <formula>"Indeferido"</formula>
    </cfRule>
  </conditionalFormatting>
  <conditionalFormatting sqref="J603">
    <cfRule type="containsText" dxfId="7638" priority="5947" operator="containsText" text="Cancelado">
      <formula>NOT(ISERROR(SEARCH("Cancelado",J603)))</formula>
    </cfRule>
  </conditionalFormatting>
  <conditionalFormatting sqref="M603">
    <cfRule type="cellIs" dxfId="7637" priority="5944" operator="equal">
      <formula>"Tramitando"</formula>
    </cfRule>
    <cfRule type="cellIs" dxfId="7636" priority="5945" operator="equal">
      <formula>"Deferido"</formula>
    </cfRule>
    <cfRule type="cellIs" dxfId="7635" priority="5946" operator="equal">
      <formula>"Indeferido"</formula>
    </cfRule>
  </conditionalFormatting>
  <conditionalFormatting sqref="M603">
    <cfRule type="containsText" dxfId="7634" priority="5943" operator="containsText" text="Cancelado">
      <formula>NOT(ISERROR(SEARCH("Cancelado",M603)))</formula>
    </cfRule>
  </conditionalFormatting>
  <conditionalFormatting sqref="O603">
    <cfRule type="cellIs" dxfId="7633" priority="5940" operator="equal">
      <formula>"Tramitando"</formula>
    </cfRule>
    <cfRule type="cellIs" dxfId="7632" priority="5941" operator="equal">
      <formula>"Deferido"</formula>
    </cfRule>
    <cfRule type="cellIs" dxfId="7631" priority="5942" operator="equal">
      <formula>"Indeferido"</formula>
    </cfRule>
  </conditionalFormatting>
  <conditionalFormatting sqref="O603">
    <cfRule type="containsText" dxfId="7630" priority="5939" operator="containsText" text="Cancelado">
      <formula>NOT(ISERROR(SEARCH("Cancelado",O603)))</formula>
    </cfRule>
  </conditionalFormatting>
  <conditionalFormatting sqref="Q603">
    <cfRule type="cellIs" dxfId="7629" priority="5936" operator="equal">
      <formula>"Tramitando"</formula>
    </cfRule>
    <cfRule type="cellIs" dxfId="7628" priority="5937" operator="equal">
      <formula>"Deferido"</formula>
    </cfRule>
    <cfRule type="cellIs" dxfId="7627" priority="5938" operator="equal">
      <formula>"Indeferido"</formula>
    </cfRule>
  </conditionalFormatting>
  <conditionalFormatting sqref="Q603">
    <cfRule type="containsText" dxfId="7626" priority="5935" operator="containsText" text="Cancelado">
      <formula>NOT(ISERROR(SEARCH("Cancelado",Q603)))</formula>
    </cfRule>
  </conditionalFormatting>
  <conditionalFormatting sqref="S603">
    <cfRule type="cellIs" dxfId="7625" priority="5932" operator="equal">
      <formula>"Tramitando"</formula>
    </cfRule>
    <cfRule type="cellIs" dxfId="7624" priority="5933" operator="equal">
      <formula>"Deferido"</formula>
    </cfRule>
    <cfRule type="cellIs" dxfId="7623" priority="5934" operator="equal">
      <formula>"Indeferido"</formula>
    </cfRule>
  </conditionalFormatting>
  <conditionalFormatting sqref="S603">
    <cfRule type="containsText" dxfId="7622" priority="5931" operator="containsText" text="Cancelado">
      <formula>NOT(ISERROR(SEARCH("Cancelado",S603)))</formula>
    </cfRule>
  </conditionalFormatting>
  <conditionalFormatting sqref="J604:J607">
    <cfRule type="cellIs" dxfId="7621" priority="5927" operator="equal">
      <formula>"Tramitando"</formula>
    </cfRule>
    <cfRule type="cellIs" dxfId="7620" priority="5928" operator="equal">
      <formula>"Deferido"</formula>
    </cfRule>
    <cfRule type="cellIs" dxfId="7619" priority="5929" operator="equal">
      <formula>"Indeferido"</formula>
    </cfRule>
  </conditionalFormatting>
  <conditionalFormatting sqref="J604:J607">
    <cfRule type="containsText" dxfId="7618" priority="5926" operator="containsText" text="Cancelado">
      <formula>NOT(ISERROR(SEARCH("Cancelado",J604)))</formula>
    </cfRule>
  </conditionalFormatting>
  <conditionalFormatting sqref="M604:M607">
    <cfRule type="cellIs" dxfId="7617" priority="5923" operator="equal">
      <formula>"Tramitando"</formula>
    </cfRule>
    <cfRule type="cellIs" dxfId="7616" priority="5924" operator="equal">
      <formula>"Deferido"</formula>
    </cfRule>
    <cfRule type="cellIs" dxfId="7615" priority="5925" operator="equal">
      <formula>"Indeferido"</formula>
    </cfRule>
  </conditionalFormatting>
  <conditionalFormatting sqref="M604:M607">
    <cfRule type="containsText" dxfId="7614" priority="5922" operator="containsText" text="Cancelado">
      <formula>NOT(ISERROR(SEARCH("Cancelado",M604)))</formula>
    </cfRule>
  </conditionalFormatting>
  <conditionalFormatting sqref="O604:O607">
    <cfRule type="cellIs" dxfId="7613" priority="5919" operator="equal">
      <formula>"Tramitando"</formula>
    </cfRule>
    <cfRule type="cellIs" dxfId="7612" priority="5920" operator="equal">
      <formula>"Deferido"</formula>
    </cfRule>
    <cfRule type="cellIs" dxfId="7611" priority="5921" operator="equal">
      <formula>"Indeferido"</formula>
    </cfRule>
  </conditionalFormatting>
  <conditionalFormatting sqref="O604:O607">
    <cfRule type="containsText" dxfId="7610" priority="5918" operator="containsText" text="Cancelado">
      <formula>NOT(ISERROR(SEARCH("Cancelado",O604)))</formula>
    </cfRule>
  </conditionalFormatting>
  <conditionalFormatting sqref="Q604:Q607">
    <cfRule type="cellIs" dxfId="7609" priority="5915" operator="equal">
      <formula>"Tramitando"</formula>
    </cfRule>
    <cfRule type="cellIs" dxfId="7608" priority="5916" operator="equal">
      <formula>"Deferido"</formula>
    </cfRule>
    <cfRule type="cellIs" dxfId="7607" priority="5917" operator="equal">
      <formula>"Indeferido"</formula>
    </cfRule>
  </conditionalFormatting>
  <conditionalFormatting sqref="Q604:Q607">
    <cfRule type="containsText" dxfId="7606" priority="5914" operator="containsText" text="Cancelado">
      <formula>NOT(ISERROR(SEARCH("Cancelado",Q604)))</formula>
    </cfRule>
  </conditionalFormatting>
  <conditionalFormatting sqref="S604:S607">
    <cfRule type="cellIs" dxfId="7605" priority="5911" operator="equal">
      <formula>"Tramitando"</formula>
    </cfRule>
    <cfRule type="cellIs" dxfId="7604" priority="5912" operator="equal">
      <formula>"Deferido"</formula>
    </cfRule>
    <cfRule type="cellIs" dxfId="7603" priority="5913" operator="equal">
      <formula>"Indeferido"</formula>
    </cfRule>
  </conditionalFormatting>
  <conditionalFormatting sqref="S604:S607">
    <cfRule type="containsText" dxfId="7602" priority="5910" operator="containsText" text="Cancelado">
      <formula>NOT(ISERROR(SEARCH("Cancelado",S604)))</formula>
    </cfRule>
  </conditionalFormatting>
  <conditionalFormatting sqref="J608:J609">
    <cfRule type="cellIs" dxfId="7601" priority="5905" operator="equal">
      <formula>"Tramitando"</formula>
    </cfRule>
    <cfRule type="cellIs" dxfId="7600" priority="5906" operator="equal">
      <formula>"Deferido"</formula>
    </cfRule>
    <cfRule type="cellIs" dxfId="7599" priority="5907" operator="equal">
      <formula>"Indeferido"</formula>
    </cfRule>
  </conditionalFormatting>
  <conditionalFormatting sqref="J608:J609">
    <cfRule type="containsText" dxfId="7598" priority="5904" operator="containsText" text="Cancelado">
      <formula>NOT(ISERROR(SEARCH("Cancelado",J608)))</formula>
    </cfRule>
  </conditionalFormatting>
  <conditionalFormatting sqref="M608:M609">
    <cfRule type="cellIs" dxfId="7597" priority="5901" operator="equal">
      <formula>"Tramitando"</formula>
    </cfRule>
    <cfRule type="cellIs" dxfId="7596" priority="5902" operator="equal">
      <formula>"Deferido"</formula>
    </cfRule>
    <cfRule type="cellIs" dxfId="7595" priority="5903" operator="equal">
      <formula>"Indeferido"</formula>
    </cfRule>
  </conditionalFormatting>
  <conditionalFormatting sqref="M608:M609">
    <cfRule type="containsText" dxfId="7594" priority="5900" operator="containsText" text="Cancelado">
      <formula>NOT(ISERROR(SEARCH("Cancelado",M608)))</formula>
    </cfRule>
  </conditionalFormatting>
  <conditionalFormatting sqref="O608:O609">
    <cfRule type="cellIs" dxfId="7593" priority="5897" operator="equal">
      <formula>"Tramitando"</formula>
    </cfRule>
    <cfRule type="cellIs" dxfId="7592" priority="5898" operator="equal">
      <formula>"Deferido"</formula>
    </cfRule>
    <cfRule type="cellIs" dxfId="7591" priority="5899" operator="equal">
      <formula>"Indeferido"</formula>
    </cfRule>
  </conditionalFormatting>
  <conditionalFormatting sqref="O608:O609">
    <cfRule type="containsText" dxfId="7590" priority="5896" operator="containsText" text="Cancelado">
      <formula>NOT(ISERROR(SEARCH("Cancelado",O608)))</formula>
    </cfRule>
  </conditionalFormatting>
  <conditionalFormatting sqref="Q608:Q609">
    <cfRule type="cellIs" dxfId="7589" priority="5893" operator="equal">
      <formula>"Tramitando"</formula>
    </cfRule>
    <cfRule type="cellIs" dxfId="7588" priority="5894" operator="equal">
      <formula>"Deferido"</formula>
    </cfRule>
    <cfRule type="cellIs" dxfId="7587" priority="5895" operator="equal">
      <formula>"Indeferido"</formula>
    </cfRule>
  </conditionalFormatting>
  <conditionalFormatting sqref="Q608:Q609">
    <cfRule type="containsText" dxfId="7586" priority="5892" operator="containsText" text="Cancelado">
      <formula>NOT(ISERROR(SEARCH("Cancelado",Q608)))</formula>
    </cfRule>
  </conditionalFormatting>
  <conditionalFormatting sqref="S608:S609">
    <cfRule type="cellIs" dxfId="7585" priority="5889" operator="equal">
      <formula>"Tramitando"</formula>
    </cfRule>
    <cfRule type="cellIs" dxfId="7584" priority="5890" operator="equal">
      <formula>"Deferido"</formula>
    </cfRule>
    <cfRule type="cellIs" dxfId="7583" priority="5891" operator="equal">
      <formula>"Indeferido"</formula>
    </cfRule>
  </conditionalFormatting>
  <conditionalFormatting sqref="S608:S609">
    <cfRule type="containsText" dxfId="7582" priority="5888" operator="containsText" text="Cancelado">
      <formula>NOT(ISERROR(SEARCH("Cancelado",S608)))</formula>
    </cfRule>
  </conditionalFormatting>
  <conditionalFormatting sqref="J610:J611">
    <cfRule type="cellIs" dxfId="7581" priority="5884" operator="equal">
      <formula>"Tramitando"</formula>
    </cfRule>
    <cfRule type="cellIs" dxfId="7580" priority="5885" operator="equal">
      <formula>"Deferido"</formula>
    </cfRule>
    <cfRule type="cellIs" dxfId="7579" priority="5886" operator="equal">
      <formula>"Indeferido"</formula>
    </cfRule>
  </conditionalFormatting>
  <conditionalFormatting sqref="J610:J611">
    <cfRule type="containsText" dxfId="7578" priority="5883" operator="containsText" text="Cancelado">
      <formula>NOT(ISERROR(SEARCH("Cancelado",J610)))</formula>
    </cfRule>
  </conditionalFormatting>
  <conditionalFormatting sqref="M610:M611">
    <cfRule type="cellIs" dxfId="7577" priority="5880" operator="equal">
      <formula>"Tramitando"</formula>
    </cfRule>
    <cfRule type="cellIs" dxfId="7576" priority="5881" operator="equal">
      <formula>"Deferido"</formula>
    </cfRule>
    <cfRule type="cellIs" dxfId="7575" priority="5882" operator="equal">
      <formula>"Indeferido"</formula>
    </cfRule>
  </conditionalFormatting>
  <conditionalFormatting sqref="M610:M611">
    <cfRule type="containsText" dxfId="7574" priority="5879" operator="containsText" text="Cancelado">
      <formula>NOT(ISERROR(SEARCH("Cancelado",M610)))</formula>
    </cfRule>
  </conditionalFormatting>
  <conditionalFormatting sqref="O610:O611">
    <cfRule type="cellIs" dxfId="7573" priority="5876" operator="equal">
      <formula>"Tramitando"</formula>
    </cfRule>
    <cfRule type="cellIs" dxfId="7572" priority="5877" operator="equal">
      <formula>"Deferido"</formula>
    </cfRule>
    <cfRule type="cellIs" dxfId="7571" priority="5878" operator="equal">
      <formula>"Indeferido"</formula>
    </cfRule>
  </conditionalFormatting>
  <conditionalFormatting sqref="O610:O611">
    <cfRule type="containsText" dxfId="7570" priority="5875" operator="containsText" text="Cancelado">
      <formula>NOT(ISERROR(SEARCH("Cancelado",O610)))</formula>
    </cfRule>
  </conditionalFormatting>
  <conditionalFormatting sqref="Q610:Q611">
    <cfRule type="cellIs" dxfId="7569" priority="5872" operator="equal">
      <formula>"Tramitando"</formula>
    </cfRule>
    <cfRule type="cellIs" dxfId="7568" priority="5873" operator="equal">
      <formula>"Deferido"</formula>
    </cfRule>
    <cfRule type="cellIs" dxfId="7567" priority="5874" operator="equal">
      <formula>"Indeferido"</formula>
    </cfRule>
  </conditionalFormatting>
  <conditionalFormatting sqref="Q610:Q611">
    <cfRule type="containsText" dxfId="7566" priority="5871" operator="containsText" text="Cancelado">
      <formula>NOT(ISERROR(SEARCH("Cancelado",Q610)))</formula>
    </cfRule>
  </conditionalFormatting>
  <conditionalFormatting sqref="S610:S611">
    <cfRule type="cellIs" dxfId="7565" priority="5868" operator="equal">
      <formula>"Tramitando"</formula>
    </cfRule>
    <cfRule type="cellIs" dxfId="7564" priority="5869" operator="equal">
      <formula>"Deferido"</formula>
    </cfRule>
    <cfRule type="cellIs" dxfId="7563" priority="5870" operator="equal">
      <formula>"Indeferido"</formula>
    </cfRule>
  </conditionalFormatting>
  <conditionalFormatting sqref="S610:S611">
    <cfRule type="containsText" dxfId="7562" priority="5867" operator="containsText" text="Cancelado">
      <formula>NOT(ISERROR(SEARCH("Cancelado",S610)))</formula>
    </cfRule>
  </conditionalFormatting>
  <conditionalFormatting sqref="J521">
    <cfRule type="cellIs" dxfId="7561" priority="5864" operator="equal">
      <formula>"Tramitando"</formula>
    </cfRule>
    <cfRule type="cellIs" dxfId="7560" priority="5865" operator="equal">
      <formula>"Deferido"</formula>
    </cfRule>
    <cfRule type="cellIs" dxfId="7559" priority="5866" operator="equal">
      <formula>"Indeferido"</formula>
    </cfRule>
  </conditionalFormatting>
  <conditionalFormatting sqref="J521">
    <cfRule type="containsText" dxfId="7558" priority="5863" operator="containsText" text="Cancelado">
      <formula>NOT(ISERROR(SEARCH("Cancelado",J521)))</formula>
    </cfRule>
  </conditionalFormatting>
  <conditionalFormatting sqref="J524">
    <cfRule type="cellIs" dxfId="7557" priority="5860" operator="equal">
      <formula>"Tramitando"</formula>
    </cfRule>
    <cfRule type="cellIs" dxfId="7556" priority="5861" operator="equal">
      <formula>"Deferido"</formula>
    </cfRule>
    <cfRule type="cellIs" dxfId="7555" priority="5862" operator="equal">
      <formula>"Indeferido"</formula>
    </cfRule>
  </conditionalFormatting>
  <conditionalFormatting sqref="J524">
    <cfRule type="containsText" dxfId="7554" priority="5859" operator="containsText" text="Cancelado">
      <formula>NOT(ISERROR(SEARCH("Cancelado",J524)))</formula>
    </cfRule>
  </conditionalFormatting>
  <conditionalFormatting sqref="J529">
    <cfRule type="cellIs" dxfId="7553" priority="5856" operator="equal">
      <formula>"Tramitando"</formula>
    </cfRule>
    <cfRule type="cellIs" dxfId="7552" priority="5857" operator="equal">
      <formula>"Deferido"</formula>
    </cfRule>
    <cfRule type="cellIs" dxfId="7551" priority="5858" operator="equal">
      <formula>"Indeferido"</formula>
    </cfRule>
  </conditionalFormatting>
  <conditionalFormatting sqref="J529">
    <cfRule type="containsText" dxfId="7550" priority="5855" operator="containsText" text="Cancelado">
      <formula>NOT(ISERROR(SEARCH("Cancelado",J529)))</formula>
    </cfRule>
  </conditionalFormatting>
  <conditionalFormatting sqref="J612">
    <cfRule type="cellIs" dxfId="7549" priority="5851" operator="equal">
      <formula>"Tramitando"</formula>
    </cfRule>
    <cfRule type="cellIs" dxfId="7548" priority="5852" operator="equal">
      <formula>"Deferido"</formula>
    </cfRule>
    <cfRule type="cellIs" dxfId="7547" priority="5853" operator="equal">
      <formula>"Indeferido"</formula>
    </cfRule>
  </conditionalFormatting>
  <conditionalFormatting sqref="J612">
    <cfRule type="containsText" dxfId="7546" priority="5850" operator="containsText" text="Cancelado">
      <formula>NOT(ISERROR(SEARCH("Cancelado",J612)))</formula>
    </cfRule>
  </conditionalFormatting>
  <conditionalFormatting sqref="M612">
    <cfRule type="cellIs" dxfId="7545" priority="5847" operator="equal">
      <formula>"Tramitando"</formula>
    </cfRule>
    <cfRule type="cellIs" dxfId="7544" priority="5848" operator="equal">
      <formula>"Deferido"</formula>
    </cfRule>
    <cfRule type="cellIs" dxfId="7543" priority="5849" operator="equal">
      <formula>"Indeferido"</formula>
    </cfRule>
  </conditionalFormatting>
  <conditionalFormatting sqref="M612">
    <cfRule type="containsText" dxfId="7542" priority="5846" operator="containsText" text="Cancelado">
      <formula>NOT(ISERROR(SEARCH("Cancelado",M612)))</formula>
    </cfRule>
  </conditionalFormatting>
  <conditionalFormatting sqref="O612">
    <cfRule type="cellIs" dxfId="7541" priority="5843" operator="equal">
      <formula>"Tramitando"</formula>
    </cfRule>
    <cfRule type="cellIs" dxfId="7540" priority="5844" operator="equal">
      <formula>"Deferido"</formula>
    </cfRule>
    <cfRule type="cellIs" dxfId="7539" priority="5845" operator="equal">
      <formula>"Indeferido"</formula>
    </cfRule>
  </conditionalFormatting>
  <conditionalFormatting sqref="O612">
    <cfRule type="containsText" dxfId="7538" priority="5842" operator="containsText" text="Cancelado">
      <formula>NOT(ISERROR(SEARCH("Cancelado",O612)))</formula>
    </cfRule>
  </conditionalFormatting>
  <conditionalFormatting sqref="Q612">
    <cfRule type="cellIs" dxfId="7537" priority="5839" operator="equal">
      <formula>"Tramitando"</formula>
    </cfRule>
    <cfRule type="cellIs" dxfId="7536" priority="5840" operator="equal">
      <formula>"Deferido"</formula>
    </cfRule>
    <cfRule type="cellIs" dxfId="7535" priority="5841" operator="equal">
      <formula>"Indeferido"</formula>
    </cfRule>
  </conditionalFormatting>
  <conditionalFormatting sqref="Q612">
    <cfRule type="containsText" dxfId="7534" priority="5838" operator="containsText" text="Cancelado">
      <formula>NOT(ISERROR(SEARCH("Cancelado",Q612)))</formula>
    </cfRule>
  </conditionalFormatting>
  <conditionalFormatting sqref="S612">
    <cfRule type="cellIs" dxfId="7533" priority="5835" operator="equal">
      <formula>"Tramitando"</formula>
    </cfRule>
    <cfRule type="cellIs" dxfId="7532" priority="5836" operator="equal">
      <formula>"Deferido"</formula>
    </cfRule>
    <cfRule type="cellIs" dxfId="7531" priority="5837" operator="equal">
      <formula>"Indeferido"</formula>
    </cfRule>
  </conditionalFormatting>
  <conditionalFormatting sqref="S612">
    <cfRule type="containsText" dxfId="7530" priority="5834" operator="containsText" text="Cancelado">
      <formula>NOT(ISERROR(SEARCH("Cancelado",S612)))</formula>
    </cfRule>
  </conditionalFormatting>
  <conditionalFormatting sqref="J613:J616">
    <cfRule type="cellIs" dxfId="7529" priority="5830" operator="equal">
      <formula>"Tramitando"</formula>
    </cfRule>
    <cfRule type="cellIs" dxfId="7528" priority="5831" operator="equal">
      <formula>"Deferido"</formula>
    </cfRule>
    <cfRule type="cellIs" dxfId="7527" priority="5832" operator="equal">
      <formula>"Indeferido"</formula>
    </cfRule>
  </conditionalFormatting>
  <conditionalFormatting sqref="J613:J616">
    <cfRule type="containsText" dxfId="7526" priority="5829" operator="containsText" text="Cancelado">
      <formula>NOT(ISERROR(SEARCH("Cancelado",J613)))</formula>
    </cfRule>
  </conditionalFormatting>
  <conditionalFormatting sqref="M613:M616">
    <cfRule type="cellIs" dxfId="7525" priority="5826" operator="equal">
      <formula>"Tramitando"</formula>
    </cfRule>
    <cfRule type="cellIs" dxfId="7524" priority="5827" operator="equal">
      <formula>"Deferido"</formula>
    </cfRule>
    <cfRule type="cellIs" dxfId="7523" priority="5828" operator="equal">
      <formula>"Indeferido"</formula>
    </cfRule>
  </conditionalFormatting>
  <conditionalFormatting sqref="M613:M616">
    <cfRule type="containsText" dxfId="7522" priority="5825" operator="containsText" text="Cancelado">
      <formula>NOT(ISERROR(SEARCH("Cancelado",M613)))</formula>
    </cfRule>
  </conditionalFormatting>
  <conditionalFormatting sqref="O613:O616">
    <cfRule type="cellIs" dxfId="7521" priority="5822" operator="equal">
      <formula>"Tramitando"</formula>
    </cfRule>
    <cfRule type="cellIs" dxfId="7520" priority="5823" operator="equal">
      <formula>"Deferido"</formula>
    </cfRule>
    <cfRule type="cellIs" dxfId="7519" priority="5824" operator="equal">
      <formula>"Indeferido"</formula>
    </cfRule>
  </conditionalFormatting>
  <conditionalFormatting sqref="O613:O616">
    <cfRule type="containsText" dxfId="7518" priority="5821" operator="containsText" text="Cancelado">
      <formula>NOT(ISERROR(SEARCH("Cancelado",O613)))</formula>
    </cfRule>
  </conditionalFormatting>
  <conditionalFormatting sqref="Q613:Q616">
    <cfRule type="cellIs" dxfId="7517" priority="5818" operator="equal">
      <formula>"Tramitando"</formula>
    </cfRule>
    <cfRule type="cellIs" dxfId="7516" priority="5819" operator="equal">
      <formula>"Deferido"</formula>
    </cfRule>
    <cfRule type="cellIs" dxfId="7515" priority="5820" operator="equal">
      <formula>"Indeferido"</formula>
    </cfRule>
  </conditionalFormatting>
  <conditionalFormatting sqref="Q613:Q616">
    <cfRule type="containsText" dxfId="7514" priority="5817" operator="containsText" text="Cancelado">
      <formula>NOT(ISERROR(SEARCH("Cancelado",Q613)))</formula>
    </cfRule>
  </conditionalFormatting>
  <conditionalFormatting sqref="S613:S616">
    <cfRule type="cellIs" dxfId="7513" priority="5814" operator="equal">
      <formula>"Tramitando"</formula>
    </cfRule>
    <cfRule type="cellIs" dxfId="7512" priority="5815" operator="equal">
      <formula>"Deferido"</formula>
    </cfRule>
    <cfRule type="cellIs" dxfId="7511" priority="5816" operator="equal">
      <formula>"Indeferido"</formula>
    </cfRule>
  </conditionalFormatting>
  <conditionalFormatting sqref="S613:S616">
    <cfRule type="containsText" dxfId="7510" priority="5813" operator="containsText" text="Cancelado">
      <formula>NOT(ISERROR(SEARCH("Cancelado",S613)))</formula>
    </cfRule>
  </conditionalFormatting>
  <conditionalFormatting sqref="J617">
    <cfRule type="cellIs" dxfId="7509" priority="5809" operator="equal">
      <formula>"Tramitando"</formula>
    </cfRule>
    <cfRule type="cellIs" dxfId="7508" priority="5810" operator="equal">
      <formula>"Deferido"</formula>
    </cfRule>
    <cfRule type="cellIs" dxfId="7507" priority="5811" operator="equal">
      <formula>"Indeferido"</formula>
    </cfRule>
  </conditionalFormatting>
  <conditionalFormatting sqref="J617">
    <cfRule type="containsText" dxfId="7506" priority="5808" operator="containsText" text="Cancelado">
      <formula>NOT(ISERROR(SEARCH("Cancelado",J617)))</formula>
    </cfRule>
  </conditionalFormatting>
  <conditionalFormatting sqref="M617">
    <cfRule type="cellIs" dxfId="7505" priority="5805" operator="equal">
      <formula>"Tramitando"</formula>
    </cfRule>
    <cfRule type="cellIs" dxfId="7504" priority="5806" operator="equal">
      <formula>"Deferido"</formula>
    </cfRule>
    <cfRule type="cellIs" dxfId="7503" priority="5807" operator="equal">
      <formula>"Indeferido"</formula>
    </cfRule>
  </conditionalFormatting>
  <conditionalFormatting sqref="M617">
    <cfRule type="containsText" dxfId="7502" priority="5804" operator="containsText" text="Cancelado">
      <formula>NOT(ISERROR(SEARCH("Cancelado",M617)))</formula>
    </cfRule>
  </conditionalFormatting>
  <conditionalFormatting sqref="O617">
    <cfRule type="cellIs" dxfId="7501" priority="5801" operator="equal">
      <formula>"Tramitando"</formula>
    </cfRule>
    <cfRule type="cellIs" dxfId="7500" priority="5802" operator="equal">
      <formula>"Deferido"</formula>
    </cfRule>
    <cfRule type="cellIs" dxfId="7499" priority="5803" operator="equal">
      <formula>"Indeferido"</formula>
    </cfRule>
  </conditionalFormatting>
  <conditionalFormatting sqref="O617">
    <cfRule type="containsText" dxfId="7498" priority="5800" operator="containsText" text="Cancelado">
      <formula>NOT(ISERROR(SEARCH("Cancelado",O617)))</formula>
    </cfRule>
  </conditionalFormatting>
  <conditionalFormatting sqref="Q617">
    <cfRule type="cellIs" dxfId="7497" priority="5797" operator="equal">
      <formula>"Tramitando"</formula>
    </cfRule>
    <cfRule type="cellIs" dxfId="7496" priority="5798" operator="equal">
      <formula>"Deferido"</formula>
    </cfRule>
    <cfRule type="cellIs" dxfId="7495" priority="5799" operator="equal">
      <formula>"Indeferido"</formula>
    </cfRule>
  </conditionalFormatting>
  <conditionalFormatting sqref="Q617">
    <cfRule type="containsText" dxfId="7494" priority="5796" operator="containsText" text="Cancelado">
      <formula>NOT(ISERROR(SEARCH("Cancelado",Q617)))</formula>
    </cfRule>
  </conditionalFormatting>
  <conditionalFormatting sqref="S617">
    <cfRule type="cellIs" dxfId="7493" priority="5793" operator="equal">
      <formula>"Tramitando"</formula>
    </cfRule>
    <cfRule type="cellIs" dxfId="7492" priority="5794" operator="equal">
      <formula>"Deferido"</formula>
    </cfRule>
    <cfRule type="cellIs" dxfId="7491" priority="5795" operator="equal">
      <formula>"Indeferido"</formula>
    </cfRule>
  </conditionalFormatting>
  <conditionalFormatting sqref="S617">
    <cfRule type="containsText" dxfId="7490" priority="5792" operator="containsText" text="Cancelado">
      <formula>NOT(ISERROR(SEARCH("Cancelado",S617)))</formula>
    </cfRule>
  </conditionalFormatting>
  <conditionalFormatting sqref="J618">
    <cfRule type="cellIs" dxfId="7489" priority="5788" operator="equal">
      <formula>"Tramitando"</formula>
    </cfRule>
    <cfRule type="cellIs" dxfId="7488" priority="5789" operator="equal">
      <formula>"Deferido"</formula>
    </cfRule>
    <cfRule type="cellIs" dxfId="7487" priority="5790" operator="equal">
      <formula>"Indeferido"</formula>
    </cfRule>
  </conditionalFormatting>
  <conditionalFormatting sqref="J618">
    <cfRule type="containsText" dxfId="7486" priority="5787" operator="containsText" text="Cancelado">
      <formula>NOT(ISERROR(SEARCH("Cancelado",J618)))</formula>
    </cfRule>
  </conditionalFormatting>
  <conditionalFormatting sqref="M618">
    <cfRule type="cellIs" dxfId="7485" priority="5784" operator="equal">
      <formula>"Tramitando"</formula>
    </cfRule>
    <cfRule type="cellIs" dxfId="7484" priority="5785" operator="equal">
      <formula>"Deferido"</formula>
    </cfRule>
    <cfRule type="cellIs" dxfId="7483" priority="5786" operator="equal">
      <formula>"Indeferido"</formula>
    </cfRule>
  </conditionalFormatting>
  <conditionalFormatting sqref="M618">
    <cfRule type="containsText" dxfId="7482" priority="5783" operator="containsText" text="Cancelado">
      <formula>NOT(ISERROR(SEARCH("Cancelado",M618)))</formula>
    </cfRule>
  </conditionalFormatting>
  <conditionalFormatting sqref="O618">
    <cfRule type="cellIs" dxfId="7481" priority="5780" operator="equal">
      <formula>"Tramitando"</formula>
    </cfRule>
    <cfRule type="cellIs" dxfId="7480" priority="5781" operator="equal">
      <formula>"Deferido"</formula>
    </cfRule>
    <cfRule type="cellIs" dxfId="7479" priority="5782" operator="equal">
      <formula>"Indeferido"</formula>
    </cfRule>
  </conditionalFormatting>
  <conditionalFormatting sqref="O618">
    <cfRule type="containsText" dxfId="7478" priority="5779" operator="containsText" text="Cancelado">
      <formula>NOT(ISERROR(SEARCH("Cancelado",O618)))</formula>
    </cfRule>
  </conditionalFormatting>
  <conditionalFormatting sqref="Q618">
    <cfRule type="cellIs" dxfId="7477" priority="5776" operator="equal">
      <formula>"Tramitando"</formula>
    </cfRule>
    <cfRule type="cellIs" dxfId="7476" priority="5777" operator="equal">
      <formula>"Deferido"</formula>
    </cfRule>
    <cfRule type="cellIs" dxfId="7475" priority="5778" operator="equal">
      <formula>"Indeferido"</formula>
    </cfRule>
  </conditionalFormatting>
  <conditionalFormatting sqref="Q618">
    <cfRule type="containsText" dxfId="7474" priority="5775" operator="containsText" text="Cancelado">
      <formula>NOT(ISERROR(SEARCH("Cancelado",Q618)))</formula>
    </cfRule>
  </conditionalFormatting>
  <conditionalFormatting sqref="S618">
    <cfRule type="cellIs" dxfId="7473" priority="5772" operator="equal">
      <formula>"Tramitando"</formula>
    </cfRule>
    <cfRule type="cellIs" dxfId="7472" priority="5773" operator="equal">
      <formula>"Deferido"</formula>
    </cfRule>
    <cfRule type="cellIs" dxfId="7471" priority="5774" operator="equal">
      <formula>"Indeferido"</formula>
    </cfRule>
  </conditionalFormatting>
  <conditionalFormatting sqref="S618">
    <cfRule type="containsText" dxfId="7470" priority="5771" operator="containsText" text="Cancelado">
      <formula>NOT(ISERROR(SEARCH("Cancelado",S618)))</formula>
    </cfRule>
  </conditionalFormatting>
  <conditionalFormatting sqref="J619">
    <cfRule type="cellIs" dxfId="7469" priority="5767" operator="equal">
      <formula>"Tramitando"</formula>
    </cfRule>
    <cfRule type="cellIs" dxfId="7468" priority="5768" operator="equal">
      <formula>"Deferido"</formula>
    </cfRule>
    <cfRule type="cellIs" dxfId="7467" priority="5769" operator="equal">
      <formula>"Indeferido"</formula>
    </cfRule>
  </conditionalFormatting>
  <conditionalFormatting sqref="J619">
    <cfRule type="containsText" dxfId="7466" priority="5766" operator="containsText" text="Cancelado">
      <formula>NOT(ISERROR(SEARCH("Cancelado",J619)))</formula>
    </cfRule>
  </conditionalFormatting>
  <conditionalFormatting sqref="M619">
    <cfRule type="cellIs" dxfId="7465" priority="5763" operator="equal">
      <formula>"Tramitando"</formula>
    </cfRule>
    <cfRule type="cellIs" dxfId="7464" priority="5764" operator="equal">
      <formula>"Deferido"</formula>
    </cfRule>
    <cfRule type="cellIs" dxfId="7463" priority="5765" operator="equal">
      <formula>"Indeferido"</formula>
    </cfRule>
  </conditionalFormatting>
  <conditionalFormatting sqref="M619">
    <cfRule type="containsText" dxfId="7462" priority="5762" operator="containsText" text="Cancelado">
      <formula>NOT(ISERROR(SEARCH("Cancelado",M619)))</formula>
    </cfRule>
  </conditionalFormatting>
  <conditionalFormatting sqref="O619">
    <cfRule type="cellIs" dxfId="7461" priority="5759" operator="equal">
      <formula>"Tramitando"</formula>
    </cfRule>
    <cfRule type="cellIs" dxfId="7460" priority="5760" operator="equal">
      <formula>"Deferido"</formula>
    </cfRule>
    <cfRule type="cellIs" dxfId="7459" priority="5761" operator="equal">
      <formula>"Indeferido"</formula>
    </cfRule>
  </conditionalFormatting>
  <conditionalFormatting sqref="O619">
    <cfRule type="containsText" dxfId="7458" priority="5758" operator="containsText" text="Cancelado">
      <formula>NOT(ISERROR(SEARCH("Cancelado",O619)))</formula>
    </cfRule>
  </conditionalFormatting>
  <conditionalFormatting sqref="Q619">
    <cfRule type="cellIs" dxfId="7457" priority="5755" operator="equal">
      <formula>"Tramitando"</formula>
    </cfRule>
    <cfRule type="cellIs" dxfId="7456" priority="5756" operator="equal">
      <formula>"Deferido"</formula>
    </cfRule>
    <cfRule type="cellIs" dxfId="7455" priority="5757" operator="equal">
      <formula>"Indeferido"</formula>
    </cfRule>
  </conditionalFormatting>
  <conditionalFormatting sqref="Q619">
    <cfRule type="containsText" dxfId="7454" priority="5754" operator="containsText" text="Cancelado">
      <formula>NOT(ISERROR(SEARCH("Cancelado",Q619)))</formula>
    </cfRule>
  </conditionalFormatting>
  <conditionalFormatting sqref="S619">
    <cfRule type="cellIs" dxfId="7453" priority="5751" operator="equal">
      <formula>"Tramitando"</formula>
    </cfRule>
    <cfRule type="cellIs" dxfId="7452" priority="5752" operator="equal">
      <formula>"Deferido"</formula>
    </cfRule>
    <cfRule type="cellIs" dxfId="7451" priority="5753" operator="equal">
      <formula>"Indeferido"</formula>
    </cfRule>
  </conditionalFormatting>
  <conditionalFormatting sqref="S619">
    <cfRule type="containsText" dxfId="7450" priority="5750" operator="containsText" text="Cancelado">
      <formula>NOT(ISERROR(SEARCH("Cancelado",S619)))</formula>
    </cfRule>
  </conditionalFormatting>
  <conditionalFormatting sqref="J620:J621">
    <cfRule type="cellIs" dxfId="7449" priority="5746" operator="equal">
      <formula>"Tramitando"</formula>
    </cfRule>
    <cfRule type="cellIs" dxfId="7448" priority="5747" operator="equal">
      <formula>"Deferido"</formula>
    </cfRule>
    <cfRule type="cellIs" dxfId="7447" priority="5748" operator="equal">
      <formula>"Indeferido"</formula>
    </cfRule>
  </conditionalFormatting>
  <conditionalFormatting sqref="J620:J621">
    <cfRule type="containsText" dxfId="7446" priority="5745" operator="containsText" text="Cancelado">
      <formula>NOT(ISERROR(SEARCH("Cancelado",J620)))</formula>
    </cfRule>
  </conditionalFormatting>
  <conditionalFormatting sqref="M620:M621">
    <cfRule type="cellIs" dxfId="7445" priority="5742" operator="equal">
      <formula>"Tramitando"</formula>
    </cfRule>
    <cfRule type="cellIs" dxfId="7444" priority="5743" operator="equal">
      <formula>"Deferido"</formula>
    </cfRule>
    <cfRule type="cellIs" dxfId="7443" priority="5744" operator="equal">
      <formula>"Indeferido"</formula>
    </cfRule>
  </conditionalFormatting>
  <conditionalFormatting sqref="M620:M621">
    <cfRule type="containsText" dxfId="7442" priority="5741" operator="containsText" text="Cancelado">
      <formula>NOT(ISERROR(SEARCH("Cancelado",M620)))</formula>
    </cfRule>
  </conditionalFormatting>
  <conditionalFormatting sqref="O620:O621">
    <cfRule type="cellIs" dxfId="7441" priority="5738" operator="equal">
      <formula>"Tramitando"</formula>
    </cfRule>
    <cfRule type="cellIs" dxfId="7440" priority="5739" operator="equal">
      <formula>"Deferido"</formula>
    </cfRule>
    <cfRule type="cellIs" dxfId="7439" priority="5740" operator="equal">
      <formula>"Indeferido"</formula>
    </cfRule>
  </conditionalFormatting>
  <conditionalFormatting sqref="O620:O621">
    <cfRule type="containsText" dxfId="7438" priority="5737" operator="containsText" text="Cancelado">
      <formula>NOT(ISERROR(SEARCH("Cancelado",O620)))</formula>
    </cfRule>
  </conditionalFormatting>
  <conditionalFormatting sqref="Q620:Q621">
    <cfRule type="cellIs" dxfId="7437" priority="5734" operator="equal">
      <formula>"Tramitando"</formula>
    </cfRule>
    <cfRule type="cellIs" dxfId="7436" priority="5735" operator="equal">
      <formula>"Deferido"</formula>
    </cfRule>
    <cfRule type="cellIs" dxfId="7435" priority="5736" operator="equal">
      <formula>"Indeferido"</formula>
    </cfRule>
  </conditionalFormatting>
  <conditionalFormatting sqref="Q620:Q621">
    <cfRule type="containsText" dxfId="7434" priority="5733" operator="containsText" text="Cancelado">
      <formula>NOT(ISERROR(SEARCH("Cancelado",Q620)))</formula>
    </cfRule>
  </conditionalFormatting>
  <conditionalFormatting sqref="S620:S621">
    <cfRule type="cellIs" dxfId="7433" priority="5730" operator="equal">
      <formula>"Tramitando"</formula>
    </cfRule>
    <cfRule type="cellIs" dxfId="7432" priority="5731" operator="equal">
      <formula>"Deferido"</formula>
    </cfRule>
    <cfRule type="cellIs" dxfId="7431" priority="5732" operator="equal">
      <formula>"Indeferido"</formula>
    </cfRule>
  </conditionalFormatting>
  <conditionalFormatting sqref="S620:S621">
    <cfRule type="containsText" dxfId="7430" priority="5729" operator="containsText" text="Cancelado">
      <formula>NOT(ISERROR(SEARCH("Cancelado",S620)))</formula>
    </cfRule>
  </conditionalFormatting>
  <conditionalFormatting sqref="J622">
    <cfRule type="cellIs" dxfId="7429" priority="5725" operator="equal">
      <formula>"Tramitando"</formula>
    </cfRule>
    <cfRule type="cellIs" dxfId="7428" priority="5726" operator="equal">
      <formula>"Deferido"</formula>
    </cfRule>
    <cfRule type="cellIs" dxfId="7427" priority="5727" operator="equal">
      <formula>"Indeferido"</formula>
    </cfRule>
  </conditionalFormatting>
  <conditionalFormatting sqref="J622">
    <cfRule type="containsText" dxfId="7426" priority="5724" operator="containsText" text="Cancelado">
      <formula>NOT(ISERROR(SEARCH("Cancelado",J622)))</formula>
    </cfRule>
  </conditionalFormatting>
  <conditionalFormatting sqref="M622">
    <cfRule type="cellIs" dxfId="7425" priority="5721" operator="equal">
      <formula>"Tramitando"</formula>
    </cfRule>
    <cfRule type="cellIs" dxfId="7424" priority="5722" operator="equal">
      <formula>"Deferido"</formula>
    </cfRule>
    <cfRule type="cellIs" dxfId="7423" priority="5723" operator="equal">
      <formula>"Indeferido"</formula>
    </cfRule>
  </conditionalFormatting>
  <conditionalFormatting sqref="M622">
    <cfRule type="containsText" dxfId="7422" priority="5720" operator="containsText" text="Cancelado">
      <formula>NOT(ISERROR(SEARCH("Cancelado",M622)))</formula>
    </cfRule>
  </conditionalFormatting>
  <conditionalFormatting sqref="O622">
    <cfRule type="cellIs" dxfId="7421" priority="5717" operator="equal">
      <formula>"Tramitando"</formula>
    </cfRule>
    <cfRule type="cellIs" dxfId="7420" priority="5718" operator="equal">
      <formula>"Deferido"</formula>
    </cfRule>
    <cfRule type="cellIs" dxfId="7419" priority="5719" operator="equal">
      <formula>"Indeferido"</formula>
    </cfRule>
  </conditionalFormatting>
  <conditionalFormatting sqref="O622">
    <cfRule type="containsText" dxfId="7418" priority="5716" operator="containsText" text="Cancelado">
      <formula>NOT(ISERROR(SEARCH("Cancelado",O622)))</formula>
    </cfRule>
  </conditionalFormatting>
  <conditionalFormatting sqref="Q622">
    <cfRule type="cellIs" dxfId="7417" priority="5713" operator="equal">
      <formula>"Tramitando"</formula>
    </cfRule>
    <cfRule type="cellIs" dxfId="7416" priority="5714" operator="equal">
      <formula>"Deferido"</formula>
    </cfRule>
    <cfRule type="cellIs" dxfId="7415" priority="5715" operator="equal">
      <formula>"Indeferido"</formula>
    </cfRule>
  </conditionalFormatting>
  <conditionalFormatting sqref="Q622">
    <cfRule type="containsText" dxfId="7414" priority="5712" operator="containsText" text="Cancelado">
      <formula>NOT(ISERROR(SEARCH("Cancelado",Q622)))</formula>
    </cfRule>
  </conditionalFormatting>
  <conditionalFormatting sqref="S622">
    <cfRule type="cellIs" dxfId="7413" priority="5709" operator="equal">
      <formula>"Tramitando"</formula>
    </cfRule>
    <cfRule type="cellIs" dxfId="7412" priority="5710" operator="equal">
      <formula>"Deferido"</formula>
    </cfRule>
    <cfRule type="cellIs" dxfId="7411" priority="5711" operator="equal">
      <formula>"Indeferido"</formula>
    </cfRule>
  </conditionalFormatting>
  <conditionalFormatting sqref="S622">
    <cfRule type="containsText" dxfId="7410" priority="5708" operator="containsText" text="Cancelado">
      <formula>NOT(ISERROR(SEARCH("Cancelado",S622)))</formula>
    </cfRule>
  </conditionalFormatting>
  <conditionalFormatting sqref="J623">
    <cfRule type="cellIs" dxfId="7409" priority="5704" operator="equal">
      <formula>"Tramitando"</formula>
    </cfRule>
    <cfRule type="cellIs" dxfId="7408" priority="5705" operator="equal">
      <formula>"Deferido"</formula>
    </cfRule>
    <cfRule type="cellIs" dxfId="7407" priority="5706" operator="equal">
      <formula>"Indeferido"</formula>
    </cfRule>
  </conditionalFormatting>
  <conditionalFormatting sqref="J623">
    <cfRule type="containsText" dxfId="7406" priority="5703" operator="containsText" text="Cancelado">
      <formula>NOT(ISERROR(SEARCH("Cancelado",J623)))</formula>
    </cfRule>
  </conditionalFormatting>
  <conditionalFormatting sqref="M623">
    <cfRule type="cellIs" dxfId="7405" priority="5700" operator="equal">
      <formula>"Tramitando"</formula>
    </cfRule>
    <cfRule type="cellIs" dxfId="7404" priority="5701" operator="equal">
      <formula>"Deferido"</formula>
    </cfRule>
    <cfRule type="cellIs" dxfId="7403" priority="5702" operator="equal">
      <formula>"Indeferido"</formula>
    </cfRule>
  </conditionalFormatting>
  <conditionalFormatting sqref="M623">
    <cfRule type="containsText" dxfId="7402" priority="5699" operator="containsText" text="Cancelado">
      <formula>NOT(ISERROR(SEARCH("Cancelado",M623)))</formula>
    </cfRule>
  </conditionalFormatting>
  <conditionalFormatting sqref="O623">
    <cfRule type="cellIs" dxfId="7401" priority="5696" operator="equal">
      <formula>"Tramitando"</formula>
    </cfRule>
    <cfRule type="cellIs" dxfId="7400" priority="5697" operator="equal">
      <formula>"Deferido"</formula>
    </cfRule>
    <cfRule type="cellIs" dxfId="7399" priority="5698" operator="equal">
      <formula>"Indeferido"</formula>
    </cfRule>
  </conditionalFormatting>
  <conditionalFormatting sqref="O623">
    <cfRule type="containsText" dxfId="7398" priority="5695" operator="containsText" text="Cancelado">
      <formula>NOT(ISERROR(SEARCH("Cancelado",O623)))</formula>
    </cfRule>
  </conditionalFormatting>
  <conditionalFormatting sqref="Q623">
    <cfRule type="cellIs" dxfId="7397" priority="5692" operator="equal">
      <formula>"Tramitando"</formula>
    </cfRule>
    <cfRule type="cellIs" dxfId="7396" priority="5693" operator="equal">
      <formula>"Deferido"</formula>
    </cfRule>
    <cfRule type="cellIs" dxfId="7395" priority="5694" operator="equal">
      <formula>"Indeferido"</formula>
    </cfRule>
  </conditionalFormatting>
  <conditionalFormatting sqref="Q623">
    <cfRule type="containsText" dxfId="7394" priority="5691" operator="containsText" text="Cancelado">
      <formula>NOT(ISERROR(SEARCH("Cancelado",Q623)))</formula>
    </cfRule>
  </conditionalFormatting>
  <conditionalFormatting sqref="S623">
    <cfRule type="cellIs" dxfId="7393" priority="5688" operator="equal">
      <formula>"Tramitando"</formula>
    </cfRule>
    <cfRule type="cellIs" dxfId="7392" priority="5689" operator="equal">
      <formula>"Deferido"</formula>
    </cfRule>
    <cfRule type="cellIs" dxfId="7391" priority="5690" operator="equal">
      <formula>"Indeferido"</formula>
    </cfRule>
  </conditionalFormatting>
  <conditionalFormatting sqref="S623">
    <cfRule type="containsText" dxfId="7390" priority="5687" operator="containsText" text="Cancelado">
      <formula>NOT(ISERROR(SEARCH("Cancelado",S623)))</formula>
    </cfRule>
  </conditionalFormatting>
  <conditionalFormatting sqref="J624">
    <cfRule type="cellIs" dxfId="7389" priority="5683" operator="equal">
      <formula>"Tramitando"</formula>
    </cfRule>
    <cfRule type="cellIs" dxfId="7388" priority="5684" operator="equal">
      <formula>"Deferido"</formula>
    </cfRule>
    <cfRule type="cellIs" dxfId="7387" priority="5685" operator="equal">
      <formula>"Indeferido"</formula>
    </cfRule>
  </conditionalFormatting>
  <conditionalFormatting sqref="J624">
    <cfRule type="containsText" dxfId="7386" priority="5682" operator="containsText" text="Cancelado">
      <formula>NOT(ISERROR(SEARCH("Cancelado",J624)))</formula>
    </cfRule>
  </conditionalFormatting>
  <conditionalFormatting sqref="M624">
    <cfRule type="cellIs" dxfId="7385" priority="5679" operator="equal">
      <formula>"Tramitando"</formula>
    </cfRule>
    <cfRule type="cellIs" dxfId="7384" priority="5680" operator="equal">
      <formula>"Deferido"</formula>
    </cfRule>
    <cfRule type="cellIs" dxfId="7383" priority="5681" operator="equal">
      <formula>"Indeferido"</formula>
    </cfRule>
  </conditionalFormatting>
  <conditionalFormatting sqref="M624">
    <cfRule type="containsText" dxfId="7382" priority="5678" operator="containsText" text="Cancelado">
      <formula>NOT(ISERROR(SEARCH("Cancelado",M624)))</formula>
    </cfRule>
  </conditionalFormatting>
  <conditionalFormatting sqref="O624">
    <cfRule type="cellIs" dxfId="7381" priority="5675" operator="equal">
      <formula>"Tramitando"</formula>
    </cfRule>
    <cfRule type="cellIs" dxfId="7380" priority="5676" operator="equal">
      <formula>"Deferido"</formula>
    </cfRule>
    <cfRule type="cellIs" dxfId="7379" priority="5677" operator="equal">
      <formula>"Indeferido"</formula>
    </cfRule>
  </conditionalFormatting>
  <conditionalFormatting sqref="O624">
    <cfRule type="containsText" dxfId="7378" priority="5674" operator="containsText" text="Cancelado">
      <formula>NOT(ISERROR(SEARCH("Cancelado",O624)))</formula>
    </cfRule>
  </conditionalFormatting>
  <conditionalFormatting sqref="Q624">
    <cfRule type="cellIs" dxfId="7377" priority="5671" operator="equal">
      <formula>"Tramitando"</formula>
    </cfRule>
    <cfRule type="cellIs" dxfId="7376" priority="5672" operator="equal">
      <formula>"Deferido"</formula>
    </cfRule>
    <cfRule type="cellIs" dxfId="7375" priority="5673" operator="equal">
      <formula>"Indeferido"</formula>
    </cfRule>
  </conditionalFormatting>
  <conditionalFormatting sqref="Q624">
    <cfRule type="containsText" dxfId="7374" priority="5670" operator="containsText" text="Cancelado">
      <formula>NOT(ISERROR(SEARCH("Cancelado",Q624)))</formula>
    </cfRule>
  </conditionalFormatting>
  <conditionalFormatting sqref="S624">
    <cfRule type="cellIs" dxfId="7373" priority="5667" operator="equal">
      <formula>"Tramitando"</formula>
    </cfRule>
    <cfRule type="cellIs" dxfId="7372" priority="5668" operator="equal">
      <formula>"Deferido"</formula>
    </cfRule>
    <cfRule type="cellIs" dxfId="7371" priority="5669" operator="equal">
      <formula>"Indeferido"</formula>
    </cfRule>
  </conditionalFormatting>
  <conditionalFormatting sqref="S624">
    <cfRule type="containsText" dxfId="7370" priority="5666" operator="containsText" text="Cancelado">
      <formula>NOT(ISERROR(SEARCH("Cancelado",S624)))</formula>
    </cfRule>
  </conditionalFormatting>
  <conditionalFormatting sqref="J625">
    <cfRule type="cellIs" dxfId="7369" priority="5662" operator="equal">
      <formula>"Tramitando"</formula>
    </cfRule>
    <cfRule type="cellIs" dxfId="7368" priority="5663" operator="equal">
      <formula>"Deferido"</formula>
    </cfRule>
    <cfRule type="cellIs" dxfId="7367" priority="5664" operator="equal">
      <formula>"Indeferido"</formula>
    </cfRule>
  </conditionalFormatting>
  <conditionalFormatting sqref="J625">
    <cfRule type="containsText" dxfId="7366" priority="5661" operator="containsText" text="Cancelado">
      <formula>NOT(ISERROR(SEARCH("Cancelado",J625)))</formula>
    </cfRule>
  </conditionalFormatting>
  <conditionalFormatting sqref="M625">
    <cfRule type="cellIs" dxfId="7365" priority="5658" operator="equal">
      <formula>"Tramitando"</formula>
    </cfRule>
    <cfRule type="cellIs" dxfId="7364" priority="5659" operator="equal">
      <formula>"Deferido"</formula>
    </cfRule>
    <cfRule type="cellIs" dxfId="7363" priority="5660" operator="equal">
      <formula>"Indeferido"</formula>
    </cfRule>
  </conditionalFormatting>
  <conditionalFormatting sqref="M625">
    <cfRule type="containsText" dxfId="7362" priority="5657" operator="containsText" text="Cancelado">
      <formula>NOT(ISERROR(SEARCH("Cancelado",M625)))</formula>
    </cfRule>
  </conditionalFormatting>
  <conditionalFormatting sqref="O625">
    <cfRule type="cellIs" dxfId="7361" priority="5654" operator="equal">
      <formula>"Tramitando"</formula>
    </cfRule>
    <cfRule type="cellIs" dxfId="7360" priority="5655" operator="equal">
      <formula>"Deferido"</formula>
    </cfRule>
    <cfRule type="cellIs" dxfId="7359" priority="5656" operator="equal">
      <formula>"Indeferido"</formula>
    </cfRule>
  </conditionalFormatting>
  <conditionalFormatting sqref="O625">
    <cfRule type="containsText" dxfId="7358" priority="5653" operator="containsText" text="Cancelado">
      <formula>NOT(ISERROR(SEARCH("Cancelado",O625)))</formula>
    </cfRule>
  </conditionalFormatting>
  <conditionalFormatting sqref="Q625">
    <cfRule type="cellIs" dxfId="7357" priority="5650" operator="equal">
      <formula>"Tramitando"</formula>
    </cfRule>
    <cfRule type="cellIs" dxfId="7356" priority="5651" operator="equal">
      <formula>"Deferido"</formula>
    </cfRule>
    <cfRule type="cellIs" dxfId="7355" priority="5652" operator="equal">
      <formula>"Indeferido"</formula>
    </cfRule>
  </conditionalFormatting>
  <conditionalFormatting sqref="Q625">
    <cfRule type="containsText" dxfId="7354" priority="5649" operator="containsText" text="Cancelado">
      <formula>NOT(ISERROR(SEARCH("Cancelado",Q625)))</formula>
    </cfRule>
  </conditionalFormatting>
  <conditionalFormatting sqref="S625">
    <cfRule type="cellIs" dxfId="7353" priority="5646" operator="equal">
      <formula>"Tramitando"</formula>
    </cfRule>
    <cfRule type="cellIs" dxfId="7352" priority="5647" operator="equal">
      <formula>"Deferido"</formula>
    </cfRule>
    <cfRule type="cellIs" dxfId="7351" priority="5648" operator="equal">
      <formula>"Indeferido"</formula>
    </cfRule>
  </conditionalFormatting>
  <conditionalFormatting sqref="S625">
    <cfRule type="containsText" dxfId="7350" priority="5645" operator="containsText" text="Cancelado">
      <formula>NOT(ISERROR(SEARCH("Cancelado",S625)))</formula>
    </cfRule>
  </conditionalFormatting>
  <conditionalFormatting sqref="J626">
    <cfRule type="cellIs" dxfId="7349" priority="5641" operator="equal">
      <formula>"Tramitando"</formula>
    </cfRule>
    <cfRule type="cellIs" dxfId="7348" priority="5642" operator="equal">
      <formula>"Deferido"</formula>
    </cfRule>
    <cfRule type="cellIs" dxfId="7347" priority="5643" operator="equal">
      <formula>"Indeferido"</formula>
    </cfRule>
  </conditionalFormatting>
  <conditionalFormatting sqref="J626">
    <cfRule type="containsText" dxfId="7346" priority="5640" operator="containsText" text="Cancelado">
      <formula>NOT(ISERROR(SEARCH("Cancelado",J626)))</formula>
    </cfRule>
  </conditionalFormatting>
  <conditionalFormatting sqref="M626">
    <cfRule type="cellIs" dxfId="7345" priority="5637" operator="equal">
      <formula>"Tramitando"</formula>
    </cfRule>
    <cfRule type="cellIs" dxfId="7344" priority="5638" operator="equal">
      <formula>"Deferido"</formula>
    </cfRule>
    <cfRule type="cellIs" dxfId="7343" priority="5639" operator="equal">
      <formula>"Indeferido"</formula>
    </cfRule>
  </conditionalFormatting>
  <conditionalFormatting sqref="M626">
    <cfRule type="containsText" dxfId="7342" priority="5636" operator="containsText" text="Cancelado">
      <formula>NOT(ISERROR(SEARCH("Cancelado",M626)))</formula>
    </cfRule>
  </conditionalFormatting>
  <conditionalFormatting sqref="O626">
    <cfRule type="cellIs" dxfId="7341" priority="5633" operator="equal">
      <formula>"Tramitando"</formula>
    </cfRule>
    <cfRule type="cellIs" dxfId="7340" priority="5634" operator="equal">
      <formula>"Deferido"</formula>
    </cfRule>
    <cfRule type="cellIs" dxfId="7339" priority="5635" operator="equal">
      <formula>"Indeferido"</formula>
    </cfRule>
  </conditionalFormatting>
  <conditionalFormatting sqref="O626">
    <cfRule type="containsText" dxfId="7338" priority="5632" operator="containsText" text="Cancelado">
      <formula>NOT(ISERROR(SEARCH("Cancelado",O626)))</formula>
    </cfRule>
  </conditionalFormatting>
  <conditionalFormatting sqref="Q626">
    <cfRule type="cellIs" dxfId="7337" priority="5629" operator="equal">
      <formula>"Tramitando"</formula>
    </cfRule>
    <cfRule type="cellIs" dxfId="7336" priority="5630" operator="equal">
      <formula>"Deferido"</formula>
    </cfRule>
    <cfRule type="cellIs" dxfId="7335" priority="5631" operator="equal">
      <formula>"Indeferido"</formula>
    </cfRule>
  </conditionalFormatting>
  <conditionalFormatting sqref="Q626">
    <cfRule type="containsText" dxfId="7334" priority="5628" operator="containsText" text="Cancelado">
      <formula>NOT(ISERROR(SEARCH("Cancelado",Q626)))</formula>
    </cfRule>
  </conditionalFormatting>
  <conditionalFormatting sqref="S626">
    <cfRule type="cellIs" dxfId="7333" priority="5625" operator="equal">
      <formula>"Tramitando"</formula>
    </cfRule>
    <cfRule type="cellIs" dxfId="7332" priority="5626" operator="equal">
      <formula>"Deferido"</formula>
    </cfRule>
    <cfRule type="cellIs" dxfId="7331" priority="5627" operator="equal">
      <formula>"Indeferido"</formula>
    </cfRule>
  </conditionalFormatting>
  <conditionalFormatting sqref="S626">
    <cfRule type="containsText" dxfId="7330" priority="5624" operator="containsText" text="Cancelado">
      <formula>NOT(ISERROR(SEARCH("Cancelado",S626)))</formula>
    </cfRule>
  </conditionalFormatting>
  <conditionalFormatting sqref="J627">
    <cfRule type="cellIs" dxfId="7329" priority="5620" operator="equal">
      <formula>"Tramitando"</formula>
    </cfRule>
    <cfRule type="cellIs" dxfId="7328" priority="5621" operator="equal">
      <formula>"Deferido"</formula>
    </cfRule>
    <cfRule type="cellIs" dxfId="7327" priority="5622" operator="equal">
      <formula>"Indeferido"</formula>
    </cfRule>
  </conditionalFormatting>
  <conditionalFormatting sqref="J627">
    <cfRule type="containsText" dxfId="7326" priority="5619" operator="containsText" text="Cancelado">
      <formula>NOT(ISERROR(SEARCH("Cancelado",J627)))</formula>
    </cfRule>
  </conditionalFormatting>
  <conditionalFormatting sqref="M627">
    <cfRule type="cellIs" dxfId="7325" priority="5616" operator="equal">
      <formula>"Tramitando"</formula>
    </cfRule>
    <cfRule type="cellIs" dxfId="7324" priority="5617" operator="equal">
      <formula>"Deferido"</formula>
    </cfRule>
    <cfRule type="cellIs" dxfId="7323" priority="5618" operator="equal">
      <formula>"Indeferido"</formula>
    </cfRule>
  </conditionalFormatting>
  <conditionalFormatting sqref="M627">
    <cfRule type="containsText" dxfId="7322" priority="5615" operator="containsText" text="Cancelado">
      <formula>NOT(ISERROR(SEARCH("Cancelado",M627)))</formula>
    </cfRule>
  </conditionalFormatting>
  <conditionalFormatting sqref="O627">
    <cfRule type="cellIs" dxfId="7321" priority="5612" operator="equal">
      <formula>"Tramitando"</formula>
    </cfRule>
    <cfRule type="cellIs" dxfId="7320" priority="5613" operator="equal">
      <formula>"Deferido"</formula>
    </cfRule>
    <cfRule type="cellIs" dxfId="7319" priority="5614" operator="equal">
      <formula>"Indeferido"</formula>
    </cfRule>
  </conditionalFormatting>
  <conditionalFormatting sqref="O627">
    <cfRule type="containsText" dxfId="7318" priority="5611" operator="containsText" text="Cancelado">
      <formula>NOT(ISERROR(SEARCH("Cancelado",O627)))</formula>
    </cfRule>
  </conditionalFormatting>
  <conditionalFormatting sqref="Q627">
    <cfRule type="cellIs" dxfId="7317" priority="5608" operator="equal">
      <formula>"Tramitando"</formula>
    </cfRule>
    <cfRule type="cellIs" dxfId="7316" priority="5609" operator="equal">
      <formula>"Deferido"</formula>
    </cfRule>
    <cfRule type="cellIs" dxfId="7315" priority="5610" operator="equal">
      <formula>"Indeferido"</formula>
    </cfRule>
  </conditionalFormatting>
  <conditionalFormatting sqref="Q627">
    <cfRule type="containsText" dxfId="7314" priority="5607" operator="containsText" text="Cancelado">
      <formula>NOT(ISERROR(SEARCH("Cancelado",Q627)))</formula>
    </cfRule>
  </conditionalFormatting>
  <conditionalFormatting sqref="S627">
    <cfRule type="cellIs" dxfId="7313" priority="5604" operator="equal">
      <formula>"Tramitando"</formula>
    </cfRule>
    <cfRule type="cellIs" dxfId="7312" priority="5605" operator="equal">
      <formula>"Deferido"</formula>
    </cfRule>
    <cfRule type="cellIs" dxfId="7311" priority="5606" operator="equal">
      <formula>"Indeferido"</formula>
    </cfRule>
  </conditionalFormatting>
  <conditionalFormatting sqref="S627">
    <cfRule type="containsText" dxfId="7310" priority="5603" operator="containsText" text="Cancelado">
      <formula>NOT(ISERROR(SEARCH("Cancelado",S627)))</formula>
    </cfRule>
  </conditionalFormatting>
  <conditionalFormatting sqref="J628:J632">
    <cfRule type="cellIs" dxfId="7309" priority="5599" operator="equal">
      <formula>"Tramitando"</formula>
    </cfRule>
    <cfRule type="cellIs" dxfId="7308" priority="5600" operator="equal">
      <formula>"Deferido"</formula>
    </cfRule>
    <cfRule type="cellIs" dxfId="7307" priority="5601" operator="equal">
      <formula>"Indeferido"</formula>
    </cfRule>
  </conditionalFormatting>
  <conditionalFormatting sqref="J628:J632">
    <cfRule type="containsText" dxfId="7306" priority="5598" operator="containsText" text="Cancelado">
      <formula>NOT(ISERROR(SEARCH("Cancelado",J628)))</formula>
    </cfRule>
  </conditionalFormatting>
  <conditionalFormatting sqref="M628:M632">
    <cfRule type="cellIs" dxfId="7305" priority="5595" operator="equal">
      <formula>"Tramitando"</formula>
    </cfRule>
    <cfRule type="cellIs" dxfId="7304" priority="5596" operator="equal">
      <formula>"Deferido"</formula>
    </cfRule>
    <cfRule type="cellIs" dxfId="7303" priority="5597" operator="equal">
      <formula>"Indeferido"</formula>
    </cfRule>
  </conditionalFormatting>
  <conditionalFormatting sqref="M628:M632">
    <cfRule type="containsText" dxfId="7302" priority="5594" operator="containsText" text="Cancelado">
      <formula>NOT(ISERROR(SEARCH("Cancelado",M628)))</formula>
    </cfRule>
  </conditionalFormatting>
  <conditionalFormatting sqref="O628:O632">
    <cfRule type="cellIs" dxfId="7301" priority="5591" operator="equal">
      <formula>"Tramitando"</formula>
    </cfRule>
    <cfRule type="cellIs" dxfId="7300" priority="5592" operator="equal">
      <formula>"Deferido"</formula>
    </cfRule>
    <cfRule type="cellIs" dxfId="7299" priority="5593" operator="equal">
      <formula>"Indeferido"</formula>
    </cfRule>
  </conditionalFormatting>
  <conditionalFormatting sqref="O628:O632">
    <cfRule type="containsText" dxfId="7298" priority="5590" operator="containsText" text="Cancelado">
      <formula>NOT(ISERROR(SEARCH("Cancelado",O628)))</formula>
    </cfRule>
  </conditionalFormatting>
  <conditionalFormatting sqref="Q628:Q632">
    <cfRule type="cellIs" dxfId="7297" priority="5587" operator="equal">
      <formula>"Tramitando"</formula>
    </cfRule>
    <cfRule type="cellIs" dxfId="7296" priority="5588" operator="equal">
      <formula>"Deferido"</formula>
    </cfRule>
    <cfRule type="cellIs" dxfId="7295" priority="5589" operator="equal">
      <formula>"Indeferido"</formula>
    </cfRule>
  </conditionalFormatting>
  <conditionalFormatting sqref="Q628:Q632">
    <cfRule type="containsText" dxfId="7294" priority="5586" operator="containsText" text="Cancelado">
      <formula>NOT(ISERROR(SEARCH("Cancelado",Q628)))</formula>
    </cfRule>
  </conditionalFormatting>
  <conditionalFormatting sqref="S628:S632">
    <cfRule type="cellIs" dxfId="7293" priority="5583" operator="equal">
      <formula>"Tramitando"</formula>
    </cfRule>
    <cfRule type="cellIs" dxfId="7292" priority="5584" operator="equal">
      <formula>"Deferido"</formula>
    </cfRule>
    <cfRule type="cellIs" dxfId="7291" priority="5585" operator="equal">
      <formula>"Indeferido"</formula>
    </cfRule>
  </conditionalFormatting>
  <conditionalFormatting sqref="S628:S632">
    <cfRule type="containsText" dxfId="7290" priority="5582" operator="containsText" text="Cancelado">
      <formula>NOT(ISERROR(SEARCH("Cancelado",S628)))</formula>
    </cfRule>
  </conditionalFormatting>
  <conditionalFormatting sqref="J633">
    <cfRule type="cellIs" dxfId="7289" priority="5578" operator="equal">
      <formula>"Tramitando"</formula>
    </cfRule>
    <cfRule type="cellIs" dxfId="7288" priority="5579" operator="equal">
      <formula>"Deferido"</formula>
    </cfRule>
    <cfRule type="cellIs" dxfId="7287" priority="5580" operator="equal">
      <formula>"Indeferido"</formula>
    </cfRule>
  </conditionalFormatting>
  <conditionalFormatting sqref="J633">
    <cfRule type="containsText" dxfId="7286" priority="5577" operator="containsText" text="Cancelado">
      <formula>NOT(ISERROR(SEARCH("Cancelado",J633)))</formula>
    </cfRule>
  </conditionalFormatting>
  <conditionalFormatting sqref="M633">
    <cfRule type="cellIs" dxfId="7285" priority="5574" operator="equal">
      <formula>"Tramitando"</formula>
    </cfRule>
    <cfRule type="cellIs" dxfId="7284" priority="5575" operator="equal">
      <formula>"Deferido"</formula>
    </cfRule>
    <cfRule type="cellIs" dxfId="7283" priority="5576" operator="equal">
      <formula>"Indeferido"</formula>
    </cfRule>
  </conditionalFormatting>
  <conditionalFormatting sqref="M633">
    <cfRule type="containsText" dxfId="7282" priority="5573" operator="containsText" text="Cancelado">
      <formula>NOT(ISERROR(SEARCH("Cancelado",M633)))</formula>
    </cfRule>
  </conditionalFormatting>
  <conditionalFormatting sqref="O633">
    <cfRule type="cellIs" dxfId="7281" priority="5570" operator="equal">
      <formula>"Tramitando"</formula>
    </cfRule>
    <cfRule type="cellIs" dxfId="7280" priority="5571" operator="equal">
      <formula>"Deferido"</formula>
    </cfRule>
    <cfRule type="cellIs" dxfId="7279" priority="5572" operator="equal">
      <formula>"Indeferido"</formula>
    </cfRule>
  </conditionalFormatting>
  <conditionalFormatting sqref="O633">
    <cfRule type="containsText" dxfId="7278" priority="5569" operator="containsText" text="Cancelado">
      <formula>NOT(ISERROR(SEARCH("Cancelado",O633)))</formula>
    </cfRule>
  </conditionalFormatting>
  <conditionalFormatting sqref="Q633">
    <cfRule type="cellIs" dxfId="7277" priority="5566" operator="equal">
      <formula>"Tramitando"</formula>
    </cfRule>
    <cfRule type="cellIs" dxfId="7276" priority="5567" operator="equal">
      <formula>"Deferido"</formula>
    </cfRule>
    <cfRule type="cellIs" dxfId="7275" priority="5568" operator="equal">
      <formula>"Indeferido"</formula>
    </cfRule>
  </conditionalFormatting>
  <conditionalFormatting sqref="Q633">
    <cfRule type="containsText" dxfId="7274" priority="5565" operator="containsText" text="Cancelado">
      <formula>NOT(ISERROR(SEARCH("Cancelado",Q633)))</formula>
    </cfRule>
  </conditionalFormatting>
  <conditionalFormatting sqref="S633">
    <cfRule type="cellIs" dxfId="7273" priority="5562" operator="equal">
      <formula>"Tramitando"</formula>
    </cfRule>
    <cfRule type="cellIs" dxfId="7272" priority="5563" operator="equal">
      <formula>"Deferido"</formula>
    </cfRule>
    <cfRule type="cellIs" dxfId="7271" priority="5564" operator="equal">
      <formula>"Indeferido"</formula>
    </cfRule>
  </conditionalFormatting>
  <conditionalFormatting sqref="S633">
    <cfRule type="containsText" dxfId="7270" priority="5561" operator="containsText" text="Cancelado">
      <formula>NOT(ISERROR(SEARCH("Cancelado",S633)))</formula>
    </cfRule>
  </conditionalFormatting>
  <conditionalFormatting sqref="J634:J635">
    <cfRule type="cellIs" dxfId="7269" priority="5557" operator="equal">
      <formula>"Tramitando"</formula>
    </cfRule>
    <cfRule type="cellIs" dxfId="7268" priority="5558" operator="equal">
      <formula>"Deferido"</formula>
    </cfRule>
    <cfRule type="cellIs" dxfId="7267" priority="5559" operator="equal">
      <formula>"Indeferido"</formula>
    </cfRule>
  </conditionalFormatting>
  <conditionalFormatting sqref="J634:J635">
    <cfRule type="containsText" dxfId="7266" priority="5556" operator="containsText" text="Cancelado">
      <formula>NOT(ISERROR(SEARCH("Cancelado",J634)))</formula>
    </cfRule>
  </conditionalFormatting>
  <conditionalFormatting sqref="M634:M635">
    <cfRule type="cellIs" dxfId="7265" priority="5553" operator="equal">
      <formula>"Tramitando"</formula>
    </cfRule>
    <cfRule type="cellIs" dxfId="7264" priority="5554" operator="equal">
      <formula>"Deferido"</formula>
    </cfRule>
    <cfRule type="cellIs" dxfId="7263" priority="5555" operator="equal">
      <formula>"Indeferido"</formula>
    </cfRule>
  </conditionalFormatting>
  <conditionalFormatting sqref="M634:M635">
    <cfRule type="containsText" dxfId="7262" priority="5552" operator="containsText" text="Cancelado">
      <formula>NOT(ISERROR(SEARCH("Cancelado",M634)))</formula>
    </cfRule>
  </conditionalFormatting>
  <conditionalFormatting sqref="O634:O635">
    <cfRule type="cellIs" dxfId="7261" priority="5549" operator="equal">
      <formula>"Tramitando"</formula>
    </cfRule>
    <cfRule type="cellIs" dxfId="7260" priority="5550" operator="equal">
      <formula>"Deferido"</formula>
    </cfRule>
    <cfRule type="cellIs" dxfId="7259" priority="5551" operator="equal">
      <formula>"Indeferido"</formula>
    </cfRule>
  </conditionalFormatting>
  <conditionalFormatting sqref="O634:O635">
    <cfRule type="containsText" dxfId="7258" priority="5548" operator="containsText" text="Cancelado">
      <formula>NOT(ISERROR(SEARCH("Cancelado",O634)))</formula>
    </cfRule>
  </conditionalFormatting>
  <conditionalFormatting sqref="Q634:Q635">
    <cfRule type="cellIs" dxfId="7257" priority="5545" operator="equal">
      <formula>"Tramitando"</formula>
    </cfRule>
    <cfRule type="cellIs" dxfId="7256" priority="5546" operator="equal">
      <formula>"Deferido"</formula>
    </cfRule>
    <cfRule type="cellIs" dxfId="7255" priority="5547" operator="equal">
      <formula>"Indeferido"</formula>
    </cfRule>
  </conditionalFormatting>
  <conditionalFormatting sqref="Q634:Q635">
    <cfRule type="containsText" dxfId="7254" priority="5544" operator="containsText" text="Cancelado">
      <formula>NOT(ISERROR(SEARCH("Cancelado",Q634)))</formula>
    </cfRule>
  </conditionalFormatting>
  <conditionalFormatting sqref="S634:S635">
    <cfRule type="cellIs" dxfId="7253" priority="5541" operator="equal">
      <formula>"Tramitando"</formula>
    </cfRule>
    <cfRule type="cellIs" dxfId="7252" priority="5542" operator="equal">
      <formula>"Deferido"</formula>
    </cfRule>
    <cfRule type="cellIs" dxfId="7251" priority="5543" operator="equal">
      <formula>"Indeferido"</formula>
    </cfRule>
  </conditionalFormatting>
  <conditionalFormatting sqref="S634:S635">
    <cfRule type="containsText" dxfId="7250" priority="5540" operator="containsText" text="Cancelado">
      <formula>NOT(ISERROR(SEARCH("Cancelado",S634)))</formula>
    </cfRule>
  </conditionalFormatting>
  <conditionalFormatting sqref="J636:J637">
    <cfRule type="cellIs" dxfId="7249" priority="5536" operator="equal">
      <formula>"Tramitando"</formula>
    </cfRule>
    <cfRule type="cellIs" dxfId="7248" priority="5537" operator="equal">
      <formula>"Deferido"</formula>
    </cfRule>
    <cfRule type="cellIs" dxfId="7247" priority="5538" operator="equal">
      <formula>"Indeferido"</formula>
    </cfRule>
  </conditionalFormatting>
  <conditionalFormatting sqref="J636:J637">
    <cfRule type="containsText" dxfId="7246" priority="5535" operator="containsText" text="Cancelado">
      <formula>NOT(ISERROR(SEARCH("Cancelado",J636)))</formula>
    </cfRule>
  </conditionalFormatting>
  <conditionalFormatting sqref="M636:M637">
    <cfRule type="cellIs" dxfId="7245" priority="5532" operator="equal">
      <formula>"Tramitando"</formula>
    </cfRule>
    <cfRule type="cellIs" dxfId="7244" priority="5533" operator="equal">
      <formula>"Deferido"</formula>
    </cfRule>
    <cfRule type="cellIs" dxfId="7243" priority="5534" operator="equal">
      <formula>"Indeferido"</formula>
    </cfRule>
  </conditionalFormatting>
  <conditionalFormatting sqref="M636:M637">
    <cfRule type="containsText" dxfId="7242" priority="5531" operator="containsText" text="Cancelado">
      <formula>NOT(ISERROR(SEARCH("Cancelado",M636)))</formula>
    </cfRule>
  </conditionalFormatting>
  <conditionalFormatting sqref="O636:O637">
    <cfRule type="cellIs" dxfId="7241" priority="5528" operator="equal">
      <formula>"Tramitando"</formula>
    </cfRule>
    <cfRule type="cellIs" dxfId="7240" priority="5529" operator="equal">
      <formula>"Deferido"</formula>
    </cfRule>
    <cfRule type="cellIs" dxfId="7239" priority="5530" operator="equal">
      <formula>"Indeferido"</formula>
    </cfRule>
  </conditionalFormatting>
  <conditionalFormatting sqref="O636:O637">
    <cfRule type="containsText" dxfId="7238" priority="5527" operator="containsText" text="Cancelado">
      <formula>NOT(ISERROR(SEARCH("Cancelado",O636)))</formula>
    </cfRule>
  </conditionalFormatting>
  <conditionalFormatting sqref="Q636:Q637">
    <cfRule type="cellIs" dxfId="7237" priority="5524" operator="equal">
      <formula>"Tramitando"</formula>
    </cfRule>
    <cfRule type="cellIs" dxfId="7236" priority="5525" operator="equal">
      <formula>"Deferido"</formula>
    </cfRule>
    <cfRule type="cellIs" dxfId="7235" priority="5526" operator="equal">
      <formula>"Indeferido"</formula>
    </cfRule>
  </conditionalFormatting>
  <conditionalFormatting sqref="Q636:Q637">
    <cfRule type="containsText" dxfId="7234" priority="5523" operator="containsText" text="Cancelado">
      <formula>NOT(ISERROR(SEARCH("Cancelado",Q636)))</formula>
    </cfRule>
  </conditionalFormatting>
  <conditionalFormatting sqref="S636:S637">
    <cfRule type="cellIs" dxfId="7233" priority="5520" operator="equal">
      <formula>"Tramitando"</formula>
    </cfRule>
    <cfRule type="cellIs" dxfId="7232" priority="5521" operator="equal">
      <formula>"Deferido"</formula>
    </cfRule>
    <cfRule type="cellIs" dxfId="7231" priority="5522" operator="equal">
      <formula>"Indeferido"</formula>
    </cfRule>
  </conditionalFormatting>
  <conditionalFormatting sqref="S636:S637">
    <cfRule type="containsText" dxfId="7230" priority="5519" operator="containsText" text="Cancelado">
      <formula>NOT(ISERROR(SEARCH("Cancelado",S636)))</formula>
    </cfRule>
  </conditionalFormatting>
  <conditionalFormatting sqref="J638">
    <cfRule type="cellIs" dxfId="7229" priority="5515" operator="equal">
      <formula>"Tramitando"</formula>
    </cfRule>
    <cfRule type="cellIs" dxfId="7228" priority="5516" operator="equal">
      <formula>"Deferido"</formula>
    </cfRule>
    <cfRule type="cellIs" dxfId="7227" priority="5517" operator="equal">
      <formula>"Indeferido"</formula>
    </cfRule>
  </conditionalFormatting>
  <conditionalFormatting sqref="J638">
    <cfRule type="containsText" dxfId="7226" priority="5514" operator="containsText" text="Cancelado">
      <formula>NOT(ISERROR(SEARCH("Cancelado",J638)))</formula>
    </cfRule>
  </conditionalFormatting>
  <conditionalFormatting sqref="M638">
    <cfRule type="cellIs" dxfId="7225" priority="5511" operator="equal">
      <formula>"Tramitando"</formula>
    </cfRule>
    <cfRule type="cellIs" dxfId="7224" priority="5512" operator="equal">
      <formula>"Deferido"</formula>
    </cfRule>
    <cfRule type="cellIs" dxfId="7223" priority="5513" operator="equal">
      <formula>"Indeferido"</formula>
    </cfRule>
  </conditionalFormatting>
  <conditionalFormatting sqref="M638">
    <cfRule type="containsText" dxfId="7222" priority="5510" operator="containsText" text="Cancelado">
      <formula>NOT(ISERROR(SEARCH("Cancelado",M638)))</formula>
    </cfRule>
  </conditionalFormatting>
  <conditionalFormatting sqref="O638">
    <cfRule type="cellIs" dxfId="7221" priority="5507" operator="equal">
      <formula>"Tramitando"</formula>
    </cfRule>
    <cfRule type="cellIs" dxfId="7220" priority="5508" operator="equal">
      <formula>"Deferido"</formula>
    </cfRule>
    <cfRule type="cellIs" dxfId="7219" priority="5509" operator="equal">
      <formula>"Indeferido"</formula>
    </cfRule>
  </conditionalFormatting>
  <conditionalFormatting sqref="O638">
    <cfRule type="containsText" dxfId="7218" priority="5506" operator="containsText" text="Cancelado">
      <formula>NOT(ISERROR(SEARCH("Cancelado",O638)))</formula>
    </cfRule>
  </conditionalFormatting>
  <conditionalFormatting sqref="Q638">
    <cfRule type="cellIs" dxfId="7217" priority="5503" operator="equal">
      <formula>"Tramitando"</formula>
    </cfRule>
    <cfRule type="cellIs" dxfId="7216" priority="5504" operator="equal">
      <formula>"Deferido"</formula>
    </cfRule>
    <cfRule type="cellIs" dxfId="7215" priority="5505" operator="equal">
      <formula>"Indeferido"</formula>
    </cfRule>
  </conditionalFormatting>
  <conditionalFormatting sqref="Q638">
    <cfRule type="containsText" dxfId="7214" priority="5502" operator="containsText" text="Cancelado">
      <formula>NOT(ISERROR(SEARCH("Cancelado",Q638)))</formula>
    </cfRule>
  </conditionalFormatting>
  <conditionalFormatting sqref="S638">
    <cfRule type="cellIs" dxfId="7213" priority="5499" operator="equal">
      <formula>"Tramitando"</formula>
    </cfRule>
    <cfRule type="cellIs" dxfId="7212" priority="5500" operator="equal">
      <formula>"Deferido"</formula>
    </cfRule>
    <cfRule type="cellIs" dxfId="7211" priority="5501" operator="equal">
      <formula>"Indeferido"</formula>
    </cfRule>
  </conditionalFormatting>
  <conditionalFormatting sqref="S638">
    <cfRule type="containsText" dxfId="7210" priority="5498" operator="containsText" text="Cancelado">
      <formula>NOT(ISERROR(SEARCH("Cancelado",S638)))</formula>
    </cfRule>
  </conditionalFormatting>
  <conditionalFormatting sqref="J639">
    <cfRule type="cellIs" dxfId="7209" priority="5494" operator="equal">
      <formula>"Tramitando"</formula>
    </cfRule>
    <cfRule type="cellIs" dxfId="7208" priority="5495" operator="equal">
      <formula>"Deferido"</formula>
    </cfRule>
    <cfRule type="cellIs" dxfId="7207" priority="5496" operator="equal">
      <formula>"Indeferido"</formula>
    </cfRule>
  </conditionalFormatting>
  <conditionalFormatting sqref="J639">
    <cfRule type="containsText" dxfId="7206" priority="5493" operator="containsText" text="Cancelado">
      <formula>NOT(ISERROR(SEARCH("Cancelado",J639)))</formula>
    </cfRule>
  </conditionalFormatting>
  <conditionalFormatting sqref="M639">
    <cfRule type="cellIs" dxfId="7205" priority="5490" operator="equal">
      <formula>"Tramitando"</formula>
    </cfRule>
    <cfRule type="cellIs" dxfId="7204" priority="5491" operator="equal">
      <formula>"Deferido"</formula>
    </cfRule>
    <cfRule type="cellIs" dxfId="7203" priority="5492" operator="equal">
      <formula>"Indeferido"</formula>
    </cfRule>
  </conditionalFormatting>
  <conditionalFormatting sqref="M639">
    <cfRule type="containsText" dxfId="7202" priority="5489" operator="containsText" text="Cancelado">
      <formula>NOT(ISERROR(SEARCH("Cancelado",M639)))</formula>
    </cfRule>
  </conditionalFormatting>
  <conditionalFormatting sqref="O639">
    <cfRule type="cellIs" dxfId="7201" priority="5486" operator="equal">
      <formula>"Tramitando"</formula>
    </cfRule>
    <cfRule type="cellIs" dxfId="7200" priority="5487" operator="equal">
      <formula>"Deferido"</formula>
    </cfRule>
    <cfRule type="cellIs" dxfId="7199" priority="5488" operator="equal">
      <formula>"Indeferido"</formula>
    </cfRule>
  </conditionalFormatting>
  <conditionalFormatting sqref="O639">
    <cfRule type="containsText" dxfId="7198" priority="5485" operator="containsText" text="Cancelado">
      <formula>NOT(ISERROR(SEARCH("Cancelado",O639)))</formula>
    </cfRule>
  </conditionalFormatting>
  <conditionalFormatting sqref="Q639">
    <cfRule type="cellIs" dxfId="7197" priority="5482" operator="equal">
      <formula>"Tramitando"</formula>
    </cfRule>
    <cfRule type="cellIs" dxfId="7196" priority="5483" operator="equal">
      <formula>"Deferido"</formula>
    </cfRule>
    <cfRule type="cellIs" dxfId="7195" priority="5484" operator="equal">
      <formula>"Indeferido"</formula>
    </cfRule>
  </conditionalFormatting>
  <conditionalFormatting sqref="Q639">
    <cfRule type="containsText" dxfId="7194" priority="5481" operator="containsText" text="Cancelado">
      <formula>NOT(ISERROR(SEARCH("Cancelado",Q639)))</formula>
    </cfRule>
  </conditionalFormatting>
  <conditionalFormatting sqref="S639">
    <cfRule type="cellIs" dxfId="7193" priority="5478" operator="equal">
      <formula>"Tramitando"</formula>
    </cfRule>
    <cfRule type="cellIs" dxfId="7192" priority="5479" operator="equal">
      <formula>"Deferido"</formula>
    </cfRule>
    <cfRule type="cellIs" dxfId="7191" priority="5480" operator="equal">
      <formula>"Indeferido"</formula>
    </cfRule>
  </conditionalFormatting>
  <conditionalFormatting sqref="S639">
    <cfRule type="containsText" dxfId="7190" priority="5477" operator="containsText" text="Cancelado">
      <formula>NOT(ISERROR(SEARCH("Cancelado",S639)))</formula>
    </cfRule>
  </conditionalFormatting>
  <conditionalFormatting sqref="J640">
    <cfRule type="cellIs" dxfId="7189" priority="5473" operator="equal">
      <formula>"Tramitando"</formula>
    </cfRule>
    <cfRule type="cellIs" dxfId="7188" priority="5474" operator="equal">
      <formula>"Deferido"</formula>
    </cfRule>
    <cfRule type="cellIs" dxfId="7187" priority="5475" operator="equal">
      <formula>"Indeferido"</formula>
    </cfRule>
  </conditionalFormatting>
  <conditionalFormatting sqref="J640">
    <cfRule type="containsText" dxfId="7186" priority="5472" operator="containsText" text="Cancelado">
      <formula>NOT(ISERROR(SEARCH("Cancelado",J640)))</formula>
    </cfRule>
  </conditionalFormatting>
  <conditionalFormatting sqref="M640">
    <cfRule type="cellIs" dxfId="7185" priority="5469" operator="equal">
      <formula>"Tramitando"</formula>
    </cfRule>
    <cfRule type="cellIs" dxfId="7184" priority="5470" operator="equal">
      <formula>"Deferido"</formula>
    </cfRule>
    <cfRule type="cellIs" dxfId="7183" priority="5471" operator="equal">
      <formula>"Indeferido"</formula>
    </cfRule>
  </conditionalFormatting>
  <conditionalFormatting sqref="M640">
    <cfRule type="containsText" dxfId="7182" priority="5468" operator="containsText" text="Cancelado">
      <formula>NOT(ISERROR(SEARCH("Cancelado",M640)))</formula>
    </cfRule>
  </conditionalFormatting>
  <conditionalFormatting sqref="O640">
    <cfRule type="cellIs" dxfId="7181" priority="5465" operator="equal">
      <formula>"Tramitando"</formula>
    </cfRule>
    <cfRule type="cellIs" dxfId="7180" priority="5466" operator="equal">
      <formula>"Deferido"</formula>
    </cfRule>
    <cfRule type="cellIs" dxfId="7179" priority="5467" operator="equal">
      <formula>"Indeferido"</formula>
    </cfRule>
  </conditionalFormatting>
  <conditionalFormatting sqref="O640">
    <cfRule type="containsText" dxfId="7178" priority="5464" operator="containsText" text="Cancelado">
      <formula>NOT(ISERROR(SEARCH("Cancelado",O640)))</formula>
    </cfRule>
  </conditionalFormatting>
  <conditionalFormatting sqref="Q640">
    <cfRule type="cellIs" dxfId="7177" priority="5461" operator="equal">
      <formula>"Tramitando"</formula>
    </cfRule>
    <cfRule type="cellIs" dxfId="7176" priority="5462" operator="equal">
      <formula>"Deferido"</formula>
    </cfRule>
    <cfRule type="cellIs" dxfId="7175" priority="5463" operator="equal">
      <formula>"Indeferido"</formula>
    </cfRule>
  </conditionalFormatting>
  <conditionalFormatting sqref="Q640">
    <cfRule type="containsText" dxfId="7174" priority="5460" operator="containsText" text="Cancelado">
      <formula>NOT(ISERROR(SEARCH("Cancelado",Q640)))</formula>
    </cfRule>
  </conditionalFormatting>
  <conditionalFormatting sqref="S640">
    <cfRule type="cellIs" dxfId="7173" priority="5457" operator="equal">
      <formula>"Tramitando"</formula>
    </cfRule>
    <cfRule type="cellIs" dxfId="7172" priority="5458" operator="equal">
      <formula>"Deferido"</formula>
    </cfRule>
    <cfRule type="cellIs" dxfId="7171" priority="5459" operator="equal">
      <formula>"Indeferido"</formula>
    </cfRule>
  </conditionalFormatting>
  <conditionalFormatting sqref="S640">
    <cfRule type="containsText" dxfId="7170" priority="5456" operator="containsText" text="Cancelado">
      <formula>NOT(ISERROR(SEARCH("Cancelado",S640)))</formula>
    </cfRule>
  </conditionalFormatting>
  <conditionalFormatting sqref="J641">
    <cfRule type="cellIs" dxfId="7169" priority="5452" operator="equal">
      <formula>"Tramitando"</formula>
    </cfRule>
    <cfRule type="cellIs" dxfId="7168" priority="5453" operator="equal">
      <formula>"Deferido"</formula>
    </cfRule>
    <cfRule type="cellIs" dxfId="7167" priority="5454" operator="equal">
      <formula>"Indeferido"</formula>
    </cfRule>
  </conditionalFormatting>
  <conditionalFormatting sqref="J641">
    <cfRule type="containsText" dxfId="7166" priority="5451" operator="containsText" text="Cancelado">
      <formula>NOT(ISERROR(SEARCH("Cancelado",J641)))</formula>
    </cfRule>
  </conditionalFormatting>
  <conditionalFormatting sqref="M641">
    <cfRule type="cellIs" dxfId="7165" priority="5448" operator="equal">
      <formula>"Tramitando"</formula>
    </cfRule>
    <cfRule type="cellIs" dxfId="7164" priority="5449" operator="equal">
      <formula>"Deferido"</formula>
    </cfRule>
    <cfRule type="cellIs" dxfId="7163" priority="5450" operator="equal">
      <formula>"Indeferido"</formula>
    </cfRule>
  </conditionalFormatting>
  <conditionalFormatting sqref="M641">
    <cfRule type="containsText" dxfId="7162" priority="5447" operator="containsText" text="Cancelado">
      <formula>NOT(ISERROR(SEARCH("Cancelado",M641)))</formula>
    </cfRule>
  </conditionalFormatting>
  <conditionalFormatting sqref="O641">
    <cfRule type="cellIs" dxfId="7161" priority="5444" operator="equal">
      <formula>"Tramitando"</formula>
    </cfRule>
    <cfRule type="cellIs" dxfId="7160" priority="5445" operator="equal">
      <formula>"Deferido"</formula>
    </cfRule>
    <cfRule type="cellIs" dxfId="7159" priority="5446" operator="equal">
      <formula>"Indeferido"</formula>
    </cfRule>
  </conditionalFormatting>
  <conditionalFormatting sqref="O641">
    <cfRule type="containsText" dxfId="7158" priority="5443" operator="containsText" text="Cancelado">
      <formula>NOT(ISERROR(SEARCH("Cancelado",O641)))</formula>
    </cfRule>
  </conditionalFormatting>
  <conditionalFormatting sqref="Q641">
    <cfRule type="cellIs" dxfId="7157" priority="5440" operator="equal">
      <formula>"Tramitando"</formula>
    </cfRule>
    <cfRule type="cellIs" dxfId="7156" priority="5441" operator="equal">
      <formula>"Deferido"</formula>
    </cfRule>
    <cfRule type="cellIs" dxfId="7155" priority="5442" operator="equal">
      <formula>"Indeferido"</formula>
    </cfRule>
  </conditionalFormatting>
  <conditionalFormatting sqref="Q641">
    <cfRule type="containsText" dxfId="7154" priority="5439" operator="containsText" text="Cancelado">
      <formula>NOT(ISERROR(SEARCH("Cancelado",Q641)))</formula>
    </cfRule>
  </conditionalFormatting>
  <conditionalFormatting sqref="S641">
    <cfRule type="cellIs" dxfId="7153" priority="5436" operator="equal">
      <formula>"Tramitando"</formula>
    </cfRule>
    <cfRule type="cellIs" dxfId="7152" priority="5437" operator="equal">
      <formula>"Deferido"</formula>
    </cfRule>
    <cfRule type="cellIs" dxfId="7151" priority="5438" operator="equal">
      <formula>"Indeferido"</formula>
    </cfRule>
  </conditionalFormatting>
  <conditionalFormatting sqref="S641">
    <cfRule type="containsText" dxfId="7150" priority="5435" operator="containsText" text="Cancelado">
      <formula>NOT(ISERROR(SEARCH("Cancelado",S641)))</formula>
    </cfRule>
  </conditionalFormatting>
  <conditionalFormatting sqref="J642">
    <cfRule type="cellIs" dxfId="7149" priority="5431" operator="equal">
      <formula>"Tramitando"</formula>
    </cfRule>
    <cfRule type="cellIs" dxfId="7148" priority="5432" operator="equal">
      <formula>"Deferido"</formula>
    </cfRule>
    <cfRule type="cellIs" dxfId="7147" priority="5433" operator="equal">
      <formula>"Indeferido"</formula>
    </cfRule>
  </conditionalFormatting>
  <conditionalFormatting sqref="J642">
    <cfRule type="containsText" dxfId="7146" priority="5430" operator="containsText" text="Cancelado">
      <formula>NOT(ISERROR(SEARCH("Cancelado",J642)))</formula>
    </cfRule>
  </conditionalFormatting>
  <conditionalFormatting sqref="M642">
    <cfRule type="cellIs" dxfId="7145" priority="5427" operator="equal">
      <formula>"Tramitando"</formula>
    </cfRule>
    <cfRule type="cellIs" dxfId="7144" priority="5428" operator="equal">
      <formula>"Deferido"</formula>
    </cfRule>
    <cfRule type="cellIs" dxfId="7143" priority="5429" operator="equal">
      <formula>"Indeferido"</formula>
    </cfRule>
  </conditionalFormatting>
  <conditionalFormatting sqref="M642">
    <cfRule type="containsText" dxfId="7142" priority="5426" operator="containsText" text="Cancelado">
      <formula>NOT(ISERROR(SEARCH("Cancelado",M642)))</formula>
    </cfRule>
  </conditionalFormatting>
  <conditionalFormatting sqref="O642">
    <cfRule type="cellIs" dxfId="7141" priority="5423" operator="equal">
      <formula>"Tramitando"</formula>
    </cfRule>
    <cfRule type="cellIs" dxfId="7140" priority="5424" operator="equal">
      <formula>"Deferido"</formula>
    </cfRule>
    <cfRule type="cellIs" dxfId="7139" priority="5425" operator="equal">
      <formula>"Indeferido"</formula>
    </cfRule>
  </conditionalFormatting>
  <conditionalFormatting sqref="O642">
    <cfRule type="containsText" dxfId="7138" priority="5422" operator="containsText" text="Cancelado">
      <formula>NOT(ISERROR(SEARCH("Cancelado",O642)))</formula>
    </cfRule>
  </conditionalFormatting>
  <conditionalFormatting sqref="Q642">
    <cfRule type="cellIs" dxfId="7137" priority="5419" operator="equal">
      <formula>"Tramitando"</formula>
    </cfRule>
    <cfRule type="cellIs" dxfId="7136" priority="5420" operator="equal">
      <formula>"Deferido"</formula>
    </cfRule>
    <cfRule type="cellIs" dxfId="7135" priority="5421" operator="equal">
      <formula>"Indeferido"</formula>
    </cfRule>
  </conditionalFormatting>
  <conditionalFormatting sqref="Q642">
    <cfRule type="containsText" dxfId="7134" priority="5418" operator="containsText" text="Cancelado">
      <formula>NOT(ISERROR(SEARCH("Cancelado",Q642)))</formula>
    </cfRule>
  </conditionalFormatting>
  <conditionalFormatting sqref="S642">
    <cfRule type="cellIs" dxfId="7133" priority="5415" operator="equal">
      <formula>"Tramitando"</formula>
    </cfRule>
    <cfRule type="cellIs" dxfId="7132" priority="5416" operator="equal">
      <formula>"Deferido"</formula>
    </cfRule>
    <cfRule type="cellIs" dxfId="7131" priority="5417" operator="equal">
      <formula>"Indeferido"</formula>
    </cfRule>
  </conditionalFormatting>
  <conditionalFormatting sqref="S642">
    <cfRule type="containsText" dxfId="7130" priority="5414" operator="containsText" text="Cancelado">
      <formula>NOT(ISERROR(SEARCH("Cancelado",S642)))</formula>
    </cfRule>
  </conditionalFormatting>
  <conditionalFormatting sqref="J643">
    <cfRule type="cellIs" dxfId="7129" priority="5410" operator="equal">
      <formula>"Tramitando"</formula>
    </cfRule>
    <cfRule type="cellIs" dxfId="7128" priority="5411" operator="equal">
      <formula>"Deferido"</formula>
    </cfRule>
    <cfRule type="cellIs" dxfId="7127" priority="5412" operator="equal">
      <formula>"Indeferido"</formula>
    </cfRule>
  </conditionalFormatting>
  <conditionalFormatting sqref="J643">
    <cfRule type="containsText" dxfId="7126" priority="5409" operator="containsText" text="Cancelado">
      <formula>NOT(ISERROR(SEARCH("Cancelado",J643)))</formula>
    </cfRule>
  </conditionalFormatting>
  <conditionalFormatting sqref="M643">
    <cfRule type="cellIs" dxfId="7125" priority="5406" operator="equal">
      <formula>"Tramitando"</formula>
    </cfRule>
    <cfRule type="cellIs" dxfId="7124" priority="5407" operator="equal">
      <formula>"Deferido"</formula>
    </cfRule>
    <cfRule type="cellIs" dxfId="7123" priority="5408" operator="equal">
      <formula>"Indeferido"</formula>
    </cfRule>
  </conditionalFormatting>
  <conditionalFormatting sqref="M643">
    <cfRule type="containsText" dxfId="7122" priority="5405" operator="containsText" text="Cancelado">
      <formula>NOT(ISERROR(SEARCH("Cancelado",M643)))</formula>
    </cfRule>
  </conditionalFormatting>
  <conditionalFormatting sqref="O643">
    <cfRule type="cellIs" dxfId="7121" priority="5402" operator="equal">
      <formula>"Tramitando"</formula>
    </cfRule>
    <cfRule type="cellIs" dxfId="7120" priority="5403" operator="equal">
      <formula>"Deferido"</formula>
    </cfRule>
    <cfRule type="cellIs" dxfId="7119" priority="5404" operator="equal">
      <formula>"Indeferido"</formula>
    </cfRule>
  </conditionalFormatting>
  <conditionalFormatting sqref="O643">
    <cfRule type="containsText" dxfId="7118" priority="5401" operator="containsText" text="Cancelado">
      <formula>NOT(ISERROR(SEARCH("Cancelado",O643)))</formula>
    </cfRule>
  </conditionalFormatting>
  <conditionalFormatting sqref="Q643">
    <cfRule type="cellIs" dxfId="7117" priority="5398" operator="equal">
      <formula>"Tramitando"</formula>
    </cfRule>
    <cfRule type="cellIs" dxfId="7116" priority="5399" operator="equal">
      <formula>"Deferido"</formula>
    </cfRule>
    <cfRule type="cellIs" dxfId="7115" priority="5400" operator="equal">
      <formula>"Indeferido"</formula>
    </cfRule>
  </conditionalFormatting>
  <conditionalFormatting sqref="Q643">
    <cfRule type="containsText" dxfId="7114" priority="5397" operator="containsText" text="Cancelado">
      <formula>NOT(ISERROR(SEARCH("Cancelado",Q643)))</formula>
    </cfRule>
  </conditionalFormatting>
  <conditionalFormatting sqref="S643">
    <cfRule type="cellIs" dxfId="7113" priority="5394" operator="equal">
      <formula>"Tramitando"</formula>
    </cfRule>
    <cfRule type="cellIs" dxfId="7112" priority="5395" operator="equal">
      <formula>"Deferido"</formula>
    </cfRule>
    <cfRule type="cellIs" dxfId="7111" priority="5396" operator="equal">
      <formula>"Indeferido"</formula>
    </cfRule>
  </conditionalFormatting>
  <conditionalFormatting sqref="S643">
    <cfRule type="containsText" dxfId="7110" priority="5393" operator="containsText" text="Cancelado">
      <formula>NOT(ISERROR(SEARCH("Cancelado",S643)))</formula>
    </cfRule>
  </conditionalFormatting>
  <conditionalFormatting sqref="J644">
    <cfRule type="cellIs" dxfId="7109" priority="5389" operator="equal">
      <formula>"Tramitando"</formula>
    </cfRule>
    <cfRule type="cellIs" dxfId="7108" priority="5390" operator="equal">
      <formula>"Deferido"</formula>
    </cfRule>
    <cfRule type="cellIs" dxfId="7107" priority="5391" operator="equal">
      <formula>"Indeferido"</formula>
    </cfRule>
  </conditionalFormatting>
  <conditionalFormatting sqref="J644">
    <cfRule type="containsText" dxfId="7106" priority="5388" operator="containsText" text="Cancelado">
      <formula>NOT(ISERROR(SEARCH("Cancelado",J644)))</formula>
    </cfRule>
  </conditionalFormatting>
  <conditionalFormatting sqref="M644">
    <cfRule type="cellIs" dxfId="7105" priority="5385" operator="equal">
      <formula>"Tramitando"</formula>
    </cfRule>
    <cfRule type="cellIs" dxfId="7104" priority="5386" operator="equal">
      <formula>"Deferido"</formula>
    </cfRule>
    <cfRule type="cellIs" dxfId="7103" priority="5387" operator="equal">
      <formula>"Indeferido"</formula>
    </cfRule>
  </conditionalFormatting>
  <conditionalFormatting sqref="M644">
    <cfRule type="containsText" dxfId="7102" priority="5384" operator="containsText" text="Cancelado">
      <formula>NOT(ISERROR(SEARCH("Cancelado",M644)))</formula>
    </cfRule>
  </conditionalFormatting>
  <conditionalFormatting sqref="O644">
    <cfRule type="cellIs" dxfId="7101" priority="5381" operator="equal">
      <formula>"Tramitando"</formula>
    </cfRule>
    <cfRule type="cellIs" dxfId="7100" priority="5382" operator="equal">
      <formula>"Deferido"</formula>
    </cfRule>
    <cfRule type="cellIs" dxfId="7099" priority="5383" operator="equal">
      <formula>"Indeferido"</formula>
    </cfRule>
  </conditionalFormatting>
  <conditionalFormatting sqref="O644">
    <cfRule type="containsText" dxfId="7098" priority="5380" operator="containsText" text="Cancelado">
      <formula>NOT(ISERROR(SEARCH("Cancelado",O644)))</formula>
    </cfRule>
  </conditionalFormatting>
  <conditionalFormatting sqref="Q644">
    <cfRule type="cellIs" dxfId="7097" priority="5377" operator="equal">
      <formula>"Tramitando"</formula>
    </cfRule>
    <cfRule type="cellIs" dxfId="7096" priority="5378" operator="equal">
      <formula>"Deferido"</formula>
    </cfRule>
    <cfRule type="cellIs" dxfId="7095" priority="5379" operator="equal">
      <formula>"Indeferido"</formula>
    </cfRule>
  </conditionalFormatting>
  <conditionalFormatting sqref="Q644">
    <cfRule type="containsText" dxfId="7094" priority="5376" operator="containsText" text="Cancelado">
      <formula>NOT(ISERROR(SEARCH("Cancelado",Q644)))</formula>
    </cfRule>
  </conditionalFormatting>
  <conditionalFormatting sqref="S644">
    <cfRule type="cellIs" dxfId="7093" priority="5373" operator="equal">
      <formula>"Tramitando"</formula>
    </cfRule>
    <cfRule type="cellIs" dxfId="7092" priority="5374" operator="equal">
      <formula>"Deferido"</formula>
    </cfRule>
    <cfRule type="cellIs" dxfId="7091" priority="5375" operator="equal">
      <formula>"Indeferido"</formula>
    </cfRule>
  </conditionalFormatting>
  <conditionalFormatting sqref="S644">
    <cfRule type="containsText" dxfId="7090" priority="5372" operator="containsText" text="Cancelado">
      <formula>NOT(ISERROR(SEARCH("Cancelado",S644)))</formula>
    </cfRule>
  </conditionalFormatting>
  <conditionalFormatting sqref="J645">
    <cfRule type="cellIs" dxfId="7089" priority="5368" operator="equal">
      <formula>"Tramitando"</formula>
    </cfRule>
    <cfRule type="cellIs" dxfId="7088" priority="5369" operator="equal">
      <formula>"Deferido"</formula>
    </cfRule>
    <cfRule type="cellIs" dxfId="7087" priority="5370" operator="equal">
      <formula>"Indeferido"</formula>
    </cfRule>
  </conditionalFormatting>
  <conditionalFormatting sqref="J645">
    <cfRule type="containsText" dxfId="7086" priority="5367" operator="containsText" text="Cancelado">
      <formula>NOT(ISERROR(SEARCH("Cancelado",J645)))</formula>
    </cfRule>
  </conditionalFormatting>
  <conditionalFormatting sqref="M645">
    <cfRule type="cellIs" dxfId="7085" priority="5364" operator="equal">
      <formula>"Tramitando"</formula>
    </cfRule>
    <cfRule type="cellIs" dxfId="7084" priority="5365" operator="equal">
      <formula>"Deferido"</formula>
    </cfRule>
    <cfRule type="cellIs" dxfId="7083" priority="5366" operator="equal">
      <formula>"Indeferido"</formula>
    </cfRule>
  </conditionalFormatting>
  <conditionalFormatting sqref="M645">
    <cfRule type="containsText" dxfId="7082" priority="5363" operator="containsText" text="Cancelado">
      <formula>NOT(ISERROR(SEARCH("Cancelado",M645)))</formula>
    </cfRule>
  </conditionalFormatting>
  <conditionalFormatting sqref="O645">
    <cfRule type="cellIs" dxfId="7081" priority="5360" operator="equal">
      <formula>"Tramitando"</formula>
    </cfRule>
    <cfRule type="cellIs" dxfId="7080" priority="5361" operator="equal">
      <formula>"Deferido"</formula>
    </cfRule>
    <cfRule type="cellIs" dxfId="7079" priority="5362" operator="equal">
      <formula>"Indeferido"</formula>
    </cfRule>
  </conditionalFormatting>
  <conditionalFormatting sqref="O645">
    <cfRule type="containsText" dxfId="7078" priority="5359" operator="containsText" text="Cancelado">
      <formula>NOT(ISERROR(SEARCH("Cancelado",O645)))</formula>
    </cfRule>
  </conditionalFormatting>
  <conditionalFormatting sqref="Q645">
    <cfRule type="cellIs" dxfId="7077" priority="5356" operator="equal">
      <formula>"Tramitando"</formula>
    </cfRule>
    <cfRule type="cellIs" dxfId="7076" priority="5357" operator="equal">
      <formula>"Deferido"</formula>
    </cfRule>
    <cfRule type="cellIs" dxfId="7075" priority="5358" operator="equal">
      <formula>"Indeferido"</formula>
    </cfRule>
  </conditionalFormatting>
  <conditionalFormatting sqref="Q645">
    <cfRule type="containsText" dxfId="7074" priority="5355" operator="containsText" text="Cancelado">
      <formula>NOT(ISERROR(SEARCH("Cancelado",Q645)))</formula>
    </cfRule>
  </conditionalFormatting>
  <conditionalFormatting sqref="S645">
    <cfRule type="cellIs" dxfId="7073" priority="5352" operator="equal">
      <formula>"Tramitando"</formula>
    </cfRule>
    <cfRule type="cellIs" dxfId="7072" priority="5353" operator="equal">
      <formula>"Deferido"</formula>
    </cfRule>
    <cfRule type="cellIs" dxfId="7071" priority="5354" operator="equal">
      <formula>"Indeferido"</formula>
    </cfRule>
  </conditionalFormatting>
  <conditionalFormatting sqref="S645">
    <cfRule type="containsText" dxfId="7070" priority="5351" operator="containsText" text="Cancelado">
      <formula>NOT(ISERROR(SEARCH("Cancelado",S645)))</formula>
    </cfRule>
  </conditionalFormatting>
  <conditionalFormatting sqref="J646">
    <cfRule type="cellIs" dxfId="7069" priority="5347" operator="equal">
      <formula>"Tramitando"</formula>
    </cfRule>
    <cfRule type="cellIs" dxfId="7068" priority="5348" operator="equal">
      <formula>"Deferido"</formula>
    </cfRule>
    <cfRule type="cellIs" dxfId="7067" priority="5349" operator="equal">
      <formula>"Indeferido"</formula>
    </cfRule>
  </conditionalFormatting>
  <conditionalFormatting sqref="J646">
    <cfRule type="containsText" dxfId="7066" priority="5346" operator="containsText" text="Cancelado">
      <formula>NOT(ISERROR(SEARCH("Cancelado",J646)))</formula>
    </cfRule>
  </conditionalFormatting>
  <conditionalFormatting sqref="M646">
    <cfRule type="cellIs" dxfId="7065" priority="5343" operator="equal">
      <formula>"Tramitando"</formula>
    </cfRule>
    <cfRule type="cellIs" dxfId="7064" priority="5344" operator="equal">
      <formula>"Deferido"</formula>
    </cfRule>
    <cfRule type="cellIs" dxfId="7063" priority="5345" operator="equal">
      <formula>"Indeferido"</formula>
    </cfRule>
  </conditionalFormatting>
  <conditionalFormatting sqref="M646">
    <cfRule type="containsText" dxfId="7062" priority="5342" operator="containsText" text="Cancelado">
      <formula>NOT(ISERROR(SEARCH("Cancelado",M646)))</formula>
    </cfRule>
  </conditionalFormatting>
  <conditionalFormatting sqref="O646">
    <cfRule type="cellIs" dxfId="7061" priority="5339" operator="equal">
      <formula>"Tramitando"</formula>
    </cfRule>
    <cfRule type="cellIs" dxfId="7060" priority="5340" operator="equal">
      <formula>"Deferido"</formula>
    </cfRule>
    <cfRule type="cellIs" dxfId="7059" priority="5341" operator="equal">
      <formula>"Indeferido"</formula>
    </cfRule>
  </conditionalFormatting>
  <conditionalFormatting sqref="O646">
    <cfRule type="containsText" dxfId="7058" priority="5338" operator="containsText" text="Cancelado">
      <formula>NOT(ISERROR(SEARCH("Cancelado",O646)))</formula>
    </cfRule>
  </conditionalFormatting>
  <conditionalFormatting sqref="Q646">
    <cfRule type="cellIs" dxfId="7057" priority="5335" operator="equal">
      <formula>"Tramitando"</formula>
    </cfRule>
    <cfRule type="cellIs" dxfId="7056" priority="5336" operator="equal">
      <formula>"Deferido"</formula>
    </cfRule>
    <cfRule type="cellIs" dxfId="7055" priority="5337" operator="equal">
      <formula>"Indeferido"</formula>
    </cfRule>
  </conditionalFormatting>
  <conditionalFormatting sqref="Q646">
    <cfRule type="containsText" dxfId="7054" priority="5334" operator="containsText" text="Cancelado">
      <formula>NOT(ISERROR(SEARCH("Cancelado",Q646)))</formula>
    </cfRule>
  </conditionalFormatting>
  <conditionalFormatting sqref="S646">
    <cfRule type="cellIs" dxfId="7053" priority="5331" operator="equal">
      <formula>"Tramitando"</formula>
    </cfRule>
    <cfRule type="cellIs" dxfId="7052" priority="5332" operator="equal">
      <formula>"Deferido"</formula>
    </cfRule>
    <cfRule type="cellIs" dxfId="7051" priority="5333" operator="equal">
      <formula>"Indeferido"</formula>
    </cfRule>
  </conditionalFormatting>
  <conditionalFormatting sqref="S646">
    <cfRule type="containsText" dxfId="7050" priority="5330" operator="containsText" text="Cancelado">
      <formula>NOT(ISERROR(SEARCH("Cancelado",S646)))</formula>
    </cfRule>
  </conditionalFormatting>
  <conditionalFormatting sqref="J647">
    <cfRule type="cellIs" dxfId="7049" priority="5326" operator="equal">
      <formula>"Tramitando"</formula>
    </cfRule>
    <cfRule type="cellIs" dxfId="7048" priority="5327" operator="equal">
      <formula>"Deferido"</formula>
    </cfRule>
    <cfRule type="cellIs" dxfId="7047" priority="5328" operator="equal">
      <formula>"Indeferido"</formula>
    </cfRule>
  </conditionalFormatting>
  <conditionalFormatting sqref="J647">
    <cfRule type="containsText" dxfId="7046" priority="5325" operator="containsText" text="Cancelado">
      <formula>NOT(ISERROR(SEARCH("Cancelado",J647)))</formula>
    </cfRule>
  </conditionalFormatting>
  <conditionalFormatting sqref="M647">
    <cfRule type="cellIs" dxfId="7045" priority="5322" operator="equal">
      <formula>"Tramitando"</formula>
    </cfRule>
    <cfRule type="cellIs" dxfId="7044" priority="5323" operator="equal">
      <formula>"Deferido"</formula>
    </cfRule>
    <cfRule type="cellIs" dxfId="7043" priority="5324" operator="equal">
      <formula>"Indeferido"</formula>
    </cfRule>
  </conditionalFormatting>
  <conditionalFormatting sqref="M647">
    <cfRule type="containsText" dxfId="7042" priority="5321" operator="containsText" text="Cancelado">
      <formula>NOT(ISERROR(SEARCH("Cancelado",M647)))</formula>
    </cfRule>
  </conditionalFormatting>
  <conditionalFormatting sqref="O647">
    <cfRule type="cellIs" dxfId="7041" priority="5318" operator="equal">
      <formula>"Tramitando"</formula>
    </cfRule>
    <cfRule type="cellIs" dxfId="7040" priority="5319" operator="equal">
      <formula>"Deferido"</formula>
    </cfRule>
    <cfRule type="cellIs" dxfId="7039" priority="5320" operator="equal">
      <formula>"Indeferido"</formula>
    </cfRule>
  </conditionalFormatting>
  <conditionalFormatting sqref="O647">
    <cfRule type="containsText" dxfId="7038" priority="5317" operator="containsText" text="Cancelado">
      <formula>NOT(ISERROR(SEARCH("Cancelado",O647)))</formula>
    </cfRule>
  </conditionalFormatting>
  <conditionalFormatting sqref="Q647">
    <cfRule type="cellIs" dxfId="7037" priority="5314" operator="equal">
      <formula>"Tramitando"</formula>
    </cfRule>
    <cfRule type="cellIs" dxfId="7036" priority="5315" operator="equal">
      <formula>"Deferido"</formula>
    </cfRule>
    <cfRule type="cellIs" dxfId="7035" priority="5316" operator="equal">
      <formula>"Indeferido"</formula>
    </cfRule>
  </conditionalFormatting>
  <conditionalFormatting sqref="Q647">
    <cfRule type="containsText" dxfId="7034" priority="5313" operator="containsText" text="Cancelado">
      <formula>NOT(ISERROR(SEARCH("Cancelado",Q647)))</formula>
    </cfRule>
  </conditionalFormatting>
  <conditionalFormatting sqref="S647">
    <cfRule type="cellIs" dxfId="7033" priority="5310" operator="equal">
      <formula>"Tramitando"</formula>
    </cfRule>
    <cfRule type="cellIs" dxfId="7032" priority="5311" operator="equal">
      <formula>"Deferido"</formula>
    </cfRule>
    <cfRule type="cellIs" dxfId="7031" priority="5312" operator="equal">
      <formula>"Indeferido"</formula>
    </cfRule>
  </conditionalFormatting>
  <conditionalFormatting sqref="S647">
    <cfRule type="containsText" dxfId="7030" priority="5309" operator="containsText" text="Cancelado">
      <formula>NOT(ISERROR(SEARCH("Cancelado",S647)))</formula>
    </cfRule>
  </conditionalFormatting>
  <conditionalFormatting sqref="J648">
    <cfRule type="cellIs" dxfId="7029" priority="5305" operator="equal">
      <formula>"Tramitando"</formula>
    </cfRule>
    <cfRule type="cellIs" dxfId="7028" priority="5306" operator="equal">
      <formula>"Deferido"</formula>
    </cfRule>
    <cfRule type="cellIs" dxfId="7027" priority="5307" operator="equal">
      <formula>"Indeferido"</formula>
    </cfRule>
  </conditionalFormatting>
  <conditionalFormatting sqref="J648">
    <cfRule type="containsText" dxfId="7026" priority="5304" operator="containsText" text="Cancelado">
      <formula>NOT(ISERROR(SEARCH("Cancelado",J648)))</formula>
    </cfRule>
  </conditionalFormatting>
  <conditionalFormatting sqref="M648">
    <cfRule type="cellIs" dxfId="7025" priority="5301" operator="equal">
      <formula>"Tramitando"</formula>
    </cfRule>
    <cfRule type="cellIs" dxfId="7024" priority="5302" operator="equal">
      <formula>"Deferido"</formula>
    </cfRule>
    <cfRule type="cellIs" dxfId="7023" priority="5303" operator="equal">
      <formula>"Indeferido"</formula>
    </cfRule>
  </conditionalFormatting>
  <conditionalFormatting sqref="M648">
    <cfRule type="containsText" dxfId="7022" priority="5300" operator="containsText" text="Cancelado">
      <formula>NOT(ISERROR(SEARCH("Cancelado",M648)))</formula>
    </cfRule>
  </conditionalFormatting>
  <conditionalFormatting sqref="O648">
    <cfRule type="cellIs" dxfId="7021" priority="5297" operator="equal">
      <formula>"Tramitando"</formula>
    </cfRule>
    <cfRule type="cellIs" dxfId="7020" priority="5298" operator="equal">
      <formula>"Deferido"</formula>
    </cfRule>
    <cfRule type="cellIs" dxfId="7019" priority="5299" operator="equal">
      <formula>"Indeferido"</formula>
    </cfRule>
  </conditionalFormatting>
  <conditionalFormatting sqref="O648">
    <cfRule type="containsText" dxfId="7018" priority="5296" operator="containsText" text="Cancelado">
      <formula>NOT(ISERROR(SEARCH("Cancelado",O648)))</formula>
    </cfRule>
  </conditionalFormatting>
  <conditionalFormatting sqref="Q648">
    <cfRule type="cellIs" dxfId="7017" priority="5293" operator="equal">
      <formula>"Tramitando"</formula>
    </cfRule>
    <cfRule type="cellIs" dxfId="7016" priority="5294" operator="equal">
      <formula>"Deferido"</formula>
    </cfRule>
    <cfRule type="cellIs" dxfId="7015" priority="5295" operator="equal">
      <formula>"Indeferido"</formula>
    </cfRule>
  </conditionalFormatting>
  <conditionalFormatting sqref="Q648">
    <cfRule type="containsText" dxfId="7014" priority="5292" operator="containsText" text="Cancelado">
      <formula>NOT(ISERROR(SEARCH("Cancelado",Q648)))</formula>
    </cfRule>
  </conditionalFormatting>
  <conditionalFormatting sqref="S648">
    <cfRule type="cellIs" dxfId="7013" priority="5289" operator="equal">
      <formula>"Tramitando"</formula>
    </cfRule>
    <cfRule type="cellIs" dxfId="7012" priority="5290" operator="equal">
      <formula>"Deferido"</formula>
    </cfRule>
    <cfRule type="cellIs" dxfId="7011" priority="5291" operator="equal">
      <formula>"Indeferido"</formula>
    </cfRule>
  </conditionalFormatting>
  <conditionalFormatting sqref="S648">
    <cfRule type="containsText" dxfId="7010" priority="5288" operator="containsText" text="Cancelado">
      <formula>NOT(ISERROR(SEARCH("Cancelado",S648)))</formula>
    </cfRule>
  </conditionalFormatting>
  <conditionalFormatting sqref="J649">
    <cfRule type="cellIs" dxfId="7009" priority="5284" operator="equal">
      <formula>"Tramitando"</formula>
    </cfRule>
    <cfRule type="cellIs" dxfId="7008" priority="5285" operator="equal">
      <formula>"Deferido"</formula>
    </cfRule>
    <cfRule type="cellIs" dxfId="7007" priority="5286" operator="equal">
      <formula>"Indeferido"</formula>
    </cfRule>
  </conditionalFormatting>
  <conditionalFormatting sqref="J649">
    <cfRule type="containsText" dxfId="7006" priority="5283" operator="containsText" text="Cancelado">
      <formula>NOT(ISERROR(SEARCH("Cancelado",J649)))</formula>
    </cfRule>
  </conditionalFormatting>
  <conditionalFormatting sqref="M649">
    <cfRule type="cellIs" dxfId="7005" priority="5280" operator="equal">
      <formula>"Tramitando"</formula>
    </cfRule>
    <cfRule type="cellIs" dxfId="7004" priority="5281" operator="equal">
      <formula>"Deferido"</formula>
    </cfRule>
    <cfRule type="cellIs" dxfId="7003" priority="5282" operator="equal">
      <formula>"Indeferido"</formula>
    </cfRule>
  </conditionalFormatting>
  <conditionalFormatting sqref="M649">
    <cfRule type="containsText" dxfId="7002" priority="5279" operator="containsText" text="Cancelado">
      <formula>NOT(ISERROR(SEARCH("Cancelado",M649)))</formula>
    </cfRule>
  </conditionalFormatting>
  <conditionalFormatting sqref="O649">
    <cfRule type="cellIs" dxfId="7001" priority="5276" operator="equal">
      <formula>"Tramitando"</formula>
    </cfRule>
    <cfRule type="cellIs" dxfId="7000" priority="5277" operator="equal">
      <formula>"Deferido"</formula>
    </cfRule>
    <cfRule type="cellIs" dxfId="6999" priority="5278" operator="equal">
      <formula>"Indeferido"</formula>
    </cfRule>
  </conditionalFormatting>
  <conditionalFormatting sqref="O649">
    <cfRule type="containsText" dxfId="6998" priority="5275" operator="containsText" text="Cancelado">
      <formula>NOT(ISERROR(SEARCH("Cancelado",O649)))</formula>
    </cfRule>
  </conditionalFormatting>
  <conditionalFormatting sqref="Q649">
    <cfRule type="cellIs" dxfId="6997" priority="5272" operator="equal">
      <formula>"Tramitando"</formula>
    </cfRule>
    <cfRule type="cellIs" dxfId="6996" priority="5273" operator="equal">
      <formula>"Deferido"</formula>
    </cfRule>
    <cfRule type="cellIs" dxfId="6995" priority="5274" operator="equal">
      <formula>"Indeferido"</formula>
    </cfRule>
  </conditionalFormatting>
  <conditionalFormatting sqref="Q649">
    <cfRule type="containsText" dxfId="6994" priority="5271" operator="containsText" text="Cancelado">
      <formula>NOT(ISERROR(SEARCH("Cancelado",Q649)))</formula>
    </cfRule>
  </conditionalFormatting>
  <conditionalFormatting sqref="S649">
    <cfRule type="cellIs" dxfId="6993" priority="5268" operator="equal">
      <formula>"Tramitando"</formula>
    </cfRule>
    <cfRule type="cellIs" dxfId="6992" priority="5269" operator="equal">
      <formula>"Deferido"</formula>
    </cfRule>
    <cfRule type="cellIs" dxfId="6991" priority="5270" operator="equal">
      <formula>"Indeferido"</formula>
    </cfRule>
  </conditionalFormatting>
  <conditionalFormatting sqref="S649">
    <cfRule type="containsText" dxfId="6990" priority="5267" operator="containsText" text="Cancelado">
      <formula>NOT(ISERROR(SEARCH("Cancelado",S649)))</formula>
    </cfRule>
  </conditionalFormatting>
  <conditionalFormatting sqref="J650">
    <cfRule type="cellIs" dxfId="6989" priority="5263" operator="equal">
      <formula>"Tramitando"</formula>
    </cfRule>
    <cfRule type="cellIs" dxfId="6988" priority="5264" operator="equal">
      <formula>"Deferido"</formula>
    </cfRule>
    <cfRule type="cellIs" dxfId="6987" priority="5265" operator="equal">
      <formula>"Indeferido"</formula>
    </cfRule>
  </conditionalFormatting>
  <conditionalFormatting sqref="J650">
    <cfRule type="containsText" dxfId="6986" priority="5262" operator="containsText" text="Cancelado">
      <formula>NOT(ISERROR(SEARCH("Cancelado",J650)))</formula>
    </cfRule>
  </conditionalFormatting>
  <conditionalFormatting sqref="M650">
    <cfRule type="cellIs" dxfId="6985" priority="5259" operator="equal">
      <formula>"Tramitando"</formula>
    </cfRule>
    <cfRule type="cellIs" dxfId="6984" priority="5260" operator="equal">
      <formula>"Deferido"</formula>
    </cfRule>
    <cfRule type="cellIs" dxfId="6983" priority="5261" operator="equal">
      <formula>"Indeferido"</formula>
    </cfRule>
  </conditionalFormatting>
  <conditionalFormatting sqref="M650">
    <cfRule type="containsText" dxfId="6982" priority="5258" operator="containsText" text="Cancelado">
      <formula>NOT(ISERROR(SEARCH("Cancelado",M650)))</formula>
    </cfRule>
  </conditionalFormatting>
  <conditionalFormatting sqref="O650">
    <cfRule type="cellIs" dxfId="6981" priority="5255" operator="equal">
      <formula>"Tramitando"</formula>
    </cfRule>
    <cfRule type="cellIs" dxfId="6980" priority="5256" operator="equal">
      <formula>"Deferido"</formula>
    </cfRule>
    <cfRule type="cellIs" dxfId="6979" priority="5257" operator="equal">
      <formula>"Indeferido"</formula>
    </cfRule>
  </conditionalFormatting>
  <conditionalFormatting sqref="O650">
    <cfRule type="containsText" dxfId="6978" priority="5254" operator="containsText" text="Cancelado">
      <formula>NOT(ISERROR(SEARCH("Cancelado",O650)))</formula>
    </cfRule>
  </conditionalFormatting>
  <conditionalFormatting sqref="Q650">
    <cfRule type="cellIs" dxfId="6977" priority="5251" operator="equal">
      <formula>"Tramitando"</formula>
    </cfRule>
    <cfRule type="cellIs" dxfId="6976" priority="5252" operator="equal">
      <formula>"Deferido"</formula>
    </cfRule>
    <cfRule type="cellIs" dxfId="6975" priority="5253" operator="equal">
      <formula>"Indeferido"</formula>
    </cfRule>
  </conditionalFormatting>
  <conditionalFormatting sqref="Q650">
    <cfRule type="containsText" dxfId="6974" priority="5250" operator="containsText" text="Cancelado">
      <formula>NOT(ISERROR(SEARCH("Cancelado",Q650)))</formula>
    </cfRule>
  </conditionalFormatting>
  <conditionalFormatting sqref="S650">
    <cfRule type="cellIs" dxfId="6973" priority="5247" operator="equal">
      <formula>"Tramitando"</formula>
    </cfRule>
    <cfRule type="cellIs" dxfId="6972" priority="5248" operator="equal">
      <formula>"Deferido"</formula>
    </cfRule>
    <cfRule type="cellIs" dxfId="6971" priority="5249" operator="equal">
      <formula>"Indeferido"</formula>
    </cfRule>
  </conditionalFormatting>
  <conditionalFormatting sqref="S650">
    <cfRule type="containsText" dxfId="6970" priority="5246" operator="containsText" text="Cancelado">
      <formula>NOT(ISERROR(SEARCH("Cancelado",S650)))</formula>
    </cfRule>
  </conditionalFormatting>
  <conditionalFormatting sqref="J651">
    <cfRule type="cellIs" dxfId="6969" priority="5242" operator="equal">
      <formula>"Tramitando"</formula>
    </cfRule>
    <cfRule type="cellIs" dxfId="6968" priority="5243" operator="equal">
      <formula>"Deferido"</formula>
    </cfRule>
    <cfRule type="cellIs" dxfId="6967" priority="5244" operator="equal">
      <formula>"Indeferido"</formula>
    </cfRule>
  </conditionalFormatting>
  <conditionalFormatting sqref="J651">
    <cfRule type="containsText" dxfId="6966" priority="5241" operator="containsText" text="Cancelado">
      <formula>NOT(ISERROR(SEARCH("Cancelado",J651)))</formula>
    </cfRule>
  </conditionalFormatting>
  <conditionalFormatting sqref="M651">
    <cfRule type="cellIs" dxfId="6965" priority="5238" operator="equal">
      <formula>"Tramitando"</formula>
    </cfRule>
    <cfRule type="cellIs" dxfId="6964" priority="5239" operator="equal">
      <formula>"Deferido"</formula>
    </cfRule>
    <cfRule type="cellIs" dxfId="6963" priority="5240" operator="equal">
      <formula>"Indeferido"</formula>
    </cfRule>
  </conditionalFormatting>
  <conditionalFormatting sqref="M651">
    <cfRule type="containsText" dxfId="6962" priority="5237" operator="containsText" text="Cancelado">
      <formula>NOT(ISERROR(SEARCH("Cancelado",M651)))</formula>
    </cfRule>
  </conditionalFormatting>
  <conditionalFormatting sqref="O651">
    <cfRule type="cellIs" dxfId="6961" priority="5234" operator="equal">
      <formula>"Tramitando"</formula>
    </cfRule>
    <cfRule type="cellIs" dxfId="6960" priority="5235" operator="equal">
      <formula>"Deferido"</formula>
    </cfRule>
    <cfRule type="cellIs" dxfId="6959" priority="5236" operator="equal">
      <formula>"Indeferido"</formula>
    </cfRule>
  </conditionalFormatting>
  <conditionalFormatting sqref="O651">
    <cfRule type="containsText" dxfId="6958" priority="5233" operator="containsText" text="Cancelado">
      <formula>NOT(ISERROR(SEARCH("Cancelado",O651)))</formula>
    </cfRule>
  </conditionalFormatting>
  <conditionalFormatting sqref="Q651">
    <cfRule type="cellIs" dxfId="6957" priority="5230" operator="equal">
      <formula>"Tramitando"</formula>
    </cfRule>
    <cfRule type="cellIs" dxfId="6956" priority="5231" operator="equal">
      <formula>"Deferido"</formula>
    </cfRule>
    <cfRule type="cellIs" dxfId="6955" priority="5232" operator="equal">
      <formula>"Indeferido"</formula>
    </cfRule>
  </conditionalFormatting>
  <conditionalFormatting sqref="Q651">
    <cfRule type="containsText" dxfId="6954" priority="5229" operator="containsText" text="Cancelado">
      <formula>NOT(ISERROR(SEARCH("Cancelado",Q651)))</formula>
    </cfRule>
  </conditionalFormatting>
  <conditionalFormatting sqref="S651">
    <cfRule type="cellIs" dxfId="6953" priority="5226" operator="equal">
      <formula>"Tramitando"</formula>
    </cfRule>
    <cfRule type="cellIs" dxfId="6952" priority="5227" operator="equal">
      <formula>"Deferido"</formula>
    </cfRule>
    <cfRule type="cellIs" dxfId="6951" priority="5228" operator="equal">
      <formula>"Indeferido"</formula>
    </cfRule>
  </conditionalFormatting>
  <conditionalFormatting sqref="S651">
    <cfRule type="containsText" dxfId="6950" priority="5225" operator="containsText" text="Cancelado">
      <formula>NOT(ISERROR(SEARCH("Cancelado",S651)))</formula>
    </cfRule>
  </conditionalFormatting>
  <conditionalFormatting sqref="J652">
    <cfRule type="cellIs" dxfId="6949" priority="5200" operator="equal">
      <formula>"Tramitando"</formula>
    </cfRule>
    <cfRule type="cellIs" dxfId="6948" priority="5201" operator="equal">
      <formula>"Deferido"</formula>
    </cfRule>
    <cfRule type="cellIs" dxfId="6947" priority="5202" operator="equal">
      <formula>"Indeferido"</formula>
    </cfRule>
  </conditionalFormatting>
  <conditionalFormatting sqref="J652">
    <cfRule type="containsText" dxfId="6946" priority="5199" operator="containsText" text="Cancelado">
      <formula>NOT(ISERROR(SEARCH("Cancelado",J652)))</formula>
    </cfRule>
  </conditionalFormatting>
  <conditionalFormatting sqref="M652">
    <cfRule type="cellIs" dxfId="6945" priority="5196" operator="equal">
      <formula>"Tramitando"</formula>
    </cfRule>
    <cfRule type="cellIs" dxfId="6944" priority="5197" operator="equal">
      <formula>"Deferido"</formula>
    </cfRule>
    <cfRule type="cellIs" dxfId="6943" priority="5198" operator="equal">
      <formula>"Indeferido"</formula>
    </cfRule>
  </conditionalFormatting>
  <conditionalFormatting sqref="M652">
    <cfRule type="containsText" dxfId="6942" priority="5195" operator="containsText" text="Cancelado">
      <formula>NOT(ISERROR(SEARCH("Cancelado",M652)))</formula>
    </cfRule>
  </conditionalFormatting>
  <conditionalFormatting sqref="O652">
    <cfRule type="cellIs" dxfId="6941" priority="5192" operator="equal">
      <formula>"Tramitando"</formula>
    </cfRule>
    <cfRule type="cellIs" dxfId="6940" priority="5193" operator="equal">
      <formula>"Deferido"</formula>
    </cfRule>
    <cfRule type="cellIs" dxfId="6939" priority="5194" operator="equal">
      <formula>"Indeferido"</formula>
    </cfRule>
  </conditionalFormatting>
  <conditionalFormatting sqref="O652">
    <cfRule type="containsText" dxfId="6938" priority="5191" operator="containsText" text="Cancelado">
      <formula>NOT(ISERROR(SEARCH("Cancelado",O652)))</formula>
    </cfRule>
  </conditionalFormatting>
  <conditionalFormatting sqref="Q652">
    <cfRule type="cellIs" dxfId="6937" priority="5188" operator="equal">
      <formula>"Tramitando"</formula>
    </cfRule>
    <cfRule type="cellIs" dxfId="6936" priority="5189" operator="equal">
      <formula>"Deferido"</formula>
    </cfRule>
    <cfRule type="cellIs" dxfId="6935" priority="5190" operator="equal">
      <formula>"Indeferido"</formula>
    </cfRule>
  </conditionalFormatting>
  <conditionalFormatting sqref="Q652">
    <cfRule type="containsText" dxfId="6934" priority="5187" operator="containsText" text="Cancelado">
      <formula>NOT(ISERROR(SEARCH("Cancelado",Q652)))</formula>
    </cfRule>
  </conditionalFormatting>
  <conditionalFormatting sqref="S652">
    <cfRule type="cellIs" dxfId="6933" priority="5184" operator="equal">
      <formula>"Tramitando"</formula>
    </cfRule>
    <cfRule type="cellIs" dxfId="6932" priority="5185" operator="equal">
      <formula>"Deferido"</formula>
    </cfRule>
    <cfRule type="cellIs" dxfId="6931" priority="5186" operator="equal">
      <formula>"Indeferido"</formula>
    </cfRule>
  </conditionalFormatting>
  <conditionalFormatting sqref="S652">
    <cfRule type="containsText" dxfId="6930" priority="5183" operator="containsText" text="Cancelado">
      <formula>NOT(ISERROR(SEARCH("Cancelado",S652)))</formula>
    </cfRule>
  </conditionalFormatting>
  <conditionalFormatting sqref="J653">
    <cfRule type="cellIs" dxfId="6929" priority="5179" operator="equal">
      <formula>"Tramitando"</formula>
    </cfRule>
    <cfRule type="cellIs" dxfId="6928" priority="5180" operator="equal">
      <formula>"Deferido"</formula>
    </cfRule>
    <cfRule type="cellIs" dxfId="6927" priority="5181" operator="equal">
      <formula>"Indeferido"</formula>
    </cfRule>
  </conditionalFormatting>
  <conditionalFormatting sqref="J653">
    <cfRule type="containsText" dxfId="6926" priority="5178" operator="containsText" text="Cancelado">
      <formula>NOT(ISERROR(SEARCH("Cancelado",J653)))</formula>
    </cfRule>
  </conditionalFormatting>
  <conditionalFormatting sqref="M653">
    <cfRule type="cellIs" dxfId="6925" priority="5175" operator="equal">
      <formula>"Tramitando"</formula>
    </cfRule>
    <cfRule type="cellIs" dxfId="6924" priority="5176" operator="equal">
      <formula>"Deferido"</formula>
    </cfRule>
    <cfRule type="cellIs" dxfId="6923" priority="5177" operator="equal">
      <formula>"Indeferido"</formula>
    </cfRule>
  </conditionalFormatting>
  <conditionalFormatting sqref="M653">
    <cfRule type="containsText" dxfId="6922" priority="5174" operator="containsText" text="Cancelado">
      <formula>NOT(ISERROR(SEARCH("Cancelado",M653)))</formula>
    </cfRule>
  </conditionalFormatting>
  <conditionalFormatting sqref="O653">
    <cfRule type="cellIs" dxfId="6921" priority="5171" operator="equal">
      <formula>"Tramitando"</formula>
    </cfRule>
    <cfRule type="cellIs" dxfId="6920" priority="5172" operator="equal">
      <formula>"Deferido"</formula>
    </cfRule>
    <cfRule type="cellIs" dxfId="6919" priority="5173" operator="equal">
      <formula>"Indeferido"</formula>
    </cfRule>
  </conditionalFormatting>
  <conditionalFormatting sqref="O653">
    <cfRule type="containsText" dxfId="6918" priority="5170" operator="containsText" text="Cancelado">
      <formula>NOT(ISERROR(SEARCH("Cancelado",O653)))</formula>
    </cfRule>
  </conditionalFormatting>
  <conditionalFormatting sqref="Q653">
    <cfRule type="cellIs" dxfId="6917" priority="5167" operator="equal">
      <formula>"Tramitando"</formula>
    </cfRule>
    <cfRule type="cellIs" dxfId="6916" priority="5168" operator="equal">
      <formula>"Deferido"</formula>
    </cfRule>
    <cfRule type="cellIs" dxfId="6915" priority="5169" operator="equal">
      <formula>"Indeferido"</formula>
    </cfRule>
  </conditionalFormatting>
  <conditionalFormatting sqref="Q653">
    <cfRule type="containsText" dxfId="6914" priority="5166" operator="containsText" text="Cancelado">
      <formula>NOT(ISERROR(SEARCH("Cancelado",Q653)))</formula>
    </cfRule>
  </conditionalFormatting>
  <conditionalFormatting sqref="S653">
    <cfRule type="cellIs" dxfId="6913" priority="5163" operator="equal">
      <formula>"Tramitando"</formula>
    </cfRule>
    <cfRule type="cellIs" dxfId="6912" priority="5164" operator="equal">
      <formula>"Deferido"</formula>
    </cfRule>
    <cfRule type="cellIs" dxfId="6911" priority="5165" operator="equal">
      <formula>"Indeferido"</formula>
    </cfRule>
  </conditionalFormatting>
  <conditionalFormatting sqref="S653">
    <cfRule type="containsText" dxfId="6910" priority="5162" operator="containsText" text="Cancelado">
      <formula>NOT(ISERROR(SEARCH("Cancelado",S653)))</formula>
    </cfRule>
  </conditionalFormatting>
  <conditionalFormatting sqref="J654">
    <cfRule type="cellIs" dxfId="6909" priority="5158" operator="equal">
      <formula>"Tramitando"</formula>
    </cfRule>
    <cfRule type="cellIs" dxfId="6908" priority="5159" operator="equal">
      <formula>"Deferido"</formula>
    </cfRule>
    <cfRule type="cellIs" dxfId="6907" priority="5160" operator="equal">
      <formula>"Indeferido"</formula>
    </cfRule>
  </conditionalFormatting>
  <conditionalFormatting sqref="J654">
    <cfRule type="containsText" dxfId="6906" priority="5157" operator="containsText" text="Cancelado">
      <formula>NOT(ISERROR(SEARCH("Cancelado",J654)))</formula>
    </cfRule>
  </conditionalFormatting>
  <conditionalFormatting sqref="M654">
    <cfRule type="cellIs" dxfId="6905" priority="5154" operator="equal">
      <formula>"Tramitando"</formula>
    </cfRule>
    <cfRule type="cellIs" dxfId="6904" priority="5155" operator="equal">
      <formula>"Deferido"</formula>
    </cfRule>
    <cfRule type="cellIs" dxfId="6903" priority="5156" operator="equal">
      <formula>"Indeferido"</formula>
    </cfRule>
  </conditionalFormatting>
  <conditionalFormatting sqref="M654">
    <cfRule type="containsText" dxfId="6902" priority="5153" operator="containsText" text="Cancelado">
      <formula>NOT(ISERROR(SEARCH("Cancelado",M654)))</formula>
    </cfRule>
  </conditionalFormatting>
  <conditionalFormatting sqref="O654">
    <cfRule type="cellIs" dxfId="6901" priority="5150" operator="equal">
      <formula>"Tramitando"</formula>
    </cfRule>
    <cfRule type="cellIs" dxfId="6900" priority="5151" operator="equal">
      <formula>"Deferido"</formula>
    </cfRule>
    <cfRule type="cellIs" dxfId="6899" priority="5152" operator="equal">
      <formula>"Indeferido"</formula>
    </cfRule>
  </conditionalFormatting>
  <conditionalFormatting sqref="O654">
    <cfRule type="containsText" dxfId="6898" priority="5149" operator="containsText" text="Cancelado">
      <formula>NOT(ISERROR(SEARCH("Cancelado",O654)))</formula>
    </cfRule>
  </conditionalFormatting>
  <conditionalFormatting sqref="Q654">
    <cfRule type="cellIs" dxfId="6897" priority="5146" operator="equal">
      <formula>"Tramitando"</formula>
    </cfRule>
    <cfRule type="cellIs" dxfId="6896" priority="5147" operator="equal">
      <formula>"Deferido"</formula>
    </cfRule>
    <cfRule type="cellIs" dxfId="6895" priority="5148" operator="equal">
      <formula>"Indeferido"</formula>
    </cfRule>
  </conditionalFormatting>
  <conditionalFormatting sqref="Q654">
    <cfRule type="containsText" dxfId="6894" priority="5145" operator="containsText" text="Cancelado">
      <formula>NOT(ISERROR(SEARCH("Cancelado",Q654)))</formula>
    </cfRule>
  </conditionalFormatting>
  <conditionalFormatting sqref="S654">
    <cfRule type="cellIs" dxfId="6893" priority="5142" operator="equal">
      <formula>"Tramitando"</formula>
    </cfRule>
    <cfRule type="cellIs" dxfId="6892" priority="5143" operator="equal">
      <formula>"Deferido"</formula>
    </cfRule>
    <cfRule type="cellIs" dxfId="6891" priority="5144" operator="equal">
      <formula>"Indeferido"</formula>
    </cfRule>
  </conditionalFormatting>
  <conditionalFormatting sqref="S654">
    <cfRule type="containsText" dxfId="6890" priority="5141" operator="containsText" text="Cancelado">
      <formula>NOT(ISERROR(SEARCH("Cancelado",S654)))</formula>
    </cfRule>
  </conditionalFormatting>
  <conditionalFormatting sqref="J655">
    <cfRule type="cellIs" dxfId="6889" priority="5137" operator="equal">
      <formula>"Tramitando"</formula>
    </cfRule>
    <cfRule type="cellIs" dxfId="6888" priority="5138" operator="equal">
      <formula>"Deferido"</formula>
    </cfRule>
    <cfRule type="cellIs" dxfId="6887" priority="5139" operator="equal">
      <formula>"Indeferido"</formula>
    </cfRule>
  </conditionalFormatting>
  <conditionalFormatting sqref="J655">
    <cfRule type="containsText" dxfId="6886" priority="5136" operator="containsText" text="Cancelado">
      <formula>NOT(ISERROR(SEARCH("Cancelado",J655)))</formula>
    </cfRule>
  </conditionalFormatting>
  <conditionalFormatting sqref="M655">
    <cfRule type="cellIs" dxfId="6885" priority="5133" operator="equal">
      <formula>"Tramitando"</formula>
    </cfRule>
    <cfRule type="cellIs" dxfId="6884" priority="5134" operator="equal">
      <formula>"Deferido"</formula>
    </cfRule>
    <cfRule type="cellIs" dxfId="6883" priority="5135" operator="equal">
      <formula>"Indeferido"</formula>
    </cfRule>
  </conditionalFormatting>
  <conditionalFormatting sqref="M655">
    <cfRule type="containsText" dxfId="6882" priority="5132" operator="containsText" text="Cancelado">
      <formula>NOT(ISERROR(SEARCH("Cancelado",M655)))</formula>
    </cfRule>
  </conditionalFormatting>
  <conditionalFormatting sqref="O655">
    <cfRule type="cellIs" dxfId="6881" priority="5129" operator="equal">
      <formula>"Tramitando"</formula>
    </cfRule>
    <cfRule type="cellIs" dxfId="6880" priority="5130" operator="equal">
      <formula>"Deferido"</formula>
    </cfRule>
    <cfRule type="cellIs" dxfId="6879" priority="5131" operator="equal">
      <formula>"Indeferido"</formula>
    </cfRule>
  </conditionalFormatting>
  <conditionalFormatting sqref="O655">
    <cfRule type="containsText" dxfId="6878" priority="5128" operator="containsText" text="Cancelado">
      <formula>NOT(ISERROR(SEARCH("Cancelado",O655)))</formula>
    </cfRule>
  </conditionalFormatting>
  <conditionalFormatting sqref="Q655">
    <cfRule type="cellIs" dxfId="6877" priority="5125" operator="equal">
      <formula>"Tramitando"</formula>
    </cfRule>
    <cfRule type="cellIs" dxfId="6876" priority="5126" operator="equal">
      <formula>"Deferido"</formula>
    </cfRule>
    <cfRule type="cellIs" dxfId="6875" priority="5127" operator="equal">
      <formula>"Indeferido"</formula>
    </cfRule>
  </conditionalFormatting>
  <conditionalFormatting sqref="Q655">
    <cfRule type="containsText" dxfId="6874" priority="5124" operator="containsText" text="Cancelado">
      <formula>NOT(ISERROR(SEARCH("Cancelado",Q655)))</formula>
    </cfRule>
  </conditionalFormatting>
  <conditionalFormatting sqref="S655">
    <cfRule type="cellIs" dxfId="6873" priority="5121" operator="equal">
      <formula>"Tramitando"</formula>
    </cfRule>
    <cfRule type="cellIs" dxfId="6872" priority="5122" operator="equal">
      <formula>"Deferido"</formula>
    </cfRule>
    <cfRule type="cellIs" dxfId="6871" priority="5123" operator="equal">
      <formula>"Indeferido"</formula>
    </cfRule>
  </conditionalFormatting>
  <conditionalFormatting sqref="S655">
    <cfRule type="containsText" dxfId="6870" priority="5120" operator="containsText" text="Cancelado">
      <formula>NOT(ISERROR(SEARCH("Cancelado",S655)))</formula>
    </cfRule>
  </conditionalFormatting>
  <conditionalFormatting sqref="J656">
    <cfRule type="cellIs" dxfId="6869" priority="5116" operator="equal">
      <formula>"Tramitando"</formula>
    </cfRule>
    <cfRule type="cellIs" dxfId="6868" priority="5117" operator="equal">
      <formula>"Deferido"</formula>
    </cfRule>
    <cfRule type="cellIs" dxfId="6867" priority="5118" operator="equal">
      <formula>"Indeferido"</formula>
    </cfRule>
  </conditionalFormatting>
  <conditionalFormatting sqref="J656">
    <cfRule type="containsText" dxfId="6866" priority="5115" operator="containsText" text="Cancelado">
      <formula>NOT(ISERROR(SEARCH("Cancelado",J656)))</formula>
    </cfRule>
  </conditionalFormatting>
  <conditionalFormatting sqref="M656">
    <cfRule type="cellIs" dxfId="6865" priority="5112" operator="equal">
      <formula>"Tramitando"</formula>
    </cfRule>
    <cfRule type="cellIs" dxfId="6864" priority="5113" operator="equal">
      <formula>"Deferido"</formula>
    </cfRule>
    <cfRule type="cellIs" dxfId="6863" priority="5114" operator="equal">
      <formula>"Indeferido"</formula>
    </cfRule>
  </conditionalFormatting>
  <conditionalFormatting sqref="M656">
    <cfRule type="containsText" dxfId="6862" priority="5111" operator="containsText" text="Cancelado">
      <formula>NOT(ISERROR(SEARCH("Cancelado",M656)))</formula>
    </cfRule>
  </conditionalFormatting>
  <conditionalFormatting sqref="O656">
    <cfRule type="cellIs" dxfId="6861" priority="5108" operator="equal">
      <formula>"Tramitando"</formula>
    </cfRule>
    <cfRule type="cellIs" dxfId="6860" priority="5109" operator="equal">
      <formula>"Deferido"</formula>
    </cfRule>
    <cfRule type="cellIs" dxfId="6859" priority="5110" operator="equal">
      <formula>"Indeferido"</formula>
    </cfRule>
  </conditionalFormatting>
  <conditionalFormatting sqref="O656">
    <cfRule type="containsText" dxfId="6858" priority="5107" operator="containsText" text="Cancelado">
      <formula>NOT(ISERROR(SEARCH("Cancelado",O656)))</formula>
    </cfRule>
  </conditionalFormatting>
  <conditionalFormatting sqref="Q656">
    <cfRule type="cellIs" dxfId="6857" priority="5104" operator="equal">
      <formula>"Tramitando"</formula>
    </cfRule>
    <cfRule type="cellIs" dxfId="6856" priority="5105" operator="equal">
      <formula>"Deferido"</formula>
    </cfRule>
    <cfRule type="cellIs" dxfId="6855" priority="5106" operator="equal">
      <formula>"Indeferido"</formula>
    </cfRule>
  </conditionalFormatting>
  <conditionalFormatting sqref="Q656">
    <cfRule type="containsText" dxfId="6854" priority="5103" operator="containsText" text="Cancelado">
      <formula>NOT(ISERROR(SEARCH("Cancelado",Q656)))</formula>
    </cfRule>
  </conditionalFormatting>
  <conditionalFormatting sqref="S656">
    <cfRule type="cellIs" dxfId="6853" priority="5100" operator="equal">
      <formula>"Tramitando"</formula>
    </cfRule>
    <cfRule type="cellIs" dxfId="6852" priority="5101" operator="equal">
      <formula>"Deferido"</formula>
    </cfRule>
    <cfRule type="cellIs" dxfId="6851" priority="5102" operator="equal">
      <formula>"Indeferido"</formula>
    </cfRule>
  </conditionalFormatting>
  <conditionalFormatting sqref="S656">
    <cfRule type="containsText" dxfId="6850" priority="5099" operator="containsText" text="Cancelado">
      <formula>NOT(ISERROR(SEARCH("Cancelado",S656)))</formula>
    </cfRule>
  </conditionalFormatting>
  <conditionalFormatting sqref="J657">
    <cfRule type="cellIs" dxfId="6849" priority="5095" operator="equal">
      <formula>"Tramitando"</formula>
    </cfRule>
    <cfRule type="cellIs" dxfId="6848" priority="5096" operator="equal">
      <formula>"Deferido"</formula>
    </cfRule>
    <cfRule type="cellIs" dxfId="6847" priority="5097" operator="equal">
      <formula>"Indeferido"</formula>
    </cfRule>
  </conditionalFormatting>
  <conditionalFormatting sqref="J657">
    <cfRule type="containsText" dxfId="6846" priority="5094" operator="containsText" text="Cancelado">
      <formula>NOT(ISERROR(SEARCH("Cancelado",J657)))</formula>
    </cfRule>
  </conditionalFormatting>
  <conditionalFormatting sqref="M657">
    <cfRule type="cellIs" dxfId="6845" priority="5091" operator="equal">
      <formula>"Tramitando"</formula>
    </cfRule>
    <cfRule type="cellIs" dxfId="6844" priority="5092" operator="equal">
      <formula>"Deferido"</formula>
    </cfRule>
    <cfRule type="cellIs" dxfId="6843" priority="5093" operator="equal">
      <formula>"Indeferido"</formula>
    </cfRule>
  </conditionalFormatting>
  <conditionalFormatting sqref="M657">
    <cfRule type="containsText" dxfId="6842" priority="5090" operator="containsText" text="Cancelado">
      <formula>NOT(ISERROR(SEARCH("Cancelado",M657)))</formula>
    </cfRule>
  </conditionalFormatting>
  <conditionalFormatting sqref="O657">
    <cfRule type="cellIs" dxfId="6841" priority="5087" operator="equal">
      <formula>"Tramitando"</formula>
    </cfRule>
    <cfRule type="cellIs" dxfId="6840" priority="5088" operator="equal">
      <formula>"Deferido"</formula>
    </cfRule>
    <cfRule type="cellIs" dxfId="6839" priority="5089" operator="equal">
      <formula>"Indeferido"</formula>
    </cfRule>
  </conditionalFormatting>
  <conditionalFormatting sqref="O657">
    <cfRule type="containsText" dxfId="6838" priority="5086" operator="containsText" text="Cancelado">
      <formula>NOT(ISERROR(SEARCH("Cancelado",O657)))</formula>
    </cfRule>
  </conditionalFormatting>
  <conditionalFormatting sqref="Q657">
    <cfRule type="cellIs" dxfId="6837" priority="5083" operator="equal">
      <formula>"Tramitando"</formula>
    </cfRule>
    <cfRule type="cellIs" dxfId="6836" priority="5084" operator="equal">
      <formula>"Deferido"</formula>
    </cfRule>
    <cfRule type="cellIs" dxfId="6835" priority="5085" operator="equal">
      <formula>"Indeferido"</formula>
    </cfRule>
  </conditionalFormatting>
  <conditionalFormatting sqref="Q657">
    <cfRule type="containsText" dxfId="6834" priority="5082" operator="containsText" text="Cancelado">
      <formula>NOT(ISERROR(SEARCH("Cancelado",Q657)))</formula>
    </cfRule>
  </conditionalFormatting>
  <conditionalFormatting sqref="S657">
    <cfRule type="cellIs" dxfId="6833" priority="5079" operator="equal">
      <formula>"Tramitando"</formula>
    </cfRule>
    <cfRule type="cellIs" dxfId="6832" priority="5080" operator="equal">
      <formula>"Deferido"</formula>
    </cfRule>
    <cfRule type="cellIs" dxfId="6831" priority="5081" operator="equal">
      <formula>"Indeferido"</formula>
    </cfRule>
  </conditionalFormatting>
  <conditionalFormatting sqref="S657">
    <cfRule type="containsText" dxfId="6830" priority="5078" operator="containsText" text="Cancelado">
      <formula>NOT(ISERROR(SEARCH("Cancelado",S657)))</formula>
    </cfRule>
  </conditionalFormatting>
  <conditionalFormatting sqref="J658">
    <cfRule type="cellIs" dxfId="6829" priority="5074" operator="equal">
      <formula>"Tramitando"</formula>
    </cfRule>
    <cfRule type="cellIs" dxfId="6828" priority="5075" operator="equal">
      <formula>"Deferido"</formula>
    </cfRule>
    <cfRule type="cellIs" dxfId="6827" priority="5076" operator="equal">
      <formula>"Indeferido"</formula>
    </cfRule>
  </conditionalFormatting>
  <conditionalFormatting sqref="J658">
    <cfRule type="containsText" dxfId="6826" priority="5073" operator="containsText" text="Cancelado">
      <formula>NOT(ISERROR(SEARCH("Cancelado",J658)))</formula>
    </cfRule>
  </conditionalFormatting>
  <conditionalFormatting sqref="M658">
    <cfRule type="cellIs" dxfId="6825" priority="5070" operator="equal">
      <formula>"Tramitando"</formula>
    </cfRule>
    <cfRule type="cellIs" dxfId="6824" priority="5071" operator="equal">
      <formula>"Deferido"</formula>
    </cfRule>
    <cfRule type="cellIs" dxfId="6823" priority="5072" operator="equal">
      <formula>"Indeferido"</formula>
    </cfRule>
  </conditionalFormatting>
  <conditionalFormatting sqref="M658">
    <cfRule type="containsText" dxfId="6822" priority="5069" operator="containsText" text="Cancelado">
      <formula>NOT(ISERROR(SEARCH("Cancelado",M658)))</formula>
    </cfRule>
  </conditionalFormatting>
  <conditionalFormatting sqref="O658">
    <cfRule type="cellIs" dxfId="6821" priority="5066" operator="equal">
      <formula>"Tramitando"</formula>
    </cfRule>
    <cfRule type="cellIs" dxfId="6820" priority="5067" operator="equal">
      <formula>"Deferido"</formula>
    </cfRule>
    <cfRule type="cellIs" dxfId="6819" priority="5068" operator="equal">
      <formula>"Indeferido"</formula>
    </cfRule>
  </conditionalFormatting>
  <conditionalFormatting sqref="O658">
    <cfRule type="containsText" dxfId="6818" priority="5065" operator="containsText" text="Cancelado">
      <formula>NOT(ISERROR(SEARCH("Cancelado",O658)))</formula>
    </cfRule>
  </conditionalFormatting>
  <conditionalFormatting sqref="Q658">
    <cfRule type="cellIs" dxfId="6817" priority="5062" operator="equal">
      <formula>"Tramitando"</formula>
    </cfRule>
    <cfRule type="cellIs" dxfId="6816" priority="5063" operator="equal">
      <formula>"Deferido"</formula>
    </cfRule>
    <cfRule type="cellIs" dxfId="6815" priority="5064" operator="equal">
      <formula>"Indeferido"</formula>
    </cfRule>
  </conditionalFormatting>
  <conditionalFormatting sqref="Q658">
    <cfRule type="containsText" dxfId="6814" priority="5061" operator="containsText" text="Cancelado">
      <formula>NOT(ISERROR(SEARCH("Cancelado",Q658)))</formula>
    </cfRule>
  </conditionalFormatting>
  <conditionalFormatting sqref="S658">
    <cfRule type="cellIs" dxfId="6813" priority="5058" operator="equal">
      <formula>"Tramitando"</formula>
    </cfRule>
    <cfRule type="cellIs" dxfId="6812" priority="5059" operator="equal">
      <formula>"Deferido"</formula>
    </cfRule>
    <cfRule type="cellIs" dxfId="6811" priority="5060" operator="equal">
      <formula>"Indeferido"</formula>
    </cfRule>
  </conditionalFormatting>
  <conditionalFormatting sqref="S658">
    <cfRule type="containsText" dxfId="6810" priority="5057" operator="containsText" text="Cancelado">
      <formula>NOT(ISERROR(SEARCH("Cancelado",S658)))</formula>
    </cfRule>
  </conditionalFormatting>
  <conditionalFormatting sqref="J659">
    <cfRule type="cellIs" dxfId="6809" priority="5053" operator="equal">
      <formula>"Tramitando"</formula>
    </cfRule>
    <cfRule type="cellIs" dxfId="6808" priority="5054" operator="equal">
      <formula>"Deferido"</formula>
    </cfRule>
    <cfRule type="cellIs" dxfId="6807" priority="5055" operator="equal">
      <formula>"Indeferido"</formula>
    </cfRule>
  </conditionalFormatting>
  <conditionalFormatting sqref="J659">
    <cfRule type="containsText" dxfId="6806" priority="5052" operator="containsText" text="Cancelado">
      <formula>NOT(ISERROR(SEARCH("Cancelado",J659)))</formula>
    </cfRule>
  </conditionalFormatting>
  <conditionalFormatting sqref="M659">
    <cfRule type="cellIs" dxfId="6805" priority="5049" operator="equal">
      <formula>"Tramitando"</formula>
    </cfRule>
    <cfRule type="cellIs" dxfId="6804" priority="5050" operator="equal">
      <formula>"Deferido"</formula>
    </cfRule>
    <cfRule type="cellIs" dxfId="6803" priority="5051" operator="equal">
      <formula>"Indeferido"</formula>
    </cfRule>
  </conditionalFormatting>
  <conditionalFormatting sqref="M659">
    <cfRule type="containsText" dxfId="6802" priority="5048" operator="containsText" text="Cancelado">
      <formula>NOT(ISERROR(SEARCH("Cancelado",M659)))</formula>
    </cfRule>
  </conditionalFormatting>
  <conditionalFormatting sqref="O659">
    <cfRule type="cellIs" dxfId="6801" priority="5045" operator="equal">
      <formula>"Tramitando"</formula>
    </cfRule>
    <cfRule type="cellIs" dxfId="6800" priority="5046" operator="equal">
      <formula>"Deferido"</formula>
    </cfRule>
    <cfRule type="cellIs" dxfId="6799" priority="5047" operator="equal">
      <formula>"Indeferido"</formula>
    </cfRule>
  </conditionalFormatting>
  <conditionalFormatting sqref="O659">
    <cfRule type="containsText" dxfId="6798" priority="5044" operator="containsText" text="Cancelado">
      <formula>NOT(ISERROR(SEARCH("Cancelado",O659)))</formula>
    </cfRule>
  </conditionalFormatting>
  <conditionalFormatting sqref="Q659">
    <cfRule type="cellIs" dxfId="6797" priority="5041" operator="equal">
      <formula>"Tramitando"</formula>
    </cfRule>
    <cfRule type="cellIs" dxfId="6796" priority="5042" operator="equal">
      <formula>"Deferido"</formula>
    </cfRule>
    <cfRule type="cellIs" dxfId="6795" priority="5043" operator="equal">
      <formula>"Indeferido"</formula>
    </cfRule>
  </conditionalFormatting>
  <conditionalFormatting sqref="Q659">
    <cfRule type="containsText" dxfId="6794" priority="5040" operator="containsText" text="Cancelado">
      <formula>NOT(ISERROR(SEARCH("Cancelado",Q659)))</formula>
    </cfRule>
  </conditionalFormatting>
  <conditionalFormatting sqref="S659">
    <cfRule type="cellIs" dxfId="6793" priority="5037" operator="equal">
      <formula>"Tramitando"</formula>
    </cfRule>
    <cfRule type="cellIs" dxfId="6792" priority="5038" operator="equal">
      <formula>"Deferido"</formula>
    </cfRule>
    <cfRule type="cellIs" dxfId="6791" priority="5039" operator="equal">
      <formula>"Indeferido"</formula>
    </cfRule>
  </conditionalFormatting>
  <conditionalFormatting sqref="S659">
    <cfRule type="containsText" dxfId="6790" priority="5036" operator="containsText" text="Cancelado">
      <formula>NOT(ISERROR(SEARCH("Cancelado",S659)))</formula>
    </cfRule>
  </conditionalFormatting>
  <conditionalFormatting sqref="J660">
    <cfRule type="cellIs" dxfId="6789" priority="5032" operator="equal">
      <formula>"Tramitando"</formula>
    </cfRule>
    <cfRule type="cellIs" dxfId="6788" priority="5033" operator="equal">
      <formula>"Deferido"</formula>
    </cfRule>
    <cfRule type="cellIs" dxfId="6787" priority="5034" operator="equal">
      <formula>"Indeferido"</formula>
    </cfRule>
  </conditionalFormatting>
  <conditionalFormatting sqref="J660">
    <cfRule type="containsText" dxfId="6786" priority="5031" operator="containsText" text="Cancelado">
      <formula>NOT(ISERROR(SEARCH("Cancelado",J660)))</formula>
    </cfRule>
  </conditionalFormatting>
  <conditionalFormatting sqref="M660">
    <cfRule type="cellIs" dxfId="6785" priority="5028" operator="equal">
      <formula>"Tramitando"</formula>
    </cfRule>
    <cfRule type="cellIs" dxfId="6784" priority="5029" operator="equal">
      <formula>"Deferido"</formula>
    </cfRule>
    <cfRule type="cellIs" dxfId="6783" priority="5030" operator="equal">
      <formula>"Indeferido"</formula>
    </cfRule>
  </conditionalFormatting>
  <conditionalFormatting sqref="M660">
    <cfRule type="containsText" dxfId="6782" priority="5027" operator="containsText" text="Cancelado">
      <formula>NOT(ISERROR(SEARCH("Cancelado",M660)))</formula>
    </cfRule>
  </conditionalFormatting>
  <conditionalFormatting sqref="O660">
    <cfRule type="cellIs" dxfId="6781" priority="5024" operator="equal">
      <formula>"Tramitando"</formula>
    </cfRule>
    <cfRule type="cellIs" dxfId="6780" priority="5025" operator="equal">
      <formula>"Deferido"</formula>
    </cfRule>
    <cfRule type="cellIs" dxfId="6779" priority="5026" operator="equal">
      <formula>"Indeferido"</formula>
    </cfRule>
  </conditionalFormatting>
  <conditionalFormatting sqref="O660">
    <cfRule type="containsText" dxfId="6778" priority="5023" operator="containsText" text="Cancelado">
      <formula>NOT(ISERROR(SEARCH("Cancelado",O660)))</formula>
    </cfRule>
  </conditionalFormatting>
  <conditionalFormatting sqref="Q660">
    <cfRule type="cellIs" dxfId="6777" priority="5020" operator="equal">
      <formula>"Tramitando"</formula>
    </cfRule>
    <cfRule type="cellIs" dxfId="6776" priority="5021" operator="equal">
      <formula>"Deferido"</formula>
    </cfRule>
    <cfRule type="cellIs" dxfId="6775" priority="5022" operator="equal">
      <formula>"Indeferido"</formula>
    </cfRule>
  </conditionalFormatting>
  <conditionalFormatting sqref="Q660">
    <cfRule type="containsText" dxfId="6774" priority="5019" operator="containsText" text="Cancelado">
      <formula>NOT(ISERROR(SEARCH("Cancelado",Q660)))</formula>
    </cfRule>
  </conditionalFormatting>
  <conditionalFormatting sqref="S660">
    <cfRule type="cellIs" dxfId="6773" priority="5016" operator="equal">
      <formula>"Tramitando"</formula>
    </cfRule>
    <cfRule type="cellIs" dxfId="6772" priority="5017" operator="equal">
      <formula>"Deferido"</formula>
    </cfRule>
    <cfRule type="cellIs" dxfId="6771" priority="5018" operator="equal">
      <formula>"Indeferido"</formula>
    </cfRule>
  </conditionalFormatting>
  <conditionalFormatting sqref="S660">
    <cfRule type="containsText" dxfId="6770" priority="5015" operator="containsText" text="Cancelado">
      <formula>NOT(ISERROR(SEARCH("Cancelado",S660)))</formula>
    </cfRule>
  </conditionalFormatting>
  <conditionalFormatting sqref="J661">
    <cfRule type="cellIs" dxfId="6769" priority="5011" operator="equal">
      <formula>"Tramitando"</formula>
    </cfRule>
    <cfRule type="cellIs" dxfId="6768" priority="5012" operator="equal">
      <formula>"Deferido"</formula>
    </cfRule>
    <cfRule type="cellIs" dxfId="6767" priority="5013" operator="equal">
      <formula>"Indeferido"</formula>
    </cfRule>
  </conditionalFormatting>
  <conditionalFormatting sqref="J661">
    <cfRule type="containsText" dxfId="6766" priority="5010" operator="containsText" text="Cancelado">
      <formula>NOT(ISERROR(SEARCH("Cancelado",J661)))</formula>
    </cfRule>
  </conditionalFormatting>
  <conditionalFormatting sqref="M661">
    <cfRule type="cellIs" dxfId="6765" priority="5007" operator="equal">
      <formula>"Tramitando"</formula>
    </cfRule>
    <cfRule type="cellIs" dxfId="6764" priority="5008" operator="equal">
      <formula>"Deferido"</formula>
    </cfRule>
    <cfRule type="cellIs" dxfId="6763" priority="5009" operator="equal">
      <formula>"Indeferido"</formula>
    </cfRule>
  </conditionalFormatting>
  <conditionalFormatting sqref="M661">
    <cfRule type="containsText" dxfId="6762" priority="5006" operator="containsText" text="Cancelado">
      <formula>NOT(ISERROR(SEARCH("Cancelado",M661)))</formula>
    </cfRule>
  </conditionalFormatting>
  <conditionalFormatting sqref="O661">
    <cfRule type="cellIs" dxfId="6761" priority="5003" operator="equal">
      <formula>"Tramitando"</formula>
    </cfRule>
    <cfRule type="cellIs" dxfId="6760" priority="5004" operator="equal">
      <formula>"Deferido"</formula>
    </cfRule>
    <cfRule type="cellIs" dxfId="6759" priority="5005" operator="equal">
      <formula>"Indeferido"</formula>
    </cfRule>
  </conditionalFormatting>
  <conditionalFormatting sqref="O661">
    <cfRule type="containsText" dxfId="6758" priority="5002" operator="containsText" text="Cancelado">
      <formula>NOT(ISERROR(SEARCH("Cancelado",O661)))</formula>
    </cfRule>
  </conditionalFormatting>
  <conditionalFormatting sqref="Q661">
    <cfRule type="cellIs" dxfId="6757" priority="4999" operator="equal">
      <formula>"Tramitando"</formula>
    </cfRule>
    <cfRule type="cellIs" dxfId="6756" priority="5000" operator="equal">
      <formula>"Deferido"</formula>
    </cfRule>
    <cfRule type="cellIs" dxfId="6755" priority="5001" operator="equal">
      <formula>"Indeferido"</formula>
    </cfRule>
  </conditionalFormatting>
  <conditionalFormatting sqref="Q661">
    <cfRule type="containsText" dxfId="6754" priority="4998" operator="containsText" text="Cancelado">
      <formula>NOT(ISERROR(SEARCH("Cancelado",Q661)))</formula>
    </cfRule>
  </conditionalFormatting>
  <conditionalFormatting sqref="S661">
    <cfRule type="cellIs" dxfId="6753" priority="4995" operator="equal">
      <formula>"Tramitando"</formula>
    </cfRule>
    <cfRule type="cellIs" dxfId="6752" priority="4996" operator="equal">
      <formula>"Deferido"</formula>
    </cfRule>
    <cfRule type="cellIs" dxfId="6751" priority="4997" operator="equal">
      <formula>"Indeferido"</formula>
    </cfRule>
  </conditionalFormatting>
  <conditionalFormatting sqref="S661">
    <cfRule type="containsText" dxfId="6750" priority="4994" operator="containsText" text="Cancelado">
      <formula>NOT(ISERROR(SEARCH("Cancelado",S661)))</formula>
    </cfRule>
  </conditionalFormatting>
  <conditionalFormatting sqref="J662">
    <cfRule type="cellIs" dxfId="6749" priority="4990" operator="equal">
      <formula>"Tramitando"</formula>
    </cfRule>
    <cfRule type="cellIs" dxfId="6748" priority="4991" operator="equal">
      <formula>"Deferido"</formula>
    </cfRule>
    <cfRule type="cellIs" dxfId="6747" priority="4992" operator="equal">
      <formula>"Indeferido"</formula>
    </cfRule>
  </conditionalFormatting>
  <conditionalFormatting sqref="J662">
    <cfRule type="containsText" dxfId="6746" priority="4989" operator="containsText" text="Cancelado">
      <formula>NOT(ISERROR(SEARCH("Cancelado",J662)))</formula>
    </cfRule>
  </conditionalFormatting>
  <conditionalFormatting sqref="M662">
    <cfRule type="cellIs" dxfId="6745" priority="4986" operator="equal">
      <formula>"Tramitando"</formula>
    </cfRule>
    <cfRule type="cellIs" dxfId="6744" priority="4987" operator="equal">
      <formula>"Deferido"</formula>
    </cfRule>
    <cfRule type="cellIs" dxfId="6743" priority="4988" operator="equal">
      <formula>"Indeferido"</formula>
    </cfRule>
  </conditionalFormatting>
  <conditionalFormatting sqref="M662">
    <cfRule type="containsText" dxfId="6742" priority="4985" operator="containsText" text="Cancelado">
      <formula>NOT(ISERROR(SEARCH("Cancelado",M662)))</formula>
    </cfRule>
  </conditionalFormatting>
  <conditionalFormatting sqref="O662">
    <cfRule type="cellIs" dxfId="6741" priority="4982" operator="equal">
      <formula>"Tramitando"</formula>
    </cfRule>
    <cfRule type="cellIs" dxfId="6740" priority="4983" operator="equal">
      <formula>"Deferido"</formula>
    </cfRule>
    <cfRule type="cellIs" dxfId="6739" priority="4984" operator="equal">
      <formula>"Indeferido"</formula>
    </cfRule>
  </conditionalFormatting>
  <conditionalFormatting sqref="O662">
    <cfRule type="containsText" dxfId="6738" priority="4981" operator="containsText" text="Cancelado">
      <formula>NOT(ISERROR(SEARCH("Cancelado",O662)))</formula>
    </cfRule>
  </conditionalFormatting>
  <conditionalFormatting sqref="Q662">
    <cfRule type="cellIs" dxfId="6737" priority="4978" operator="equal">
      <formula>"Tramitando"</formula>
    </cfRule>
    <cfRule type="cellIs" dxfId="6736" priority="4979" operator="equal">
      <formula>"Deferido"</formula>
    </cfRule>
    <cfRule type="cellIs" dxfId="6735" priority="4980" operator="equal">
      <formula>"Indeferido"</formula>
    </cfRule>
  </conditionalFormatting>
  <conditionalFormatting sqref="Q662">
    <cfRule type="containsText" dxfId="6734" priority="4977" operator="containsText" text="Cancelado">
      <formula>NOT(ISERROR(SEARCH("Cancelado",Q662)))</formula>
    </cfRule>
  </conditionalFormatting>
  <conditionalFormatting sqref="S662">
    <cfRule type="cellIs" dxfId="6733" priority="4974" operator="equal">
      <formula>"Tramitando"</formula>
    </cfRule>
    <cfRule type="cellIs" dxfId="6732" priority="4975" operator="equal">
      <formula>"Deferido"</formula>
    </cfRule>
    <cfRule type="cellIs" dxfId="6731" priority="4976" operator="equal">
      <formula>"Indeferido"</formula>
    </cfRule>
  </conditionalFormatting>
  <conditionalFormatting sqref="S662">
    <cfRule type="containsText" dxfId="6730" priority="4973" operator="containsText" text="Cancelado">
      <formula>NOT(ISERROR(SEARCH("Cancelado",S662)))</formula>
    </cfRule>
  </conditionalFormatting>
  <conditionalFormatting sqref="J663">
    <cfRule type="cellIs" dxfId="6729" priority="4969" operator="equal">
      <formula>"Tramitando"</formula>
    </cfRule>
    <cfRule type="cellIs" dxfId="6728" priority="4970" operator="equal">
      <formula>"Deferido"</formula>
    </cfRule>
    <cfRule type="cellIs" dxfId="6727" priority="4971" operator="equal">
      <formula>"Indeferido"</formula>
    </cfRule>
  </conditionalFormatting>
  <conditionalFormatting sqref="J663">
    <cfRule type="containsText" dxfId="6726" priority="4968" operator="containsText" text="Cancelado">
      <formula>NOT(ISERROR(SEARCH("Cancelado",J663)))</formula>
    </cfRule>
  </conditionalFormatting>
  <conditionalFormatting sqref="M663">
    <cfRule type="cellIs" dxfId="6725" priority="4965" operator="equal">
      <formula>"Tramitando"</formula>
    </cfRule>
    <cfRule type="cellIs" dxfId="6724" priority="4966" operator="equal">
      <formula>"Deferido"</formula>
    </cfRule>
    <cfRule type="cellIs" dxfId="6723" priority="4967" operator="equal">
      <formula>"Indeferido"</formula>
    </cfRule>
  </conditionalFormatting>
  <conditionalFormatting sqref="M663">
    <cfRule type="containsText" dxfId="6722" priority="4964" operator="containsText" text="Cancelado">
      <formula>NOT(ISERROR(SEARCH("Cancelado",M663)))</formula>
    </cfRule>
  </conditionalFormatting>
  <conditionalFormatting sqref="O663">
    <cfRule type="cellIs" dxfId="6721" priority="4961" operator="equal">
      <formula>"Tramitando"</formula>
    </cfRule>
    <cfRule type="cellIs" dxfId="6720" priority="4962" operator="equal">
      <formula>"Deferido"</formula>
    </cfRule>
    <cfRule type="cellIs" dxfId="6719" priority="4963" operator="equal">
      <formula>"Indeferido"</formula>
    </cfRule>
  </conditionalFormatting>
  <conditionalFormatting sqref="O663">
    <cfRule type="containsText" dxfId="6718" priority="4960" operator="containsText" text="Cancelado">
      <formula>NOT(ISERROR(SEARCH("Cancelado",O663)))</formula>
    </cfRule>
  </conditionalFormatting>
  <conditionalFormatting sqref="Q663">
    <cfRule type="cellIs" dxfId="6717" priority="4957" operator="equal">
      <formula>"Tramitando"</formula>
    </cfRule>
    <cfRule type="cellIs" dxfId="6716" priority="4958" operator="equal">
      <formula>"Deferido"</formula>
    </cfRule>
    <cfRule type="cellIs" dxfId="6715" priority="4959" operator="equal">
      <formula>"Indeferido"</formula>
    </cfRule>
  </conditionalFormatting>
  <conditionalFormatting sqref="Q663">
    <cfRule type="containsText" dxfId="6714" priority="4956" operator="containsText" text="Cancelado">
      <formula>NOT(ISERROR(SEARCH("Cancelado",Q663)))</formula>
    </cfRule>
  </conditionalFormatting>
  <conditionalFormatting sqref="S663">
    <cfRule type="cellIs" dxfId="6713" priority="4953" operator="equal">
      <formula>"Tramitando"</formula>
    </cfRule>
    <cfRule type="cellIs" dxfId="6712" priority="4954" operator="equal">
      <formula>"Deferido"</formula>
    </cfRule>
    <cfRule type="cellIs" dxfId="6711" priority="4955" operator="equal">
      <formula>"Indeferido"</formula>
    </cfRule>
  </conditionalFormatting>
  <conditionalFormatting sqref="S663">
    <cfRule type="containsText" dxfId="6710" priority="4952" operator="containsText" text="Cancelado">
      <formula>NOT(ISERROR(SEARCH("Cancelado",S663)))</formula>
    </cfRule>
  </conditionalFormatting>
  <conditionalFormatting sqref="J664">
    <cfRule type="cellIs" dxfId="6709" priority="4948" operator="equal">
      <formula>"Tramitando"</formula>
    </cfRule>
    <cfRule type="cellIs" dxfId="6708" priority="4949" operator="equal">
      <formula>"Deferido"</formula>
    </cfRule>
    <cfRule type="cellIs" dxfId="6707" priority="4950" operator="equal">
      <formula>"Indeferido"</formula>
    </cfRule>
  </conditionalFormatting>
  <conditionalFormatting sqref="J664">
    <cfRule type="containsText" dxfId="6706" priority="4947" operator="containsText" text="Cancelado">
      <formula>NOT(ISERROR(SEARCH("Cancelado",J664)))</formula>
    </cfRule>
  </conditionalFormatting>
  <conditionalFormatting sqref="M664">
    <cfRule type="cellIs" dxfId="6705" priority="4944" operator="equal">
      <formula>"Tramitando"</formula>
    </cfRule>
    <cfRule type="cellIs" dxfId="6704" priority="4945" operator="equal">
      <formula>"Deferido"</formula>
    </cfRule>
    <cfRule type="cellIs" dxfId="6703" priority="4946" operator="equal">
      <formula>"Indeferido"</formula>
    </cfRule>
  </conditionalFormatting>
  <conditionalFormatting sqref="M664">
    <cfRule type="containsText" dxfId="6702" priority="4943" operator="containsText" text="Cancelado">
      <formula>NOT(ISERROR(SEARCH("Cancelado",M664)))</formula>
    </cfRule>
  </conditionalFormatting>
  <conditionalFormatting sqref="O664">
    <cfRule type="cellIs" dxfId="6701" priority="4940" operator="equal">
      <formula>"Tramitando"</formula>
    </cfRule>
    <cfRule type="cellIs" dxfId="6700" priority="4941" operator="equal">
      <formula>"Deferido"</formula>
    </cfRule>
    <cfRule type="cellIs" dxfId="6699" priority="4942" operator="equal">
      <formula>"Indeferido"</formula>
    </cfRule>
  </conditionalFormatting>
  <conditionalFormatting sqref="O664">
    <cfRule type="containsText" dxfId="6698" priority="4939" operator="containsText" text="Cancelado">
      <formula>NOT(ISERROR(SEARCH("Cancelado",O664)))</formula>
    </cfRule>
  </conditionalFormatting>
  <conditionalFormatting sqref="Q664">
    <cfRule type="cellIs" dxfId="6697" priority="4936" operator="equal">
      <formula>"Tramitando"</formula>
    </cfRule>
    <cfRule type="cellIs" dxfId="6696" priority="4937" operator="equal">
      <formula>"Deferido"</formula>
    </cfRule>
    <cfRule type="cellIs" dxfId="6695" priority="4938" operator="equal">
      <formula>"Indeferido"</formula>
    </cfRule>
  </conditionalFormatting>
  <conditionalFormatting sqref="Q664">
    <cfRule type="containsText" dxfId="6694" priority="4935" operator="containsText" text="Cancelado">
      <formula>NOT(ISERROR(SEARCH("Cancelado",Q664)))</formula>
    </cfRule>
  </conditionalFormatting>
  <conditionalFormatting sqref="S664">
    <cfRule type="cellIs" dxfId="6693" priority="4932" operator="equal">
      <formula>"Tramitando"</formula>
    </cfRule>
    <cfRule type="cellIs" dxfId="6692" priority="4933" operator="equal">
      <formula>"Deferido"</formula>
    </cfRule>
    <cfRule type="cellIs" dxfId="6691" priority="4934" operator="equal">
      <formula>"Indeferido"</formula>
    </cfRule>
  </conditionalFormatting>
  <conditionalFormatting sqref="S664">
    <cfRule type="containsText" dxfId="6690" priority="4931" operator="containsText" text="Cancelado">
      <formula>NOT(ISERROR(SEARCH("Cancelado",S664)))</formula>
    </cfRule>
  </conditionalFormatting>
  <conditionalFormatting sqref="J665">
    <cfRule type="cellIs" dxfId="6689" priority="4927" operator="equal">
      <formula>"Tramitando"</formula>
    </cfRule>
    <cfRule type="cellIs" dxfId="6688" priority="4928" operator="equal">
      <formula>"Deferido"</formula>
    </cfRule>
    <cfRule type="cellIs" dxfId="6687" priority="4929" operator="equal">
      <formula>"Indeferido"</formula>
    </cfRule>
  </conditionalFormatting>
  <conditionalFormatting sqref="J665">
    <cfRule type="containsText" dxfId="6686" priority="4926" operator="containsText" text="Cancelado">
      <formula>NOT(ISERROR(SEARCH("Cancelado",J665)))</formula>
    </cfRule>
  </conditionalFormatting>
  <conditionalFormatting sqref="M665">
    <cfRule type="cellIs" dxfId="6685" priority="4923" operator="equal">
      <formula>"Tramitando"</formula>
    </cfRule>
    <cfRule type="cellIs" dxfId="6684" priority="4924" operator="equal">
      <formula>"Deferido"</formula>
    </cfRule>
    <cfRule type="cellIs" dxfId="6683" priority="4925" operator="equal">
      <formula>"Indeferido"</formula>
    </cfRule>
  </conditionalFormatting>
  <conditionalFormatting sqref="M665">
    <cfRule type="containsText" dxfId="6682" priority="4922" operator="containsText" text="Cancelado">
      <formula>NOT(ISERROR(SEARCH("Cancelado",M665)))</formula>
    </cfRule>
  </conditionalFormatting>
  <conditionalFormatting sqref="O665">
    <cfRule type="cellIs" dxfId="6681" priority="4919" operator="equal">
      <formula>"Tramitando"</formula>
    </cfRule>
    <cfRule type="cellIs" dxfId="6680" priority="4920" operator="equal">
      <formula>"Deferido"</formula>
    </cfRule>
    <cfRule type="cellIs" dxfId="6679" priority="4921" operator="equal">
      <formula>"Indeferido"</formula>
    </cfRule>
  </conditionalFormatting>
  <conditionalFormatting sqref="O665">
    <cfRule type="containsText" dxfId="6678" priority="4918" operator="containsText" text="Cancelado">
      <formula>NOT(ISERROR(SEARCH("Cancelado",O665)))</formula>
    </cfRule>
  </conditionalFormatting>
  <conditionalFormatting sqref="Q665">
    <cfRule type="cellIs" dxfId="6677" priority="4915" operator="equal">
      <formula>"Tramitando"</formula>
    </cfRule>
    <cfRule type="cellIs" dxfId="6676" priority="4916" operator="equal">
      <formula>"Deferido"</formula>
    </cfRule>
    <cfRule type="cellIs" dxfId="6675" priority="4917" operator="equal">
      <formula>"Indeferido"</formula>
    </cfRule>
  </conditionalFormatting>
  <conditionalFormatting sqref="Q665">
    <cfRule type="containsText" dxfId="6674" priority="4914" operator="containsText" text="Cancelado">
      <formula>NOT(ISERROR(SEARCH("Cancelado",Q665)))</formula>
    </cfRule>
  </conditionalFormatting>
  <conditionalFormatting sqref="S665">
    <cfRule type="cellIs" dxfId="6673" priority="4911" operator="equal">
      <formula>"Tramitando"</formula>
    </cfRule>
    <cfRule type="cellIs" dxfId="6672" priority="4912" operator="equal">
      <formula>"Deferido"</formula>
    </cfRule>
    <cfRule type="cellIs" dxfId="6671" priority="4913" operator="equal">
      <formula>"Indeferido"</formula>
    </cfRule>
  </conditionalFormatting>
  <conditionalFormatting sqref="S665">
    <cfRule type="containsText" dxfId="6670" priority="4910" operator="containsText" text="Cancelado">
      <formula>NOT(ISERROR(SEARCH("Cancelado",S665)))</formula>
    </cfRule>
  </conditionalFormatting>
  <conditionalFormatting sqref="J666">
    <cfRule type="cellIs" dxfId="6669" priority="4906" operator="equal">
      <formula>"Tramitando"</formula>
    </cfRule>
    <cfRule type="cellIs" dxfId="6668" priority="4907" operator="equal">
      <formula>"Deferido"</formula>
    </cfRule>
    <cfRule type="cellIs" dxfId="6667" priority="4908" operator="equal">
      <formula>"Indeferido"</formula>
    </cfRule>
  </conditionalFormatting>
  <conditionalFormatting sqref="J666">
    <cfRule type="containsText" dxfId="6666" priority="4905" operator="containsText" text="Cancelado">
      <formula>NOT(ISERROR(SEARCH("Cancelado",J666)))</formula>
    </cfRule>
  </conditionalFormatting>
  <conditionalFormatting sqref="M666">
    <cfRule type="cellIs" dxfId="6665" priority="4902" operator="equal">
      <formula>"Tramitando"</formula>
    </cfRule>
    <cfRule type="cellIs" dxfId="6664" priority="4903" operator="equal">
      <formula>"Deferido"</formula>
    </cfRule>
    <cfRule type="cellIs" dxfId="6663" priority="4904" operator="equal">
      <formula>"Indeferido"</formula>
    </cfRule>
  </conditionalFormatting>
  <conditionalFormatting sqref="M666">
    <cfRule type="containsText" dxfId="6662" priority="4901" operator="containsText" text="Cancelado">
      <formula>NOT(ISERROR(SEARCH("Cancelado",M666)))</formula>
    </cfRule>
  </conditionalFormatting>
  <conditionalFormatting sqref="O666">
    <cfRule type="cellIs" dxfId="6661" priority="4898" operator="equal">
      <formula>"Tramitando"</formula>
    </cfRule>
    <cfRule type="cellIs" dxfId="6660" priority="4899" operator="equal">
      <formula>"Deferido"</formula>
    </cfRule>
    <cfRule type="cellIs" dxfId="6659" priority="4900" operator="equal">
      <formula>"Indeferido"</formula>
    </cfRule>
  </conditionalFormatting>
  <conditionalFormatting sqref="O666">
    <cfRule type="containsText" dxfId="6658" priority="4897" operator="containsText" text="Cancelado">
      <formula>NOT(ISERROR(SEARCH("Cancelado",O666)))</formula>
    </cfRule>
  </conditionalFormatting>
  <conditionalFormatting sqref="Q666">
    <cfRule type="cellIs" dxfId="6657" priority="4894" operator="equal">
      <formula>"Tramitando"</formula>
    </cfRule>
    <cfRule type="cellIs" dxfId="6656" priority="4895" operator="equal">
      <formula>"Deferido"</formula>
    </cfRule>
    <cfRule type="cellIs" dxfId="6655" priority="4896" operator="equal">
      <formula>"Indeferido"</formula>
    </cfRule>
  </conditionalFormatting>
  <conditionalFormatting sqref="Q666">
    <cfRule type="containsText" dxfId="6654" priority="4893" operator="containsText" text="Cancelado">
      <formula>NOT(ISERROR(SEARCH("Cancelado",Q666)))</formula>
    </cfRule>
  </conditionalFormatting>
  <conditionalFormatting sqref="S666">
    <cfRule type="cellIs" dxfId="6653" priority="4890" operator="equal">
      <formula>"Tramitando"</formula>
    </cfRule>
    <cfRule type="cellIs" dxfId="6652" priority="4891" operator="equal">
      <formula>"Deferido"</formula>
    </cfRule>
    <cfRule type="cellIs" dxfId="6651" priority="4892" operator="equal">
      <formula>"Indeferido"</formula>
    </cfRule>
  </conditionalFormatting>
  <conditionalFormatting sqref="S666">
    <cfRule type="containsText" dxfId="6650" priority="4889" operator="containsText" text="Cancelado">
      <formula>NOT(ISERROR(SEARCH("Cancelado",S666)))</formula>
    </cfRule>
  </conditionalFormatting>
  <conditionalFormatting sqref="J667">
    <cfRule type="cellIs" dxfId="6649" priority="4885" operator="equal">
      <formula>"Tramitando"</formula>
    </cfRule>
    <cfRule type="cellIs" dxfId="6648" priority="4886" operator="equal">
      <formula>"Deferido"</formula>
    </cfRule>
    <cfRule type="cellIs" dxfId="6647" priority="4887" operator="equal">
      <formula>"Indeferido"</formula>
    </cfRule>
  </conditionalFormatting>
  <conditionalFormatting sqref="J667">
    <cfRule type="containsText" dxfId="6646" priority="4884" operator="containsText" text="Cancelado">
      <formula>NOT(ISERROR(SEARCH("Cancelado",J667)))</formula>
    </cfRule>
  </conditionalFormatting>
  <conditionalFormatting sqref="M667">
    <cfRule type="cellIs" dxfId="6645" priority="4881" operator="equal">
      <formula>"Tramitando"</formula>
    </cfRule>
    <cfRule type="cellIs" dxfId="6644" priority="4882" operator="equal">
      <formula>"Deferido"</formula>
    </cfRule>
    <cfRule type="cellIs" dxfId="6643" priority="4883" operator="equal">
      <formula>"Indeferido"</formula>
    </cfRule>
  </conditionalFormatting>
  <conditionalFormatting sqref="M667">
    <cfRule type="containsText" dxfId="6642" priority="4880" operator="containsText" text="Cancelado">
      <formula>NOT(ISERROR(SEARCH("Cancelado",M667)))</formula>
    </cfRule>
  </conditionalFormatting>
  <conditionalFormatting sqref="O667">
    <cfRule type="cellIs" dxfId="6641" priority="4877" operator="equal">
      <formula>"Tramitando"</formula>
    </cfRule>
    <cfRule type="cellIs" dxfId="6640" priority="4878" operator="equal">
      <formula>"Deferido"</formula>
    </cfRule>
    <cfRule type="cellIs" dxfId="6639" priority="4879" operator="equal">
      <formula>"Indeferido"</formula>
    </cfRule>
  </conditionalFormatting>
  <conditionalFormatting sqref="O667">
    <cfRule type="containsText" dxfId="6638" priority="4876" operator="containsText" text="Cancelado">
      <formula>NOT(ISERROR(SEARCH("Cancelado",O667)))</formula>
    </cfRule>
  </conditionalFormatting>
  <conditionalFormatting sqref="Q667">
    <cfRule type="cellIs" dxfId="6637" priority="4873" operator="equal">
      <formula>"Tramitando"</formula>
    </cfRule>
    <cfRule type="cellIs" dxfId="6636" priority="4874" operator="equal">
      <formula>"Deferido"</formula>
    </cfRule>
    <cfRule type="cellIs" dxfId="6635" priority="4875" operator="equal">
      <formula>"Indeferido"</formula>
    </cfRule>
  </conditionalFormatting>
  <conditionalFormatting sqref="Q667">
    <cfRule type="containsText" dxfId="6634" priority="4872" operator="containsText" text="Cancelado">
      <formula>NOT(ISERROR(SEARCH("Cancelado",Q667)))</formula>
    </cfRule>
  </conditionalFormatting>
  <conditionalFormatting sqref="S667">
    <cfRule type="cellIs" dxfId="6633" priority="4869" operator="equal">
      <formula>"Tramitando"</formula>
    </cfRule>
    <cfRule type="cellIs" dxfId="6632" priority="4870" operator="equal">
      <formula>"Deferido"</formula>
    </cfRule>
    <cfRule type="cellIs" dxfId="6631" priority="4871" operator="equal">
      <formula>"Indeferido"</formula>
    </cfRule>
  </conditionalFormatting>
  <conditionalFormatting sqref="S667">
    <cfRule type="containsText" dxfId="6630" priority="4868" operator="containsText" text="Cancelado">
      <formula>NOT(ISERROR(SEARCH("Cancelado",S667)))</formula>
    </cfRule>
  </conditionalFormatting>
  <conditionalFormatting sqref="J668">
    <cfRule type="cellIs" dxfId="6629" priority="4864" operator="equal">
      <formula>"Tramitando"</formula>
    </cfRule>
    <cfRule type="cellIs" dxfId="6628" priority="4865" operator="equal">
      <formula>"Deferido"</formula>
    </cfRule>
    <cfRule type="cellIs" dxfId="6627" priority="4866" operator="equal">
      <formula>"Indeferido"</formula>
    </cfRule>
  </conditionalFormatting>
  <conditionalFormatting sqref="J668">
    <cfRule type="containsText" dxfId="6626" priority="4863" operator="containsText" text="Cancelado">
      <formula>NOT(ISERROR(SEARCH("Cancelado",J668)))</formula>
    </cfRule>
  </conditionalFormatting>
  <conditionalFormatting sqref="M668">
    <cfRule type="cellIs" dxfId="6625" priority="4860" operator="equal">
      <formula>"Tramitando"</formula>
    </cfRule>
    <cfRule type="cellIs" dxfId="6624" priority="4861" operator="equal">
      <formula>"Deferido"</formula>
    </cfRule>
    <cfRule type="cellIs" dxfId="6623" priority="4862" operator="equal">
      <formula>"Indeferido"</formula>
    </cfRule>
  </conditionalFormatting>
  <conditionalFormatting sqref="M668">
    <cfRule type="containsText" dxfId="6622" priority="4859" operator="containsText" text="Cancelado">
      <formula>NOT(ISERROR(SEARCH("Cancelado",M668)))</formula>
    </cfRule>
  </conditionalFormatting>
  <conditionalFormatting sqref="O668">
    <cfRule type="cellIs" dxfId="6621" priority="4856" operator="equal">
      <formula>"Tramitando"</formula>
    </cfRule>
    <cfRule type="cellIs" dxfId="6620" priority="4857" operator="equal">
      <formula>"Deferido"</formula>
    </cfRule>
    <cfRule type="cellIs" dxfId="6619" priority="4858" operator="equal">
      <formula>"Indeferido"</formula>
    </cfRule>
  </conditionalFormatting>
  <conditionalFormatting sqref="O668">
    <cfRule type="containsText" dxfId="6618" priority="4855" operator="containsText" text="Cancelado">
      <formula>NOT(ISERROR(SEARCH("Cancelado",O668)))</formula>
    </cfRule>
  </conditionalFormatting>
  <conditionalFormatting sqref="Q668">
    <cfRule type="cellIs" dxfId="6617" priority="4852" operator="equal">
      <formula>"Tramitando"</formula>
    </cfRule>
    <cfRule type="cellIs" dxfId="6616" priority="4853" operator="equal">
      <formula>"Deferido"</formula>
    </cfRule>
    <cfRule type="cellIs" dxfId="6615" priority="4854" operator="equal">
      <formula>"Indeferido"</formula>
    </cfRule>
  </conditionalFormatting>
  <conditionalFormatting sqref="Q668">
    <cfRule type="containsText" dxfId="6614" priority="4851" operator="containsText" text="Cancelado">
      <formula>NOT(ISERROR(SEARCH("Cancelado",Q668)))</formula>
    </cfRule>
  </conditionalFormatting>
  <conditionalFormatting sqref="S668">
    <cfRule type="cellIs" dxfId="6613" priority="4848" operator="equal">
      <formula>"Tramitando"</formula>
    </cfRule>
    <cfRule type="cellIs" dxfId="6612" priority="4849" operator="equal">
      <formula>"Deferido"</formula>
    </cfRule>
    <cfRule type="cellIs" dxfId="6611" priority="4850" operator="equal">
      <formula>"Indeferido"</formula>
    </cfRule>
  </conditionalFormatting>
  <conditionalFormatting sqref="S668">
    <cfRule type="containsText" dxfId="6610" priority="4847" operator="containsText" text="Cancelado">
      <formula>NOT(ISERROR(SEARCH("Cancelado",S668)))</formula>
    </cfRule>
  </conditionalFormatting>
  <conditionalFormatting sqref="J669">
    <cfRule type="cellIs" dxfId="6609" priority="4843" operator="equal">
      <formula>"Tramitando"</formula>
    </cfRule>
    <cfRule type="cellIs" dxfId="6608" priority="4844" operator="equal">
      <formula>"Deferido"</formula>
    </cfRule>
    <cfRule type="cellIs" dxfId="6607" priority="4845" operator="equal">
      <formula>"Indeferido"</formula>
    </cfRule>
  </conditionalFormatting>
  <conditionalFormatting sqref="J669">
    <cfRule type="containsText" dxfId="6606" priority="4842" operator="containsText" text="Cancelado">
      <formula>NOT(ISERROR(SEARCH("Cancelado",J669)))</formula>
    </cfRule>
  </conditionalFormatting>
  <conditionalFormatting sqref="M669">
    <cfRule type="cellIs" dxfId="6605" priority="4839" operator="equal">
      <formula>"Tramitando"</formula>
    </cfRule>
    <cfRule type="cellIs" dxfId="6604" priority="4840" operator="equal">
      <formula>"Deferido"</formula>
    </cfRule>
    <cfRule type="cellIs" dxfId="6603" priority="4841" operator="equal">
      <formula>"Indeferido"</formula>
    </cfRule>
  </conditionalFormatting>
  <conditionalFormatting sqref="M669">
    <cfRule type="containsText" dxfId="6602" priority="4838" operator="containsText" text="Cancelado">
      <formula>NOT(ISERROR(SEARCH("Cancelado",M669)))</formula>
    </cfRule>
  </conditionalFormatting>
  <conditionalFormatting sqref="O669">
    <cfRule type="cellIs" dxfId="6601" priority="4835" operator="equal">
      <formula>"Tramitando"</formula>
    </cfRule>
    <cfRule type="cellIs" dxfId="6600" priority="4836" operator="equal">
      <formula>"Deferido"</formula>
    </cfRule>
    <cfRule type="cellIs" dxfId="6599" priority="4837" operator="equal">
      <formula>"Indeferido"</formula>
    </cfRule>
  </conditionalFormatting>
  <conditionalFormatting sqref="O669">
    <cfRule type="containsText" dxfId="6598" priority="4834" operator="containsText" text="Cancelado">
      <formula>NOT(ISERROR(SEARCH("Cancelado",O669)))</formula>
    </cfRule>
  </conditionalFormatting>
  <conditionalFormatting sqref="Q669">
    <cfRule type="cellIs" dxfId="6597" priority="4831" operator="equal">
      <formula>"Tramitando"</formula>
    </cfRule>
    <cfRule type="cellIs" dxfId="6596" priority="4832" operator="equal">
      <formula>"Deferido"</formula>
    </cfRule>
    <cfRule type="cellIs" dxfId="6595" priority="4833" operator="equal">
      <formula>"Indeferido"</formula>
    </cfRule>
  </conditionalFormatting>
  <conditionalFormatting sqref="Q669">
    <cfRule type="containsText" dxfId="6594" priority="4830" operator="containsText" text="Cancelado">
      <formula>NOT(ISERROR(SEARCH("Cancelado",Q669)))</formula>
    </cfRule>
  </conditionalFormatting>
  <conditionalFormatting sqref="S669">
    <cfRule type="cellIs" dxfId="6593" priority="4827" operator="equal">
      <formula>"Tramitando"</formula>
    </cfRule>
    <cfRule type="cellIs" dxfId="6592" priority="4828" operator="equal">
      <formula>"Deferido"</formula>
    </cfRule>
    <cfRule type="cellIs" dxfId="6591" priority="4829" operator="equal">
      <formula>"Indeferido"</formula>
    </cfRule>
  </conditionalFormatting>
  <conditionalFormatting sqref="S669">
    <cfRule type="containsText" dxfId="6590" priority="4826" operator="containsText" text="Cancelado">
      <formula>NOT(ISERROR(SEARCH("Cancelado",S669)))</formula>
    </cfRule>
  </conditionalFormatting>
  <conditionalFormatting sqref="J670">
    <cfRule type="cellIs" dxfId="6589" priority="4822" operator="equal">
      <formula>"Tramitando"</formula>
    </cfRule>
    <cfRule type="cellIs" dxfId="6588" priority="4823" operator="equal">
      <formula>"Deferido"</formula>
    </cfRule>
    <cfRule type="cellIs" dxfId="6587" priority="4824" operator="equal">
      <formula>"Indeferido"</formula>
    </cfRule>
  </conditionalFormatting>
  <conditionalFormatting sqref="J670">
    <cfRule type="containsText" dxfId="6586" priority="4821" operator="containsText" text="Cancelado">
      <formula>NOT(ISERROR(SEARCH("Cancelado",J670)))</formula>
    </cfRule>
  </conditionalFormatting>
  <conditionalFormatting sqref="M670">
    <cfRule type="cellIs" dxfId="6585" priority="4818" operator="equal">
      <formula>"Tramitando"</formula>
    </cfRule>
    <cfRule type="cellIs" dxfId="6584" priority="4819" operator="equal">
      <formula>"Deferido"</formula>
    </cfRule>
    <cfRule type="cellIs" dxfId="6583" priority="4820" operator="equal">
      <formula>"Indeferido"</formula>
    </cfRule>
  </conditionalFormatting>
  <conditionalFormatting sqref="M670">
    <cfRule type="containsText" dxfId="6582" priority="4817" operator="containsText" text="Cancelado">
      <formula>NOT(ISERROR(SEARCH("Cancelado",M670)))</formula>
    </cfRule>
  </conditionalFormatting>
  <conditionalFormatting sqref="O670">
    <cfRule type="cellIs" dxfId="6581" priority="4814" operator="equal">
      <formula>"Tramitando"</formula>
    </cfRule>
    <cfRule type="cellIs" dxfId="6580" priority="4815" operator="equal">
      <formula>"Deferido"</formula>
    </cfRule>
    <cfRule type="cellIs" dxfId="6579" priority="4816" operator="equal">
      <formula>"Indeferido"</formula>
    </cfRule>
  </conditionalFormatting>
  <conditionalFormatting sqref="O670">
    <cfRule type="containsText" dxfId="6578" priority="4813" operator="containsText" text="Cancelado">
      <formula>NOT(ISERROR(SEARCH("Cancelado",O670)))</formula>
    </cfRule>
  </conditionalFormatting>
  <conditionalFormatting sqref="Q670">
    <cfRule type="cellIs" dxfId="6577" priority="4810" operator="equal">
      <formula>"Tramitando"</formula>
    </cfRule>
    <cfRule type="cellIs" dxfId="6576" priority="4811" operator="equal">
      <formula>"Deferido"</formula>
    </cfRule>
    <cfRule type="cellIs" dxfId="6575" priority="4812" operator="equal">
      <formula>"Indeferido"</formula>
    </cfRule>
  </conditionalFormatting>
  <conditionalFormatting sqref="Q670">
    <cfRule type="containsText" dxfId="6574" priority="4809" operator="containsText" text="Cancelado">
      <formula>NOT(ISERROR(SEARCH("Cancelado",Q670)))</formula>
    </cfRule>
  </conditionalFormatting>
  <conditionalFormatting sqref="S670">
    <cfRule type="cellIs" dxfId="6573" priority="4806" operator="equal">
      <formula>"Tramitando"</formula>
    </cfRule>
    <cfRule type="cellIs" dxfId="6572" priority="4807" operator="equal">
      <formula>"Deferido"</formula>
    </cfRule>
    <cfRule type="cellIs" dxfId="6571" priority="4808" operator="equal">
      <formula>"Indeferido"</formula>
    </cfRule>
  </conditionalFormatting>
  <conditionalFormatting sqref="S670">
    <cfRule type="containsText" dxfId="6570" priority="4805" operator="containsText" text="Cancelado">
      <formula>NOT(ISERROR(SEARCH("Cancelado",S670)))</formula>
    </cfRule>
  </conditionalFormatting>
  <conditionalFormatting sqref="J671">
    <cfRule type="cellIs" dxfId="6569" priority="4801" operator="equal">
      <formula>"Tramitando"</formula>
    </cfRule>
    <cfRule type="cellIs" dxfId="6568" priority="4802" operator="equal">
      <formula>"Deferido"</formula>
    </cfRule>
    <cfRule type="cellIs" dxfId="6567" priority="4803" operator="equal">
      <formula>"Indeferido"</formula>
    </cfRule>
  </conditionalFormatting>
  <conditionalFormatting sqref="J671">
    <cfRule type="containsText" dxfId="6566" priority="4800" operator="containsText" text="Cancelado">
      <formula>NOT(ISERROR(SEARCH("Cancelado",J671)))</formula>
    </cfRule>
  </conditionalFormatting>
  <conditionalFormatting sqref="M671">
    <cfRule type="cellIs" dxfId="6565" priority="4797" operator="equal">
      <formula>"Tramitando"</formula>
    </cfRule>
    <cfRule type="cellIs" dxfId="6564" priority="4798" operator="equal">
      <formula>"Deferido"</formula>
    </cfRule>
    <cfRule type="cellIs" dxfId="6563" priority="4799" operator="equal">
      <formula>"Indeferido"</formula>
    </cfRule>
  </conditionalFormatting>
  <conditionalFormatting sqref="M671">
    <cfRule type="containsText" dxfId="6562" priority="4796" operator="containsText" text="Cancelado">
      <formula>NOT(ISERROR(SEARCH("Cancelado",M671)))</formula>
    </cfRule>
  </conditionalFormatting>
  <conditionalFormatting sqref="O671">
    <cfRule type="cellIs" dxfId="6561" priority="4793" operator="equal">
      <formula>"Tramitando"</formula>
    </cfRule>
    <cfRule type="cellIs" dxfId="6560" priority="4794" operator="equal">
      <formula>"Deferido"</formula>
    </cfRule>
    <cfRule type="cellIs" dxfId="6559" priority="4795" operator="equal">
      <formula>"Indeferido"</formula>
    </cfRule>
  </conditionalFormatting>
  <conditionalFormatting sqref="O671">
    <cfRule type="containsText" dxfId="6558" priority="4792" operator="containsText" text="Cancelado">
      <formula>NOT(ISERROR(SEARCH("Cancelado",O671)))</formula>
    </cfRule>
  </conditionalFormatting>
  <conditionalFormatting sqref="Q671">
    <cfRule type="cellIs" dxfId="6557" priority="4789" operator="equal">
      <formula>"Tramitando"</formula>
    </cfRule>
    <cfRule type="cellIs" dxfId="6556" priority="4790" operator="equal">
      <formula>"Deferido"</formula>
    </cfRule>
    <cfRule type="cellIs" dxfId="6555" priority="4791" operator="equal">
      <formula>"Indeferido"</formula>
    </cfRule>
  </conditionalFormatting>
  <conditionalFormatting sqref="Q671">
    <cfRule type="containsText" dxfId="6554" priority="4788" operator="containsText" text="Cancelado">
      <formula>NOT(ISERROR(SEARCH("Cancelado",Q671)))</formula>
    </cfRule>
  </conditionalFormatting>
  <conditionalFormatting sqref="S671">
    <cfRule type="cellIs" dxfId="6553" priority="4785" operator="equal">
      <formula>"Tramitando"</formula>
    </cfRule>
    <cfRule type="cellIs" dxfId="6552" priority="4786" operator="equal">
      <formula>"Deferido"</formula>
    </cfRule>
    <cfRule type="cellIs" dxfId="6551" priority="4787" operator="equal">
      <formula>"Indeferido"</formula>
    </cfRule>
  </conditionalFormatting>
  <conditionalFormatting sqref="S671">
    <cfRule type="containsText" dxfId="6550" priority="4784" operator="containsText" text="Cancelado">
      <formula>NOT(ISERROR(SEARCH("Cancelado",S671)))</formula>
    </cfRule>
  </conditionalFormatting>
  <conditionalFormatting sqref="J672">
    <cfRule type="cellIs" dxfId="6549" priority="4780" operator="equal">
      <formula>"Tramitando"</formula>
    </cfRule>
    <cfRule type="cellIs" dxfId="6548" priority="4781" operator="equal">
      <formula>"Deferido"</formula>
    </cfRule>
    <cfRule type="cellIs" dxfId="6547" priority="4782" operator="equal">
      <formula>"Indeferido"</formula>
    </cfRule>
  </conditionalFormatting>
  <conditionalFormatting sqref="J672">
    <cfRule type="containsText" dxfId="6546" priority="4779" operator="containsText" text="Cancelado">
      <formula>NOT(ISERROR(SEARCH("Cancelado",J672)))</formula>
    </cfRule>
  </conditionalFormatting>
  <conditionalFormatting sqref="M672">
    <cfRule type="cellIs" dxfId="6545" priority="4776" operator="equal">
      <formula>"Tramitando"</formula>
    </cfRule>
    <cfRule type="cellIs" dxfId="6544" priority="4777" operator="equal">
      <formula>"Deferido"</formula>
    </cfRule>
    <cfRule type="cellIs" dxfId="6543" priority="4778" operator="equal">
      <formula>"Indeferido"</formula>
    </cfRule>
  </conditionalFormatting>
  <conditionalFormatting sqref="M672">
    <cfRule type="containsText" dxfId="6542" priority="4775" operator="containsText" text="Cancelado">
      <formula>NOT(ISERROR(SEARCH("Cancelado",M672)))</formula>
    </cfRule>
  </conditionalFormatting>
  <conditionalFormatting sqref="O672">
    <cfRule type="cellIs" dxfId="6541" priority="4772" operator="equal">
      <formula>"Tramitando"</formula>
    </cfRule>
    <cfRule type="cellIs" dxfId="6540" priority="4773" operator="equal">
      <formula>"Deferido"</formula>
    </cfRule>
    <cfRule type="cellIs" dxfId="6539" priority="4774" operator="equal">
      <formula>"Indeferido"</formula>
    </cfRule>
  </conditionalFormatting>
  <conditionalFormatting sqref="O672">
    <cfRule type="containsText" dxfId="6538" priority="4771" operator="containsText" text="Cancelado">
      <formula>NOT(ISERROR(SEARCH("Cancelado",O672)))</formula>
    </cfRule>
  </conditionalFormatting>
  <conditionalFormatting sqref="Q672">
    <cfRule type="cellIs" dxfId="6537" priority="4768" operator="equal">
      <formula>"Tramitando"</formula>
    </cfRule>
    <cfRule type="cellIs" dxfId="6536" priority="4769" operator="equal">
      <formula>"Deferido"</formula>
    </cfRule>
    <cfRule type="cellIs" dxfId="6535" priority="4770" operator="equal">
      <formula>"Indeferido"</formula>
    </cfRule>
  </conditionalFormatting>
  <conditionalFormatting sqref="Q672">
    <cfRule type="containsText" dxfId="6534" priority="4767" operator="containsText" text="Cancelado">
      <formula>NOT(ISERROR(SEARCH("Cancelado",Q672)))</formula>
    </cfRule>
  </conditionalFormatting>
  <conditionalFormatting sqref="S672">
    <cfRule type="cellIs" dxfId="6533" priority="4764" operator="equal">
      <formula>"Tramitando"</formula>
    </cfRule>
    <cfRule type="cellIs" dxfId="6532" priority="4765" operator="equal">
      <formula>"Deferido"</formula>
    </cfRule>
    <cfRule type="cellIs" dxfId="6531" priority="4766" operator="equal">
      <formula>"Indeferido"</formula>
    </cfRule>
  </conditionalFormatting>
  <conditionalFormatting sqref="S672">
    <cfRule type="containsText" dxfId="6530" priority="4763" operator="containsText" text="Cancelado">
      <formula>NOT(ISERROR(SEARCH("Cancelado",S672)))</formula>
    </cfRule>
  </conditionalFormatting>
  <conditionalFormatting sqref="J673">
    <cfRule type="cellIs" dxfId="6529" priority="4759" operator="equal">
      <formula>"Tramitando"</formula>
    </cfRule>
    <cfRule type="cellIs" dxfId="6528" priority="4760" operator="equal">
      <formula>"Deferido"</formula>
    </cfRule>
    <cfRule type="cellIs" dxfId="6527" priority="4761" operator="equal">
      <formula>"Indeferido"</formula>
    </cfRule>
  </conditionalFormatting>
  <conditionalFormatting sqref="J673">
    <cfRule type="containsText" dxfId="6526" priority="4758" operator="containsText" text="Cancelado">
      <formula>NOT(ISERROR(SEARCH("Cancelado",J673)))</formula>
    </cfRule>
  </conditionalFormatting>
  <conditionalFormatting sqref="M673">
    <cfRule type="cellIs" dxfId="6525" priority="4755" operator="equal">
      <formula>"Tramitando"</formula>
    </cfRule>
    <cfRule type="cellIs" dxfId="6524" priority="4756" operator="equal">
      <formula>"Deferido"</formula>
    </cfRule>
    <cfRule type="cellIs" dxfId="6523" priority="4757" operator="equal">
      <formula>"Indeferido"</formula>
    </cfRule>
  </conditionalFormatting>
  <conditionalFormatting sqref="M673">
    <cfRule type="containsText" dxfId="6522" priority="4754" operator="containsText" text="Cancelado">
      <formula>NOT(ISERROR(SEARCH("Cancelado",M673)))</formula>
    </cfRule>
  </conditionalFormatting>
  <conditionalFormatting sqref="O673">
    <cfRule type="cellIs" dxfId="6521" priority="4751" operator="equal">
      <formula>"Tramitando"</formula>
    </cfRule>
    <cfRule type="cellIs" dxfId="6520" priority="4752" operator="equal">
      <formula>"Deferido"</formula>
    </cfRule>
    <cfRule type="cellIs" dxfId="6519" priority="4753" operator="equal">
      <formula>"Indeferido"</formula>
    </cfRule>
  </conditionalFormatting>
  <conditionalFormatting sqref="O673">
    <cfRule type="containsText" dxfId="6518" priority="4750" operator="containsText" text="Cancelado">
      <formula>NOT(ISERROR(SEARCH("Cancelado",O673)))</formula>
    </cfRule>
  </conditionalFormatting>
  <conditionalFormatting sqref="Q673">
    <cfRule type="cellIs" dxfId="6517" priority="4747" operator="equal">
      <formula>"Tramitando"</formula>
    </cfRule>
    <cfRule type="cellIs" dxfId="6516" priority="4748" operator="equal">
      <formula>"Deferido"</formula>
    </cfRule>
    <cfRule type="cellIs" dxfId="6515" priority="4749" operator="equal">
      <formula>"Indeferido"</formula>
    </cfRule>
  </conditionalFormatting>
  <conditionalFormatting sqref="Q673">
    <cfRule type="containsText" dxfId="6514" priority="4746" operator="containsText" text="Cancelado">
      <formula>NOT(ISERROR(SEARCH("Cancelado",Q673)))</formula>
    </cfRule>
  </conditionalFormatting>
  <conditionalFormatting sqref="S673">
    <cfRule type="cellIs" dxfId="6513" priority="4743" operator="equal">
      <formula>"Tramitando"</formula>
    </cfRule>
    <cfRule type="cellIs" dxfId="6512" priority="4744" operator="equal">
      <formula>"Deferido"</formula>
    </cfRule>
    <cfRule type="cellIs" dxfId="6511" priority="4745" operator="equal">
      <formula>"Indeferido"</formula>
    </cfRule>
  </conditionalFormatting>
  <conditionalFormatting sqref="S673">
    <cfRule type="containsText" dxfId="6510" priority="4742" operator="containsText" text="Cancelado">
      <formula>NOT(ISERROR(SEARCH("Cancelado",S673)))</formula>
    </cfRule>
  </conditionalFormatting>
  <conditionalFormatting sqref="J674">
    <cfRule type="cellIs" dxfId="6509" priority="4738" operator="equal">
      <formula>"Tramitando"</formula>
    </cfRule>
    <cfRule type="cellIs" dxfId="6508" priority="4739" operator="equal">
      <formula>"Deferido"</formula>
    </cfRule>
    <cfRule type="cellIs" dxfId="6507" priority="4740" operator="equal">
      <formula>"Indeferido"</formula>
    </cfRule>
  </conditionalFormatting>
  <conditionalFormatting sqref="J674">
    <cfRule type="containsText" dxfId="6506" priority="4737" operator="containsText" text="Cancelado">
      <formula>NOT(ISERROR(SEARCH("Cancelado",J674)))</formula>
    </cfRule>
  </conditionalFormatting>
  <conditionalFormatting sqref="M674">
    <cfRule type="cellIs" dxfId="6505" priority="4734" operator="equal">
      <formula>"Tramitando"</formula>
    </cfRule>
    <cfRule type="cellIs" dxfId="6504" priority="4735" operator="equal">
      <formula>"Deferido"</formula>
    </cfRule>
    <cfRule type="cellIs" dxfId="6503" priority="4736" operator="equal">
      <formula>"Indeferido"</formula>
    </cfRule>
  </conditionalFormatting>
  <conditionalFormatting sqref="M674">
    <cfRule type="containsText" dxfId="6502" priority="4733" operator="containsText" text="Cancelado">
      <formula>NOT(ISERROR(SEARCH("Cancelado",M674)))</formula>
    </cfRule>
  </conditionalFormatting>
  <conditionalFormatting sqref="O674">
    <cfRule type="cellIs" dxfId="6501" priority="4730" operator="equal">
      <formula>"Tramitando"</formula>
    </cfRule>
    <cfRule type="cellIs" dxfId="6500" priority="4731" operator="equal">
      <formula>"Deferido"</formula>
    </cfRule>
    <cfRule type="cellIs" dxfId="6499" priority="4732" operator="equal">
      <formula>"Indeferido"</formula>
    </cfRule>
  </conditionalFormatting>
  <conditionalFormatting sqref="O674">
    <cfRule type="containsText" dxfId="6498" priority="4729" operator="containsText" text="Cancelado">
      <formula>NOT(ISERROR(SEARCH("Cancelado",O674)))</formula>
    </cfRule>
  </conditionalFormatting>
  <conditionalFormatting sqref="Q674">
    <cfRule type="cellIs" dxfId="6497" priority="4726" operator="equal">
      <formula>"Tramitando"</formula>
    </cfRule>
    <cfRule type="cellIs" dxfId="6496" priority="4727" operator="equal">
      <formula>"Deferido"</formula>
    </cfRule>
    <cfRule type="cellIs" dxfId="6495" priority="4728" operator="equal">
      <formula>"Indeferido"</formula>
    </cfRule>
  </conditionalFormatting>
  <conditionalFormatting sqref="Q674">
    <cfRule type="containsText" dxfId="6494" priority="4725" operator="containsText" text="Cancelado">
      <formula>NOT(ISERROR(SEARCH("Cancelado",Q674)))</formula>
    </cfRule>
  </conditionalFormatting>
  <conditionalFormatting sqref="S674">
    <cfRule type="cellIs" dxfId="6493" priority="4722" operator="equal">
      <formula>"Tramitando"</formula>
    </cfRule>
    <cfRule type="cellIs" dxfId="6492" priority="4723" operator="equal">
      <formula>"Deferido"</formula>
    </cfRule>
    <cfRule type="cellIs" dxfId="6491" priority="4724" operator="equal">
      <formula>"Indeferido"</formula>
    </cfRule>
  </conditionalFormatting>
  <conditionalFormatting sqref="S674">
    <cfRule type="containsText" dxfId="6490" priority="4721" operator="containsText" text="Cancelado">
      <formula>NOT(ISERROR(SEARCH("Cancelado",S674)))</formula>
    </cfRule>
  </conditionalFormatting>
  <conditionalFormatting sqref="J675">
    <cfRule type="cellIs" dxfId="6489" priority="4717" operator="equal">
      <formula>"Tramitando"</formula>
    </cfRule>
    <cfRule type="cellIs" dxfId="6488" priority="4718" operator="equal">
      <formula>"Deferido"</formula>
    </cfRule>
    <cfRule type="cellIs" dxfId="6487" priority="4719" operator="equal">
      <formula>"Indeferido"</formula>
    </cfRule>
  </conditionalFormatting>
  <conditionalFormatting sqref="J675">
    <cfRule type="containsText" dxfId="6486" priority="4716" operator="containsText" text="Cancelado">
      <formula>NOT(ISERROR(SEARCH("Cancelado",J675)))</formula>
    </cfRule>
  </conditionalFormatting>
  <conditionalFormatting sqref="M675">
    <cfRule type="cellIs" dxfId="6485" priority="4713" operator="equal">
      <formula>"Tramitando"</formula>
    </cfRule>
    <cfRule type="cellIs" dxfId="6484" priority="4714" operator="equal">
      <formula>"Deferido"</formula>
    </cfRule>
    <cfRule type="cellIs" dxfId="6483" priority="4715" operator="equal">
      <formula>"Indeferido"</formula>
    </cfRule>
  </conditionalFormatting>
  <conditionalFormatting sqref="M675">
    <cfRule type="containsText" dxfId="6482" priority="4712" operator="containsText" text="Cancelado">
      <formula>NOT(ISERROR(SEARCH("Cancelado",M675)))</formula>
    </cfRule>
  </conditionalFormatting>
  <conditionalFormatting sqref="O675">
    <cfRule type="cellIs" dxfId="6481" priority="4709" operator="equal">
      <formula>"Tramitando"</formula>
    </cfRule>
    <cfRule type="cellIs" dxfId="6480" priority="4710" operator="equal">
      <formula>"Deferido"</formula>
    </cfRule>
    <cfRule type="cellIs" dxfId="6479" priority="4711" operator="equal">
      <formula>"Indeferido"</formula>
    </cfRule>
  </conditionalFormatting>
  <conditionalFormatting sqref="O675">
    <cfRule type="containsText" dxfId="6478" priority="4708" operator="containsText" text="Cancelado">
      <formula>NOT(ISERROR(SEARCH("Cancelado",O675)))</formula>
    </cfRule>
  </conditionalFormatting>
  <conditionalFormatting sqref="Q675">
    <cfRule type="cellIs" dxfId="6477" priority="4705" operator="equal">
      <formula>"Tramitando"</formula>
    </cfRule>
    <cfRule type="cellIs" dxfId="6476" priority="4706" operator="equal">
      <formula>"Deferido"</formula>
    </cfRule>
    <cfRule type="cellIs" dxfId="6475" priority="4707" operator="equal">
      <formula>"Indeferido"</formula>
    </cfRule>
  </conditionalFormatting>
  <conditionalFormatting sqref="Q675">
    <cfRule type="containsText" dxfId="6474" priority="4704" operator="containsText" text="Cancelado">
      <formula>NOT(ISERROR(SEARCH("Cancelado",Q675)))</formula>
    </cfRule>
  </conditionalFormatting>
  <conditionalFormatting sqref="S675">
    <cfRule type="cellIs" dxfId="6473" priority="4701" operator="equal">
      <formula>"Tramitando"</formula>
    </cfRule>
    <cfRule type="cellIs" dxfId="6472" priority="4702" operator="equal">
      <formula>"Deferido"</formula>
    </cfRule>
    <cfRule type="cellIs" dxfId="6471" priority="4703" operator="equal">
      <formula>"Indeferido"</formula>
    </cfRule>
  </conditionalFormatting>
  <conditionalFormatting sqref="S675">
    <cfRule type="containsText" dxfId="6470" priority="4700" operator="containsText" text="Cancelado">
      <formula>NOT(ISERROR(SEARCH("Cancelado",S675)))</formula>
    </cfRule>
  </conditionalFormatting>
  <conditionalFormatting sqref="J676">
    <cfRule type="cellIs" dxfId="6469" priority="4696" operator="equal">
      <formula>"Tramitando"</formula>
    </cfRule>
    <cfRule type="cellIs" dxfId="6468" priority="4697" operator="equal">
      <formula>"Deferido"</formula>
    </cfRule>
    <cfRule type="cellIs" dxfId="6467" priority="4698" operator="equal">
      <formula>"Indeferido"</formula>
    </cfRule>
  </conditionalFormatting>
  <conditionalFormatting sqref="J676">
    <cfRule type="containsText" dxfId="6466" priority="4695" operator="containsText" text="Cancelado">
      <formula>NOT(ISERROR(SEARCH("Cancelado",J676)))</formula>
    </cfRule>
  </conditionalFormatting>
  <conditionalFormatting sqref="M676">
    <cfRule type="cellIs" dxfId="6465" priority="4692" operator="equal">
      <formula>"Tramitando"</formula>
    </cfRule>
    <cfRule type="cellIs" dxfId="6464" priority="4693" operator="equal">
      <formula>"Deferido"</formula>
    </cfRule>
    <cfRule type="cellIs" dxfId="6463" priority="4694" operator="equal">
      <formula>"Indeferido"</formula>
    </cfRule>
  </conditionalFormatting>
  <conditionalFormatting sqref="M676">
    <cfRule type="containsText" dxfId="6462" priority="4691" operator="containsText" text="Cancelado">
      <formula>NOT(ISERROR(SEARCH("Cancelado",M676)))</formula>
    </cfRule>
  </conditionalFormatting>
  <conditionalFormatting sqref="O676">
    <cfRule type="cellIs" dxfId="6461" priority="4688" operator="equal">
      <formula>"Tramitando"</formula>
    </cfRule>
    <cfRule type="cellIs" dxfId="6460" priority="4689" operator="equal">
      <formula>"Deferido"</formula>
    </cfRule>
    <cfRule type="cellIs" dxfId="6459" priority="4690" operator="equal">
      <formula>"Indeferido"</formula>
    </cfRule>
  </conditionalFormatting>
  <conditionalFormatting sqref="O676">
    <cfRule type="containsText" dxfId="6458" priority="4687" operator="containsText" text="Cancelado">
      <formula>NOT(ISERROR(SEARCH("Cancelado",O676)))</formula>
    </cfRule>
  </conditionalFormatting>
  <conditionalFormatting sqref="Q676">
    <cfRule type="cellIs" dxfId="6457" priority="4684" operator="equal">
      <formula>"Tramitando"</formula>
    </cfRule>
    <cfRule type="cellIs" dxfId="6456" priority="4685" operator="equal">
      <formula>"Deferido"</formula>
    </cfRule>
    <cfRule type="cellIs" dxfId="6455" priority="4686" operator="equal">
      <formula>"Indeferido"</formula>
    </cfRule>
  </conditionalFormatting>
  <conditionalFormatting sqref="Q676">
    <cfRule type="containsText" dxfId="6454" priority="4683" operator="containsText" text="Cancelado">
      <formula>NOT(ISERROR(SEARCH("Cancelado",Q676)))</formula>
    </cfRule>
  </conditionalFormatting>
  <conditionalFormatting sqref="S676">
    <cfRule type="cellIs" dxfId="6453" priority="4680" operator="equal">
      <formula>"Tramitando"</formula>
    </cfRule>
    <cfRule type="cellIs" dxfId="6452" priority="4681" operator="equal">
      <formula>"Deferido"</formula>
    </cfRule>
    <cfRule type="cellIs" dxfId="6451" priority="4682" operator="equal">
      <formula>"Indeferido"</formula>
    </cfRule>
  </conditionalFormatting>
  <conditionalFormatting sqref="S676">
    <cfRule type="containsText" dxfId="6450" priority="4679" operator="containsText" text="Cancelado">
      <formula>NOT(ISERROR(SEARCH("Cancelado",S676)))</formula>
    </cfRule>
  </conditionalFormatting>
  <conditionalFormatting sqref="J677">
    <cfRule type="cellIs" dxfId="6449" priority="4675" operator="equal">
      <formula>"Tramitando"</formula>
    </cfRule>
    <cfRule type="cellIs" dxfId="6448" priority="4676" operator="equal">
      <formula>"Deferido"</formula>
    </cfRule>
    <cfRule type="cellIs" dxfId="6447" priority="4677" operator="equal">
      <formula>"Indeferido"</formula>
    </cfRule>
  </conditionalFormatting>
  <conditionalFormatting sqref="J677">
    <cfRule type="containsText" dxfId="6446" priority="4674" operator="containsText" text="Cancelado">
      <formula>NOT(ISERROR(SEARCH("Cancelado",J677)))</formula>
    </cfRule>
  </conditionalFormatting>
  <conditionalFormatting sqref="M677">
    <cfRule type="cellIs" dxfId="6445" priority="4671" operator="equal">
      <formula>"Tramitando"</formula>
    </cfRule>
    <cfRule type="cellIs" dxfId="6444" priority="4672" operator="equal">
      <formula>"Deferido"</formula>
    </cfRule>
    <cfRule type="cellIs" dxfId="6443" priority="4673" operator="equal">
      <formula>"Indeferido"</formula>
    </cfRule>
  </conditionalFormatting>
  <conditionalFormatting sqref="M677">
    <cfRule type="containsText" dxfId="6442" priority="4670" operator="containsText" text="Cancelado">
      <formula>NOT(ISERROR(SEARCH("Cancelado",M677)))</formula>
    </cfRule>
  </conditionalFormatting>
  <conditionalFormatting sqref="O677">
    <cfRule type="cellIs" dxfId="6441" priority="4667" operator="equal">
      <formula>"Tramitando"</formula>
    </cfRule>
    <cfRule type="cellIs" dxfId="6440" priority="4668" operator="equal">
      <formula>"Deferido"</formula>
    </cfRule>
    <cfRule type="cellIs" dxfId="6439" priority="4669" operator="equal">
      <formula>"Indeferido"</formula>
    </cfRule>
  </conditionalFormatting>
  <conditionalFormatting sqref="O677">
    <cfRule type="containsText" dxfId="6438" priority="4666" operator="containsText" text="Cancelado">
      <formula>NOT(ISERROR(SEARCH("Cancelado",O677)))</formula>
    </cfRule>
  </conditionalFormatting>
  <conditionalFormatting sqref="Q677">
    <cfRule type="cellIs" dxfId="6437" priority="4663" operator="equal">
      <formula>"Tramitando"</formula>
    </cfRule>
    <cfRule type="cellIs" dxfId="6436" priority="4664" operator="equal">
      <formula>"Deferido"</formula>
    </cfRule>
    <cfRule type="cellIs" dxfId="6435" priority="4665" operator="equal">
      <formula>"Indeferido"</formula>
    </cfRule>
  </conditionalFormatting>
  <conditionalFormatting sqref="Q677">
    <cfRule type="containsText" dxfId="6434" priority="4662" operator="containsText" text="Cancelado">
      <formula>NOT(ISERROR(SEARCH("Cancelado",Q677)))</formula>
    </cfRule>
  </conditionalFormatting>
  <conditionalFormatting sqref="S677">
    <cfRule type="cellIs" dxfId="6433" priority="4659" operator="equal">
      <formula>"Tramitando"</formula>
    </cfRule>
    <cfRule type="cellIs" dxfId="6432" priority="4660" operator="equal">
      <formula>"Deferido"</formula>
    </cfRule>
    <cfRule type="cellIs" dxfId="6431" priority="4661" operator="equal">
      <formula>"Indeferido"</formula>
    </cfRule>
  </conditionalFormatting>
  <conditionalFormatting sqref="S677">
    <cfRule type="containsText" dxfId="6430" priority="4658" operator="containsText" text="Cancelado">
      <formula>NOT(ISERROR(SEARCH("Cancelado",S677)))</formula>
    </cfRule>
  </conditionalFormatting>
  <conditionalFormatting sqref="J678">
    <cfRule type="cellIs" dxfId="6429" priority="4654" operator="equal">
      <formula>"Tramitando"</formula>
    </cfRule>
    <cfRule type="cellIs" dxfId="6428" priority="4655" operator="equal">
      <formula>"Deferido"</formula>
    </cfRule>
    <cfRule type="cellIs" dxfId="6427" priority="4656" operator="equal">
      <formula>"Indeferido"</formula>
    </cfRule>
  </conditionalFormatting>
  <conditionalFormatting sqref="J678">
    <cfRule type="containsText" dxfId="6426" priority="4653" operator="containsText" text="Cancelado">
      <formula>NOT(ISERROR(SEARCH("Cancelado",J678)))</formula>
    </cfRule>
  </conditionalFormatting>
  <conditionalFormatting sqref="M678">
    <cfRule type="cellIs" dxfId="6425" priority="4650" operator="equal">
      <formula>"Tramitando"</formula>
    </cfRule>
    <cfRule type="cellIs" dxfId="6424" priority="4651" operator="equal">
      <formula>"Deferido"</formula>
    </cfRule>
    <cfRule type="cellIs" dxfId="6423" priority="4652" operator="equal">
      <formula>"Indeferido"</formula>
    </cfRule>
  </conditionalFormatting>
  <conditionalFormatting sqref="M678">
    <cfRule type="containsText" dxfId="6422" priority="4649" operator="containsText" text="Cancelado">
      <formula>NOT(ISERROR(SEARCH("Cancelado",M678)))</formula>
    </cfRule>
  </conditionalFormatting>
  <conditionalFormatting sqref="O678">
    <cfRule type="cellIs" dxfId="6421" priority="4646" operator="equal">
      <formula>"Tramitando"</formula>
    </cfRule>
    <cfRule type="cellIs" dxfId="6420" priority="4647" operator="equal">
      <formula>"Deferido"</formula>
    </cfRule>
    <cfRule type="cellIs" dxfId="6419" priority="4648" operator="equal">
      <formula>"Indeferido"</formula>
    </cfRule>
  </conditionalFormatting>
  <conditionalFormatting sqref="O678">
    <cfRule type="containsText" dxfId="6418" priority="4645" operator="containsText" text="Cancelado">
      <formula>NOT(ISERROR(SEARCH("Cancelado",O678)))</formula>
    </cfRule>
  </conditionalFormatting>
  <conditionalFormatting sqref="Q678">
    <cfRule type="cellIs" dxfId="6417" priority="4642" operator="equal">
      <formula>"Tramitando"</formula>
    </cfRule>
    <cfRule type="cellIs" dxfId="6416" priority="4643" operator="equal">
      <formula>"Deferido"</formula>
    </cfRule>
    <cfRule type="cellIs" dxfId="6415" priority="4644" operator="equal">
      <formula>"Indeferido"</formula>
    </cfRule>
  </conditionalFormatting>
  <conditionalFormatting sqref="Q678">
    <cfRule type="containsText" dxfId="6414" priority="4641" operator="containsText" text="Cancelado">
      <formula>NOT(ISERROR(SEARCH("Cancelado",Q678)))</formula>
    </cfRule>
  </conditionalFormatting>
  <conditionalFormatting sqref="S678">
    <cfRule type="cellIs" dxfId="6413" priority="4638" operator="equal">
      <formula>"Tramitando"</formula>
    </cfRule>
    <cfRule type="cellIs" dxfId="6412" priority="4639" operator="equal">
      <formula>"Deferido"</formula>
    </cfRule>
    <cfRule type="cellIs" dxfId="6411" priority="4640" operator="equal">
      <formula>"Indeferido"</formula>
    </cfRule>
  </conditionalFormatting>
  <conditionalFormatting sqref="S678">
    <cfRule type="containsText" dxfId="6410" priority="4637" operator="containsText" text="Cancelado">
      <formula>NOT(ISERROR(SEARCH("Cancelado",S678)))</formula>
    </cfRule>
  </conditionalFormatting>
  <conditionalFormatting sqref="J679">
    <cfRule type="cellIs" dxfId="6409" priority="4633" operator="equal">
      <formula>"Tramitando"</formula>
    </cfRule>
    <cfRule type="cellIs" dxfId="6408" priority="4634" operator="equal">
      <formula>"Deferido"</formula>
    </cfRule>
    <cfRule type="cellIs" dxfId="6407" priority="4635" operator="equal">
      <formula>"Indeferido"</formula>
    </cfRule>
  </conditionalFormatting>
  <conditionalFormatting sqref="J679">
    <cfRule type="containsText" dxfId="6406" priority="4632" operator="containsText" text="Cancelado">
      <formula>NOT(ISERROR(SEARCH("Cancelado",J679)))</formula>
    </cfRule>
  </conditionalFormatting>
  <conditionalFormatting sqref="M679">
    <cfRule type="cellIs" dxfId="6405" priority="4629" operator="equal">
      <formula>"Tramitando"</formula>
    </cfRule>
    <cfRule type="cellIs" dxfId="6404" priority="4630" operator="equal">
      <formula>"Deferido"</formula>
    </cfRule>
    <cfRule type="cellIs" dxfId="6403" priority="4631" operator="equal">
      <formula>"Indeferido"</formula>
    </cfRule>
  </conditionalFormatting>
  <conditionalFormatting sqref="M679">
    <cfRule type="containsText" dxfId="6402" priority="4628" operator="containsText" text="Cancelado">
      <formula>NOT(ISERROR(SEARCH("Cancelado",M679)))</formula>
    </cfRule>
  </conditionalFormatting>
  <conditionalFormatting sqref="O679">
    <cfRule type="cellIs" dxfId="6401" priority="4625" operator="equal">
      <formula>"Tramitando"</formula>
    </cfRule>
    <cfRule type="cellIs" dxfId="6400" priority="4626" operator="equal">
      <formula>"Deferido"</formula>
    </cfRule>
    <cfRule type="cellIs" dxfId="6399" priority="4627" operator="equal">
      <formula>"Indeferido"</formula>
    </cfRule>
  </conditionalFormatting>
  <conditionalFormatting sqref="O679">
    <cfRule type="containsText" dxfId="6398" priority="4624" operator="containsText" text="Cancelado">
      <formula>NOT(ISERROR(SEARCH("Cancelado",O679)))</formula>
    </cfRule>
  </conditionalFormatting>
  <conditionalFormatting sqref="Q679">
    <cfRule type="cellIs" dxfId="6397" priority="4621" operator="equal">
      <formula>"Tramitando"</formula>
    </cfRule>
    <cfRule type="cellIs" dxfId="6396" priority="4622" operator="equal">
      <formula>"Deferido"</formula>
    </cfRule>
    <cfRule type="cellIs" dxfId="6395" priority="4623" operator="equal">
      <formula>"Indeferido"</formula>
    </cfRule>
  </conditionalFormatting>
  <conditionalFormatting sqref="Q679">
    <cfRule type="containsText" dxfId="6394" priority="4620" operator="containsText" text="Cancelado">
      <formula>NOT(ISERROR(SEARCH("Cancelado",Q679)))</formula>
    </cfRule>
  </conditionalFormatting>
  <conditionalFormatting sqref="S679">
    <cfRule type="cellIs" dxfId="6393" priority="4617" operator="equal">
      <formula>"Tramitando"</formula>
    </cfRule>
    <cfRule type="cellIs" dxfId="6392" priority="4618" operator="equal">
      <formula>"Deferido"</formula>
    </cfRule>
    <cfRule type="cellIs" dxfId="6391" priority="4619" operator="equal">
      <formula>"Indeferido"</formula>
    </cfRule>
  </conditionalFormatting>
  <conditionalFormatting sqref="S679">
    <cfRule type="containsText" dxfId="6390" priority="4616" operator="containsText" text="Cancelado">
      <formula>NOT(ISERROR(SEARCH("Cancelado",S679)))</formula>
    </cfRule>
  </conditionalFormatting>
  <conditionalFormatting sqref="J680">
    <cfRule type="cellIs" dxfId="6389" priority="4612" operator="equal">
      <formula>"Tramitando"</formula>
    </cfRule>
    <cfRule type="cellIs" dxfId="6388" priority="4613" operator="equal">
      <formula>"Deferido"</formula>
    </cfRule>
    <cfRule type="cellIs" dxfId="6387" priority="4614" operator="equal">
      <formula>"Indeferido"</formula>
    </cfRule>
  </conditionalFormatting>
  <conditionalFormatting sqref="J680">
    <cfRule type="containsText" dxfId="6386" priority="4611" operator="containsText" text="Cancelado">
      <formula>NOT(ISERROR(SEARCH("Cancelado",J680)))</formula>
    </cfRule>
  </conditionalFormatting>
  <conditionalFormatting sqref="M680">
    <cfRule type="cellIs" dxfId="6385" priority="4608" operator="equal">
      <formula>"Tramitando"</formula>
    </cfRule>
    <cfRule type="cellIs" dxfId="6384" priority="4609" operator="equal">
      <formula>"Deferido"</formula>
    </cfRule>
    <cfRule type="cellIs" dxfId="6383" priority="4610" operator="equal">
      <formula>"Indeferido"</formula>
    </cfRule>
  </conditionalFormatting>
  <conditionalFormatting sqref="M680">
    <cfRule type="containsText" dxfId="6382" priority="4607" operator="containsText" text="Cancelado">
      <formula>NOT(ISERROR(SEARCH("Cancelado",M680)))</formula>
    </cfRule>
  </conditionalFormatting>
  <conditionalFormatting sqref="O680">
    <cfRule type="cellIs" dxfId="6381" priority="4604" operator="equal">
      <formula>"Tramitando"</formula>
    </cfRule>
    <cfRule type="cellIs" dxfId="6380" priority="4605" operator="equal">
      <formula>"Deferido"</formula>
    </cfRule>
    <cfRule type="cellIs" dxfId="6379" priority="4606" operator="equal">
      <formula>"Indeferido"</formula>
    </cfRule>
  </conditionalFormatting>
  <conditionalFormatting sqref="O680">
    <cfRule type="containsText" dxfId="6378" priority="4603" operator="containsText" text="Cancelado">
      <formula>NOT(ISERROR(SEARCH("Cancelado",O680)))</formula>
    </cfRule>
  </conditionalFormatting>
  <conditionalFormatting sqref="Q680">
    <cfRule type="cellIs" dxfId="6377" priority="4600" operator="equal">
      <formula>"Tramitando"</formula>
    </cfRule>
    <cfRule type="cellIs" dxfId="6376" priority="4601" operator="equal">
      <formula>"Deferido"</formula>
    </cfRule>
    <cfRule type="cellIs" dxfId="6375" priority="4602" operator="equal">
      <formula>"Indeferido"</formula>
    </cfRule>
  </conditionalFormatting>
  <conditionalFormatting sqref="Q680">
    <cfRule type="containsText" dxfId="6374" priority="4599" operator="containsText" text="Cancelado">
      <formula>NOT(ISERROR(SEARCH("Cancelado",Q680)))</formula>
    </cfRule>
  </conditionalFormatting>
  <conditionalFormatting sqref="S680">
    <cfRule type="cellIs" dxfId="6373" priority="4596" operator="equal">
      <formula>"Tramitando"</formula>
    </cfRule>
    <cfRule type="cellIs" dxfId="6372" priority="4597" operator="equal">
      <formula>"Deferido"</formula>
    </cfRule>
    <cfRule type="cellIs" dxfId="6371" priority="4598" operator="equal">
      <formula>"Indeferido"</formula>
    </cfRule>
  </conditionalFormatting>
  <conditionalFormatting sqref="S680">
    <cfRule type="containsText" dxfId="6370" priority="4595" operator="containsText" text="Cancelado">
      <formula>NOT(ISERROR(SEARCH("Cancelado",S680)))</formula>
    </cfRule>
  </conditionalFormatting>
  <conditionalFormatting sqref="J681">
    <cfRule type="cellIs" dxfId="6369" priority="4591" operator="equal">
      <formula>"Tramitando"</formula>
    </cfRule>
    <cfRule type="cellIs" dxfId="6368" priority="4592" operator="equal">
      <formula>"Deferido"</formula>
    </cfRule>
    <cfRule type="cellIs" dxfId="6367" priority="4593" operator="equal">
      <formula>"Indeferido"</formula>
    </cfRule>
  </conditionalFormatting>
  <conditionalFormatting sqref="J681">
    <cfRule type="containsText" dxfId="6366" priority="4590" operator="containsText" text="Cancelado">
      <formula>NOT(ISERROR(SEARCH("Cancelado",J681)))</formula>
    </cfRule>
  </conditionalFormatting>
  <conditionalFormatting sqref="M681">
    <cfRule type="cellIs" dxfId="6365" priority="4587" operator="equal">
      <formula>"Tramitando"</formula>
    </cfRule>
    <cfRule type="cellIs" dxfId="6364" priority="4588" operator="equal">
      <formula>"Deferido"</formula>
    </cfRule>
    <cfRule type="cellIs" dxfId="6363" priority="4589" operator="equal">
      <formula>"Indeferido"</formula>
    </cfRule>
  </conditionalFormatting>
  <conditionalFormatting sqref="M681">
    <cfRule type="containsText" dxfId="6362" priority="4586" operator="containsText" text="Cancelado">
      <formula>NOT(ISERROR(SEARCH("Cancelado",M681)))</formula>
    </cfRule>
  </conditionalFormatting>
  <conditionalFormatting sqref="O681">
    <cfRule type="cellIs" dxfId="6361" priority="4583" operator="equal">
      <formula>"Tramitando"</formula>
    </cfRule>
    <cfRule type="cellIs" dxfId="6360" priority="4584" operator="equal">
      <formula>"Deferido"</formula>
    </cfRule>
    <cfRule type="cellIs" dxfId="6359" priority="4585" operator="equal">
      <formula>"Indeferido"</formula>
    </cfRule>
  </conditionalFormatting>
  <conditionalFormatting sqref="O681">
    <cfRule type="containsText" dxfId="6358" priority="4582" operator="containsText" text="Cancelado">
      <formula>NOT(ISERROR(SEARCH("Cancelado",O681)))</formula>
    </cfRule>
  </conditionalFormatting>
  <conditionalFormatting sqref="Q681">
    <cfRule type="cellIs" dxfId="6357" priority="4579" operator="equal">
      <formula>"Tramitando"</formula>
    </cfRule>
    <cfRule type="cellIs" dxfId="6356" priority="4580" operator="equal">
      <formula>"Deferido"</formula>
    </cfRule>
    <cfRule type="cellIs" dxfId="6355" priority="4581" operator="equal">
      <formula>"Indeferido"</formula>
    </cfRule>
  </conditionalFormatting>
  <conditionalFormatting sqref="Q681">
    <cfRule type="containsText" dxfId="6354" priority="4578" operator="containsText" text="Cancelado">
      <formula>NOT(ISERROR(SEARCH("Cancelado",Q681)))</formula>
    </cfRule>
  </conditionalFormatting>
  <conditionalFormatting sqref="S681">
    <cfRule type="cellIs" dxfId="6353" priority="4575" operator="equal">
      <formula>"Tramitando"</formula>
    </cfRule>
    <cfRule type="cellIs" dxfId="6352" priority="4576" operator="equal">
      <formula>"Deferido"</formula>
    </cfRule>
    <cfRule type="cellIs" dxfId="6351" priority="4577" operator="equal">
      <formula>"Indeferido"</formula>
    </cfRule>
  </conditionalFormatting>
  <conditionalFormatting sqref="S681">
    <cfRule type="containsText" dxfId="6350" priority="4574" operator="containsText" text="Cancelado">
      <formula>NOT(ISERROR(SEARCH("Cancelado",S681)))</formula>
    </cfRule>
  </conditionalFormatting>
  <conditionalFormatting sqref="J682">
    <cfRule type="cellIs" dxfId="6349" priority="4570" operator="equal">
      <formula>"Tramitando"</formula>
    </cfRule>
    <cfRule type="cellIs" dxfId="6348" priority="4571" operator="equal">
      <formula>"Deferido"</formula>
    </cfRule>
    <cfRule type="cellIs" dxfId="6347" priority="4572" operator="equal">
      <formula>"Indeferido"</formula>
    </cfRule>
  </conditionalFormatting>
  <conditionalFormatting sqref="J682">
    <cfRule type="containsText" dxfId="6346" priority="4569" operator="containsText" text="Cancelado">
      <formula>NOT(ISERROR(SEARCH("Cancelado",J682)))</formula>
    </cfRule>
  </conditionalFormatting>
  <conditionalFormatting sqref="M682">
    <cfRule type="cellIs" dxfId="6345" priority="4566" operator="equal">
      <formula>"Tramitando"</formula>
    </cfRule>
    <cfRule type="cellIs" dxfId="6344" priority="4567" operator="equal">
      <formula>"Deferido"</formula>
    </cfRule>
    <cfRule type="cellIs" dxfId="6343" priority="4568" operator="equal">
      <formula>"Indeferido"</formula>
    </cfRule>
  </conditionalFormatting>
  <conditionalFormatting sqref="M682">
    <cfRule type="containsText" dxfId="6342" priority="4565" operator="containsText" text="Cancelado">
      <formula>NOT(ISERROR(SEARCH("Cancelado",M682)))</formula>
    </cfRule>
  </conditionalFormatting>
  <conditionalFormatting sqref="O682">
    <cfRule type="cellIs" dxfId="6341" priority="4562" operator="equal">
      <formula>"Tramitando"</formula>
    </cfRule>
    <cfRule type="cellIs" dxfId="6340" priority="4563" operator="equal">
      <formula>"Deferido"</formula>
    </cfRule>
    <cfRule type="cellIs" dxfId="6339" priority="4564" operator="equal">
      <formula>"Indeferido"</formula>
    </cfRule>
  </conditionalFormatting>
  <conditionalFormatting sqref="O682">
    <cfRule type="containsText" dxfId="6338" priority="4561" operator="containsText" text="Cancelado">
      <formula>NOT(ISERROR(SEARCH("Cancelado",O682)))</formula>
    </cfRule>
  </conditionalFormatting>
  <conditionalFormatting sqref="Q682">
    <cfRule type="cellIs" dxfId="6337" priority="4558" operator="equal">
      <formula>"Tramitando"</formula>
    </cfRule>
    <cfRule type="cellIs" dxfId="6336" priority="4559" operator="equal">
      <formula>"Deferido"</formula>
    </cfRule>
    <cfRule type="cellIs" dxfId="6335" priority="4560" operator="equal">
      <formula>"Indeferido"</formula>
    </cfRule>
  </conditionalFormatting>
  <conditionalFormatting sqref="Q682">
    <cfRule type="containsText" dxfId="6334" priority="4557" operator="containsText" text="Cancelado">
      <formula>NOT(ISERROR(SEARCH("Cancelado",Q682)))</formula>
    </cfRule>
  </conditionalFormatting>
  <conditionalFormatting sqref="S682">
    <cfRule type="cellIs" dxfId="6333" priority="4554" operator="equal">
      <formula>"Tramitando"</formula>
    </cfRule>
    <cfRule type="cellIs" dxfId="6332" priority="4555" operator="equal">
      <formula>"Deferido"</formula>
    </cfRule>
    <cfRule type="cellIs" dxfId="6331" priority="4556" operator="equal">
      <formula>"Indeferido"</formula>
    </cfRule>
  </conditionalFormatting>
  <conditionalFormatting sqref="S682">
    <cfRule type="containsText" dxfId="6330" priority="4553" operator="containsText" text="Cancelado">
      <formula>NOT(ISERROR(SEARCH("Cancelado",S682)))</formula>
    </cfRule>
  </conditionalFormatting>
  <conditionalFormatting sqref="J683">
    <cfRule type="cellIs" dxfId="6329" priority="4549" operator="equal">
      <formula>"Tramitando"</formula>
    </cfRule>
    <cfRule type="cellIs" dxfId="6328" priority="4550" operator="equal">
      <formula>"Deferido"</formula>
    </cfRule>
    <cfRule type="cellIs" dxfId="6327" priority="4551" operator="equal">
      <formula>"Indeferido"</formula>
    </cfRule>
  </conditionalFormatting>
  <conditionalFormatting sqref="J683">
    <cfRule type="containsText" dxfId="6326" priority="4548" operator="containsText" text="Cancelado">
      <formula>NOT(ISERROR(SEARCH("Cancelado",J683)))</formula>
    </cfRule>
  </conditionalFormatting>
  <conditionalFormatting sqref="M683">
    <cfRule type="cellIs" dxfId="6325" priority="4545" operator="equal">
      <formula>"Tramitando"</formula>
    </cfRule>
    <cfRule type="cellIs" dxfId="6324" priority="4546" operator="equal">
      <formula>"Deferido"</formula>
    </cfRule>
    <cfRule type="cellIs" dxfId="6323" priority="4547" operator="equal">
      <formula>"Indeferido"</formula>
    </cfRule>
  </conditionalFormatting>
  <conditionalFormatting sqref="M683">
    <cfRule type="containsText" dxfId="6322" priority="4544" operator="containsText" text="Cancelado">
      <formula>NOT(ISERROR(SEARCH("Cancelado",M683)))</formula>
    </cfRule>
  </conditionalFormatting>
  <conditionalFormatting sqref="O683">
    <cfRule type="cellIs" dxfId="6321" priority="4541" operator="equal">
      <formula>"Tramitando"</formula>
    </cfRule>
    <cfRule type="cellIs" dxfId="6320" priority="4542" operator="equal">
      <formula>"Deferido"</formula>
    </cfRule>
    <cfRule type="cellIs" dxfId="6319" priority="4543" operator="equal">
      <formula>"Indeferido"</formula>
    </cfRule>
  </conditionalFormatting>
  <conditionalFormatting sqref="O683">
    <cfRule type="containsText" dxfId="6318" priority="4540" operator="containsText" text="Cancelado">
      <formula>NOT(ISERROR(SEARCH("Cancelado",O683)))</formula>
    </cfRule>
  </conditionalFormatting>
  <conditionalFormatting sqref="Q683">
    <cfRule type="cellIs" dxfId="6317" priority="4537" operator="equal">
      <formula>"Tramitando"</formula>
    </cfRule>
    <cfRule type="cellIs" dxfId="6316" priority="4538" operator="equal">
      <formula>"Deferido"</formula>
    </cfRule>
    <cfRule type="cellIs" dxfId="6315" priority="4539" operator="equal">
      <formula>"Indeferido"</formula>
    </cfRule>
  </conditionalFormatting>
  <conditionalFormatting sqref="Q683">
    <cfRule type="containsText" dxfId="6314" priority="4536" operator="containsText" text="Cancelado">
      <formula>NOT(ISERROR(SEARCH("Cancelado",Q683)))</formula>
    </cfRule>
  </conditionalFormatting>
  <conditionalFormatting sqref="S683">
    <cfRule type="cellIs" dxfId="6313" priority="4533" operator="equal">
      <formula>"Tramitando"</formula>
    </cfRule>
    <cfRule type="cellIs" dxfId="6312" priority="4534" operator="equal">
      <formula>"Deferido"</formula>
    </cfRule>
    <cfRule type="cellIs" dxfId="6311" priority="4535" operator="equal">
      <formula>"Indeferido"</formula>
    </cfRule>
  </conditionalFormatting>
  <conditionalFormatting sqref="S683">
    <cfRule type="containsText" dxfId="6310" priority="4532" operator="containsText" text="Cancelado">
      <formula>NOT(ISERROR(SEARCH("Cancelado",S683)))</formula>
    </cfRule>
  </conditionalFormatting>
  <conditionalFormatting sqref="J684">
    <cfRule type="cellIs" dxfId="6309" priority="4528" operator="equal">
      <formula>"Tramitando"</formula>
    </cfRule>
    <cfRule type="cellIs" dxfId="6308" priority="4529" operator="equal">
      <formula>"Deferido"</formula>
    </cfRule>
    <cfRule type="cellIs" dxfId="6307" priority="4530" operator="equal">
      <formula>"Indeferido"</formula>
    </cfRule>
  </conditionalFormatting>
  <conditionalFormatting sqref="J684">
    <cfRule type="containsText" dxfId="6306" priority="4527" operator="containsText" text="Cancelado">
      <formula>NOT(ISERROR(SEARCH("Cancelado",J684)))</formula>
    </cfRule>
  </conditionalFormatting>
  <conditionalFormatting sqref="M684">
    <cfRule type="cellIs" dxfId="6305" priority="4524" operator="equal">
      <formula>"Tramitando"</formula>
    </cfRule>
    <cfRule type="cellIs" dxfId="6304" priority="4525" operator="equal">
      <formula>"Deferido"</formula>
    </cfRule>
    <cfRule type="cellIs" dxfId="6303" priority="4526" operator="equal">
      <formula>"Indeferido"</formula>
    </cfRule>
  </conditionalFormatting>
  <conditionalFormatting sqref="M684">
    <cfRule type="containsText" dxfId="6302" priority="4523" operator="containsText" text="Cancelado">
      <formula>NOT(ISERROR(SEARCH("Cancelado",M684)))</formula>
    </cfRule>
  </conditionalFormatting>
  <conditionalFormatting sqref="O684">
    <cfRule type="cellIs" dxfId="6301" priority="4520" operator="equal">
      <formula>"Tramitando"</formula>
    </cfRule>
    <cfRule type="cellIs" dxfId="6300" priority="4521" operator="equal">
      <formula>"Deferido"</formula>
    </cfRule>
    <cfRule type="cellIs" dxfId="6299" priority="4522" operator="equal">
      <formula>"Indeferido"</formula>
    </cfRule>
  </conditionalFormatting>
  <conditionalFormatting sqref="O684">
    <cfRule type="containsText" dxfId="6298" priority="4519" operator="containsText" text="Cancelado">
      <formula>NOT(ISERROR(SEARCH("Cancelado",O684)))</formula>
    </cfRule>
  </conditionalFormatting>
  <conditionalFormatting sqref="Q684">
    <cfRule type="cellIs" dxfId="6297" priority="4516" operator="equal">
      <formula>"Tramitando"</formula>
    </cfRule>
    <cfRule type="cellIs" dxfId="6296" priority="4517" operator="equal">
      <formula>"Deferido"</formula>
    </cfRule>
    <cfRule type="cellIs" dxfId="6295" priority="4518" operator="equal">
      <formula>"Indeferido"</formula>
    </cfRule>
  </conditionalFormatting>
  <conditionalFormatting sqref="Q684">
    <cfRule type="containsText" dxfId="6294" priority="4515" operator="containsText" text="Cancelado">
      <formula>NOT(ISERROR(SEARCH("Cancelado",Q684)))</formula>
    </cfRule>
  </conditionalFormatting>
  <conditionalFormatting sqref="S684">
    <cfRule type="cellIs" dxfId="6293" priority="4512" operator="equal">
      <formula>"Tramitando"</formula>
    </cfRule>
    <cfRule type="cellIs" dxfId="6292" priority="4513" operator="equal">
      <formula>"Deferido"</formula>
    </cfRule>
    <cfRule type="cellIs" dxfId="6291" priority="4514" operator="equal">
      <formula>"Indeferido"</formula>
    </cfRule>
  </conditionalFormatting>
  <conditionalFormatting sqref="S684">
    <cfRule type="containsText" dxfId="6290" priority="4511" operator="containsText" text="Cancelado">
      <formula>NOT(ISERROR(SEARCH("Cancelado",S684)))</formula>
    </cfRule>
  </conditionalFormatting>
  <conditionalFormatting sqref="J685">
    <cfRule type="cellIs" dxfId="6289" priority="4507" operator="equal">
      <formula>"Tramitando"</formula>
    </cfRule>
    <cfRule type="cellIs" dxfId="6288" priority="4508" operator="equal">
      <formula>"Deferido"</formula>
    </cfRule>
    <cfRule type="cellIs" dxfId="6287" priority="4509" operator="equal">
      <formula>"Indeferido"</formula>
    </cfRule>
  </conditionalFormatting>
  <conditionalFormatting sqref="J685">
    <cfRule type="containsText" dxfId="6286" priority="4506" operator="containsText" text="Cancelado">
      <formula>NOT(ISERROR(SEARCH("Cancelado",J685)))</formula>
    </cfRule>
  </conditionalFormatting>
  <conditionalFormatting sqref="M685">
    <cfRule type="cellIs" dxfId="6285" priority="4503" operator="equal">
      <formula>"Tramitando"</formula>
    </cfRule>
    <cfRule type="cellIs" dxfId="6284" priority="4504" operator="equal">
      <formula>"Deferido"</formula>
    </cfRule>
    <cfRule type="cellIs" dxfId="6283" priority="4505" operator="equal">
      <formula>"Indeferido"</formula>
    </cfRule>
  </conditionalFormatting>
  <conditionalFormatting sqref="M685">
    <cfRule type="containsText" dxfId="6282" priority="4502" operator="containsText" text="Cancelado">
      <formula>NOT(ISERROR(SEARCH("Cancelado",M685)))</formula>
    </cfRule>
  </conditionalFormatting>
  <conditionalFormatting sqref="O685">
    <cfRule type="cellIs" dxfId="6281" priority="4499" operator="equal">
      <formula>"Tramitando"</formula>
    </cfRule>
    <cfRule type="cellIs" dxfId="6280" priority="4500" operator="equal">
      <formula>"Deferido"</formula>
    </cfRule>
    <cfRule type="cellIs" dxfId="6279" priority="4501" operator="equal">
      <formula>"Indeferido"</formula>
    </cfRule>
  </conditionalFormatting>
  <conditionalFormatting sqref="O685">
    <cfRule type="containsText" dxfId="6278" priority="4498" operator="containsText" text="Cancelado">
      <formula>NOT(ISERROR(SEARCH("Cancelado",O685)))</formula>
    </cfRule>
  </conditionalFormatting>
  <conditionalFormatting sqref="Q685">
    <cfRule type="cellIs" dxfId="6277" priority="4495" operator="equal">
      <formula>"Tramitando"</formula>
    </cfRule>
    <cfRule type="cellIs" dxfId="6276" priority="4496" operator="equal">
      <formula>"Deferido"</formula>
    </cfRule>
    <cfRule type="cellIs" dxfId="6275" priority="4497" operator="equal">
      <formula>"Indeferido"</formula>
    </cfRule>
  </conditionalFormatting>
  <conditionalFormatting sqref="Q685">
    <cfRule type="containsText" dxfId="6274" priority="4494" operator="containsText" text="Cancelado">
      <formula>NOT(ISERROR(SEARCH("Cancelado",Q685)))</formula>
    </cfRule>
  </conditionalFormatting>
  <conditionalFormatting sqref="S685">
    <cfRule type="cellIs" dxfId="6273" priority="4491" operator="equal">
      <formula>"Tramitando"</formula>
    </cfRule>
    <cfRule type="cellIs" dxfId="6272" priority="4492" operator="equal">
      <formula>"Deferido"</formula>
    </cfRule>
    <cfRule type="cellIs" dxfId="6271" priority="4493" operator="equal">
      <formula>"Indeferido"</formula>
    </cfRule>
  </conditionalFormatting>
  <conditionalFormatting sqref="S685">
    <cfRule type="containsText" dxfId="6270" priority="4490" operator="containsText" text="Cancelado">
      <formula>NOT(ISERROR(SEARCH("Cancelado",S685)))</formula>
    </cfRule>
  </conditionalFormatting>
  <conditionalFormatting sqref="J686">
    <cfRule type="cellIs" dxfId="6269" priority="4486" operator="equal">
      <formula>"Tramitando"</formula>
    </cfRule>
    <cfRule type="cellIs" dxfId="6268" priority="4487" operator="equal">
      <formula>"Deferido"</formula>
    </cfRule>
    <cfRule type="cellIs" dxfId="6267" priority="4488" operator="equal">
      <formula>"Indeferido"</formula>
    </cfRule>
  </conditionalFormatting>
  <conditionalFormatting sqref="J686">
    <cfRule type="containsText" dxfId="6266" priority="4485" operator="containsText" text="Cancelado">
      <formula>NOT(ISERROR(SEARCH("Cancelado",J686)))</formula>
    </cfRule>
  </conditionalFormatting>
  <conditionalFormatting sqref="M686">
    <cfRule type="cellIs" dxfId="6265" priority="4482" operator="equal">
      <formula>"Tramitando"</formula>
    </cfRule>
    <cfRule type="cellIs" dxfId="6264" priority="4483" operator="equal">
      <formula>"Deferido"</formula>
    </cfRule>
    <cfRule type="cellIs" dxfId="6263" priority="4484" operator="equal">
      <formula>"Indeferido"</formula>
    </cfRule>
  </conditionalFormatting>
  <conditionalFormatting sqref="M686">
    <cfRule type="containsText" dxfId="6262" priority="4481" operator="containsText" text="Cancelado">
      <formula>NOT(ISERROR(SEARCH("Cancelado",M686)))</formula>
    </cfRule>
  </conditionalFormatting>
  <conditionalFormatting sqref="O686">
    <cfRule type="cellIs" dxfId="6261" priority="4478" operator="equal">
      <formula>"Tramitando"</formula>
    </cfRule>
    <cfRule type="cellIs" dxfId="6260" priority="4479" operator="equal">
      <formula>"Deferido"</formula>
    </cfRule>
    <cfRule type="cellIs" dxfId="6259" priority="4480" operator="equal">
      <formula>"Indeferido"</formula>
    </cfRule>
  </conditionalFormatting>
  <conditionalFormatting sqref="O686">
    <cfRule type="containsText" dxfId="6258" priority="4477" operator="containsText" text="Cancelado">
      <formula>NOT(ISERROR(SEARCH("Cancelado",O686)))</formula>
    </cfRule>
  </conditionalFormatting>
  <conditionalFormatting sqref="Q686">
    <cfRule type="cellIs" dxfId="6257" priority="4474" operator="equal">
      <formula>"Tramitando"</formula>
    </cfRule>
    <cfRule type="cellIs" dxfId="6256" priority="4475" operator="equal">
      <formula>"Deferido"</formula>
    </cfRule>
    <cfRule type="cellIs" dxfId="6255" priority="4476" operator="equal">
      <formula>"Indeferido"</formula>
    </cfRule>
  </conditionalFormatting>
  <conditionalFormatting sqref="Q686">
    <cfRule type="containsText" dxfId="6254" priority="4473" operator="containsText" text="Cancelado">
      <formula>NOT(ISERROR(SEARCH("Cancelado",Q686)))</formula>
    </cfRule>
  </conditionalFormatting>
  <conditionalFormatting sqref="S686">
    <cfRule type="cellIs" dxfId="6253" priority="4470" operator="equal">
      <formula>"Tramitando"</formula>
    </cfRule>
    <cfRule type="cellIs" dxfId="6252" priority="4471" operator="equal">
      <formula>"Deferido"</formula>
    </cfRule>
    <cfRule type="cellIs" dxfId="6251" priority="4472" operator="equal">
      <formula>"Indeferido"</formula>
    </cfRule>
  </conditionalFormatting>
  <conditionalFormatting sqref="S686">
    <cfRule type="containsText" dxfId="6250" priority="4469" operator="containsText" text="Cancelado">
      <formula>NOT(ISERROR(SEARCH("Cancelado",S686)))</formula>
    </cfRule>
  </conditionalFormatting>
  <conditionalFormatting sqref="J687">
    <cfRule type="cellIs" dxfId="6249" priority="4465" operator="equal">
      <formula>"Tramitando"</formula>
    </cfRule>
    <cfRule type="cellIs" dxfId="6248" priority="4466" operator="equal">
      <formula>"Deferido"</formula>
    </cfRule>
    <cfRule type="cellIs" dxfId="6247" priority="4467" operator="equal">
      <formula>"Indeferido"</formula>
    </cfRule>
  </conditionalFormatting>
  <conditionalFormatting sqref="J687">
    <cfRule type="containsText" dxfId="6246" priority="4464" operator="containsText" text="Cancelado">
      <formula>NOT(ISERROR(SEARCH("Cancelado",J687)))</formula>
    </cfRule>
  </conditionalFormatting>
  <conditionalFormatting sqref="M687">
    <cfRule type="cellIs" dxfId="6245" priority="4461" operator="equal">
      <formula>"Tramitando"</formula>
    </cfRule>
    <cfRule type="cellIs" dxfId="6244" priority="4462" operator="equal">
      <formula>"Deferido"</formula>
    </cfRule>
    <cfRule type="cellIs" dxfId="6243" priority="4463" operator="equal">
      <formula>"Indeferido"</formula>
    </cfRule>
  </conditionalFormatting>
  <conditionalFormatting sqref="M687">
    <cfRule type="containsText" dxfId="6242" priority="4460" operator="containsText" text="Cancelado">
      <formula>NOT(ISERROR(SEARCH("Cancelado",M687)))</formula>
    </cfRule>
  </conditionalFormatting>
  <conditionalFormatting sqref="O687">
    <cfRule type="cellIs" dxfId="6241" priority="4457" operator="equal">
      <formula>"Tramitando"</formula>
    </cfRule>
    <cfRule type="cellIs" dxfId="6240" priority="4458" operator="equal">
      <formula>"Deferido"</formula>
    </cfRule>
    <cfRule type="cellIs" dxfId="6239" priority="4459" operator="equal">
      <formula>"Indeferido"</formula>
    </cfRule>
  </conditionalFormatting>
  <conditionalFormatting sqref="O687">
    <cfRule type="containsText" dxfId="6238" priority="4456" operator="containsText" text="Cancelado">
      <formula>NOT(ISERROR(SEARCH("Cancelado",O687)))</formula>
    </cfRule>
  </conditionalFormatting>
  <conditionalFormatting sqref="Q687">
    <cfRule type="cellIs" dxfId="6237" priority="4453" operator="equal">
      <formula>"Tramitando"</formula>
    </cfRule>
    <cfRule type="cellIs" dxfId="6236" priority="4454" operator="equal">
      <formula>"Deferido"</formula>
    </cfRule>
    <cfRule type="cellIs" dxfId="6235" priority="4455" operator="equal">
      <formula>"Indeferido"</formula>
    </cfRule>
  </conditionalFormatting>
  <conditionalFormatting sqref="Q687">
    <cfRule type="containsText" dxfId="6234" priority="4452" operator="containsText" text="Cancelado">
      <formula>NOT(ISERROR(SEARCH("Cancelado",Q687)))</formula>
    </cfRule>
  </conditionalFormatting>
  <conditionalFormatting sqref="S687">
    <cfRule type="cellIs" dxfId="6233" priority="4449" operator="equal">
      <formula>"Tramitando"</formula>
    </cfRule>
    <cfRule type="cellIs" dxfId="6232" priority="4450" operator="equal">
      <formula>"Deferido"</formula>
    </cfRule>
    <cfRule type="cellIs" dxfId="6231" priority="4451" operator="equal">
      <formula>"Indeferido"</formula>
    </cfRule>
  </conditionalFormatting>
  <conditionalFormatting sqref="S687">
    <cfRule type="containsText" dxfId="6230" priority="4448" operator="containsText" text="Cancelado">
      <formula>NOT(ISERROR(SEARCH("Cancelado",S687)))</formula>
    </cfRule>
  </conditionalFormatting>
  <conditionalFormatting sqref="J688">
    <cfRule type="cellIs" dxfId="6229" priority="4444" operator="equal">
      <formula>"Tramitando"</formula>
    </cfRule>
    <cfRule type="cellIs" dxfId="6228" priority="4445" operator="equal">
      <formula>"Deferido"</formula>
    </cfRule>
    <cfRule type="cellIs" dxfId="6227" priority="4446" operator="equal">
      <formula>"Indeferido"</formula>
    </cfRule>
  </conditionalFormatting>
  <conditionalFormatting sqref="J688">
    <cfRule type="containsText" dxfId="6226" priority="4443" operator="containsText" text="Cancelado">
      <formula>NOT(ISERROR(SEARCH("Cancelado",J688)))</formula>
    </cfRule>
  </conditionalFormatting>
  <conditionalFormatting sqref="M688">
    <cfRule type="cellIs" dxfId="6225" priority="4440" operator="equal">
      <formula>"Tramitando"</formula>
    </cfRule>
    <cfRule type="cellIs" dxfId="6224" priority="4441" operator="equal">
      <formula>"Deferido"</formula>
    </cfRule>
    <cfRule type="cellIs" dxfId="6223" priority="4442" operator="equal">
      <formula>"Indeferido"</formula>
    </cfRule>
  </conditionalFormatting>
  <conditionalFormatting sqref="M688">
    <cfRule type="containsText" dxfId="6222" priority="4439" operator="containsText" text="Cancelado">
      <formula>NOT(ISERROR(SEARCH("Cancelado",M688)))</formula>
    </cfRule>
  </conditionalFormatting>
  <conditionalFormatting sqref="O688">
    <cfRule type="cellIs" dxfId="6221" priority="4436" operator="equal">
      <formula>"Tramitando"</formula>
    </cfRule>
    <cfRule type="cellIs" dxfId="6220" priority="4437" operator="equal">
      <formula>"Deferido"</formula>
    </cfRule>
    <cfRule type="cellIs" dxfId="6219" priority="4438" operator="equal">
      <formula>"Indeferido"</formula>
    </cfRule>
  </conditionalFormatting>
  <conditionalFormatting sqref="O688">
    <cfRule type="containsText" dxfId="6218" priority="4435" operator="containsText" text="Cancelado">
      <formula>NOT(ISERROR(SEARCH("Cancelado",O688)))</formula>
    </cfRule>
  </conditionalFormatting>
  <conditionalFormatting sqref="Q688">
    <cfRule type="cellIs" dxfId="6217" priority="4432" operator="equal">
      <formula>"Tramitando"</formula>
    </cfRule>
    <cfRule type="cellIs" dxfId="6216" priority="4433" operator="equal">
      <formula>"Deferido"</formula>
    </cfRule>
    <cfRule type="cellIs" dxfId="6215" priority="4434" operator="equal">
      <formula>"Indeferido"</formula>
    </cfRule>
  </conditionalFormatting>
  <conditionalFormatting sqref="Q688">
    <cfRule type="containsText" dxfId="6214" priority="4431" operator="containsText" text="Cancelado">
      <formula>NOT(ISERROR(SEARCH("Cancelado",Q688)))</formula>
    </cfRule>
  </conditionalFormatting>
  <conditionalFormatting sqref="S688">
    <cfRule type="cellIs" dxfId="6213" priority="4428" operator="equal">
      <formula>"Tramitando"</formula>
    </cfRule>
    <cfRule type="cellIs" dxfId="6212" priority="4429" operator="equal">
      <formula>"Deferido"</formula>
    </cfRule>
    <cfRule type="cellIs" dxfId="6211" priority="4430" operator="equal">
      <formula>"Indeferido"</formula>
    </cfRule>
  </conditionalFormatting>
  <conditionalFormatting sqref="S688">
    <cfRule type="containsText" dxfId="6210" priority="4427" operator="containsText" text="Cancelado">
      <formula>NOT(ISERROR(SEARCH("Cancelado",S688)))</formula>
    </cfRule>
  </conditionalFormatting>
  <conditionalFormatting sqref="J689:J690">
    <cfRule type="cellIs" dxfId="6209" priority="4423" operator="equal">
      <formula>"Tramitando"</formula>
    </cfRule>
    <cfRule type="cellIs" dxfId="6208" priority="4424" operator="equal">
      <formula>"Deferido"</formula>
    </cfRule>
    <cfRule type="cellIs" dxfId="6207" priority="4425" operator="equal">
      <formula>"Indeferido"</formula>
    </cfRule>
  </conditionalFormatting>
  <conditionalFormatting sqref="J689:J690">
    <cfRule type="containsText" dxfId="6206" priority="4422" operator="containsText" text="Cancelado">
      <formula>NOT(ISERROR(SEARCH("Cancelado",J689)))</formula>
    </cfRule>
  </conditionalFormatting>
  <conditionalFormatting sqref="M689:M690">
    <cfRule type="cellIs" dxfId="6205" priority="4419" operator="equal">
      <formula>"Tramitando"</formula>
    </cfRule>
    <cfRule type="cellIs" dxfId="6204" priority="4420" operator="equal">
      <formula>"Deferido"</formula>
    </cfRule>
    <cfRule type="cellIs" dxfId="6203" priority="4421" operator="equal">
      <formula>"Indeferido"</formula>
    </cfRule>
  </conditionalFormatting>
  <conditionalFormatting sqref="M689:M690">
    <cfRule type="containsText" dxfId="6202" priority="4418" operator="containsText" text="Cancelado">
      <formula>NOT(ISERROR(SEARCH("Cancelado",M689)))</formula>
    </cfRule>
  </conditionalFormatting>
  <conditionalFormatting sqref="O689:O690">
    <cfRule type="cellIs" dxfId="6201" priority="4415" operator="equal">
      <formula>"Tramitando"</formula>
    </cfRule>
    <cfRule type="cellIs" dxfId="6200" priority="4416" operator="equal">
      <formula>"Deferido"</formula>
    </cfRule>
    <cfRule type="cellIs" dxfId="6199" priority="4417" operator="equal">
      <formula>"Indeferido"</formula>
    </cfRule>
  </conditionalFormatting>
  <conditionalFormatting sqref="O689:O690">
    <cfRule type="containsText" dxfId="6198" priority="4414" operator="containsText" text="Cancelado">
      <formula>NOT(ISERROR(SEARCH("Cancelado",O689)))</formula>
    </cfRule>
  </conditionalFormatting>
  <conditionalFormatting sqref="Q689:Q690">
    <cfRule type="cellIs" dxfId="6197" priority="4411" operator="equal">
      <formula>"Tramitando"</formula>
    </cfRule>
    <cfRule type="cellIs" dxfId="6196" priority="4412" operator="equal">
      <formula>"Deferido"</formula>
    </cfRule>
    <cfRule type="cellIs" dxfId="6195" priority="4413" operator="equal">
      <formula>"Indeferido"</formula>
    </cfRule>
  </conditionalFormatting>
  <conditionalFormatting sqref="Q689:Q690">
    <cfRule type="containsText" dxfId="6194" priority="4410" operator="containsText" text="Cancelado">
      <formula>NOT(ISERROR(SEARCH("Cancelado",Q689)))</formula>
    </cfRule>
  </conditionalFormatting>
  <conditionalFormatting sqref="S689:S690">
    <cfRule type="cellIs" dxfId="6193" priority="4407" operator="equal">
      <formula>"Tramitando"</formula>
    </cfRule>
    <cfRule type="cellIs" dxfId="6192" priority="4408" operator="equal">
      <formula>"Deferido"</formula>
    </cfRule>
    <cfRule type="cellIs" dxfId="6191" priority="4409" operator="equal">
      <formula>"Indeferido"</formula>
    </cfRule>
  </conditionalFormatting>
  <conditionalFormatting sqref="S689:S690">
    <cfRule type="containsText" dxfId="6190" priority="4406" operator="containsText" text="Cancelado">
      <formula>NOT(ISERROR(SEARCH("Cancelado",S689)))</formula>
    </cfRule>
  </conditionalFormatting>
  <conditionalFormatting sqref="J691">
    <cfRule type="cellIs" dxfId="6189" priority="4402" operator="equal">
      <formula>"Tramitando"</formula>
    </cfRule>
    <cfRule type="cellIs" dxfId="6188" priority="4403" operator="equal">
      <formula>"Deferido"</formula>
    </cfRule>
    <cfRule type="cellIs" dxfId="6187" priority="4404" operator="equal">
      <formula>"Indeferido"</formula>
    </cfRule>
  </conditionalFormatting>
  <conditionalFormatting sqref="J691">
    <cfRule type="containsText" dxfId="6186" priority="4401" operator="containsText" text="Cancelado">
      <formula>NOT(ISERROR(SEARCH("Cancelado",J691)))</formula>
    </cfRule>
  </conditionalFormatting>
  <conditionalFormatting sqref="M691">
    <cfRule type="cellIs" dxfId="6185" priority="4398" operator="equal">
      <formula>"Tramitando"</formula>
    </cfRule>
    <cfRule type="cellIs" dxfId="6184" priority="4399" operator="equal">
      <formula>"Deferido"</formula>
    </cfRule>
    <cfRule type="cellIs" dxfId="6183" priority="4400" operator="equal">
      <formula>"Indeferido"</formula>
    </cfRule>
  </conditionalFormatting>
  <conditionalFormatting sqref="M691">
    <cfRule type="containsText" dxfId="6182" priority="4397" operator="containsText" text="Cancelado">
      <formula>NOT(ISERROR(SEARCH("Cancelado",M691)))</formula>
    </cfRule>
  </conditionalFormatting>
  <conditionalFormatting sqref="O691">
    <cfRule type="cellIs" dxfId="6181" priority="4394" operator="equal">
      <formula>"Tramitando"</formula>
    </cfRule>
    <cfRule type="cellIs" dxfId="6180" priority="4395" operator="equal">
      <formula>"Deferido"</formula>
    </cfRule>
    <cfRule type="cellIs" dxfId="6179" priority="4396" operator="equal">
      <formula>"Indeferido"</formula>
    </cfRule>
  </conditionalFormatting>
  <conditionalFormatting sqref="O691">
    <cfRule type="containsText" dxfId="6178" priority="4393" operator="containsText" text="Cancelado">
      <formula>NOT(ISERROR(SEARCH("Cancelado",O691)))</formula>
    </cfRule>
  </conditionalFormatting>
  <conditionalFormatting sqref="Q691">
    <cfRule type="cellIs" dxfId="6177" priority="4390" operator="equal">
      <formula>"Tramitando"</formula>
    </cfRule>
    <cfRule type="cellIs" dxfId="6176" priority="4391" operator="equal">
      <formula>"Deferido"</formula>
    </cfRule>
    <cfRule type="cellIs" dxfId="6175" priority="4392" operator="equal">
      <formula>"Indeferido"</formula>
    </cfRule>
  </conditionalFormatting>
  <conditionalFormatting sqref="Q691">
    <cfRule type="containsText" dxfId="6174" priority="4389" operator="containsText" text="Cancelado">
      <formula>NOT(ISERROR(SEARCH("Cancelado",Q691)))</formula>
    </cfRule>
  </conditionalFormatting>
  <conditionalFormatting sqref="S691">
    <cfRule type="cellIs" dxfId="6173" priority="4386" operator="equal">
      <formula>"Tramitando"</formula>
    </cfRule>
    <cfRule type="cellIs" dxfId="6172" priority="4387" operator="equal">
      <formula>"Deferido"</formula>
    </cfRule>
    <cfRule type="cellIs" dxfId="6171" priority="4388" operator="equal">
      <formula>"Indeferido"</formula>
    </cfRule>
  </conditionalFormatting>
  <conditionalFormatting sqref="S691">
    <cfRule type="containsText" dxfId="6170" priority="4385" operator="containsText" text="Cancelado">
      <formula>NOT(ISERROR(SEARCH("Cancelado",S691)))</formula>
    </cfRule>
  </conditionalFormatting>
  <conditionalFormatting sqref="J692">
    <cfRule type="cellIs" dxfId="6169" priority="4381" operator="equal">
      <formula>"Tramitando"</formula>
    </cfRule>
    <cfRule type="cellIs" dxfId="6168" priority="4382" operator="equal">
      <formula>"Deferido"</formula>
    </cfRule>
    <cfRule type="cellIs" dxfId="6167" priority="4383" operator="equal">
      <formula>"Indeferido"</formula>
    </cfRule>
  </conditionalFormatting>
  <conditionalFormatting sqref="J692">
    <cfRule type="containsText" dxfId="6166" priority="4380" operator="containsText" text="Cancelado">
      <formula>NOT(ISERROR(SEARCH("Cancelado",J692)))</formula>
    </cfRule>
  </conditionalFormatting>
  <conditionalFormatting sqref="M692">
    <cfRule type="cellIs" dxfId="6165" priority="4377" operator="equal">
      <formula>"Tramitando"</formula>
    </cfRule>
    <cfRule type="cellIs" dxfId="6164" priority="4378" operator="equal">
      <formula>"Deferido"</formula>
    </cfRule>
    <cfRule type="cellIs" dxfId="6163" priority="4379" operator="equal">
      <formula>"Indeferido"</formula>
    </cfRule>
  </conditionalFormatting>
  <conditionalFormatting sqref="M692">
    <cfRule type="containsText" dxfId="6162" priority="4376" operator="containsText" text="Cancelado">
      <formula>NOT(ISERROR(SEARCH("Cancelado",M692)))</formula>
    </cfRule>
  </conditionalFormatting>
  <conditionalFormatting sqref="O692">
    <cfRule type="cellIs" dxfId="6161" priority="4373" operator="equal">
      <formula>"Tramitando"</formula>
    </cfRule>
    <cfRule type="cellIs" dxfId="6160" priority="4374" operator="equal">
      <formula>"Deferido"</formula>
    </cfRule>
    <cfRule type="cellIs" dxfId="6159" priority="4375" operator="equal">
      <formula>"Indeferido"</formula>
    </cfRule>
  </conditionalFormatting>
  <conditionalFormatting sqref="O692">
    <cfRule type="containsText" dxfId="6158" priority="4372" operator="containsText" text="Cancelado">
      <formula>NOT(ISERROR(SEARCH("Cancelado",O692)))</formula>
    </cfRule>
  </conditionalFormatting>
  <conditionalFormatting sqref="Q692">
    <cfRule type="cellIs" dxfId="6157" priority="4369" operator="equal">
      <formula>"Tramitando"</formula>
    </cfRule>
    <cfRule type="cellIs" dxfId="6156" priority="4370" operator="equal">
      <formula>"Deferido"</formula>
    </cfRule>
    <cfRule type="cellIs" dxfId="6155" priority="4371" operator="equal">
      <formula>"Indeferido"</formula>
    </cfRule>
  </conditionalFormatting>
  <conditionalFormatting sqref="Q692">
    <cfRule type="containsText" dxfId="6154" priority="4368" operator="containsText" text="Cancelado">
      <formula>NOT(ISERROR(SEARCH("Cancelado",Q692)))</formula>
    </cfRule>
  </conditionalFormatting>
  <conditionalFormatting sqref="S692">
    <cfRule type="cellIs" dxfId="6153" priority="4365" operator="equal">
      <formula>"Tramitando"</formula>
    </cfRule>
    <cfRule type="cellIs" dxfId="6152" priority="4366" operator="equal">
      <formula>"Deferido"</formula>
    </cfRule>
    <cfRule type="cellIs" dxfId="6151" priority="4367" operator="equal">
      <formula>"Indeferido"</formula>
    </cfRule>
  </conditionalFormatting>
  <conditionalFormatting sqref="S692">
    <cfRule type="containsText" dxfId="6150" priority="4364" operator="containsText" text="Cancelado">
      <formula>NOT(ISERROR(SEARCH("Cancelado",S692)))</formula>
    </cfRule>
  </conditionalFormatting>
  <conditionalFormatting sqref="J693">
    <cfRule type="cellIs" dxfId="6149" priority="4360" operator="equal">
      <formula>"Tramitando"</formula>
    </cfRule>
    <cfRule type="cellIs" dxfId="6148" priority="4361" operator="equal">
      <formula>"Deferido"</formula>
    </cfRule>
    <cfRule type="cellIs" dxfId="6147" priority="4362" operator="equal">
      <formula>"Indeferido"</formula>
    </cfRule>
  </conditionalFormatting>
  <conditionalFormatting sqref="J693">
    <cfRule type="containsText" dxfId="6146" priority="4359" operator="containsText" text="Cancelado">
      <formula>NOT(ISERROR(SEARCH("Cancelado",J693)))</formula>
    </cfRule>
  </conditionalFormatting>
  <conditionalFormatting sqref="M693">
    <cfRule type="cellIs" dxfId="6145" priority="4356" operator="equal">
      <formula>"Tramitando"</formula>
    </cfRule>
    <cfRule type="cellIs" dxfId="6144" priority="4357" operator="equal">
      <formula>"Deferido"</formula>
    </cfRule>
    <cfRule type="cellIs" dxfId="6143" priority="4358" operator="equal">
      <formula>"Indeferido"</formula>
    </cfRule>
  </conditionalFormatting>
  <conditionalFormatting sqref="M693">
    <cfRule type="containsText" dxfId="6142" priority="4355" operator="containsText" text="Cancelado">
      <formula>NOT(ISERROR(SEARCH("Cancelado",M693)))</formula>
    </cfRule>
  </conditionalFormatting>
  <conditionalFormatting sqref="O693">
    <cfRule type="cellIs" dxfId="6141" priority="4352" operator="equal">
      <formula>"Tramitando"</formula>
    </cfRule>
    <cfRule type="cellIs" dxfId="6140" priority="4353" operator="equal">
      <formula>"Deferido"</formula>
    </cfRule>
    <cfRule type="cellIs" dxfId="6139" priority="4354" operator="equal">
      <formula>"Indeferido"</formula>
    </cfRule>
  </conditionalFormatting>
  <conditionalFormatting sqref="O693">
    <cfRule type="containsText" dxfId="6138" priority="4351" operator="containsText" text="Cancelado">
      <formula>NOT(ISERROR(SEARCH("Cancelado",O693)))</formula>
    </cfRule>
  </conditionalFormatting>
  <conditionalFormatting sqref="Q693">
    <cfRule type="cellIs" dxfId="6137" priority="4348" operator="equal">
      <formula>"Tramitando"</formula>
    </cfRule>
    <cfRule type="cellIs" dxfId="6136" priority="4349" operator="equal">
      <formula>"Deferido"</formula>
    </cfRule>
    <cfRule type="cellIs" dxfId="6135" priority="4350" operator="equal">
      <formula>"Indeferido"</formula>
    </cfRule>
  </conditionalFormatting>
  <conditionalFormatting sqref="Q693">
    <cfRule type="containsText" dxfId="6134" priority="4347" operator="containsText" text="Cancelado">
      <formula>NOT(ISERROR(SEARCH("Cancelado",Q693)))</formula>
    </cfRule>
  </conditionalFormatting>
  <conditionalFormatting sqref="S693">
    <cfRule type="cellIs" dxfId="6133" priority="4344" operator="equal">
      <formula>"Tramitando"</formula>
    </cfRule>
    <cfRule type="cellIs" dxfId="6132" priority="4345" operator="equal">
      <formula>"Deferido"</formula>
    </cfRule>
    <cfRule type="cellIs" dxfId="6131" priority="4346" operator="equal">
      <formula>"Indeferido"</formula>
    </cfRule>
  </conditionalFormatting>
  <conditionalFormatting sqref="S693">
    <cfRule type="containsText" dxfId="6130" priority="4343" operator="containsText" text="Cancelado">
      <formula>NOT(ISERROR(SEARCH("Cancelado",S693)))</formula>
    </cfRule>
  </conditionalFormatting>
  <conditionalFormatting sqref="J694">
    <cfRule type="cellIs" dxfId="6129" priority="4339" operator="equal">
      <formula>"Tramitando"</formula>
    </cfRule>
    <cfRule type="cellIs" dxfId="6128" priority="4340" operator="equal">
      <formula>"Deferido"</formula>
    </cfRule>
    <cfRule type="cellIs" dxfId="6127" priority="4341" operator="equal">
      <formula>"Indeferido"</formula>
    </cfRule>
  </conditionalFormatting>
  <conditionalFormatting sqref="J694">
    <cfRule type="containsText" dxfId="6126" priority="4338" operator="containsText" text="Cancelado">
      <formula>NOT(ISERROR(SEARCH("Cancelado",J694)))</formula>
    </cfRule>
  </conditionalFormatting>
  <conditionalFormatting sqref="M694">
    <cfRule type="cellIs" dxfId="6125" priority="4335" operator="equal">
      <formula>"Tramitando"</formula>
    </cfRule>
    <cfRule type="cellIs" dxfId="6124" priority="4336" operator="equal">
      <formula>"Deferido"</formula>
    </cfRule>
    <cfRule type="cellIs" dxfId="6123" priority="4337" operator="equal">
      <formula>"Indeferido"</formula>
    </cfRule>
  </conditionalFormatting>
  <conditionalFormatting sqref="M694">
    <cfRule type="containsText" dxfId="6122" priority="4334" operator="containsText" text="Cancelado">
      <formula>NOT(ISERROR(SEARCH("Cancelado",M694)))</formula>
    </cfRule>
  </conditionalFormatting>
  <conditionalFormatting sqref="O694">
    <cfRule type="cellIs" dxfId="6121" priority="4331" operator="equal">
      <formula>"Tramitando"</formula>
    </cfRule>
    <cfRule type="cellIs" dxfId="6120" priority="4332" operator="equal">
      <formula>"Deferido"</formula>
    </cfRule>
    <cfRule type="cellIs" dxfId="6119" priority="4333" operator="equal">
      <formula>"Indeferido"</formula>
    </cfRule>
  </conditionalFormatting>
  <conditionalFormatting sqref="O694">
    <cfRule type="containsText" dxfId="6118" priority="4330" operator="containsText" text="Cancelado">
      <formula>NOT(ISERROR(SEARCH("Cancelado",O694)))</formula>
    </cfRule>
  </conditionalFormatting>
  <conditionalFormatting sqref="Q694">
    <cfRule type="cellIs" dxfId="6117" priority="4327" operator="equal">
      <formula>"Tramitando"</formula>
    </cfRule>
    <cfRule type="cellIs" dxfId="6116" priority="4328" operator="equal">
      <formula>"Deferido"</formula>
    </cfRule>
    <cfRule type="cellIs" dxfId="6115" priority="4329" operator="equal">
      <formula>"Indeferido"</formula>
    </cfRule>
  </conditionalFormatting>
  <conditionalFormatting sqref="Q694">
    <cfRule type="containsText" dxfId="6114" priority="4326" operator="containsText" text="Cancelado">
      <formula>NOT(ISERROR(SEARCH("Cancelado",Q694)))</formula>
    </cfRule>
  </conditionalFormatting>
  <conditionalFormatting sqref="S694">
    <cfRule type="cellIs" dxfId="6113" priority="4323" operator="equal">
      <formula>"Tramitando"</formula>
    </cfRule>
    <cfRule type="cellIs" dxfId="6112" priority="4324" operator="equal">
      <formula>"Deferido"</formula>
    </cfRule>
    <cfRule type="cellIs" dxfId="6111" priority="4325" operator="equal">
      <formula>"Indeferido"</formula>
    </cfRule>
  </conditionalFormatting>
  <conditionalFormatting sqref="S694">
    <cfRule type="containsText" dxfId="6110" priority="4322" operator="containsText" text="Cancelado">
      <formula>NOT(ISERROR(SEARCH("Cancelado",S694)))</formula>
    </cfRule>
  </conditionalFormatting>
  <conditionalFormatting sqref="J695">
    <cfRule type="cellIs" dxfId="6109" priority="4318" operator="equal">
      <formula>"Tramitando"</formula>
    </cfRule>
    <cfRule type="cellIs" dxfId="6108" priority="4319" operator="equal">
      <formula>"Deferido"</formula>
    </cfRule>
    <cfRule type="cellIs" dxfId="6107" priority="4320" operator="equal">
      <formula>"Indeferido"</formula>
    </cfRule>
  </conditionalFormatting>
  <conditionalFormatting sqref="J695">
    <cfRule type="containsText" dxfId="6106" priority="4317" operator="containsText" text="Cancelado">
      <formula>NOT(ISERROR(SEARCH("Cancelado",J695)))</formula>
    </cfRule>
  </conditionalFormatting>
  <conditionalFormatting sqref="M695">
    <cfRule type="cellIs" dxfId="6105" priority="4314" operator="equal">
      <formula>"Tramitando"</formula>
    </cfRule>
    <cfRule type="cellIs" dxfId="6104" priority="4315" operator="equal">
      <formula>"Deferido"</formula>
    </cfRule>
    <cfRule type="cellIs" dxfId="6103" priority="4316" operator="equal">
      <formula>"Indeferido"</formula>
    </cfRule>
  </conditionalFormatting>
  <conditionalFormatting sqref="M695">
    <cfRule type="containsText" dxfId="6102" priority="4313" operator="containsText" text="Cancelado">
      <formula>NOT(ISERROR(SEARCH("Cancelado",M695)))</formula>
    </cfRule>
  </conditionalFormatting>
  <conditionalFormatting sqref="O695">
    <cfRule type="cellIs" dxfId="6101" priority="4310" operator="equal">
      <formula>"Tramitando"</formula>
    </cfRule>
    <cfRule type="cellIs" dxfId="6100" priority="4311" operator="equal">
      <formula>"Deferido"</formula>
    </cfRule>
    <cfRule type="cellIs" dxfId="6099" priority="4312" operator="equal">
      <formula>"Indeferido"</formula>
    </cfRule>
  </conditionalFormatting>
  <conditionalFormatting sqref="O695">
    <cfRule type="containsText" dxfId="6098" priority="4309" operator="containsText" text="Cancelado">
      <formula>NOT(ISERROR(SEARCH("Cancelado",O695)))</formula>
    </cfRule>
  </conditionalFormatting>
  <conditionalFormatting sqref="Q695">
    <cfRule type="cellIs" dxfId="6097" priority="4306" operator="equal">
      <formula>"Tramitando"</formula>
    </cfRule>
    <cfRule type="cellIs" dxfId="6096" priority="4307" operator="equal">
      <formula>"Deferido"</formula>
    </cfRule>
    <cfRule type="cellIs" dxfId="6095" priority="4308" operator="equal">
      <formula>"Indeferido"</formula>
    </cfRule>
  </conditionalFormatting>
  <conditionalFormatting sqref="Q695">
    <cfRule type="containsText" dxfId="6094" priority="4305" operator="containsText" text="Cancelado">
      <formula>NOT(ISERROR(SEARCH("Cancelado",Q695)))</formula>
    </cfRule>
  </conditionalFormatting>
  <conditionalFormatting sqref="S695">
    <cfRule type="cellIs" dxfId="6093" priority="4302" operator="equal">
      <formula>"Tramitando"</formula>
    </cfRule>
    <cfRule type="cellIs" dxfId="6092" priority="4303" operator="equal">
      <formula>"Deferido"</formula>
    </cfRule>
    <cfRule type="cellIs" dxfId="6091" priority="4304" operator="equal">
      <formula>"Indeferido"</formula>
    </cfRule>
  </conditionalFormatting>
  <conditionalFormatting sqref="S695">
    <cfRule type="containsText" dxfId="6090" priority="4301" operator="containsText" text="Cancelado">
      <formula>NOT(ISERROR(SEARCH("Cancelado",S695)))</formula>
    </cfRule>
  </conditionalFormatting>
  <conditionalFormatting sqref="J696">
    <cfRule type="cellIs" dxfId="6089" priority="4297" operator="equal">
      <formula>"Tramitando"</formula>
    </cfRule>
    <cfRule type="cellIs" dxfId="6088" priority="4298" operator="equal">
      <formula>"Deferido"</formula>
    </cfRule>
    <cfRule type="cellIs" dxfId="6087" priority="4299" operator="equal">
      <formula>"Indeferido"</formula>
    </cfRule>
  </conditionalFormatting>
  <conditionalFormatting sqref="J696">
    <cfRule type="containsText" dxfId="6086" priority="4296" operator="containsText" text="Cancelado">
      <formula>NOT(ISERROR(SEARCH("Cancelado",J696)))</formula>
    </cfRule>
  </conditionalFormatting>
  <conditionalFormatting sqref="M696">
    <cfRule type="cellIs" dxfId="6085" priority="4293" operator="equal">
      <formula>"Tramitando"</formula>
    </cfRule>
    <cfRule type="cellIs" dxfId="6084" priority="4294" operator="equal">
      <formula>"Deferido"</formula>
    </cfRule>
    <cfRule type="cellIs" dxfId="6083" priority="4295" operator="equal">
      <formula>"Indeferido"</formula>
    </cfRule>
  </conditionalFormatting>
  <conditionalFormatting sqref="M696">
    <cfRule type="containsText" dxfId="6082" priority="4292" operator="containsText" text="Cancelado">
      <formula>NOT(ISERROR(SEARCH("Cancelado",M696)))</formula>
    </cfRule>
  </conditionalFormatting>
  <conditionalFormatting sqref="O696">
    <cfRule type="cellIs" dxfId="6081" priority="4289" operator="equal">
      <formula>"Tramitando"</formula>
    </cfRule>
    <cfRule type="cellIs" dxfId="6080" priority="4290" operator="equal">
      <formula>"Deferido"</formula>
    </cfRule>
    <cfRule type="cellIs" dxfId="6079" priority="4291" operator="equal">
      <formula>"Indeferido"</formula>
    </cfRule>
  </conditionalFormatting>
  <conditionalFormatting sqref="O696">
    <cfRule type="containsText" dxfId="6078" priority="4288" operator="containsText" text="Cancelado">
      <formula>NOT(ISERROR(SEARCH("Cancelado",O696)))</formula>
    </cfRule>
  </conditionalFormatting>
  <conditionalFormatting sqref="Q696">
    <cfRule type="cellIs" dxfId="6077" priority="4285" operator="equal">
      <formula>"Tramitando"</formula>
    </cfRule>
    <cfRule type="cellIs" dxfId="6076" priority="4286" operator="equal">
      <formula>"Deferido"</formula>
    </cfRule>
    <cfRule type="cellIs" dxfId="6075" priority="4287" operator="equal">
      <formula>"Indeferido"</formula>
    </cfRule>
  </conditionalFormatting>
  <conditionalFormatting sqref="Q696">
    <cfRule type="containsText" dxfId="6074" priority="4284" operator="containsText" text="Cancelado">
      <formula>NOT(ISERROR(SEARCH("Cancelado",Q696)))</formula>
    </cfRule>
  </conditionalFormatting>
  <conditionalFormatting sqref="S696">
    <cfRule type="cellIs" dxfId="6073" priority="4281" operator="equal">
      <formula>"Tramitando"</formula>
    </cfRule>
    <cfRule type="cellIs" dxfId="6072" priority="4282" operator="equal">
      <formula>"Deferido"</formula>
    </cfRule>
    <cfRule type="cellIs" dxfId="6071" priority="4283" operator="equal">
      <formula>"Indeferido"</formula>
    </cfRule>
  </conditionalFormatting>
  <conditionalFormatting sqref="S696">
    <cfRule type="containsText" dxfId="6070" priority="4280" operator="containsText" text="Cancelado">
      <formula>NOT(ISERROR(SEARCH("Cancelado",S696)))</formula>
    </cfRule>
  </conditionalFormatting>
  <conditionalFormatting sqref="J697">
    <cfRule type="cellIs" dxfId="6069" priority="4276" operator="equal">
      <formula>"Tramitando"</formula>
    </cfRule>
    <cfRule type="cellIs" dxfId="6068" priority="4277" operator="equal">
      <formula>"Deferido"</formula>
    </cfRule>
    <cfRule type="cellIs" dxfId="6067" priority="4278" operator="equal">
      <formula>"Indeferido"</formula>
    </cfRule>
  </conditionalFormatting>
  <conditionalFormatting sqref="J697">
    <cfRule type="containsText" dxfId="6066" priority="4275" operator="containsText" text="Cancelado">
      <formula>NOT(ISERROR(SEARCH("Cancelado",J697)))</formula>
    </cfRule>
  </conditionalFormatting>
  <conditionalFormatting sqref="M697">
    <cfRule type="cellIs" dxfId="6065" priority="4272" operator="equal">
      <formula>"Tramitando"</formula>
    </cfRule>
    <cfRule type="cellIs" dxfId="6064" priority="4273" operator="equal">
      <formula>"Deferido"</formula>
    </cfRule>
    <cfRule type="cellIs" dxfId="6063" priority="4274" operator="equal">
      <formula>"Indeferido"</formula>
    </cfRule>
  </conditionalFormatting>
  <conditionalFormatting sqref="M697">
    <cfRule type="containsText" dxfId="6062" priority="4271" operator="containsText" text="Cancelado">
      <formula>NOT(ISERROR(SEARCH("Cancelado",M697)))</formula>
    </cfRule>
  </conditionalFormatting>
  <conditionalFormatting sqref="O697">
    <cfRule type="cellIs" dxfId="6061" priority="4268" operator="equal">
      <formula>"Tramitando"</formula>
    </cfRule>
    <cfRule type="cellIs" dxfId="6060" priority="4269" operator="equal">
      <formula>"Deferido"</formula>
    </cfRule>
    <cfRule type="cellIs" dxfId="6059" priority="4270" operator="equal">
      <formula>"Indeferido"</formula>
    </cfRule>
  </conditionalFormatting>
  <conditionalFormatting sqref="O697">
    <cfRule type="containsText" dxfId="6058" priority="4267" operator="containsText" text="Cancelado">
      <formula>NOT(ISERROR(SEARCH("Cancelado",O697)))</formula>
    </cfRule>
  </conditionalFormatting>
  <conditionalFormatting sqref="Q697">
    <cfRule type="cellIs" dxfId="6057" priority="4264" operator="equal">
      <formula>"Tramitando"</formula>
    </cfRule>
    <cfRule type="cellIs" dxfId="6056" priority="4265" operator="equal">
      <formula>"Deferido"</formula>
    </cfRule>
    <cfRule type="cellIs" dxfId="6055" priority="4266" operator="equal">
      <formula>"Indeferido"</formula>
    </cfRule>
  </conditionalFormatting>
  <conditionalFormatting sqref="Q697">
    <cfRule type="containsText" dxfId="6054" priority="4263" operator="containsText" text="Cancelado">
      <formula>NOT(ISERROR(SEARCH("Cancelado",Q697)))</formula>
    </cfRule>
  </conditionalFormatting>
  <conditionalFormatting sqref="S697">
    <cfRule type="cellIs" dxfId="6053" priority="4260" operator="equal">
      <formula>"Tramitando"</formula>
    </cfRule>
    <cfRule type="cellIs" dxfId="6052" priority="4261" operator="equal">
      <formula>"Deferido"</formula>
    </cfRule>
    <cfRule type="cellIs" dxfId="6051" priority="4262" operator="equal">
      <formula>"Indeferido"</formula>
    </cfRule>
  </conditionalFormatting>
  <conditionalFormatting sqref="S697">
    <cfRule type="containsText" dxfId="6050" priority="4259" operator="containsText" text="Cancelado">
      <formula>NOT(ISERROR(SEARCH("Cancelado",S697)))</formula>
    </cfRule>
  </conditionalFormatting>
  <conditionalFormatting sqref="J698">
    <cfRule type="cellIs" dxfId="6049" priority="4255" operator="equal">
      <formula>"Tramitando"</formula>
    </cfRule>
    <cfRule type="cellIs" dxfId="6048" priority="4256" operator="equal">
      <formula>"Deferido"</formula>
    </cfRule>
    <cfRule type="cellIs" dxfId="6047" priority="4257" operator="equal">
      <formula>"Indeferido"</formula>
    </cfRule>
  </conditionalFormatting>
  <conditionalFormatting sqref="J698">
    <cfRule type="containsText" dxfId="6046" priority="4254" operator="containsText" text="Cancelado">
      <formula>NOT(ISERROR(SEARCH("Cancelado",J698)))</formula>
    </cfRule>
  </conditionalFormatting>
  <conditionalFormatting sqref="M698">
    <cfRule type="cellIs" dxfId="6045" priority="4251" operator="equal">
      <formula>"Tramitando"</formula>
    </cfRule>
    <cfRule type="cellIs" dxfId="6044" priority="4252" operator="equal">
      <formula>"Deferido"</formula>
    </cfRule>
    <cfRule type="cellIs" dxfId="6043" priority="4253" operator="equal">
      <formula>"Indeferido"</formula>
    </cfRule>
  </conditionalFormatting>
  <conditionalFormatting sqref="M698">
    <cfRule type="containsText" dxfId="6042" priority="4250" operator="containsText" text="Cancelado">
      <formula>NOT(ISERROR(SEARCH("Cancelado",M698)))</formula>
    </cfRule>
  </conditionalFormatting>
  <conditionalFormatting sqref="O698">
    <cfRule type="cellIs" dxfId="6041" priority="4247" operator="equal">
      <formula>"Tramitando"</formula>
    </cfRule>
    <cfRule type="cellIs" dxfId="6040" priority="4248" operator="equal">
      <formula>"Deferido"</formula>
    </cfRule>
    <cfRule type="cellIs" dxfId="6039" priority="4249" operator="equal">
      <formula>"Indeferido"</formula>
    </cfRule>
  </conditionalFormatting>
  <conditionalFormatting sqref="O698">
    <cfRule type="containsText" dxfId="6038" priority="4246" operator="containsText" text="Cancelado">
      <formula>NOT(ISERROR(SEARCH("Cancelado",O698)))</formula>
    </cfRule>
  </conditionalFormatting>
  <conditionalFormatting sqref="Q698">
    <cfRule type="cellIs" dxfId="6037" priority="4243" operator="equal">
      <formula>"Tramitando"</formula>
    </cfRule>
    <cfRule type="cellIs" dxfId="6036" priority="4244" operator="equal">
      <formula>"Deferido"</formula>
    </cfRule>
    <cfRule type="cellIs" dxfId="6035" priority="4245" operator="equal">
      <formula>"Indeferido"</formula>
    </cfRule>
  </conditionalFormatting>
  <conditionalFormatting sqref="Q698">
    <cfRule type="containsText" dxfId="6034" priority="4242" operator="containsText" text="Cancelado">
      <formula>NOT(ISERROR(SEARCH("Cancelado",Q698)))</formula>
    </cfRule>
  </conditionalFormatting>
  <conditionalFormatting sqref="S698">
    <cfRule type="cellIs" dxfId="6033" priority="4239" operator="equal">
      <formula>"Tramitando"</formula>
    </cfRule>
    <cfRule type="cellIs" dxfId="6032" priority="4240" operator="equal">
      <formula>"Deferido"</formula>
    </cfRule>
    <cfRule type="cellIs" dxfId="6031" priority="4241" operator="equal">
      <formula>"Indeferido"</formula>
    </cfRule>
  </conditionalFormatting>
  <conditionalFormatting sqref="S698">
    <cfRule type="containsText" dxfId="6030" priority="4238" operator="containsText" text="Cancelado">
      <formula>NOT(ISERROR(SEARCH("Cancelado",S698)))</formula>
    </cfRule>
  </conditionalFormatting>
  <conditionalFormatting sqref="J699">
    <cfRule type="cellIs" dxfId="6029" priority="4234" operator="equal">
      <formula>"Tramitando"</formula>
    </cfRule>
    <cfRule type="cellIs" dxfId="6028" priority="4235" operator="equal">
      <formula>"Deferido"</formula>
    </cfRule>
    <cfRule type="cellIs" dxfId="6027" priority="4236" operator="equal">
      <formula>"Indeferido"</formula>
    </cfRule>
  </conditionalFormatting>
  <conditionalFormatting sqref="J699">
    <cfRule type="containsText" dxfId="6026" priority="4233" operator="containsText" text="Cancelado">
      <formula>NOT(ISERROR(SEARCH("Cancelado",J699)))</formula>
    </cfRule>
  </conditionalFormatting>
  <conditionalFormatting sqref="M699">
    <cfRule type="cellIs" dxfId="6025" priority="4230" operator="equal">
      <formula>"Tramitando"</formula>
    </cfRule>
    <cfRule type="cellIs" dxfId="6024" priority="4231" operator="equal">
      <formula>"Deferido"</formula>
    </cfRule>
    <cfRule type="cellIs" dxfId="6023" priority="4232" operator="equal">
      <formula>"Indeferido"</formula>
    </cfRule>
  </conditionalFormatting>
  <conditionalFormatting sqref="M699">
    <cfRule type="containsText" dxfId="6022" priority="4229" operator="containsText" text="Cancelado">
      <formula>NOT(ISERROR(SEARCH("Cancelado",M699)))</formula>
    </cfRule>
  </conditionalFormatting>
  <conditionalFormatting sqref="O699">
    <cfRule type="cellIs" dxfId="6021" priority="4226" operator="equal">
      <formula>"Tramitando"</formula>
    </cfRule>
    <cfRule type="cellIs" dxfId="6020" priority="4227" operator="equal">
      <formula>"Deferido"</formula>
    </cfRule>
    <cfRule type="cellIs" dxfId="6019" priority="4228" operator="equal">
      <formula>"Indeferido"</formula>
    </cfRule>
  </conditionalFormatting>
  <conditionalFormatting sqref="O699">
    <cfRule type="containsText" dxfId="6018" priority="4225" operator="containsText" text="Cancelado">
      <formula>NOT(ISERROR(SEARCH("Cancelado",O699)))</formula>
    </cfRule>
  </conditionalFormatting>
  <conditionalFormatting sqref="Q699">
    <cfRule type="cellIs" dxfId="6017" priority="4222" operator="equal">
      <formula>"Tramitando"</formula>
    </cfRule>
    <cfRule type="cellIs" dxfId="6016" priority="4223" operator="equal">
      <formula>"Deferido"</formula>
    </cfRule>
    <cfRule type="cellIs" dxfId="6015" priority="4224" operator="equal">
      <formula>"Indeferido"</formula>
    </cfRule>
  </conditionalFormatting>
  <conditionalFormatting sqref="Q699">
    <cfRule type="containsText" dxfId="6014" priority="4221" operator="containsText" text="Cancelado">
      <formula>NOT(ISERROR(SEARCH("Cancelado",Q699)))</formula>
    </cfRule>
  </conditionalFormatting>
  <conditionalFormatting sqref="S699">
    <cfRule type="cellIs" dxfId="6013" priority="4218" operator="equal">
      <formula>"Tramitando"</formula>
    </cfRule>
    <cfRule type="cellIs" dxfId="6012" priority="4219" operator="equal">
      <formula>"Deferido"</formula>
    </cfRule>
    <cfRule type="cellIs" dxfId="6011" priority="4220" operator="equal">
      <formula>"Indeferido"</formula>
    </cfRule>
  </conditionalFormatting>
  <conditionalFormatting sqref="S699">
    <cfRule type="containsText" dxfId="6010" priority="4217" operator="containsText" text="Cancelado">
      <formula>NOT(ISERROR(SEARCH("Cancelado",S699)))</formula>
    </cfRule>
  </conditionalFormatting>
  <conditionalFormatting sqref="J700">
    <cfRule type="cellIs" dxfId="6009" priority="4213" operator="equal">
      <formula>"Tramitando"</formula>
    </cfRule>
    <cfRule type="cellIs" dxfId="6008" priority="4214" operator="equal">
      <formula>"Deferido"</formula>
    </cfRule>
    <cfRule type="cellIs" dxfId="6007" priority="4215" operator="equal">
      <formula>"Indeferido"</formula>
    </cfRule>
  </conditionalFormatting>
  <conditionalFormatting sqref="J700">
    <cfRule type="containsText" dxfId="6006" priority="4212" operator="containsText" text="Cancelado">
      <formula>NOT(ISERROR(SEARCH("Cancelado",J700)))</formula>
    </cfRule>
  </conditionalFormatting>
  <conditionalFormatting sqref="M700">
    <cfRule type="cellIs" dxfId="6005" priority="4209" operator="equal">
      <formula>"Tramitando"</formula>
    </cfRule>
    <cfRule type="cellIs" dxfId="6004" priority="4210" operator="equal">
      <formula>"Deferido"</formula>
    </cfRule>
    <cfRule type="cellIs" dxfId="6003" priority="4211" operator="equal">
      <formula>"Indeferido"</formula>
    </cfRule>
  </conditionalFormatting>
  <conditionalFormatting sqref="M700">
    <cfRule type="containsText" dxfId="6002" priority="4208" operator="containsText" text="Cancelado">
      <formula>NOT(ISERROR(SEARCH("Cancelado",M700)))</formula>
    </cfRule>
  </conditionalFormatting>
  <conditionalFormatting sqref="O700">
    <cfRule type="cellIs" dxfId="6001" priority="4205" operator="equal">
      <formula>"Tramitando"</formula>
    </cfRule>
    <cfRule type="cellIs" dxfId="6000" priority="4206" operator="equal">
      <formula>"Deferido"</formula>
    </cfRule>
    <cfRule type="cellIs" dxfId="5999" priority="4207" operator="equal">
      <formula>"Indeferido"</formula>
    </cfRule>
  </conditionalFormatting>
  <conditionalFormatting sqref="O700">
    <cfRule type="containsText" dxfId="5998" priority="4204" operator="containsText" text="Cancelado">
      <formula>NOT(ISERROR(SEARCH("Cancelado",O700)))</formula>
    </cfRule>
  </conditionalFormatting>
  <conditionalFormatting sqref="Q700">
    <cfRule type="cellIs" dxfId="5997" priority="4201" operator="equal">
      <formula>"Tramitando"</formula>
    </cfRule>
    <cfRule type="cellIs" dxfId="5996" priority="4202" operator="equal">
      <formula>"Deferido"</formula>
    </cfRule>
    <cfRule type="cellIs" dxfId="5995" priority="4203" operator="equal">
      <formula>"Indeferido"</formula>
    </cfRule>
  </conditionalFormatting>
  <conditionalFormatting sqref="Q700">
    <cfRule type="containsText" dxfId="5994" priority="4200" operator="containsText" text="Cancelado">
      <formula>NOT(ISERROR(SEARCH("Cancelado",Q700)))</formula>
    </cfRule>
  </conditionalFormatting>
  <conditionalFormatting sqref="S700">
    <cfRule type="cellIs" dxfId="5993" priority="4197" operator="equal">
      <formula>"Tramitando"</formula>
    </cfRule>
    <cfRule type="cellIs" dxfId="5992" priority="4198" operator="equal">
      <formula>"Deferido"</formula>
    </cfRule>
    <cfRule type="cellIs" dxfId="5991" priority="4199" operator="equal">
      <formula>"Indeferido"</formula>
    </cfRule>
  </conditionalFormatting>
  <conditionalFormatting sqref="S700">
    <cfRule type="containsText" dxfId="5990" priority="4196" operator="containsText" text="Cancelado">
      <formula>NOT(ISERROR(SEARCH("Cancelado",S700)))</formula>
    </cfRule>
  </conditionalFormatting>
  <conditionalFormatting sqref="J701">
    <cfRule type="cellIs" dxfId="5989" priority="4192" operator="equal">
      <formula>"Tramitando"</formula>
    </cfRule>
    <cfRule type="cellIs" dxfId="5988" priority="4193" operator="equal">
      <formula>"Deferido"</formula>
    </cfRule>
    <cfRule type="cellIs" dxfId="5987" priority="4194" operator="equal">
      <formula>"Indeferido"</formula>
    </cfRule>
  </conditionalFormatting>
  <conditionalFormatting sqref="J701">
    <cfRule type="containsText" dxfId="5986" priority="4191" operator="containsText" text="Cancelado">
      <formula>NOT(ISERROR(SEARCH("Cancelado",J701)))</formula>
    </cfRule>
  </conditionalFormatting>
  <conditionalFormatting sqref="M701">
    <cfRule type="cellIs" dxfId="5985" priority="4188" operator="equal">
      <formula>"Tramitando"</formula>
    </cfRule>
    <cfRule type="cellIs" dxfId="5984" priority="4189" operator="equal">
      <formula>"Deferido"</formula>
    </cfRule>
    <cfRule type="cellIs" dxfId="5983" priority="4190" operator="equal">
      <formula>"Indeferido"</formula>
    </cfRule>
  </conditionalFormatting>
  <conditionalFormatting sqref="M701">
    <cfRule type="containsText" dxfId="5982" priority="4187" operator="containsText" text="Cancelado">
      <formula>NOT(ISERROR(SEARCH("Cancelado",M701)))</formula>
    </cfRule>
  </conditionalFormatting>
  <conditionalFormatting sqref="O701">
    <cfRule type="cellIs" dxfId="5981" priority="4184" operator="equal">
      <formula>"Tramitando"</formula>
    </cfRule>
    <cfRule type="cellIs" dxfId="5980" priority="4185" operator="equal">
      <formula>"Deferido"</formula>
    </cfRule>
    <cfRule type="cellIs" dxfId="5979" priority="4186" operator="equal">
      <formula>"Indeferido"</formula>
    </cfRule>
  </conditionalFormatting>
  <conditionalFormatting sqref="O701">
    <cfRule type="containsText" dxfId="5978" priority="4183" operator="containsText" text="Cancelado">
      <formula>NOT(ISERROR(SEARCH("Cancelado",O701)))</formula>
    </cfRule>
  </conditionalFormatting>
  <conditionalFormatting sqref="Q701">
    <cfRule type="cellIs" dxfId="5977" priority="4180" operator="equal">
      <formula>"Tramitando"</formula>
    </cfRule>
    <cfRule type="cellIs" dxfId="5976" priority="4181" operator="equal">
      <formula>"Deferido"</formula>
    </cfRule>
    <cfRule type="cellIs" dxfId="5975" priority="4182" operator="equal">
      <formula>"Indeferido"</formula>
    </cfRule>
  </conditionalFormatting>
  <conditionalFormatting sqref="Q701">
    <cfRule type="containsText" dxfId="5974" priority="4179" operator="containsText" text="Cancelado">
      <formula>NOT(ISERROR(SEARCH("Cancelado",Q701)))</formula>
    </cfRule>
  </conditionalFormatting>
  <conditionalFormatting sqref="S701">
    <cfRule type="cellIs" dxfId="5973" priority="4176" operator="equal">
      <formula>"Tramitando"</formula>
    </cfRule>
    <cfRule type="cellIs" dxfId="5972" priority="4177" operator="equal">
      <formula>"Deferido"</formula>
    </cfRule>
    <cfRule type="cellIs" dxfId="5971" priority="4178" operator="equal">
      <formula>"Indeferido"</formula>
    </cfRule>
  </conditionalFormatting>
  <conditionalFormatting sqref="S701">
    <cfRule type="containsText" dxfId="5970" priority="4175" operator="containsText" text="Cancelado">
      <formula>NOT(ISERROR(SEARCH("Cancelado",S701)))</formula>
    </cfRule>
  </conditionalFormatting>
  <conditionalFormatting sqref="J702">
    <cfRule type="cellIs" dxfId="5969" priority="4171" operator="equal">
      <formula>"Tramitando"</formula>
    </cfRule>
    <cfRule type="cellIs" dxfId="5968" priority="4172" operator="equal">
      <formula>"Deferido"</formula>
    </cfRule>
    <cfRule type="cellIs" dxfId="5967" priority="4173" operator="equal">
      <formula>"Indeferido"</formula>
    </cfRule>
  </conditionalFormatting>
  <conditionalFormatting sqref="J702">
    <cfRule type="containsText" dxfId="5966" priority="4170" operator="containsText" text="Cancelado">
      <formula>NOT(ISERROR(SEARCH("Cancelado",J702)))</formula>
    </cfRule>
  </conditionalFormatting>
  <conditionalFormatting sqref="M702">
    <cfRule type="cellIs" dxfId="5965" priority="4167" operator="equal">
      <formula>"Tramitando"</formula>
    </cfRule>
    <cfRule type="cellIs" dxfId="5964" priority="4168" operator="equal">
      <formula>"Deferido"</formula>
    </cfRule>
    <cfRule type="cellIs" dxfId="5963" priority="4169" operator="equal">
      <formula>"Indeferido"</formula>
    </cfRule>
  </conditionalFormatting>
  <conditionalFormatting sqref="M702">
    <cfRule type="containsText" dxfId="5962" priority="4166" operator="containsText" text="Cancelado">
      <formula>NOT(ISERROR(SEARCH("Cancelado",M702)))</formula>
    </cfRule>
  </conditionalFormatting>
  <conditionalFormatting sqref="O702">
    <cfRule type="cellIs" dxfId="5961" priority="4163" operator="equal">
      <formula>"Tramitando"</formula>
    </cfRule>
    <cfRule type="cellIs" dxfId="5960" priority="4164" operator="equal">
      <formula>"Deferido"</formula>
    </cfRule>
    <cfRule type="cellIs" dxfId="5959" priority="4165" operator="equal">
      <formula>"Indeferido"</formula>
    </cfRule>
  </conditionalFormatting>
  <conditionalFormatting sqref="O702">
    <cfRule type="containsText" dxfId="5958" priority="4162" operator="containsText" text="Cancelado">
      <formula>NOT(ISERROR(SEARCH("Cancelado",O702)))</formula>
    </cfRule>
  </conditionalFormatting>
  <conditionalFormatting sqref="Q702">
    <cfRule type="cellIs" dxfId="5957" priority="4159" operator="equal">
      <formula>"Tramitando"</formula>
    </cfRule>
    <cfRule type="cellIs" dxfId="5956" priority="4160" operator="equal">
      <formula>"Deferido"</formula>
    </cfRule>
    <cfRule type="cellIs" dxfId="5955" priority="4161" operator="equal">
      <formula>"Indeferido"</formula>
    </cfRule>
  </conditionalFormatting>
  <conditionalFormatting sqref="Q702">
    <cfRule type="containsText" dxfId="5954" priority="4158" operator="containsText" text="Cancelado">
      <formula>NOT(ISERROR(SEARCH("Cancelado",Q702)))</formula>
    </cfRule>
  </conditionalFormatting>
  <conditionalFormatting sqref="S702">
    <cfRule type="cellIs" dxfId="5953" priority="4155" operator="equal">
      <formula>"Tramitando"</formula>
    </cfRule>
    <cfRule type="cellIs" dxfId="5952" priority="4156" operator="equal">
      <formula>"Deferido"</formula>
    </cfRule>
    <cfRule type="cellIs" dxfId="5951" priority="4157" operator="equal">
      <formula>"Indeferido"</formula>
    </cfRule>
  </conditionalFormatting>
  <conditionalFormatting sqref="S702">
    <cfRule type="containsText" dxfId="5950" priority="4154" operator="containsText" text="Cancelado">
      <formula>NOT(ISERROR(SEARCH("Cancelado",S702)))</formula>
    </cfRule>
  </conditionalFormatting>
  <conditionalFormatting sqref="J703">
    <cfRule type="cellIs" dxfId="5949" priority="4150" operator="equal">
      <formula>"Tramitando"</formula>
    </cfRule>
    <cfRule type="cellIs" dxfId="5948" priority="4151" operator="equal">
      <formula>"Deferido"</formula>
    </cfRule>
    <cfRule type="cellIs" dxfId="5947" priority="4152" operator="equal">
      <formula>"Indeferido"</formula>
    </cfRule>
  </conditionalFormatting>
  <conditionalFormatting sqref="J703">
    <cfRule type="containsText" dxfId="5946" priority="4149" operator="containsText" text="Cancelado">
      <formula>NOT(ISERROR(SEARCH("Cancelado",J703)))</formula>
    </cfRule>
  </conditionalFormatting>
  <conditionalFormatting sqref="M703">
    <cfRule type="cellIs" dxfId="5945" priority="4146" operator="equal">
      <formula>"Tramitando"</formula>
    </cfRule>
    <cfRule type="cellIs" dxfId="5944" priority="4147" operator="equal">
      <formula>"Deferido"</formula>
    </cfRule>
    <cfRule type="cellIs" dxfId="5943" priority="4148" operator="equal">
      <formula>"Indeferido"</formula>
    </cfRule>
  </conditionalFormatting>
  <conditionalFormatting sqref="M703">
    <cfRule type="containsText" dxfId="5942" priority="4145" operator="containsText" text="Cancelado">
      <formula>NOT(ISERROR(SEARCH("Cancelado",M703)))</formula>
    </cfRule>
  </conditionalFormatting>
  <conditionalFormatting sqref="O703">
    <cfRule type="cellIs" dxfId="5941" priority="4142" operator="equal">
      <formula>"Tramitando"</formula>
    </cfRule>
    <cfRule type="cellIs" dxfId="5940" priority="4143" operator="equal">
      <formula>"Deferido"</formula>
    </cfRule>
    <cfRule type="cellIs" dxfId="5939" priority="4144" operator="equal">
      <formula>"Indeferido"</formula>
    </cfRule>
  </conditionalFormatting>
  <conditionalFormatting sqref="O703">
    <cfRule type="containsText" dxfId="5938" priority="4141" operator="containsText" text="Cancelado">
      <formula>NOT(ISERROR(SEARCH("Cancelado",O703)))</formula>
    </cfRule>
  </conditionalFormatting>
  <conditionalFormatting sqref="Q703">
    <cfRule type="cellIs" dxfId="5937" priority="4138" operator="equal">
      <formula>"Tramitando"</formula>
    </cfRule>
    <cfRule type="cellIs" dxfId="5936" priority="4139" operator="equal">
      <formula>"Deferido"</formula>
    </cfRule>
    <cfRule type="cellIs" dxfId="5935" priority="4140" operator="equal">
      <formula>"Indeferido"</formula>
    </cfRule>
  </conditionalFormatting>
  <conditionalFormatting sqref="Q703">
    <cfRule type="containsText" dxfId="5934" priority="4137" operator="containsText" text="Cancelado">
      <formula>NOT(ISERROR(SEARCH("Cancelado",Q703)))</formula>
    </cfRule>
  </conditionalFormatting>
  <conditionalFormatting sqref="S703">
    <cfRule type="cellIs" dxfId="5933" priority="4134" operator="equal">
      <formula>"Tramitando"</formula>
    </cfRule>
    <cfRule type="cellIs" dxfId="5932" priority="4135" operator="equal">
      <formula>"Deferido"</formula>
    </cfRule>
    <cfRule type="cellIs" dxfId="5931" priority="4136" operator="equal">
      <formula>"Indeferido"</formula>
    </cfRule>
  </conditionalFormatting>
  <conditionalFormatting sqref="S703">
    <cfRule type="containsText" dxfId="5930" priority="4133" operator="containsText" text="Cancelado">
      <formula>NOT(ISERROR(SEARCH("Cancelado",S703)))</formula>
    </cfRule>
  </conditionalFormatting>
  <conditionalFormatting sqref="J704">
    <cfRule type="cellIs" dxfId="5929" priority="4129" operator="equal">
      <formula>"Tramitando"</formula>
    </cfRule>
    <cfRule type="cellIs" dxfId="5928" priority="4130" operator="equal">
      <formula>"Deferido"</formula>
    </cfRule>
    <cfRule type="cellIs" dxfId="5927" priority="4131" operator="equal">
      <formula>"Indeferido"</formula>
    </cfRule>
  </conditionalFormatting>
  <conditionalFormatting sqref="J704">
    <cfRule type="containsText" dxfId="5926" priority="4128" operator="containsText" text="Cancelado">
      <formula>NOT(ISERROR(SEARCH("Cancelado",J704)))</formula>
    </cfRule>
  </conditionalFormatting>
  <conditionalFormatting sqref="M704">
    <cfRule type="cellIs" dxfId="5925" priority="4125" operator="equal">
      <formula>"Tramitando"</formula>
    </cfRule>
    <cfRule type="cellIs" dxfId="5924" priority="4126" operator="equal">
      <formula>"Deferido"</formula>
    </cfRule>
    <cfRule type="cellIs" dxfId="5923" priority="4127" operator="equal">
      <formula>"Indeferido"</formula>
    </cfRule>
  </conditionalFormatting>
  <conditionalFormatting sqref="M704">
    <cfRule type="containsText" dxfId="5922" priority="4124" operator="containsText" text="Cancelado">
      <formula>NOT(ISERROR(SEARCH("Cancelado",M704)))</formula>
    </cfRule>
  </conditionalFormatting>
  <conditionalFormatting sqref="O704">
    <cfRule type="cellIs" dxfId="5921" priority="4121" operator="equal">
      <formula>"Tramitando"</formula>
    </cfRule>
    <cfRule type="cellIs" dxfId="5920" priority="4122" operator="equal">
      <formula>"Deferido"</formula>
    </cfRule>
    <cfRule type="cellIs" dxfId="5919" priority="4123" operator="equal">
      <formula>"Indeferido"</formula>
    </cfRule>
  </conditionalFormatting>
  <conditionalFormatting sqref="O704">
    <cfRule type="containsText" dxfId="5918" priority="4120" operator="containsText" text="Cancelado">
      <formula>NOT(ISERROR(SEARCH("Cancelado",O704)))</formula>
    </cfRule>
  </conditionalFormatting>
  <conditionalFormatting sqref="Q704">
    <cfRule type="cellIs" dxfId="5917" priority="4117" operator="equal">
      <formula>"Tramitando"</formula>
    </cfRule>
    <cfRule type="cellIs" dxfId="5916" priority="4118" operator="equal">
      <formula>"Deferido"</formula>
    </cfRule>
    <cfRule type="cellIs" dxfId="5915" priority="4119" operator="equal">
      <formula>"Indeferido"</formula>
    </cfRule>
  </conditionalFormatting>
  <conditionalFormatting sqref="Q704">
    <cfRule type="containsText" dxfId="5914" priority="4116" operator="containsText" text="Cancelado">
      <formula>NOT(ISERROR(SEARCH("Cancelado",Q704)))</formula>
    </cfRule>
  </conditionalFormatting>
  <conditionalFormatting sqref="S704">
    <cfRule type="cellIs" dxfId="5913" priority="4113" operator="equal">
      <formula>"Tramitando"</formula>
    </cfRule>
    <cfRule type="cellIs" dxfId="5912" priority="4114" operator="equal">
      <formula>"Deferido"</formula>
    </cfRule>
    <cfRule type="cellIs" dxfId="5911" priority="4115" operator="equal">
      <formula>"Indeferido"</formula>
    </cfRule>
  </conditionalFormatting>
  <conditionalFormatting sqref="S704">
    <cfRule type="containsText" dxfId="5910" priority="4112" operator="containsText" text="Cancelado">
      <formula>NOT(ISERROR(SEARCH("Cancelado",S704)))</formula>
    </cfRule>
  </conditionalFormatting>
  <conditionalFormatting sqref="J705">
    <cfRule type="cellIs" dxfId="5909" priority="4108" operator="equal">
      <formula>"Tramitando"</formula>
    </cfRule>
    <cfRule type="cellIs" dxfId="5908" priority="4109" operator="equal">
      <formula>"Deferido"</formula>
    </cfRule>
    <cfRule type="cellIs" dxfId="5907" priority="4110" operator="equal">
      <formula>"Indeferido"</formula>
    </cfRule>
  </conditionalFormatting>
  <conditionalFormatting sqref="J705">
    <cfRule type="containsText" dxfId="5906" priority="4107" operator="containsText" text="Cancelado">
      <formula>NOT(ISERROR(SEARCH("Cancelado",J705)))</formula>
    </cfRule>
  </conditionalFormatting>
  <conditionalFormatting sqref="M705">
    <cfRule type="cellIs" dxfId="5905" priority="4104" operator="equal">
      <formula>"Tramitando"</formula>
    </cfRule>
    <cfRule type="cellIs" dxfId="5904" priority="4105" operator="equal">
      <formula>"Deferido"</formula>
    </cfRule>
    <cfRule type="cellIs" dxfId="5903" priority="4106" operator="equal">
      <formula>"Indeferido"</formula>
    </cfRule>
  </conditionalFormatting>
  <conditionalFormatting sqref="M705">
    <cfRule type="containsText" dxfId="5902" priority="4103" operator="containsText" text="Cancelado">
      <formula>NOT(ISERROR(SEARCH("Cancelado",M705)))</formula>
    </cfRule>
  </conditionalFormatting>
  <conditionalFormatting sqref="O705">
    <cfRule type="cellIs" dxfId="5901" priority="4100" operator="equal">
      <formula>"Tramitando"</formula>
    </cfRule>
    <cfRule type="cellIs" dxfId="5900" priority="4101" operator="equal">
      <formula>"Deferido"</formula>
    </cfRule>
    <cfRule type="cellIs" dxfId="5899" priority="4102" operator="equal">
      <formula>"Indeferido"</formula>
    </cfRule>
  </conditionalFormatting>
  <conditionalFormatting sqref="O705">
    <cfRule type="containsText" dxfId="5898" priority="4099" operator="containsText" text="Cancelado">
      <formula>NOT(ISERROR(SEARCH("Cancelado",O705)))</formula>
    </cfRule>
  </conditionalFormatting>
  <conditionalFormatting sqref="Q705">
    <cfRule type="cellIs" dxfId="5897" priority="4096" operator="equal">
      <formula>"Tramitando"</formula>
    </cfRule>
    <cfRule type="cellIs" dxfId="5896" priority="4097" operator="equal">
      <formula>"Deferido"</formula>
    </cfRule>
    <cfRule type="cellIs" dxfId="5895" priority="4098" operator="equal">
      <formula>"Indeferido"</formula>
    </cfRule>
  </conditionalFormatting>
  <conditionalFormatting sqref="Q705">
    <cfRule type="containsText" dxfId="5894" priority="4095" operator="containsText" text="Cancelado">
      <formula>NOT(ISERROR(SEARCH("Cancelado",Q705)))</formula>
    </cfRule>
  </conditionalFormatting>
  <conditionalFormatting sqref="S705">
    <cfRule type="cellIs" dxfId="5893" priority="4092" operator="equal">
      <formula>"Tramitando"</formula>
    </cfRule>
    <cfRule type="cellIs" dxfId="5892" priority="4093" operator="equal">
      <formula>"Deferido"</formula>
    </cfRule>
    <cfRule type="cellIs" dxfId="5891" priority="4094" operator="equal">
      <formula>"Indeferido"</formula>
    </cfRule>
  </conditionalFormatting>
  <conditionalFormatting sqref="S705">
    <cfRule type="containsText" dxfId="5890" priority="4091" operator="containsText" text="Cancelado">
      <formula>NOT(ISERROR(SEARCH("Cancelado",S705)))</formula>
    </cfRule>
  </conditionalFormatting>
  <conditionalFormatting sqref="J706">
    <cfRule type="cellIs" dxfId="5889" priority="4087" operator="equal">
      <formula>"Tramitando"</formula>
    </cfRule>
    <cfRule type="cellIs" dxfId="5888" priority="4088" operator="equal">
      <formula>"Deferido"</formula>
    </cfRule>
    <cfRule type="cellIs" dxfId="5887" priority="4089" operator="equal">
      <formula>"Indeferido"</formula>
    </cfRule>
  </conditionalFormatting>
  <conditionalFormatting sqref="J706">
    <cfRule type="containsText" dxfId="5886" priority="4086" operator="containsText" text="Cancelado">
      <formula>NOT(ISERROR(SEARCH("Cancelado",J706)))</formula>
    </cfRule>
  </conditionalFormatting>
  <conditionalFormatting sqref="M706">
    <cfRule type="cellIs" dxfId="5885" priority="4083" operator="equal">
      <formula>"Tramitando"</formula>
    </cfRule>
    <cfRule type="cellIs" dxfId="5884" priority="4084" operator="equal">
      <formula>"Deferido"</formula>
    </cfRule>
    <cfRule type="cellIs" dxfId="5883" priority="4085" operator="equal">
      <formula>"Indeferido"</formula>
    </cfRule>
  </conditionalFormatting>
  <conditionalFormatting sqref="M706">
    <cfRule type="containsText" dxfId="5882" priority="4082" operator="containsText" text="Cancelado">
      <formula>NOT(ISERROR(SEARCH("Cancelado",M706)))</formula>
    </cfRule>
  </conditionalFormatting>
  <conditionalFormatting sqref="O706">
    <cfRule type="cellIs" dxfId="5881" priority="4079" operator="equal">
      <formula>"Tramitando"</formula>
    </cfRule>
    <cfRule type="cellIs" dxfId="5880" priority="4080" operator="equal">
      <formula>"Deferido"</formula>
    </cfRule>
    <cfRule type="cellIs" dxfId="5879" priority="4081" operator="equal">
      <formula>"Indeferido"</formula>
    </cfRule>
  </conditionalFormatting>
  <conditionalFormatting sqref="O706">
    <cfRule type="containsText" dxfId="5878" priority="4078" operator="containsText" text="Cancelado">
      <formula>NOT(ISERROR(SEARCH("Cancelado",O706)))</formula>
    </cfRule>
  </conditionalFormatting>
  <conditionalFormatting sqref="Q706">
    <cfRule type="cellIs" dxfId="5877" priority="4075" operator="equal">
      <formula>"Tramitando"</formula>
    </cfRule>
    <cfRule type="cellIs" dxfId="5876" priority="4076" operator="equal">
      <formula>"Deferido"</formula>
    </cfRule>
    <cfRule type="cellIs" dxfId="5875" priority="4077" operator="equal">
      <formula>"Indeferido"</formula>
    </cfRule>
  </conditionalFormatting>
  <conditionalFormatting sqref="Q706">
    <cfRule type="containsText" dxfId="5874" priority="4074" operator="containsText" text="Cancelado">
      <formula>NOT(ISERROR(SEARCH("Cancelado",Q706)))</formula>
    </cfRule>
  </conditionalFormatting>
  <conditionalFormatting sqref="S706">
    <cfRule type="cellIs" dxfId="5873" priority="4071" operator="equal">
      <formula>"Tramitando"</formula>
    </cfRule>
    <cfRule type="cellIs" dxfId="5872" priority="4072" operator="equal">
      <formula>"Deferido"</formula>
    </cfRule>
    <cfRule type="cellIs" dxfId="5871" priority="4073" operator="equal">
      <formula>"Indeferido"</formula>
    </cfRule>
  </conditionalFormatting>
  <conditionalFormatting sqref="S706">
    <cfRule type="containsText" dxfId="5870" priority="4070" operator="containsText" text="Cancelado">
      <formula>NOT(ISERROR(SEARCH("Cancelado",S706)))</formula>
    </cfRule>
  </conditionalFormatting>
  <conditionalFormatting sqref="J707:J708">
    <cfRule type="cellIs" dxfId="5869" priority="4066" operator="equal">
      <formula>"Tramitando"</formula>
    </cfRule>
    <cfRule type="cellIs" dxfId="5868" priority="4067" operator="equal">
      <formula>"Deferido"</formula>
    </cfRule>
    <cfRule type="cellIs" dxfId="5867" priority="4068" operator="equal">
      <formula>"Indeferido"</formula>
    </cfRule>
  </conditionalFormatting>
  <conditionalFormatting sqref="J707:J708">
    <cfRule type="containsText" dxfId="5866" priority="4065" operator="containsText" text="Cancelado">
      <formula>NOT(ISERROR(SEARCH("Cancelado",J707)))</formula>
    </cfRule>
  </conditionalFormatting>
  <conditionalFormatting sqref="M707:M708">
    <cfRule type="cellIs" dxfId="5865" priority="4062" operator="equal">
      <formula>"Tramitando"</formula>
    </cfRule>
    <cfRule type="cellIs" dxfId="5864" priority="4063" operator="equal">
      <formula>"Deferido"</formula>
    </cfRule>
    <cfRule type="cellIs" dxfId="5863" priority="4064" operator="equal">
      <formula>"Indeferido"</formula>
    </cfRule>
  </conditionalFormatting>
  <conditionalFormatting sqref="M707:M708">
    <cfRule type="containsText" dxfId="5862" priority="4061" operator="containsText" text="Cancelado">
      <formula>NOT(ISERROR(SEARCH("Cancelado",M707)))</formula>
    </cfRule>
  </conditionalFormatting>
  <conditionalFormatting sqref="O707:O708">
    <cfRule type="cellIs" dxfId="5861" priority="4058" operator="equal">
      <formula>"Tramitando"</formula>
    </cfRule>
    <cfRule type="cellIs" dxfId="5860" priority="4059" operator="equal">
      <formula>"Deferido"</formula>
    </cfRule>
    <cfRule type="cellIs" dxfId="5859" priority="4060" operator="equal">
      <formula>"Indeferido"</formula>
    </cfRule>
  </conditionalFormatting>
  <conditionalFormatting sqref="O707:O708">
    <cfRule type="containsText" dxfId="5858" priority="4057" operator="containsText" text="Cancelado">
      <formula>NOT(ISERROR(SEARCH("Cancelado",O707)))</formula>
    </cfRule>
  </conditionalFormatting>
  <conditionalFormatting sqref="Q707:Q708">
    <cfRule type="cellIs" dxfId="5857" priority="4054" operator="equal">
      <formula>"Tramitando"</formula>
    </cfRule>
    <cfRule type="cellIs" dxfId="5856" priority="4055" operator="equal">
      <formula>"Deferido"</formula>
    </cfRule>
    <cfRule type="cellIs" dxfId="5855" priority="4056" operator="equal">
      <formula>"Indeferido"</formula>
    </cfRule>
  </conditionalFormatting>
  <conditionalFormatting sqref="Q707:Q708">
    <cfRule type="containsText" dxfId="5854" priority="4053" operator="containsText" text="Cancelado">
      <formula>NOT(ISERROR(SEARCH("Cancelado",Q707)))</formula>
    </cfRule>
  </conditionalFormatting>
  <conditionalFormatting sqref="S707:S708">
    <cfRule type="cellIs" dxfId="5853" priority="4050" operator="equal">
      <formula>"Tramitando"</formula>
    </cfRule>
    <cfRule type="cellIs" dxfId="5852" priority="4051" operator="equal">
      <formula>"Deferido"</formula>
    </cfRule>
    <cfRule type="cellIs" dxfId="5851" priority="4052" operator="equal">
      <formula>"Indeferido"</formula>
    </cfRule>
  </conditionalFormatting>
  <conditionalFormatting sqref="S707:S708">
    <cfRule type="containsText" dxfId="5850" priority="4049" operator="containsText" text="Cancelado">
      <formula>NOT(ISERROR(SEARCH("Cancelado",S707)))</formula>
    </cfRule>
  </conditionalFormatting>
  <conditionalFormatting sqref="J709">
    <cfRule type="cellIs" dxfId="5849" priority="4045" operator="equal">
      <formula>"Tramitando"</formula>
    </cfRule>
    <cfRule type="cellIs" dxfId="5848" priority="4046" operator="equal">
      <formula>"Deferido"</formula>
    </cfRule>
    <cfRule type="cellIs" dxfId="5847" priority="4047" operator="equal">
      <formula>"Indeferido"</formula>
    </cfRule>
  </conditionalFormatting>
  <conditionalFormatting sqref="J709">
    <cfRule type="containsText" dxfId="5846" priority="4044" operator="containsText" text="Cancelado">
      <formula>NOT(ISERROR(SEARCH("Cancelado",J709)))</formula>
    </cfRule>
  </conditionalFormatting>
  <conditionalFormatting sqref="M709">
    <cfRule type="cellIs" dxfId="5845" priority="4041" operator="equal">
      <formula>"Tramitando"</formula>
    </cfRule>
    <cfRule type="cellIs" dxfId="5844" priority="4042" operator="equal">
      <formula>"Deferido"</formula>
    </cfRule>
    <cfRule type="cellIs" dxfId="5843" priority="4043" operator="equal">
      <formula>"Indeferido"</formula>
    </cfRule>
  </conditionalFormatting>
  <conditionalFormatting sqref="M709">
    <cfRule type="containsText" dxfId="5842" priority="4040" operator="containsText" text="Cancelado">
      <formula>NOT(ISERROR(SEARCH("Cancelado",M709)))</formula>
    </cfRule>
  </conditionalFormatting>
  <conditionalFormatting sqref="O709">
    <cfRule type="cellIs" dxfId="5841" priority="4037" operator="equal">
      <formula>"Tramitando"</formula>
    </cfRule>
    <cfRule type="cellIs" dxfId="5840" priority="4038" operator="equal">
      <formula>"Deferido"</formula>
    </cfRule>
    <cfRule type="cellIs" dxfId="5839" priority="4039" operator="equal">
      <formula>"Indeferido"</formula>
    </cfRule>
  </conditionalFormatting>
  <conditionalFormatting sqref="O709">
    <cfRule type="containsText" dxfId="5838" priority="4036" operator="containsText" text="Cancelado">
      <formula>NOT(ISERROR(SEARCH("Cancelado",O709)))</formula>
    </cfRule>
  </conditionalFormatting>
  <conditionalFormatting sqref="Q709">
    <cfRule type="cellIs" dxfId="5837" priority="4033" operator="equal">
      <formula>"Tramitando"</formula>
    </cfRule>
    <cfRule type="cellIs" dxfId="5836" priority="4034" operator="equal">
      <formula>"Deferido"</formula>
    </cfRule>
    <cfRule type="cellIs" dxfId="5835" priority="4035" operator="equal">
      <formula>"Indeferido"</formula>
    </cfRule>
  </conditionalFormatting>
  <conditionalFormatting sqref="Q709">
    <cfRule type="containsText" dxfId="5834" priority="4032" operator="containsText" text="Cancelado">
      <formula>NOT(ISERROR(SEARCH("Cancelado",Q709)))</formula>
    </cfRule>
  </conditionalFormatting>
  <conditionalFormatting sqref="S709">
    <cfRule type="cellIs" dxfId="5833" priority="4029" operator="equal">
      <formula>"Tramitando"</formula>
    </cfRule>
    <cfRule type="cellIs" dxfId="5832" priority="4030" operator="equal">
      <formula>"Deferido"</formula>
    </cfRule>
    <cfRule type="cellIs" dxfId="5831" priority="4031" operator="equal">
      <formula>"Indeferido"</formula>
    </cfRule>
  </conditionalFormatting>
  <conditionalFormatting sqref="S709">
    <cfRule type="containsText" dxfId="5830" priority="4028" operator="containsText" text="Cancelado">
      <formula>NOT(ISERROR(SEARCH("Cancelado",S709)))</formula>
    </cfRule>
  </conditionalFormatting>
  <conditionalFormatting sqref="J710">
    <cfRule type="cellIs" dxfId="5829" priority="4024" operator="equal">
      <formula>"Tramitando"</formula>
    </cfRule>
    <cfRule type="cellIs" dxfId="5828" priority="4025" operator="equal">
      <formula>"Deferido"</formula>
    </cfRule>
    <cfRule type="cellIs" dxfId="5827" priority="4026" operator="equal">
      <formula>"Indeferido"</formula>
    </cfRule>
  </conditionalFormatting>
  <conditionalFormatting sqref="J710">
    <cfRule type="containsText" dxfId="5826" priority="4023" operator="containsText" text="Cancelado">
      <formula>NOT(ISERROR(SEARCH("Cancelado",J710)))</formula>
    </cfRule>
  </conditionalFormatting>
  <conditionalFormatting sqref="M710">
    <cfRule type="cellIs" dxfId="5825" priority="4020" operator="equal">
      <formula>"Tramitando"</formula>
    </cfRule>
    <cfRule type="cellIs" dxfId="5824" priority="4021" operator="equal">
      <formula>"Deferido"</formula>
    </cfRule>
    <cfRule type="cellIs" dxfId="5823" priority="4022" operator="equal">
      <formula>"Indeferido"</formula>
    </cfRule>
  </conditionalFormatting>
  <conditionalFormatting sqref="M710">
    <cfRule type="containsText" dxfId="5822" priority="4019" operator="containsText" text="Cancelado">
      <formula>NOT(ISERROR(SEARCH("Cancelado",M710)))</formula>
    </cfRule>
  </conditionalFormatting>
  <conditionalFormatting sqref="O710">
    <cfRule type="cellIs" dxfId="5821" priority="4016" operator="equal">
      <formula>"Tramitando"</formula>
    </cfRule>
    <cfRule type="cellIs" dxfId="5820" priority="4017" operator="equal">
      <formula>"Deferido"</formula>
    </cfRule>
    <cfRule type="cellIs" dxfId="5819" priority="4018" operator="equal">
      <formula>"Indeferido"</formula>
    </cfRule>
  </conditionalFormatting>
  <conditionalFormatting sqref="O710">
    <cfRule type="containsText" dxfId="5818" priority="4015" operator="containsText" text="Cancelado">
      <formula>NOT(ISERROR(SEARCH("Cancelado",O710)))</formula>
    </cfRule>
  </conditionalFormatting>
  <conditionalFormatting sqref="Q710">
    <cfRule type="cellIs" dxfId="5817" priority="4012" operator="equal">
      <formula>"Tramitando"</formula>
    </cfRule>
    <cfRule type="cellIs" dxfId="5816" priority="4013" operator="equal">
      <formula>"Deferido"</formula>
    </cfRule>
    <cfRule type="cellIs" dxfId="5815" priority="4014" operator="equal">
      <formula>"Indeferido"</formula>
    </cfRule>
  </conditionalFormatting>
  <conditionalFormatting sqref="Q710">
    <cfRule type="containsText" dxfId="5814" priority="4011" operator="containsText" text="Cancelado">
      <formula>NOT(ISERROR(SEARCH("Cancelado",Q710)))</formula>
    </cfRule>
  </conditionalFormatting>
  <conditionalFormatting sqref="S710">
    <cfRule type="cellIs" dxfId="5813" priority="4008" operator="equal">
      <formula>"Tramitando"</formula>
    </cfRule>
    <cfRule type="cellIs" dxfId="5812" priority="4009" operator="equal">
      <formula>"Deferido"</formula>
    </cfRule>
    <cfRule type="cellIs" dxfId="5811" priority="4010" operator="equal">
      <formula>"Indeferido"</formula>
    </cfRule>
  </conditionalFormatting>
  <conditionalFormatting sqref="S710">
    <cfRule type="containsText" dxfId="5810" priority="4007" operator="containsText" text="Cancelado">
      <formula>NOT(ISERROR(SEARCH("Cancelado",S710)))</formula>
    </cfRule>
  </conditionalFormatting>
  <conditionalFormatting sqref="J711">
    <cfRule type="cellIs" dxfId="5809" priority="4003" operator="equal">
      <formula>"Tramitando"</formula>
    </cfRule>
    <cfRule type="cellIs" dxfId="5808" priority="4004" operator="equal">
      <formula>"Deferido"</formula>
    </cfRule>
    <cfRule type="cellIs" dxfId="5807" priority="4005" operator="equal">
      <formula>"Indeferido"</formula>
    </cfRule>
  </conditionalFormatting>
  <conditionalFormatting sqref="J711">
    <cfRule type="containsText" dxfId="5806" priority="4002" operator="containsText" text="Cancelado">
      <formula>NOT(ISERROR(SEARCH("Cancelado",J711)))</formula>
    </cfRule>
  </conditionalFormatting>
  <conditionalFormatting sqref="M711">
    <cfRule type="cellIs" dxfId="5805" priority="3999" operator="equal">
      <formula>"Tramitando"</formula>
    </cfRule>
    <cfRule type="cellIs" dxfId="5804" priority="4000" operator="equal">
      <formula>"Deferido"</formula>
    </cfRule>
    <cfRule type="cellIs" dxfId="5803" priority="4001" operator="equal">
      <formula>"Indeferido"</formula>
    </cfRule>
  </conditionalFormatting>
  <conditionalFormatting sqref="M711">
    <cfRule type="containsText" dxfId="5802" priority="3998" operator="containsText" text="Cancelado">
      <formula>NOT(ISERROR(SEARCH("Cancelado",M711)))</formula>
    </cfRule>
  </conditionalFormatting>
  <conditionalFormatting sqref="O711">
    <cfRule type="cellIs" dxfId="5801" priority="3995" operator="equal">
      <formula>"Tramitando"</formula>
    </cfRule>
    <cfRule type="cellIs" dxfId="5800" priority="3996" operator="equal">
      <formula>"Deferido"</formula>
    </cfRule>
    <cfRule type="cellIs" dxfId="5799" priority="3997" operator="equal">
      <formula>"Indeferido"</formula>
    </cfRule>
  </conditionalFormatting>
  <conditionalFormatting sqref="O711">
    <cfRule type="containsText" dxfId="5798" priority="3994" operator="containsText" text="Cancelado">
      <formula>NOT(ISERROR(SEARCH("Cancelado",O711)))</formula>
    </cfRule>
  </conditionalFormatting>
  <conditionalFormatting sqref="Q711">
    <cfRule type="cellIs" dxfId="5797" priority="3991" operator="equal">
      <formula>"Tramitando"</formula>
    </cfRule>
    <cfRule type="cellIs" dxfId="5796" priority="3992" operator="equal">
      <formula>"Deferido"</formula>
    </cfRule>
    <cfRule type="cellIs" dxfId="5795" priority="3993" operator="equal">
      <formula>"Indeferido"</formula>
    </cfRule>
  </conditionalFormatting>
  <conditionalFormatting sqref="Q711">
    <cfRule type="containsText" dxfId="5794" priority="3990" operator="containsText" text="Cancelado">
      <formula>NOT(ISERROR(SEARCH("Cancelado",Q711)))</formula>
    </cfRule>
  </conditionalFormatting>
  <conditionalFormatting sqref="S711">
    <cfRule type="cellIs" dxfId="5793" priority="3987" operator="equal">
      <formula>"Tramitando"</formula>
    </cfRule>
    <cfRule type="cellIs" dxfId="5792" priority="3988" operator="equal">
      <formula>"Deferido"</formula>
    </cfRule>
    <cfRule type="cellIs" dxfId="5791" priority="3989" operator="equal">
      <formula>"Indeferido"</formula>
    </cfRule>
  </conditionalFormatting>
  <conditionalFormatting sqref="S711">
    <cfRule type="containsText" dxfId="5790" priority="3986" operator="containsText" text="Cancelado">
      <formula>NOT(ISERROR(SEARCH("Cancelado",S711)))</formula>
    </cfRule>
  </conditionalFormatting>
  <conditionalFormatting sqref="J712">
    <cfRule type="cellIs" dxfId="5789" priority="3982" operator="equal">
      <formula>"Tramitando"</formula>
    </cfRule>
    <cfRule type="cellIs" dxfId="5788" priority="3983" operator="equal">
      <formula>"Deferido"</formula>
    </cfRule>
    <cfRule type="cellIs" dxfId="5787" priority="3984" operator="equal">
      <formula>"Indeferido"</formula>
    </cfRule>
  </conditionalFormatting>
  <conditionalFormatting sqref="J712">
    <cfRule type="containsText" dxfId="5786" priority="3981" operator="containsText" text="Cancelado">
      <formula>NOT(ISERROR(SEARCH("Cancelado",J712)))</formula>
    </cfRule>
  </conditionalFormatting>
  <conditionalFormatting sqref="M712">
    <cfRule type="cellIs" dxfId="5785" priority="3978" operator="equal">
      <formula>"Tramitando"</formula>
    </cfRule>
    <cfRule type="cellIs" dxfId="5784" priority="3979" operator="equal">
      <formula>"Deferido"</formula>
    </cfRule>
    <cfRule type="cellIs" dxfId="5783" priority="3980" operator="equal">
      <formula>"Indeferido"</formula>
    </cfRule>
  </conditionalFormatting>
  <conditionalFormatting sqref="M712">
    <cfRule type="containsText" dxfId="5782" priority="3977" operator="containsText" text="Cancelado">
      <formula>NOT(ISERROR(SEARCH("Cancelado",M712)))</formula>
    </cfRule>
  </conditionalFormatting>
  <conditionalFormatting sqref="O712">
    <cfRule type="cellIs" dxfId="5781" priority="3974" operator="equal">
      <formula>"Tramitando"</formula>
    </cfRule>
    <cfRule type="cellIs" dxfId="5780" priority="3975" operator="equal">
      <formula>"Deferido"</formula>
    </cfRule>
    <cfRule type="cellIs" dxfId="5779" priority="3976" operator="equal">
      <formula>"Indeferido"</formula>
    </cfRule>
  </conditionalFormatting>
  <conditionalFormatting sqref="O712">
    <cfRule type="containsText" dxfId="5778" priority="3973" operator="containsText" text="Cancelado">
      <formula>NOT(ISERROR(SEARCH("Cancelado",O712)))</formula>
    </cfRule>
  </conditionalFormatting>
  <conditionalFormatting sqref="Q712">
    <cfRule type="cellIs" dxfId="5777" priority="3970" operator="equal">
      <formula>"Tramitando"</formula>
    </cfRule>
    <cfRule type="cellIs" dxfId="5776" priority="3971" operator="equal">
      <formula>"Deferido"</formula>
    </cfRule>
    <cfRule type="cellIs" dxfId="5775" priority="3972" operator="equal">
      <formula>"Indeferido"</formula>
    </cfRule>
  </conditionalFormatting>
  <conditionalFormatting sqref="Q712">
    <cfRule type="containsText" dxfId="5774" priority="3969" operator="containsText" text="Cancelado">
      <formula>NOT(ISERROR(SEARCH("Cancelado",Q712)))</formula>
    </cfRule>
  </conditionalFormatting>
  <conditionalFormatting sqref="S712">
    <cfRule type="cellIs" dxfId="5773" priority="3966" operator="equal">
      <formula>"Tramitando"</formula>
    </cfRule>
    <cfRule type="cellIs" dxfId="5772" priority="3967" operator="equal">
      <formula>"Deferido"</formula>
    </cfRule>
    <cfRule type="cellIs" dxfId="5771" priority="3968" operator="equal">
      <formula>"Indeferido"</formula>
    </cfRule>
  </conditionalFormatting>
  <conditionalFormatting sqref="S712">
    <cfRule type="containsText" dxfId="5770" priority="3965" operator="containsText" text="Cancelado">
      <formula>NOT(ISERROR(SEARCH("Cancelado",S712)))</formula>
    </cfRule>
  </conditionalFormatting>
  <conditionalFormatting sqref="J713">
    <cfRule type="cellIs" dxfId="5769" priority="3961" operator="equal">
      <formula>"Tramitando"</formula>
    </cfRule>
    <cfRule type="cellIs" dxfId="5768" priority="3962" operator="equal">
      <formula>"Deferido"</formula>
    </cfRule>
    <cfRule type="cellIs" dxfId="5767" priority="3963" operator="equal">
      <formula>"Indeferido"</formula>
    </cfRule>
  </conditionalFormatting>
  <conditionalFormatting sqref="J713">
    <cfRule type="containsText" dxfId="5766" priority="3960" operator="containsText" text="Cancelado">
      <formula>NOT(ISERROR(SEARCH("Cancelado",J713)))</formula>
    </cfRule>
  </conditionalFormatting>
  <conditionalFormatting sqref="M713">
    <cfRule type="cellIs" dxfId="5765" priority="3957" operator="equal">
      <formula>"Tramitando"</formula>
    </cfRule>
    <cfRule type="cellIs" dxfId="5764" priority="3958" operator="equal">
      <formula>"Deferido"</formula>
    </cfRule>
    <cfRule type="cellIs" dxfId="5763" priority="3959" operator="equal">
      <formula>"Indeferido"</formula>
    </cfRule>
  </conditionalFormatting>
  <conditionalFormatting sqref="M713">
    <cfRule type="containsText" dxfId="5762" priority="3956" operator="containsText" text="Cancelado">
      <formula>NOT(ISERROR(SEARCH("Cancelado",M713)))</formula>
    </cfRule>
  </conditionalFormatting>
  <conditionalFormatting sqref="O713">
    <cfRule type="cellIs" dxfId="5761" priority="3953" operator="equal">
      <formula>"Tramitando"</formula>
    </cfRule>
    <cfRule type="cellIs" dxfId="5760" priority="3954" operator="equal">
      <formula>"Deferido"</formula>
    </cfRule>
    <cfRule type="cellIs" dxfId="5759" priority="3955" operator="equal">
      <formula>"Indeferido"</formula>
    </cfRule>
  </conditionalFormatting>
  <conditionalFormatting sqref="O713">
    <cfRule type="containsText" dxfId="5758" priority="3952" operator="containsText" text="Cancelado">
      <formula>NOT(ISERROR(SEARCH("Cancelado",O713)))</formula>
    </cfRule>
  </conditionalFormatting>
  <conditionalFormatting sqref="Q713">
    <cfRule type="cellIs" dxfId="5757" priority="3949" operator="equal">
      <formula>"Tramitando"</formula>
    </cfRule>
    <cfRule type="cellIs" dxfId="5756" priority="3950" operator="equal">
      <formula>"Deferido"</formula>
    </cfRule>
    <cfRule type="cellIs" dxfId="5755" priority="3951" operator="equal">
      <formula>"Indeferido"</formula>
    </cfRule>
  </conditionalFormatting>
  <conditionalFormatting sqref="Q713">
    <cfRule type="containsText" dxfId="5754" priority="3948" operator="containsText" text="Cancelado">
      <formula>NOT(ISERROR(SEARCH("Cancelado",Q713)))</formula>
    </cfRule>
  </conditionalFormatting>
  <conditionalFormatting sqref="S713">
    <cfRule type="cellIs" dxfId="5753" priority="3945" operator="equal">
      <formula>"Tramitando"</formula>
    </cfRule>
    <cfRule type="cellIs" dxfId="5752" priority="3946" operator="equal">
      <formula>"Deferido"</formula>
    </cfRule>
    <cfRule type="cellIs" dxfId="5751" priority="3947" operator="equal">
      <formula>"Indeferido"</formula>
    </cfRule>
  </conditionalFormatting>
  <conditionalFormatting sqref="S713">
    <cfRule type="containsText" dxfId="5750" priority="3944" operator="containsText" text="Cancelado">
      <formula>NOT(ISERROR(SEARCH("Cancelado",S713)))</formula>
    </cfRule>
  </conditionalFormatting>
  <conditionalFormatting sqref="J714">
    <cfRule type="cellIs" dxfId="5749" priority="3940" operator="equal">
      <formula>"Tramitando"</formula>
    </cfRule>
    <cfRule type="cellIs" dxfId="5748" priority="3941" operator="equal">
      <formula>"Deferido"</formula>
    </cfRule>
    <cfRule type="cellIs" dxfId="5747" priority="3942" operator="equal">
      <formula>"Indeferido"</formula>
    </cfRule>
  </conditionalFormatting>
  <conditionalFormatting sqref="J714">
    <cfRule type="containsText" dxfId="5746" priority="3939" operator="containsText" text="Cancelado">
      <formula>NOT(ISERROR(SEARCH("Cancelado",J714)))</formula>
    </cfRule>
  </conditionalFormatting>
  <conditionalFormatting sqref="M714">
    <cfRule type="cellIs" dxfId="5745" priority="3936" operator="equal">
      <formula>"Tramitando"</formula>
    </cfRule>
    <cfRule type="cellIs" dxfId="5744" priority="3937" operator="equal">
      <formula>"Deferido"</formula>
    </cfRule>
    <cfRule type="cellIs" dxfId="5743" priority="3938" operator="equal">
      <formula>"Indeferido"</formula>
    </cfRule>
  </conditionalFormatting>
  <conditionalFormatting sqref="M714">
    <cfRule type="containsText" dxfId="5742" priority="3935" operator="containsText" text="Cancelado">
      <formula>NOT(ISERROR(SEARCH("Cancelado",M714)))</formula>
    </cfRule>
  </conditionalFormatting>
  <conditionalFormatting sqref="O714">
    <cfRule type="cellIs" dxfId="5741" priority="3932" operator="equal">
      <formula>"Tramitando"</formula>
    </cfRule>
    <cfRule type="cellIs" dxfId="5740" priority="3933" operator="equal">
      <formula>"Deferido"</formula>
    </cfRule>
    <cfRule type="cellIs" dxfId="5739" priority="3934" operator="equal">
      <formula>"Indeferido"</formula>
    </cfRule>
  </conditionalFormatting>
  <conditionalFormatting sqref="O714">
    <cfRule type="containsText" dxfId="5738" priority="3931" operator="containsText" text="Cancelado">
      <formula>NOT(ISERROR(SEARCH("Cancelado",O714)))</formula>
    </cfRule>
  </conditionalFormatting>
  <conditionalFormatting sqref="Q714">
    <cfRule type="cellIs" dxfId="5737" priority="3928" operator="equal">
      <formula>"Tramitando"</formula>
    </cfRule>
    <cfRule type="cellIs" dxfId="5736" priority="3929" operator="equal">
      <formula>"Deferido"</formula>
    </cfRule>
    <cfRule type="cellIs" dxfId="5735" priority="3930" operator="equal">
      <formula>"Indeferido"</formula>
    </cfRule>
  </conditionalFormatting>
  <conditionalFormatting sqref="Q714">
    <cfRule type="containsText" dxfId="5734" priority="3927" operator="containsText" text="Cancelado">
      <formula>NOT(ISERROR(SEARCH("Cancelado",Q714)))</formula>
    </cfRule>
  </conditionalFormatting>
  <conditionalFormatting sqref="S714">
    <cfRule type="cellIs" dxfId="5733" priority="3924" operator="equal">
      <formula>"Tramitando"</formula>
    </cfRule>
    <cfRule type="cellIs" dxfId="5732" priority="3925" operator="equal">
      <formula>"Deferido"</formula>
    </cfRule>
    <cfRule type="cellIs" dxfId="5731" priority="3926" operator="equal">
      <formula>"Indeferido"</formula>
    </cfRule>
  </conditionalFormatting>
  <conditionalFormatting sqref="S714">
    <cfRule type="containsText" dxfId="5730" priority="3923" operator="containsText" text="Cancelado">
      <formula>NOT(ISERROR(SEARCH("Cancelado",S714)))</formula>
    </cfRule>
  </conditionalFormatting>
  <conditionalFormatting sqref="J715">
    <cfRule type="cellIs" dxfId="5729" priority="3919" operator="equal">
      <formula>"Tramitando"</formula>
    </cfRule>
    <cfRule type="cellIs" dxfId="5728" priority="3920" operator="equal">
      <formula>"Deferido"</formula>
    </cfRule>
    <cfRule type="cellIs" dxfId="5727" priority="3921" operator="equal">
      <formula>"Indeferido"</formula>
    </cfRule>
  </conditionalFormatting>
  <conditionalFormatting sqref="J715">
    <cfRule type="containsText" dxfId="5726" priority="3918" operator="containsText" text="Cancelado">
      <formula>NOT(ISERROR(SEARCH("Cancelado",J715)))</formula>
    </cfRule>
  </conditionalFormatting>
  <conditionalFormatting sqref="M715">
    <cfRule type="cellIs" dxfId="5725" priority="3915" operator="equal">
      <formula>"Tramitando"</formula>
    </cfRule>
    <cfRule type="cellIs" dxfId="5724" priority="3916" operator="equal">
      <formula>"Deferido"</formula>
    </cfRule>
    <cfRule type="cellIs" dxfId="5723" priority="3917" operator="equal">
      <formula>"Indeferido"</formula>
    </cfRule>
  </conditionalFormatting>
  <conditionalFormatting sqref="M715">
    <cfRule type="containsText" dxfId="5722" priority="3914" operator="containsText" text="Cancelado">
      <formula>NOT(ISERROR(SEARCH("Cancelado",M715)))</formula>
    </cfRule>
  </conditionalFormatting>
  <conditionalFormatting sqref="O715">
    <cfRule type="cellIs" dxfId="5721" priority="3911" operator="equal">
      <formula>"Tramitando"</formula>
    </cfRule>
    <cfRule type="cellIs" dxfId="5720" priority="3912" operator="equal">
      <formula>"Deferido"</formula>
    </cfRule>
    <cfRule type="cellIs" dxfId="5719" priority="3913" operator="equal">
      <formula>"Indeferido"</formula>
    </cfRule>
  </conditionalFormatting>
  <conditionalFormatting sqref="O715">
    <cfRule type="containsText" dxfId="5718" priority="3910" operator="containsText" text="Cancelado">
      <formula>NOT(ISERROR(SEARCH("Cancelado",O715)))</formula>
    </cfRule>
  </conditionalFormatting>
  <conditionalFormatting sqref="Q715">
    <cfRule type="cellIs" dxfId="5717" priority="3907" operator="equal">
      <formula>"Tramitando"</formula>
    </cfRule>
    <cfRule type="cellIs" dxfId="5716" priority="3908" operator="equal">
      <formula>"Deferido"</formula>
    </cfRule>
    <cfRule type="cellIs" dxfId="5715" priority="3909" operator="equal">
      <formula>"Indeferido"</formula>
    </cfRule>
  </conditionalFormatting>
  <conditionalFormatting sqref="Q715">
    <cfRule type="containsText" dxfId="5714" priority="3906" operator="containsText" text="Cancelado">
      <formula>NOT(ISERROR(SEARCH("Cancelado",Q715)))</formula>
    </cfRule>
  </conditionalFormatting>
  <conditionalFormatting sqref="S715">
    <cfRule type="cellIs" dxfId="5713" priority="3903" operator="equal">
      <formula>"Tramitando"</formula>
    </cfRule>
    <cfRule type="cellIs" dxfId="5712" priority="3904" operator="equal">
      <formula>"Deferido"</formula>
    </cfRule>
    <cfRule type="cellIs" dxfId="5711" priority="3905" operator="equal">
      <formula>"Indeferido"</formula>
    </cfRule>
  </conditionalFormatting>
  <conditionalFormatting sqref="S715">
    <cfRule type="containsText" dxfId="5710" priority="3902" operator="containsText" text="Cancelado">
      <formula>NOT(ISERROR(SEARCH("Cancelado",S715)))</formula>
    </cfRule>
  </conditionalFormatting>
  <conditionalFormatting sqref="J716">
    <cfRule type="cellIs" dxfId="5709" priority="3898" operator="equal">
      <formula>"Tramitando"</formula>
    </cfRule>
    <cfRule type="cellIs" dxfId="5708" priority="3899" operator="equal">
      <formula>"Deferido"</formula>
    </cfRule>
    <cfRule type="cellIs" dxfId="5707" priority="3900" operator="equal">
      <formula>"Indeferido"</formula>
    </cfRule>
  </conditionalFormatting>
  <conditionalFormatting sqref="J716">
    <cfRule type="containsText" dxfId="5706" priority="3897" operator="containsText" text="Cancelado">
      <formula>NOT(ISERROR(SEARCH("Cancelado",J716)))</formula>
    </cfRule>
  </conditionalFormatting>
  <conditionalFormatting sqref="M716">
    <cfRule type="cellIs" dxfId="5705" priority="3894" operator="equal">
      <formula>"Tramitando"</formula>
    </cfRule>
    <cfRule type="cellIs" dxfId="5704" priority="3895" operator="equal">
      <formula>"Deferido"</formula>
    </cfRule>
    <cfRule type="cellIs" dxfId="5703" priority="3896" operator="equal">
      <formula>"Indeferido"</formula>
    </cfRule>
  </conditionalFormatting>
  <conditionalFormatting sqref="M716">
    <cfRule type="containsText" dxfId="5702" priority="3893" operator="containsText" text="Cancelado">
      <formula>NOT(ISERROR(SEARCH("Cancelado",M716)))</formula>
    </cfRule>
  </conditionalFormatting>
  <conditionalFormatting sqref="O716">
    <cfRule type="cellIs" dxfId="5701" priority="3890" operator="equal">
      <formula>"Tramitando"</formula>
    </cfRule>
    <cfRule type="cellIs" dxfId="5700" priority="3891" operator="equal">
      <formula>"Deferido"</formula>
    </cfRule>
    <cfRule type="cellIs" dxfId="5699" priority="3892" operator="equal">
      <formula>"Indeferido"</formula>
    </cfRule>
  </conditionalFormatting>
  <conditionalFormatting sqref="O716">
    <cfRule type="containsText" dxfId="5698" priority="3889" operator="containsText" text="Cancelado">
      <formula>NOT(ISERROR(SEARCH("Cancelado",O716)))</formula>
    </cfRule>
  </conditionalFormatting>
  <conditionalFormatting sqref="Q716">
    <cfRule type="cellIs" dxfId="5697" priority="3886" operator="equal">
      <formula>"Tramitando"</formula>
    </cfRule>
    <cfRule type="cellIs" dxfId="5696" priority="3887" operator="equal">
      <formula>"Deferido"</formula>
    </cfRule>
    <cfRule type="cellIs" dxfId="5695" priority="3888" operator="equal">
      <formula>"Indeferido"</formula>
    </cfRule>
  </conditionalFormatting>
  <conditionalFormatting sqref="Q716">
    <cfRule type="containsText" dxfId="5694" priority="3885" operator="containsText" text="Cancelado">
      <formula>NOT(ISERROR(SEARCH("Cancelado",Q716)))</formula>
    </cfRule>
  </conditionalFormatting>
  <conditionalFormatting sqref="S716">
    <cfRule type="cellIs" dxfId="5693" priority="3882" operator="equal">
      <formula>"Tramitando"</formula>
    </cfRule>
    <cfRule type="cellIs" dxfId="5692" priority="3883" operator="equal">
      <formula>"Deferido"</formula>
    </cfRule>
    <cfRule type="cellIs" dxfId="5691" priority="3884" operator="equal">
      <formula>"Indeferido"</formula>
    </cfRule>
  </conditionalFormatting>
  <conditionalFormatting sqref="S716">
    <cfRule type="containsText" dxfId="5690" priority="3881" operator="containsText" text="Cancelado">
      <formula>NOT(ISERROR(SEARCH("Cancelado",S716)))</formula>
    </cfRule>
  </conditionalFormatting>
  <conditionalFormatting sqref="J717">
    <cfRule type="cellIs" dxfId="5689" priority="3877" operator="equal">
      <formula>"Tramitando"</formula>
    </cfRule>
    <cfRule type="cellIs" dxfId="5688" priority="3878" operator="equal">
      <formula>"Deferido"</formula>
    </cfRule>
    <cfRule type="cellIs" dxfId="5687" priority="3879" operator="equal">
      <formula>"Indeferido"</formula>
    </cfRule>
  </conditionalFormatting>
  <conditionalFormatting sqref="J717">
    <cfRule type="containsText" dxfId="5686" priority="3876" operator="containsText" text="Cancelado">
      <formula>NOT(ISERROR(SEARCH("Cancelado",J717)))</formula>
    </cfRule>
  </conditionalFormatting>
  <conditionalFormatting sqref="M717">
    <cfRule type="cellIs" dxfId="5685" priority="3873" operator="equal">
      <formula>"Tramitando"</formula>
    </cfRule>
    <cfRule type="cellIs" dxfId="5684" priority="3874" operator="equal">
      <formula>"Deferido"</formula>
    </cfRule>
    <cfRule type="cellIs" dxfId="5683" priority="3875" operator="equal">
      <formula>"Indeferido"</formula>
    </cfRule>
  </conditionalFormatting>
  <conditionalFormatting sqref="M717">
    <cfRule type="containsText" dxfId="5682" priority="3872" operator="containsText" text="Cancelado">
      <formula>NOT(ISERROR(SEARCH("Cancelado",M717)))</formula>
    </cfRule>
  </conditionalFormatting>
  <conditionalFormatting sqref="O717">
    <cfRule type="cellIs" dxfId="5681" priority="3869" operator="equal">
      <formula>"Tramitando"</formula>
    </cfRule>
    <cfRule type="cellIs" dxfId="5680" priority="3870" operator="equal">
      <formula>"Deferido"</formula>
    </cfRule>
    <cfRule type="cellIs" dxfId="5679" priority="3871" operator="equal">
      <formula>"Indeferido"</formula>
    </cfRule>
  </conditionalFormatting>
  <conditionalFormatting sqref="O717">
    <cfRule type="containsText" dxfId="5678" priority="3868" operator="containsText" text="Cancelado">
      <formula>NOT(ISERROR(SEARCH("Cancelado",O717)))</formula>
    </cfRule>
  </conditionalFormatting>
  <conditionalFormatting sqref="Q717">
    <cfRule type="cellIs" dxfId="5677" priority="3865" operator="equal">
      <formula>"Tramitando"</formula>
    </cfRule>
    <cfRule type="cellIs" dxfId="5676" priority="3866" operator="equal">
      <formula>"Deferido"</formula>
    </cfRule>
    <cfRule type="cellIs" dxfId="5675" priority="3867" operator="equal">
      <formula>"Indeferido"</formula>
    </cfRule>
  </conditionalFormatting>
  <conditionalFormatting sqref="Q717">
    <cfRule type="containsText" dxfId="5674" priority="3864" operator="containsText" text="Cancelado">
      <formula>NOT(ISERROR(SEARCH("Cancelado",Q717)))</formula>
    </cfRule>
  </conditionalFormatting>
  <conditionalFormatting sqref="S717">
    <cfRule type="cellIs" dxfId="5673" priority="3861" operator="equal">
      <formula>"Tramitando"</formula>
    </cfRule>
    <cfRule type="cellIs" dxfId="5672" priority="3862" operator="equal">
      <formula>"Deferido"</formula>
    </cfRule>
    <cfRule type="cellIs" dxfId="5671" priority="3863" operator="equal">
      <formula>"Indeferido"</formula>
    </cfRule>
  </conditionalFormatting>
  <conditionalFormatting sqref="S717">
    <cfRule type="containsText" dxfId="5670" priority="3860" operator="containsText" text="Cancelado">
      <formula>NOT(ISERROR(SEARCH("Cancelado",S717)))</formula>
    </cfRule>
  </conditionalFormatting>
  <conditionalFormatting sqref="J718">
    <cfRule type="cellIs" dxfId="5669" priority="3856" operator="equal">
      <formula>"Tramitando"</formula>
    </cfRule>
    <cfRule type="cellIs" dxfId="5668" priority="3857" operator="equal">
      <formula>"Deferido"</formula>
    </cfRule>
    <cfRule type="cellIs" dxfId="5667" priority="3858" operator="equal">
      <formula>"Indeferido"</formula>
    </cfRule>
  </conditionalFormatting>
  <conditionalFormatting sqref="J718">
    <cfRule type="containsText" dxfId="5666" priority="3855" operator="containsText" text="Cancelado">
      <formula>NOT(ISERROR(SEARCH("Cancelado",J718)))</formula>
    </cfRule>
  </conditionalFormatting>
  <conditionalFormatting sqref="M718">
    <cfRule type="cellIs" dxfId="5665" priority="3852" operator="equal">
      <formula>"Tramitando"</formula>
    </cfRule>
    <cfRule type="cellIs" dxfId="5664" priority="3853" operator="equal">
      <formula>"Deferido"</formula>
    </cfRule>
    <cfRule type="cellIs" dxfId="5663" priority="3854" operator="equal">
      <formula>"Indeferido"</formula>
    </cfRule>
  </conditionalFormatting>
  <conditionalFormatting sqref="M718">
    <cfRule type="containsText" dxfId="5662" priority="3851" operator="containsText" text="Cancelado">
      <formula>NOT(ISERROR(SEARCH("Cancelado",M718)))</formula>
    </cfRule>
  </conditionalFormatting>
  <conditionalFormatting sqref="O718">
    <cfRule type="cellIs" dxfId="5661" priority="3848" operator="equal">
      <formula>"Tramitando"</formula>
    </cfRule>
    <cfRule type="cellIs" dxfId="5660" priority="3849" operator="equal">
      <formula>"Deferido"</formula>
    </cfRule>
    <cfRule type="cellIs" dxfId="5659" priority="3850" operator="equal">
      <formula>"Indeferido"</formula>
    </cfRule>
  </conditionalFormatting>
  <conditionalFormatting sqref="O718">
    <cfRule type="containsText" dxfId="5658" priority="3847" operator="containsText" text="Cancelado">
      <formula>NOT(ISERROR(SEARCH("Cancelado",O718)))</formula>
    </cfRule>
  </conditionalFormatting>
  <conditionalFormatting sqref="Q718">
    <cfRule type="cellIs" dxfId="5657" priority="3844" operator="equal">
      <formula>"Tramitando"</formula>
    </cfRule>
    <cfRule type="cellIs" dxfId="5656" priority="3845" operator="equal">
      <formula>"Deferido"</formula>
    </cfRule>
    <cfRule type="cellIs" dxfId="5655" priority="3846" operator="equal">
      <formula>"Indeferido"</formula>
    </cfRule>
  </conditionalFormatting>
  <conditionalFormatting sqref="Q718">
    <cfRule type="containsText" dxfId="5654" priority="3843" operator="containsText" text="Cancelado">
      <formula>NOT(ISERROR(SEARCH("Cancelado",Q718)))</formula>
    </cfRule>
  </conditionalFormatting>
  <conditionalFormatting sqref="S718">
    <cfRule type="cellIs" dxfId="5653" priority="3840" operator="equal">
      <formula>"Tramitando"</formula>
    </cfRule>
    <cfRule type="cellIs" dxfId="5652" priority="3841" operator="equal">
      <formula>"Deferido"</formula>
    </cfRule>
    <cfRule type="cellIs" dxfId="5651" priority="3842" operator="equal">
      <formula>"Indeferido"</formula>
    </cfRule>
  </conditionalFormatting>
  <conditionalFormatting sqref="S718">
    <cfRule type="containsText" dxfId="5650" priority="3839" operator="containsText" text="Cancelado">
      <formula>NOT(ISERROR(SEARCH("Cancelado",S718)))</formula>
    </cfRule>
  </conditionalFormatting>
  <conditionalFormatting sqref="J719">
    <cfRule type="cellIs" dxfId="5649" priority="3835" operator="equal">
      <formula>"Tramitando"</formula>
    </cfRule>
    <cfRule type="cellIs" dxfId="5648" priority="3836" operator="equal">
      <formula>"Deferido"</formula>
    </cfRule>
    <cfRule type="cellIs" dxfId="5647" priority="3837" operator="equal">
      <formula>"Indeferido"</formula>
    </cfRule>
  </conditionalFormatting>
  <conditionalFormatting sqref="J719">
    <cfRule type="containsText" dxfId="5646" priority="3834" operator="containsText" text="Cancelado">
      <formula>NOT(ISERROR(SEARCH("Cancelado",J719)))</formula>
    </cfRule>
  </conditionalFormatting>
  <conditionalFormatting sqref="M719">
    <cfRule type="cellIs" dxfId="5645" priority="3831" operator="equal">
      <formula>"Tramitando"</formula>
    </cfRule>
    <cfRule type="cellIs" dxfId="5644" priority="3832" operator="equal">
      <formula>"Deferido"</formula>
    </cfRule>
    <cfRule type="cellIs" dxfId="5643" priority="3833" operator="equal">
      <formula>"Indeferido"</formula>
    </cfRule>
  </conditionalFormatting>
  <conditionalFormatting sqref="M719">
    <cfRule type="containsText" dxfId="5642" priority="3830" operator="containsText" text="Cancelado">
      <formula>NOT(ISERROR(SEARCH("Cancelado",M719)))</formula>
    </cfRule>
  </conditionalFormatting>
  <conditionalFormatting sqref="O719">
    <cfRule type="cellIs" dxfId="5641" priority="3827" operator="equal">
      <formula>"Tramitando"</formula>
    </cfRule>
    <cfRule type="cellIs" dxfId="5640" priority="3828" operator="equal">
      <formula>"Deferido"</formula>
    </cfRule>
    <cfRule type="cellIs" dxfId="5639" priority="3829" operator="equal">
      <formula>"Indeferido"</formula>
    </cfRule>
  </conditionalFormatting>
  <conditionalFormatting sqref="O719">
    <cfRule type="containsText" dxfId="5638" priority="3826" operator="containsText" text="Cancelado">
      <formula>NOT(ISERROR(SEARCH("Cancelado",O719)))</formula>
    </cfRule>
  </conditionalFormatting>
  <conditionalFormatting sqref="Q719">
    <cfRule type="cellIs" dxfId="5637" priority="3823" operator="equal">
      <formula>"Tramitando"</formula>
    </cfRule>
    <cfRule type="cellIs" dxfId="5636" priority="3824" operator="equal">
      <formula>"Deferido"</formula>
    </cfRule>
    <cfRule type="cellIs" dxfId="5635" priority="3825" operator="equal">
      <formula>"Indeferido"</formula>
    </cfRule>
  </conditionalFormatting>
  <conditionalFormatting sqref="Q719">
    <cfRule type="containsText" dxfId="5634" priority="3822" operator="containsText" text="Cancelado">
      <formula>NOT(ISERROR(SEARCH("Cancelado",Q719)))</formula>
    </cfRule>
  </conditionalFormatting>
  <conditionalFormatting sqref="S719">
    <cfRule type="cellIs" dxfId="5633" priority="3819" operator="equal">
      <formula>"Tramitando"</formula>
    </cfRule>
    <cfRule type="cellIs" dxfId="5632" priority="3820" operator="equal">
      <formula>"Deferido"</formula>
    </cfRule>
    <cfRule type="cellIs" dxfId="5631" priority="3821" operator="equal">
      <formula>"Indeferido"</formula>
    </cfRule>
  </conditionalFormatting>
  <conditionalFormatting sqref="S719">
    <cfRule type="containsText" dxfId="5630" priority="3818" operator="containsText" text="Cancelado">
      <formula>NOT(ISERROR(SEARCH("Cancelado",S719)))</formula>
    </cfRule>
  </conditionalFormatting>
  <conditionalFormatting sqref="J720">
    <cfRule type="cellIs" dxfId="5629" priority="3814" operator="equal">
      <formula>"Tramitando"</formula>
    </cfRule>
    <cfRule type="cellIs" dxfId="5628" priority="3815" operator="equal">
      <formula>"Deferido"</formula>
    </cfRule>
    <cfRule type="cellIs" dxfId="5627" priority="3816" operator="equal">
      <formula>"Indeferido"</formula>
    </cfRule>
  </conditionalFormatting>
  <conditionalFormatting sqref="J720">
    <cfRule type="containsText" dxfId="5626" priority="3813" operator="containsText" text="Cancelado">
      <formula>NOT(ISERROR(SEARCH("Cancelado",J720)))</formula>
    </cfRule>
  </conditionalFormatting>
  <conditionalFormatting sqref="M720">
    <cfRule type="cellIs" dxfId="5625" priority="3810" operator="equal">
      <formula>"Tramitando"</formula>
    </cfRule>
    <cfRule type="cellIs" dxfId="5624" priority="3811" operator="equal">
      <formula>"Deferido"</formula>
    </cfRule>
    <cfRule type="cellIs" dxfId="5623" priority="3812" operator="equal">
      <formula>"Indeferido"</formula>
    </cfRule>
  </conditionalFormatting>
  <conditionalFormatting sqref="M720">
    <cfRule type="containsText" dxfId="5622" priority="3809" operator="containsText" text="Cancelado">
      <formula>NOT(ISERROR(SEARCH("Cancelado",M720)))</formula>
    </cfRule>
  </conditionalFormatting>
  <conditionalFormatting sqref="O720">
    <cfRule type="cellIs" dxfId="5621" priority="3806" operator="equal">
      <formula>"Tramitando"</formula>
    </cfRule>
    <cfRule type="cellIs" dxfId="5620" priority="3807" operator="equal">
      <formula>"Deferido"</formula>
    </cfRule>
    <cfRule type="cellIs" dxfId="5619" priority="3808" operator="equal">
      <formula>"Indeferido"</formula>
    </cfRule>
  </conditionalFormatting>
  <conditionalFormatting sqref="O720">
    <cfRule type="containsText" dxfId="5618" priority="3805" operator="containsText" text="Cancelado">
      <formula>NOT(ISERROR(SEARCH("Cancelado",O720)))</formula>
    </cfRule>
  </conditionalFormatting>
  <conditionalFormatting sqref="Q720">
    <cfRule type="cellIs" dxfId="5617" priority="3802" operator="equal">
      <formula>"Tramitando"</formula>
    </cfRule>
    <cfRule type="cellIs" dxfId="5616" priority="3803" operator="equal">
      <formula>"Deferido"</formula>
    </cfRule>
    <cfRule type="cellIs" dxfId="5615" priority="3804" operator="equal">
      <formula>"Indeferido"</formula>
    </cfRule>
  </conditionalFormatting>
  <conditionalFormatting sqref="Q720">
    <cfRule type="containsText" dxfId="5614" priority="3801" operator="containsText" text="Cancelado">
      <formula>NOT(ISERROR(SEARCH("Cancelado",Q720)))</formula>
    </cfRule>
  </conditionalFormatting>
  <conditionalFormatting sqref="S720">
    <cfRule type="cellIs" dxfId="5613" priority="3798" operator="equal">
      <formula>"Tramitando"</formula>
    </cfRule>
    <cfRule type="cellIs" dxfId="5612" priority="3799" operator="equal">
      <formula>"Deferido"</formula>
    </cfRule>
    <cfRule type="cellIs" dxfId="5611" priority="3800" operator="equal">
      <formula>"Indeferido"</formula>
    </cfRule>
  </conditionalFormatting>
  <conditionalFormatting sqref="S720">
    <cfRule type="containsText" dxfId="5610" priority="3797" operator="containsText" text="Cancelado">
      <formula>NOT(ISERROR(SEARCH("Cancelado",S720)))</formula>
    </cfRule>
  </conditionalFormatting>
  <conditionalFormatting sqref="J721">
    <cfRule type="cellIs" dxfId="5609" priority="3793" operator="equal">
      <formula>"Tramitando"</formula>
    </cfRule>
    <cfRule type="cellIs" dxfId="5608" priority="3794" operator="equal">
      <formula>"Deferido"</formula>
    </cfRule>
    <cfRule type="cellIs" dxfId="5607" priority="3795" operator="equal">
      <formula>"Indeferido"</formula>
    </cfRule>
  </conditionalFormatting>
  <conditionalFormatting sqref="J721">
    <cfRule type="containsText" dxfId="5606" priority="3792" operator="containsText" text="Cancelado">
      <formula>NOT(ISERROR(SEARCH("Cancelado",J721)))</formula>
    </cfRule>
  </conditionalFormatting>
  <conditionalFormatting sqref="M721">
    <cfRule type="cellIs" dxfId="5605" priority="3789" operator="equal">
      <formula>"Tramitando"</formula>
    </cfRule>
    <cfRule type="cellIs" dxfId="5604" priority="3790" operator="equal">
      <formula>"Deferido"</formula>
    </cfRule>
    <cfRule type="cellIs" dxfId="5603" priority="3791" operator="equal">
      <formula>"Indeferido"</formula>
    </cfRule>
  </conditionalFormatting>
  <conditionalFormatting sqref="M721">
    <cfRule type="containsText" dxfId="5602" priority="3788" operator="containsText" text="Cancelado">
      <formula>NOT(ISERROR(SEARCH("Cancelado",M721)))</formula>
    </cfRule>
  </conditionalFormatting>
  <conditionalFormatting sqref="O721">
    <cfRule type="cellIs" dxfId="5601" priority="3785" operator="equal">
      <formula>"Tramitando"</formula>
    </cfRule>
    <cfRule type="cellIs" dxfId="5600" priority="3786" operator="equal">
      <formula>"Deferido"</formula>
    </cfRule>
    <cfRule type="cellIs" dxfId="5599" priority="3787" operator="equal">
      <formula>"Indeferido"</formula>
    </cfRule>
  </conditionalFormatting>
  <conditionalFormatting sqref="O721">
    <cfRule type="containsText" dxfId="5598" priority="3784" operator="containsText" text="Cancelado">
      <formula>NOT(ISERROR(SEARCH("Cancelado",O721)))</formula>
    </cfRule>
  </conditionalFormatting>
  <conditionalFormatting sqref="Q721">
    <cfRule type="cellIs" dxfId="5597" priority="3781" operator="equal">
      <formula>"Tramitando"</formula>
    </cfRule>
    <cfRule type="cellIs" dxfId="5596" priority="3782" operator="equal">
      <formula>"Deferido"</formula>
    </cfRule>
    <cfRule type="cellIs" dxfId="5595" priority="3783" operator="equal">
      <formula>"Indeferido"</formula>
    </cfRule>
  </conditionalFormatting>
  <conditionalFormatting sqref="Q721">
    <cfRule type="containsText" dxfId="5594" priority="3780" operator="containsText" text="Cancelado">
      <formula>NOT(ISERROR(SEARCH("Cancelado",Q721)))</formula>
    </cfRule>
  </conditionalFormatting>
  <conditionalFormatting sqref="S721">
    <cfRule type="cellIs" dxfId="5593" priority="3777" operator="equal">
      <formula>"Tramitando"</formula>
    </cfRule>
    <cfRule type="cellIs" dxfId="5592" priority="3778" operator="equal">
      <formula>"Deferido"</formula>
    </cfRule>
    <cfRule type="cellIs" dxfId="5591" priority="3779" operator="equal">
      <formula>"Indeferido"</formula>
    </cfRule>
  </conditionalFormatting>
  <conditionalFormatting sqref="S721">
    <cfRule type="containsText" dxfId="5590" priority="3776" operator="containsText" text="Cancelado">
      <formula>NOT(ISERROR(SEARCH("Cancelado",S721)))</formula>
    </cfRule>
  </conditionalFormatting>
  <conditionalFormatting sqref="J722">
    <cfRule type="cellIs" dxfId="5589" priority="3772" operator="equal">
      <formula>"Tramitando"</formula>
    </cfRule>
    <cfRule type="cellIs" dxfId="5588" priority="3773" operator="equal">
      <formula>"Deferido"</formula>
    </cfRule>
    <cfRule type="cellIs" dxfId="5587" priority="3774" operator="equal">
      <formula>"Indeferido"</formula>
    </cfRule>
  </conditionalFormatting>
  <conditionalFormatting sqref="J722">
    <cfRule type="containsText" dxfId="5586" priority="3771" operator="containsText" text="Cancelado">
      <formula>NOT(ISERROR(SEARCH("Cancelado",J722)))</formula>
    </cfRule>
  </conditionalFormatting>
  <conditionalFormatting sqref="M722">
    <cfRule type="cellIs" dxfId="5585" priority="3768" operator="equal">
      <formula>"Tramitando"</formula>
    </cfRule>
    <cfRule type="cellIs" dxfId="5584" priority="3769" operator="equal">
      <formula>"Deferido"</formula>
    </cfRule>
    <cfRule type="cellIs" dxfId="5583" priority="3770" operator="equal">
      <formula>"Indeferido"</formula>
    </cfRule>
  </conditionalFormatting>
  <conditionalFormatting sqref="M722">
    <cfRule type="containsText" dxfId="5582" priority="3767" operator="containsText" text="Cancelado">
      <formula>NOT(ISERROR(SEARCH("Cancelado",M722)))</formula>
    </cfRule>
  </conditionalFormatting>
  <conditionalFormatting sqref="O722">
    <cfRule type="cellIs" dxfId="5581" priority="3764" operator="equal">
      <formula>"Tramitando"</formula>
    </cfRule>
    <cfRule type="cellIs" dxfId="5580" priority="3765" operator="equal">
      <formula>"Deferido"</formula>
    </cfRule>
    <cfRule type="cellIs" dxfId="5579" priority="3766" operator="equal">
      <formula>"Indeferido"</formula>
    </cfRule>
  </conditionalFormatting>
  <conditionalFormatting sqref="O722">
    <cfRule type="containsText" dxfId="5578" priority="3763" operator="containsText" text="Cancelado">
      <formula>NOT(ISERROR(SEARCH("Cancelado",O722)))</formula>
    </cfRule>
  </conditionalFormatting>
  <conditionalFormatting sqref="Q722">
    <cfRule type="cellIs" dxfId="5577" priority="3760" operator="equal">
      <formula>"Tramitando"</formula>
    </cfRule>
    <cfRule type="cellIs" dxfId="5576" priority="3761" operator="equal">
      <formula>"Deferido"</formula>
    </cfRule>
    <cfRule type="cellIs" dxfId="5575" priority="3762" operator="equal">
      <formula>"Indeferido"</formula>
    </cfRule>
  </conditionalFormatting>
  <conditionalFormatting sqref="Q722">
    <cfRule type="containsText" dxfId="5574" priority="3759" operator="containsText" text="Cancelado">
      <formula>NOT(ISERROR(SEARCH("Cancelado",Q722)))</formula>
    </cfRule>
  </conditionalFormatting>
  <conditionalFormatting sqref="S722">
    <cfRule type="cellIs" dxfId="5573" priority="3756" operator="equal">
      <formula>"Tramitando"</formula>
    </cfRule>
    <cfRule type="cellIs" dxfId="5572" priority="3757" operator="equal">
      <formula>"Deferido"</formula>
    </cfRule>
    <cfRule type="cellIs" dxfId="5571" priority="3758" operator="equal">
      <formula>"Indeferido"</formula>
    </cfRule>
  </conditionalFormatting>
  <conditionalFormatting sqref="S722">
    <cfRule type="containsText" dxfId="5570" priority="3755" operator="containsText" text="Cancelado">
      <formula>NOT(ISERROR(SEARCH("Cancelado",S722)))</formula>
    </cfRule>
  </conditionalFormatting>
  <conditionalFormatting sqref="J723">
    <cfRule type="cellIs" dxfId="5569" priority="3751" operator="equal">
      <formula>"Tramitando"</formula>
    </cfRule>
    <cfRule type="cellIs" dxfId="5568" priority="3752" operator="equal">
      <formula>"Deferido"</formula>
    </cfRule>
    <cfRule type="cellIs" dxfId="5567" priority="3753" operator="equal">
      <formula>"Indeferido"</formula>
    </cfRule>
  </conditionalFormatting>
  <conditionalFormatting sqref="J723">
    <cfRule type="containsText" dxfId="5566" priority="3750" operator="containsText" text="Cancelado">
      <formula>NOT(ISERROR(SEARCH("Cancelado",J723)))</formula>
    </cfRule>
  </conditionalFormatting>
  <conditionalFormatting sqref="M723">
    <cfRule type="cellIs" dxfId="5565" priority="3747" operator="equal">
      <formula>"Tramitando"</formula>
    </cfRule>
    <cfRule type="cellIs" dxfId="5564" priority="3748" operator="equal">
      <formula>"Deferido"</formula>
    </cfRule>
    <cfRule type="cellIs" dxfId="5563" priority="3749" operator="equal">
      <formula>"Indeferido"</formula>
    </cfRule>
  </conditionalFormatting>
  <conditionalFormatting sqref="M723">
    <cfRule type="containsText" dxfId="5562" priority="3746" operator="containsText" text="Cancelado">
      <formula>NOT(ISERROR(SEARCH("Cancelado",M723)))</formula>
    </cfRule>
  </conditionalFormatting>
  <conditionalFormatting sqref="O723">
    <cfRule type="cellIs" dxfId="5561" priority="3743" operator="equal">
      <formula>"Tramitando"</formula>
    </cfRule>
    <cfRule type="cellIs" dxfId="5560" priority="3744" operator="equal">
      <formula>"Deferido"</formula>
    </cfRule>
    <cfRule type="cellIs" dxfId="5559" priority="3745" operator="equal">
      <formula>"Indeferido"</formula>
    </cfRule>
  </conditionalFormatting>
  <conditionalFormatting sqref="O723">
    <cfRule type="containsText" dxfId="5558" priority="3742" operator="containsText" text="Cancelado">
      <formula>NOT(ISERROR(SEARCH("Cancelado",O723)))</formula>
    </cfRule>
  </conditionalFormatting>
  <conditionalFormatting sqref="Q723">
    <cfRule type="cellIs" dxfId="5557" priority="3739" operator="equal">
      <formula>"Tramitando"</formula>
    </cfRule>
    <cfRule type="cellIs" dxfId="5556" priority="3740" operator="equal">
      <formula>"Deferido"</formula>
    </cfRule>
    <cfRule type="cellIs" dxfId="5555" priority="3741" operator="equal">
      <formula>"Indeferido"</formula>
    </cfRule>
  </conditionalFormatting>
  <conditionalFormatting sqref="Q723">
    <cfRule type="containsText" dxfId="5554" priority="3738" operator="containsText" text="Cancelado">
      <formula>NOT(ISERROR(SEARCH("Cancelado",Q723)))</formula>
    </cfRule>
  </conditionalFormatting>
  <conditionalFormatting sqref="S723">
    <cfRule type="cellIs" dxfId="5553" priority="3735" operator="equal">
      <formula>"Tramitando"</formula>
    </cfRule>
    <cfRule type="cellIs" dxfId="5552" priority="3736" operator="equal">
      <formula>"Deferido"</formula>
    </cfRule>
    <cfRule type="cellIs" dxfId="5551" priority="3737" operator="equal">
      <formula>"Indeferido"</formula>
    </cfRule>
  </conditionalFormatting>
  <conditionalFormatting sqref="S723">
    <cfRule type="containsText" dxfId="5550" priority="3734" operator="containsText" text="Cancelado">
      <formula>NOT(ISERROR(SEARCH("Cancelado",S723)))</formula>
    </cfRule>
  </conditionalFormatting>
  <conditionalFormatting sqref="J724">
    <cfRule type="cellIs" dxfId="5549" priority="3730" operator="equal">
      <formula>"Tramitando"</formula>
    </cfRule>
    <cfRule type="cellIs" dxfId="5548" priority="3731" operator="equal">
      <formula>"Deferido"</formula>
    </cfRule>
    <cfRule type="cellIs" dxfId="5547" priority="3732" operator="equal">
      <formula>"Indeferido"</formula>
    </cfRule>
  </conditionalFormatting>
  <conditionalFormatting sqref="J724">
    <cfRule type="containsText" dxfId="5546" priority="3729" operator="containsText" text="Cancelado">
      <formula>NOT(ISERROR(SEARCH("Cancelado",J724)))</formula>
    </cfRule>
  </conditionalFormatting>
  <conditionalFormatting sqref="M724">
    <cfRule type="cellIs" dxfId="5545" priority="3726" operator="equal">
      <formula>"Tramitando"</formula>
    </cfRule>
    <cfRule type="cellIs" dxfId="5544" priority="3727" operator="equal">
      <formula>"Deferido"</formula>
    </cfRule>
    <cfRule type="cellIs" dxfId="5543" priority="3728" operator="equal">
      <formula>"Indeferido"</formula>
    </cfRule>
  </conditionalFormatting>
  <conditionalFormatting sqref="M724">
    <cfRule type="containsText" dxfId="5542" priority="3725" operator="containsText" text="Cancelado">
      <formula>NOT(ISERROR(SEARCH("Cancelado",M724)))</formula>
    </cfRule>
  </conditionalFormatting>
  <conditionalFormatting sqref="O724">
    <cfRule type="cellIs" dxfId="5541" priority="3722" operator="equal">
      <formula>"Tramitando"</formula>
    </cfRule>
    <cfRule type="cellIs" dxfId="5540" priority="3723" operator="equal">
      <formula>"Deferido"</formula>
    </cfRule>
    <cfRule type="cellIs" dxfId="5539" priority="3724" operator="equal">
      <formula>"Indeferido"</formula>
    </cfRule>
  </conditionalFormatting>
  <conditionalFormatting sqref="O724">
    <cfRule type="containsText" dxfId="5538" priority="3721" operator="containsText" text="Cancelado">
      <formula>NOT(ISERROR(SEARCH("Cancelado",O724)))</formula>
    </cfRule>
  </conditionalFormatting>
  <conditionalFormatting sqref="Q724">
    <cfRule type="cellIs" dxfId="5537" priority="3718" operator="equal">
      <formula>"Tramitando"</formula>
    </cfRule>
    <cfRule type="cellIs" dxfId="5536" priority="3719" operator="equal">
      <formula>"Deferido"</formula>
    </cfRule>
    <cfRule type="cellIs" dxfId="5535" priority="3720" operator="equal">
      <formula>"Indeferido"</formula>
    </cfRule>
  </conditionalFormatting>
  <conditionalFormatting sqref="Q724">
    <cfRule type="containsText" dxfId="5534" priority="3717" operator="containsText" text="Cancelado">
      <formula>NOT(ISERROR(SEARCH("Cancelado",Q724)))</formula>
    </cfRule>
  </conditionalFormatting>
  <conditionalFormatting sqref="S724">
    <cfRule type="cellIs" dxfId="5533" priority="3714" operator="equal">
      <formula>"Tramitando"</formula>
    </cfRule>
    <cfRule type="cellIs" dxfId="5532" priority="3715" operator="equal">
      <formula>"Deferido"</formula>
    </cfRule>
    <cfRule type="cellIs" dxfId="5531" priority="3716" operator="equal">
      <formula>"Indeferido"</formula>
    </cfRule>
  </conditionalFormatting>
  <conditionalFormatting sqref="S724">
    <cfRule type="containsText" dxfId="5530" priority="3713" operator="containsText" text="Cancelado">
      <formula>NOT(ISERROR(SEARCH("Cancelado",S724)))</formula>
    </cfRule>
  </conditionalFormatting>
  <conditionalFormatting sqref="J725">
    <cfRule type="cellIs" dxfId="5529" priority="3709" operator="equal">
      <formula>"Tramitando"</formula>
    </cfRule>
    <cfRule type="cellIs" dxfId="5528" priority="3710" operator="equal">
      <formula>"Deferido"</formula>
    </cfRule>
    <cfRule type="cellIs" dxfId="5527" priority="3711" operator="equal">
      <formula>"Indeferido"</formula>
    </cfRule>
  </conditionalFormatting>
  <conditionalFormatting sqref="J725">
    <cfRule type="containsText" dxfId="5526" priority="3708" operator="containsText" text="Cancelado">
      <formula>NOT(ISERROR(SEARCH("Cancelado",J725)))</formula>
    </cfRule>
  </conditionalFormatting>
  <conditionalFormatting sqref="M725">
    <cfRule type="cellIs" dxfId="5525" priority="3705" operator="equal">
      <formula>"Tramitando"</formula>
    </cfRule>
    <cfRule type="cellIs" dxfId="5524" priority="3706" operator="equal">
      <formula>"Deferido"</formula>
    </cfRule>
    <cfRule type="cellIs" dxfId="5523" priority="3707" operator="equal">
      <formula>"Indeferido"</formula>
    </cfRule>
  </conditionalFormatting>
  <conditionalFormatting sqref="M725">
    <cfRule type="containsText" dxfId="5522" priority="3704" operator="containsText" text="Cancelado">
      <formula>NOT(ISERROR(SEARCH("Cancelado",M725)))</formula>
    </cfRule>
  </conditionalFormatting>
  <conditionalFormatting sqref="O725">
    <cfRule type="cellIs" dxfId="5521" priority="3701" operator="equal">
      <formula>"Tramitando"</formula>
    </cfRule>
    <cfRule type="cellIs" dxfId="5520" priority="3702" operator="equal">
      <formula>"Deferido"</formula>
    </cfRule>
    <cfRule type="cellIs" dxfId="5519" priority="3703" operator="equal">
      <formula>"Indeferido"</formula>
    </cfRule>
  </conditionalFormatting>
  <conditionalFormatting sqref="O725">
    <cfRule type="containsText" dxfId="5518" priority="3700" operator="containsText" text="Cancelado">
      <formula>NOT(ISERROR(SEARCH("Cancelado",O725)))</formula>
    </cfRule>
  </conditionalFormatting>
  <conditionalFormatting sqref="Q725">
    <cfRule type="cellIs" dxfId="5517" priority="3697" operator="equal">
      <formula>"Tramitando"</formula>
    </cfRule>
    <cfRule type="cellIs" dxfId="5516" priority="3698" operator="equal">
      <formula>"Deferido"</formula>
    </cfRule>
    <cfRule type="cellIs" dxfId="5515" priority="3699" operator="equal">
      <formula>"Indeferido"</formula>
    </cfRule>
  </conditionalFormatting>
  <conditionalFormatting sqref="Q725">
    <cfRule type="containsText" dxfId="5514" priority="3696" operator="containsText" text="Cancelado">
      <formula>NOT(ISERROR(SEARCH("Cancelado",Q725)))</formula>
    </cfRule>
  </conditionalFormatting>
  <conditionalFormatting sqref="S725">
    <cfRule type="cellIs" dxfId="5513" priority="3693" operator="equal">
      <formula>"Tramitando"</formula>
    </cfRule>
    <cfRule type="cellIs" dxfId="5512" priority="3694" operator="equal">
      <formula>"Deferido"</formula>
    </cfRule>
    <cfRule type="cellIs" dxfId="5511" priority="3695" operator="equal">
      <formula>"Indeferido"</formula>
    </cfRule>
  </conditionalFormatting>
  <conditionalFormatting sqref="S725">
    <cfRule type="containsText" dxfId="5510" priority="3692" operator="containsText" text="Cancelado">
      <formula>NOT(ISERROR(SEARCH("Cancelado",S725)))</formula>
    </cfRule>
  </conditionalFormatting>
  <conditionalFormatting sqref="J726">
    <cfRule type="cellIs" dxfId="5509" priority="3688" operator="equal">
      <formula>"Tramitando"</formula>
    </cfRule>
    <cfRule type="cellIs" dxfId="5508" priority="3689" operator="equal">
      <formula>"Deferido"</formula>
    </cfRule>
    <cfRule type="cellIs" dxfId="5507" priority="3690" operator="equal">
      <formula>"Indeferido"</formula>
    </cfRule>
  </conditionalFormatting>
  <conditionalFormatting sqref="J726">
    <cfRule type="containsText" dxfId="5506" priority="3687" operator="containsText" text="Cancelado">
      <formula>NOT(ISERROR(SEARCH("Cancelado",J726)))</formula>
    </cfRule>
  </conditionalFormatting>
  <conditionalFormatting sqref="M726">
    <cfRule type="cellIs" dxfId="5505" priority="3684" operator="equal">
      <formula>"Tramitando"</formula>
    </cfRule>
    <cfRule type="cellIs" dxfId="5504" priority="3685" operator="equal">
      <formula>"Deferido"</formula>
    </cfRule>
    <cfRule type="cellIs" dxfId="5503" priority="3686" operator="equal">
      <formula>"Indeferido"</formula>
    </cfRule>
  </conditionalFormatting>
  <conditionalFormatting sqref="M726">
    <cfRule type="containsText" dxfId="5502" priority="3683" operator="containsText" text="Cancelado">
      <formula>NOT(ISERROR(SEARCH("Cancelado",M726)))</formula>
    </cfRule>
  </conditionalFormatting>
  <conditionalFormatting sqref="O726">
    <cfRule type="cellIs" dxfId="5501" priority="3680" operator="equal">
      <formula>"Tramitando"</formula>
    </cfRule>
    <cfRule type="cellIs" dxfId="5500" priority="3681" operator="equal">
      <formula>"Deferido"</formula>
    </cfRule>
    <cfRule type="cellIs" dxfId="5499" priority="3682" operator="equal">
      <formula>"Indeferido"</formula>
    </cfRule>
  </conditionalFormatting>
  <conditionalFormatting sqref="O726">
    <cfRule type="containsText" dxfId="5498" priority="3679" operator="containsText" text="Cancelado">
      <formula>NOT(ISERROR(SEARCH("Cancelado",O726)))</formula>
    </cfRule>
  </conditionalFormatting>
  <conditionalFormatting sqref="Q726">
    <cfRule type="cellIs" dxfId="5497" priority="3676" operator="equal">
      <formula>"Tramitando"</formula>
    </cfRule>
    <cfRule type="cellIs" dxfId="5496" priority="3677" operator="equal">
      <formula>"Deferido"</formula>
    </cfRule>
    <cfRule type="cellIs" dxfId="5495" priority="3678" operator="equal">
      <formula>"Indeferido"</formula>
    </cfRule>
  </conditionalFormatting>
  <conditionalFormatting sqref="Q726">
    <cfRule type="containsText" dxfId="5494" priority="3675" operator="containsText" text="Cancelado">
      <formula>NOT(ISERROR(SEARCH("Cancelado",Q726)))</formula>
    </cfRule>
  </conditionalFormatting>
  <conditionalFormatting sqref="S726">
    <cfRule type="cellIs" dxfId="5493" priority="3672" operator="equal">
      <formula>"Tramitando"</formula>
    </cfRule>
    <cfRule type="cellIs" dxfId="5492" priority="3673" operator="equal">
      <formula>"Deferido"</formula>
    </cfRule>
    <cfRule type="cellIs" dxfId="5491" priority="3674" operator="equal">
      <formula>"Indeferido"</formula>
    </cfRule>
  </conditionalFormatting>
  <conditionalFormatting sqref="S726">
    <cfRule type="containsText" dxfId="5490" priority="3671" operator="containsText" text="Cancelado">
      <formula>NOT(ISERROR(SEARCH("Cancelado",S726)))</formula>
    </cfRule>
  </conditionalFormatting>
  <conditionalFormatting sqref="J727">
    <cfRule type="cellIs" dxfId="5489" priority="3667" operator="equal">
      <formula>"Tramitando"</formula>
    </cfRule>
    <cfRule type="cellIs" dxfId="5488" priority="3668" operator="equal">
      <formula>"Deferido"</formula>
    </cfRule>
    <cfRule type="cellIs" dxfId="5487" priority="3669" operator="equal">
      <formula>"Indeferido"</formula>
    </cfRule>
  </conditionalFormatting>
  <conditionalFormatting sqref="J727">
    <cfRule type="containsText" dxfId="5486" priority="3666" operator="containsText" text="Cancelado">
      <formula>NOT(ISERROR(SEARCH("Cancelado",J727)))</formula>
    </cfRule>
  </conditionalFormatting>
  <conditionalFormatting sqref="M727">
    <cfRule type="cellIs" dxfId="5485" priority="3663" operator="equal">
      <formula>"Tramitando"</formula>
    </cfRule>
    <cfRule type="cellIs" dxfId="5484" priority="3664" operator="equal">
      <formula>"Deferido"</formula>
    </cfRule>
    <cfRule type="cellIs" dxfId="5483" priority="3665" operator="equal">
      <formula>"Indeferido"</formula>
    </cfRule>
  </conditionalFormatting>
  <conditionalFormatting sqref="M727">
    <cfRule type="containsText" dxfId="5482" priority="3662" operator="containsText" text="Cancelado">
      <formula>NOT(ISERROR(SEARCH("Cancelado",M727)))</formula>
    </cfRule>
  </conditionalFormatting>
  <conditionalFormatting sqref="O727">
    <cfRule type="cellIs" dxfId="5481" priority="3659" operator="equal">
      <formula>"Tramitando"</formula>
    </cfRule>
    <cfRule type="cellIs" dxfId="5480" priority="3660" operator="equal">
      <formula>"Deferido"</formula>
    </cfRule>
    <cfRule type="cellIs" dxfId="5479" priority="3661" operator="equal">
      <formula>"Indeferido"</formula>
    </cfRule>
  </conditionalFormatting>
  <conditionalFormatting sqref="O727">
    <cfRule type="containsText" dxfId="5478" priority="3658" operator="containsText" text="Cancelado">
      <formula>NOT(ISERROR(SEARCH("Cancelado",O727)))</formula>
    </cfRule>
  </conditionalFormatting>
  <conditionalFormatting sqref="Q727">
    <cfRule type="cellIs" dxfId="5477" priority="3655" operator="equal">
      <formula>"Tramitando"</formula>
    </cfRule>
    <cfRule type="cellIs" dxfId="5476" priority="3656" operator="equal">
      <formula>"Deferido"</formula>
    </cfRule>
    <cfRule type="cellIs" dxfId="5475" priority="3657" operator="equal">
      <formula>"Indeferido"</formula>
    </cfRule>
  </conditionalFormatting>
  <conditionalFormatting sqref="Q727">
    <cfRule type="containsText" dxfId="5474" priority="3654" operator="containsText" text="Cancelado">
      <formula>NOT(ISERROR(SEARCH("Cancelado",Q727)))</formula>
    </cfRule>
  </conditionalFormatting>
  <conditionalFormatting sqref="S727">
    <cfRule type="cellIs" dxfId="5473" priority="3651" operator="equal">
      <formula>"Tramitando"</formula>
    </cfRule>
    <cfRule type="cellIs" dxfId="5472" priority="3652" operator="equal">
      <formula>"Deferido"</formula>
    </cfRule>
    <cfRule type="cellIs" dxfId="5471" priority="3653" operator="equal">
      <formula>"Indeferido"</formula>
    </cfRule>
  </conditionalFormatting>
  <conditionalFormatting sqref="S727">
    <cfRule type="containsText" dxfId="5470" priority="3650" operator="containsText" text="Cancelado">
      <formula>NOT(ISERROR(SEARCH("Cancelado",S727)))</formula>
    </cfRule>
  </conditionalFormatting>
  <conditionalFormatting sqref="J728">
    <cfRule type="cellIs" dxfId="5469" priority="3646" operator="equal">
      <formula>"Tramitando"</formula>
    </cfRule>
    <cfRule type="cellIs" dxfId="5468" priority="3647" operator="equal">
      <formula>"Deferido"</formula>
    </cfRule>
    <cfRule type="cellIs" dxfId="5467" priority="3648" operator="equal">
      <formula>"Indeferido"</formula>
    </cfRule>
  </conditionalFormatting>
  <conditionalFormatting sqref="J728">
    <cfRule type="containsText" dxfId="5466" priority="3645" operator="containsText" text="Cancelado">
      <formula>NOT(ISERROR(SEARCH("Cancelado",J728)))</formula>
    </cfRule>
  </conditionalFormatting>
  <conditionalFormatting sqref="M728">
    <cfRule type="cellIs" dxfId="5465" priority="3642" operator="equal">
      <formula>"Tramitando"</formula>
    </cfRule>
    <cfRule type="cellIs" dxfId="5464" priority="3643" operator="equal">
      <formula>"Deferido"</formula>
    </cfRule>
    <cfRule type="cellIs" dxfId="5463" priority="3644" operator="equal">
      <formula>"Indeferido"</formula>
    </cfRule>
  </conditionalFormatting>
  <conditionalFormatting sqref="M728">
    <cfRule type="containsText" dxfId="5462" priority="3641" operator="containsText" text="Cancelado">
      <formula>NOT(ISERROR(SEARCH("Cancelado",M728)))</formula>
    </cfRule>
  </conditionalFormatting>
  <conditionalFormatting sqref="O728">
    <cfRule type="cellIs" dxfId="5461" priority="3638" operator="equal">
      <formula>"Tramitando"</formula>
    </cfRule>
    <cfRule type="cellIs" dxfId="5460" priority="3639" operator="equal">
      <formula>"Deferido"</formula>
    </cfRule>
    <cfRule type="cellIs" dxfId="5459" priority="3640" operator="equal">
      <formula>"Indeferido"</formula>
    </cfRule>
  </conditionalFormatting>
  <conditionalFormatting sqref="O728">
    <cfRule type="containsText" dxfId="5458" priority="3637" operator="containsText" text="Cancelado">
      <formula>NOT(ISERROR(SEARCH("Cancelado",O728)))</formula>
    </cfRule>
  </conditionalFormatting>
  <conditionalFormatting sqref="Q728">
    <cfRule type="cellIs" dxfId="5457" priority="3634" operator="equal">
      <formula>"Tramitando"</formula>
    </cfRule>
    <cfRule type="cellIs" dxfId="5456" priority="3635" operator="equal">
      <formula>"Deferido"</formula>
    </cfRule>
    <cfRule type="cellIs" dxfId="5455" priority="3636" operator="equal">
      <formula>"Indeferido"</formula>
    </cfRule>
  </conditionalFormatting>
  <conditionalFormatting sqref="Q728">
    <cfRule type="containsText" dxfId="5454" priority="3633" operator="containsText" text="Cancelado">
      <formula>NOT(ISERROR(SEARCH("Cancelado",Q728)))</formula>
    </cfRule>
  </conditionalFormatting>
  <conditionalFormatting sqref="S728">
    <cfRule type="cellIs" dxfId="5453" priority="3630" operator="equal">
      <formula>"Tramitando"</formula>
    </cfRule>
    <cfRule type="cellIs" dxfId="5452" priority="3631" operator="equal">
      <formula>"Deferido"</formula>
    </cfRule>
    <cfRule type="cellIs" dxfId="5451" priority="3632" operator="equal">
      <formula>"Indeferido"</formula>
    </cfRule>
  </conditionalFormatting>
  <conditionalFormatting sqref="S728">
    <cfRule type="containsText" dxfId="5450" priority="3629" operator="containsText" text="Cancelado">
      <formula>NOT(ISERROR(SEARCH("Cancelado",S728)))</formula>
    </cfRule>
  </conditionalFormatting>
  <conditionalFormatting sqref="J729">
    <cfRule type="cellIs" dxfId="5449" priority="3625" operator="equal">
      <formula>"Tramitando"</formula>
    </cfRule>
    <cfRule type="cellIs" dxfId="5448" priority="3626" operator="equal">
      <formula>"Deferido"</formula>
    </cfRule>
    <cfRule type="cellIs" dxfId="5447" priority="3627" operator="equal">
      <formula>"Indeferido"</formula>
    </cfRule>
  </conditionalFormatting>
  <conditionalFormatting sqref="J729">
    <cfRule type="containsText" dxfId="5446" priority="3624" operator="containsText" text="Cancelado">
      <formula>NOT(ISERROR(SEARCH("Cancelado",J729)))</formula>
    </cfRule>
  </conditionalFormatting>
  <conditionalFormatting sqref="M729">
    <cfRule type="cellIs" dxfId="5445" priority="3621" operator="equal">
      <formula>"Tramitando"</formula>
    </cfRule>
    <cfRule type="cellIs" dxfId="5444" priority="3622" operator="equal">
      <formula>"Deferido"</formula>
    </cfRule>
    <cfRule type="cellIs" dxfId="5443" priority="3623" operator="equal">
      <formula>"Indeferido"</formula>
    </cfRule>
  </conditionalFormatting>
  <conditionalFormatting sqref="M729">
    <cfRule type="containsText" dxfId="5442" priority="3620" operator="containsText" text="Cancelado">
      <formula>NOT(ISERROR(SEARCH("Cancelado",M729)))</formula>
    </cfRule>
  </conditionalFormatting>
  <conditionalFormatting sqref="O729">
    <cfRule type="cellIs" dxfId="5441" priority="3617" operator="equal">
      <formula>"Tramitando"</formula>
    </cfRule>
    <cfRule type="cellIs" dxfId="5440" priority="3618" operator="equal">
      <formula>"Deferido"</formula>
    </cfRule>
    <cfRule type="cellIs" dxfId="5439" priority="3619" operator="equal">
      <formula>"Indeferido"</formula>
    </cfRule>
  </conditionalFormatting>
  <conditionalFormatting sqref="O729">
    <cfRule type="containsText" dxfId="5438" priority="3616" operator="containsText" text="Cancelado">
      <formula>NOT(ISERROR(SEARCH("Cancelado",O729)))</formula>
    </cfRule>
  </conditionalFormatting>
  <conditionalFormatting sqref="Q729">
    <cfRule type="cellIs" dxfId="5437" priority="3613" operator="equal">
      <formula>"Tramitando"</formula>
    </cfRule>
    <cfRule type="cellIs" dxfId="5436" priority="3614" operator="equal">
      <formula>"Deferido"</formula>
    </cfRule>
    <cfRule type="cellIs" dxfId="5435" priority="3615" operator="equal">
      <formula>"Indeferido"</formula>
    </cfRule>
  </conditionalFormatting>
  <conditionalFormatting sqref="Q729">
    <cfRule type="containsText" dxfId="5434" priority="3612" operator="containsText" text="Cancelado">
      <formula>NOT(ISERROR(SEARCH("Cancelado",Q729)))</formula>
    </cfRule>
  </conditionalFormatting>
  <conditionalFormatting sqref="S729">
    <cfRule type="cellIs" dxfId="5433" priority="3609" operator="equal">
      <formula>"Tramitando"</formula>
    </cfRule>
    <cfRule type="cellIs" dxfId="5432" priority="3610" operator="equal">
      <formula>"Deferido"</formula>
    </cfRule>
    <cfRule type="cellIs" dxfId="5431" priority="3611" operator="equal">
      <formula>"Indeferido"</formula>
    </cfRule>
  </conditionalFormatting>
  <conditionalFormatting sqref="S729">
    <cfRule type="containsText" dxfId="5430" priority="3608" operator="containsText" text="Cancelado">
      <formula>NOT(ISERROR(SEARCH("Cancelado",S729)))</formula>
    </cfRule>
  </conditionalFormatting>
  <conditionalFormatting sqref="J730">
    <cfRule type="cellIs" dxfId="5429" priority="3604" operator="equal">
      <formula>"Tramitando"</formula>
    </cfRule>
    <cfRule type="cellIs" dxfId="5428" priority="3605" operator="equal">
      <formula>"Deferido"</formula>
    </cfRule>
    <cfRule type="cellIs" dxfId="5427" priority="3606" operator="equal">
      <formula>"Indeferido"</formula>
    </cfRule>
  </conditionalFormatting>
  <conditionalFormatting sqref="J730">
    <cfRule type="containsText" dxfId="5426" priority="3603" operator="containsText" text="Cancelado">
      <formula>NOT(ISERROR(SEARCH("Cancelado",J730)))</formula>
    </cfRule>
  </conditionalFormatting>
  <conditionalFormatting sqref="M730">
    <cfRule type="cellIs" dxfId="5425" priority="3600" operator="equal">
      <formula>"Tramitando"</formula>
    </cfRule>
    <cfRule type="cellIs" dxfId="5424" priority="3601" operator="equal">
      <formula>"Deferido"</formula>
    </cfRule>
    <cfRule type="cellIs" dxfId="5423" priority="3602" operator="equal">
      <formula>"Indeferido"</formula>
    </cfRule>
  </conditionalFormatting>
  <conditionalFormatting sqref="M730">
    <cfRule type="containsText" dxfId="5422" priority="3599" operator="containsText" text="Cancelado">
      <formula>NOT(ISERROR(SEARCH("Cancelado",M730)))</formula>
    </cfRule>
  </conditionalFormatting>
  <conditionalFormatting sqref="O730">
    <cfRule type="cellIs" dxfId="5421" priority="3596" operator="equal">
      <formula>"Tramitando"</formula>
    </cfRule>
    <cfRule type="cellIs" dxfId="5420" priority="3597" operator="equal">
      <formula>"Deferido"</formula>
    </cfRule>
    <cfRule type="cellIs" dxfId="5419" priority="3598" operator="equal">
      <formula>"Indeferido"</formula>
    </cfRule>
  </conditionalFormatting>
  <conditionalFormatting sqref="O730">
    <cfRule type="containsText" dxfId="5418" priority="3595" operator="containsText" text="Cancelado">
      <formula>NOT(ISERROR(SEARCH("Cancelado",O730)))</formula>
    </cfRule>
  </conditionalFormatting>
  <conditionalFormatting sqref="Q730">
    <cfRule type="cellIs" dxfId="5417" priority="3592" operator="equal">
      <formula>"Tramitando"</formula>
    </cfRule>
    <cfRule type="cellIs" dxfId="5416" priority="3593" operator="equal">
      <formula>"Deferido"</formula>
    </cfRule>
    <cfRule type="cellIs" dxfId="5415" priority="3594" operator="equal">
      <formula>"Indeferido"</formula>
    </cfRule>
  </conditionalFormatting>
  <conditionalFormatting sqref="Q730">
    <cfRule type="containsText" dxfId="5414" priority="3591" operator="containsText" text="Cancelado">
      <formula>NOT(ISERROR(SEARCH("Cancelado",Q730)))</formula>
    </cfRule>
  </conditionalFormatting>
  <conditionalFormatting sqref="S730">
    <cfRule type="cellIs" dxfId="5413" priority="3588" operator="equal">
      <formula>"Tramitando"</formula>
    </cfRule>
    <cfRule type="cellIs" dxfId="5412" priority="3589" operator="equal">
      <formula>"Deferido"</formula>
    </cfRule>
    <cfRule type="cellIs" dxfId="5411" priority="3590" operator="equal">
      <formula>"Indeferido"</formula>
    </cfRule>
  </conditionalFormatting>
  <conditionalFormatting sqref="S730">
    <cfRule type="containsText" dxfId="5410" priority="3587" operator="containsText" text="Cancelado">
      <formula>NOT(ISERROR(SEARCH("Cancelado",S730)))</formula>
    </cfRule>
  </conditionalFormatting>
  <conditionalFormatting sqref="J731">
    <cfRule type="cellIs" dxfId="5409" priority="3583" operator="equal">
      <formula>"Tramitando"</formula>
    </cfRule>
    <cfRule type="cellIs" dxfId="5408" priority="3584" operator="equal">
      <formula>"Deferido"</formula>
    </cfRule>
    <cfRule type="cellIs" dxfId="5407" priority="3585" operator="equal">
      <formula>"Indeferido"</formula>
    </cfRule>
  </conditionalFormatting>
  <conditionalFormatting sqref="J731">
    <cfRule type="containsText" dxfId="5406" priority="3582" operator="containsText" text="Cancelado">
      <formula>NOT(ISERROR(SEARCH("Cancelado",J731)))</formula>
    </cfRule>
  </conditionalFormatting>
  <conditionalFormatting sqref="M731">
    <cfRule type="cellIs" dxfId="5405" priority="3579" operator="equal">
      <formula>"Tramitando"</formula>
    </cfRule>
    <cfRule type="cellIs" dxfId="5404" priority="3580" operator="equal">
      <formula>"Deferido"</formula>
    </cfRule>
    <cfRule type="cellIs" dxfId="5403" priority="3581" operator="equal">
      <formula>"Indeferido"</formula>
    </cfRule>
  </conditionalFormatting>
  <conditionalFormatting sqref="M731">
    <cfRule type="containsText" dxfId="5402" priority="3578" operator="containsText" text="Cancelado">
      <formula>NOT(ISERROR(SEARCH("Cancelado",M731)))</formula>
    </cfRule>
  </conditionalFormatting>
  <conditionalFormatting sqref="O731">
    <cfRule type="cellIs" dxfId="5401" priority="3575" operator="equal">
      <formula>"Tramitando"</formula>
    </cfRule>
    <cfRule type="cellIs" dxfId="5400" priority="3576" operator="equal">
      <formula>"Deferido"</formula>
    </cfRule>
    <cfRule type="cellIs" dxfId="5399" priority="3577" operator="equal">
      <formula>"Indeferido"</formula>
    </cfRule>
  </conditionalFormatting>
  <conditionalFormatting sqref="O731">
    <cfRule type="containsText" dxfId="5398" priority="3574" operator="containsText" text="Cancelado">
      <formula>NOT(ISERROR(SEARCH("Cancelado",O731)))</formula>
    </cfRule>
  </conditionalFormatting>
  <conditionalFormatting sqref="Q731">
    <cfRule type="cellIs" dxfId="5397" priority="3571" operator="equal">
      <formula>"Tramitando"</formula>
    </cfRule>
    <cfRule type="cellIs" dxfId="5396" priority="3572" operator="equal">
      <formula>"Deferido"</formula>
    </cfRule>
    <cfRule type="cellIs" dxfId="5395" priority="3573" operator="equal">
      <formula>"Indeferido"</formula>
    </cfRule>
  </conditionalFormatting>
  <conditionalFormatting sqref="Q731">
    <cfRule type="containsText" dxfId="5394" priority="3570" operator="containsText" text="Cancelado">
      <formula>NOT(ISERROR(SEARCH("Cancelado",Q731)))</formula>
    </cfRule>
  </conditionalFormatting>
  <conditionalFormatting sqref="S731">
    <cfRule type="cellIs" dxfId="5393" priority="3567" operator="equal">
      <formula>"Tramitando"</formula>
    </cfRule>
    <cfRule type="cellIs" dxfId="5392" priority="3568" operator="equal">
      <formula>"Deferido"</formula>
    </cfRule>
    <cfRule type="cellIs" dxfId="5391" priority="3569" operator="equal">
      <formula>"Indeferido"</formula>
    </cfRule>
  </conditionalFormatting>
  <conditionalFormatting sqref="S731">
    <cfRule type="containsText" dxfId="5390" priority="3566" operator="containsText" text="Cancelado">
      <formula>NOT(ISERROR(SEARCH("Cancelado",S731)))</formula>
    </cfRule>
  </conditionalFormatting>
  <conditionalFormatting sqref="J732">
    <cfRule type="cellIs" dxfId="5389" priority="3562" operator="equal">
      <formula>"Tramitando"</formula>
    </cfRule>
    <cfRule type="cellIs" dxfId="5388" priority="3563" operator="equal">
      <formula>"Deferido"</formula>
    </cfRule>
    <cfRule type="cellIs" dxfId="5387" priority="3564" operator="equal">
      <formula>"Indeferido"</formula>
    </cfRule>
  </conditionalFormatting>
  <conditionalFormatting sqref="J732">
    <cfRule type="containsText" dxfId="5386" priority="3561" operator="containsText" text="Cancelado">
      <formula>NOT(ISERROR(SEARCH("Cancelado",J732)))</formula>
    </cfRule>
  </conditionalFormatting>
  <conditionalFormatting sqref="M732">
    <cfRule type="cellIs" dxfId="5385" priority="3558" operator="equal">
      <formula>"Tramitando"</formula>
    </cfRule>
    <cfRule type="cellIs" dxfId="5384" priority="3559" operator="equal">
      <formula>"Deferido"</formula>
    </cfRule>
    <cfRule type="cellIs" dxfId="5383" priority="3560" operator="equal">
      <formula>"Indeferido"</formula>
    </cfRule>
  </conditionalFormatting>
  <conditionalFormatting sqref="M732">
    <cfRule type="containsText" dxfId="5382" priority="3557" operator="containsText" text="Cancelado">
      <formula>NOT(ISERROR(SEARCH("Cancelado",M732)))</formula>
    </cfRule>
  </conditionalFormatting>
  <conditionalFormatting sqref="O732">
    <cfRule type="cellIs" dxfId="5381" priority="3554" operator="equal">
      <formula>"Tramitando"</formula>
    </cfRule>
    <cfRule type="cellIs" dxfId="5380" priority="3555" operator="equal">
      <formula>"Deferido"</formula>
    </cfRule>
    <cfRule type="cellIs" dxfId="5379" priority="3556" operator="equal">
      <formula>"Indeferido"</formula>
    </cfRule>
  </conditionalFormatting>
  <conditionalFormatting sqref="O732">
    <cfRule type="containsText" dxfId="5378" priority="3553" operator="containsText" text="Cancelado">
      <formula>NOT(ISERROR(SEARCH("Cancelado",O732)))</formula>
    </cfRule>
  </conditionalFormatting>
  <conditionalFormatting sqref="Q732">
    <cfRule type="cellIs" dxfId="5377" priority="3550" operator="equal">
      <formula>"Tramitando"</formula>
    </cfRule>
    <cfRule type="cellIs" dxfId="5376" priority="3551" operator="equal">
      <formula>"Deferido"</formula>
    </cfRule>
    <cfRule type="cellIs" dxfId="5375" priority="3552" operator="equal">
      <formula>"Indeferido"</formula>
    </cfRule>
  </conditionalFormatting>
  <conditionalFormatting sqref="Q732">
    <cfRule type="containsText" dxfId="5374" priority="3549" operator="containsText" text="Cancelado">
      <formula>NOT(ISERROR(SEARCH("Cancelado",Q732)))</formula>
    </cfRule>
  </conditionalFormatting>
  <conditionalFormatting sqref="S732">
    <cfRule type="cellIs" dxfId="5373" priority="3546" operator="equal">
      <formula>"Tramitando"</formula>
    </cfRule>
    <cfRule type="cellIs" dxfId="5372" priority="3547" operator="equal">
      <formula>"Deferido"</formula>
    </cfRule>
    <cfRule type="cellIs" dxfId="5371" priority="3548" operator="equal">
      <formula>"Indeferido"</formula>
    </cfRule>
  </conditionalFormatting>
  <conditionalFormatting sqref="S732">
    <cfRule type="containsText" dxfId="5370" priority="3545" operator="containsText" text="Cancelado">
      <formula>NOT(ISERROR(SEARCH("Cancelado",S732)))</formula>
    </cfRule>
  </conditionalFormatting>
  <conditionalFormatting sqref="J733">
    <cfRule type="cellIs" dxfId="5369" priority="3541" operator="equal">
      <formula>"Tramitando"</formula>
    </cfRule>
    <cfRule type="cellIs" dxfId="5368" priority="3542" operator="equal">
      <formula>"Deferido"</formula>
    </cfRule>
    <cfRule type="cellIs" dxfId="5367" priority="3543" operator="equal">
      <formula>"Indeferido"</formula>
    </cfRule>
  </conditionalFormatting>
  <conditionalFormatting sqref="J733">
    <cfRule type="containsText" dxfId="5366" priority="3540" operator="containsText" text="Cancelado">
      <formula>NOT(ISERROR(SEARCH("Cancelado",J733)))</formula>
    </cfRule>
  </conditionalFormatting>
  <conditionalFormatting sqref="M733">
    <cfRule type="cellIs" dxfId="5365" priority="3537" operator="equal">
      <formula>"Tramitando"</formula>
    </cfRule>
    <cfRule type="cellIs" dxfId="5364" priority="3538" operator="equal">
      <formula>"Deferido"</formula>
    </cfRule>
    <cfRule type="cellIs" dxfId="5363" priority="3539" operator="equal">
      <formula>"Indeferido"</formula>
    </cfRule>
  </conditionalFormatting>
  <conditionalFormatting sqref="M733">
    <cfRule type="containsText" dxfId="5362" priority="3536" operator="containsText" text="Cancelado">
      <formula>NOT(ISERROR(SEARCH("Cancelado",M733)))</formula>
    </cfRule>
  </conditionalFormatting>
  <conditionalFormatting sqref="O733">
    <cfRule type="cellIs" dxfId="5361" priority="3533" operator="equal">
      <formula>"Tramitando"</formula>
    </cfRule>
    <cfRule type="cellIs" dxfId="5360" priority="3534" operator="equal">
      <formula>"Deferido"</formula>
    </cfRule>
    <cfRule type="cellIs" dxfId="5359" priority="3535" operator="equal">
      <formula>"Indeferido"</formula>
    </cfRule>
  </conditionalFormatting>
  <conditionalFormatting sqref="O733">
    <cfRule type="containsText" dxfId="5358" priority="3532" operator="containsText" text="Cancelado">
      <formula>NOT(ISERROR(SEARCH("Cancelado",O733)))</formula>
    </cfRule>
  </conditionalFormatting>
  <conditionalFormatting sqref="Q733">
    <cfRule type="cellIs" dxfId="5357" priority="3529" operator="equal">
      <formula>"Tramitando"</formula>
    </cfRule>
    <cfRule type="cellIs" dxfId="5356" priority="3530" operator="equal">
      <formula>"Deferido"</formula>
    </cfRule>
    <cfRule type="cellIs" dxfId="5355" priority="3531" operator="equal">
      <formula>"Indeferido"</formula>
    </cfRule>
  </conditionalFormatting>
  <conditionalFormatting sqref="Q733">
    <cfRule type="containsText" dxfId="5354" priority="3528" operator="containsText" text="Cancelado">
      <formula>NOT(ISERROR(SEARCH("Cancelado",Q733)))</formula>
    </cfRule>
  </conditionalFormatting>
  <conditionalFormatting sqref="S733">
    <cfRule type="cellIs" dxfId="5353" priority="3525" operator="equal">
      <formula>"Tramitando"</formula>
    </cfRule>
    <cfRule type="cellIs" dxfId="5352" priority="3526" operator="equal">
      <formula>"Deferido"</formula>
    </cfRule>
    <cfRule type="cellIs" dxfId="5351" priority="3527" operator="equal">
      <formula>"Indeferido"</formula>
    </cfRule>
  </conditionalFormatting>
  <conditionalFormatting sqref="S733">
    <cfRule type="containsText" dxfId="5350" priority="3524" operator="containsText" text="Cancelado">
      <formula>NOT(ISERROR(SEARCH("Cancelado",S733)))</formula>
    </cfRule>
  </conditionalFormatting>
  <conditionalFormatting sqref="J734">
    <cfRule type="cellIs" dxfId="5349" priority="3520" operator="equal">
      <formula>"Tramitando"</formula>
    </cfRule>
    <cfRule type="cellIs" dxfId="5348" priority="3521" operator="equal">
      <formula>"Deferido"</formula>
    </cfRule>
    <cfRule type="cellIs" dxfId="5347" priority="3522" operator="equal">
      <formula>"Indeferido"</formula>
    </cfRule>
  </conditionalFormatting>
  <conditionalFormatting sqref="J734">
    <cfRule type="containsText" dxfId="5346" priority="3519" operator="containsText" text="Cancelado">
      <formula>NOT(ISERROR(SEARCH("Cancelado",J734)))</formula>
    </cfRule>
  </conditionalFormatting>
  <conditionalFormatting sqref="M734">
    <cfRule type="cellIs" dxfId="5345" priority="3516" operator="equal">
      <formula>"Tramitando"</formula>
    </cfRule>
    <cfRule type="cellIs" dxfId="5344" priority="3517" operator="equal">
      <formula>"Deferido"</formula>
    </cfRule>
    <cfRule type="cellIs" dxfId="5343" priority="3518" operator="equal">
      <formula>"Indeferido"</formula>
    </cfRule>
  </conditionalFormatting>
  <conditionalFormatting sqref="M734">
    <cfRule type="containsText" dxfId="5342" priority="3515" operator="containsText" text="Cancelado">
      <formula>NOT(ISERROR(SEARCH("Cancelado",M734)))</formula>
    </cfRule>
  </conditionalFormatting>
  <conditionalFormatting sqref="O734">
    <cfRule type="cellIs" dxfId="5341" priority="3512" operator="equal">
      <formula>"Tramitando"</formula>
    </cfRule>
    <cfRule type="cellIs" dxfId="5340" priority="3513" operator="equal">
      <formula>"Deferido"</formula>
    </cfRule>
    <cfRule type="cellIs" dxfId="5339" priority="3514" operator="equal">
      <formula>"Indeferido"</formula>
    </cfRule>
  </conditionalFormatting>
  <conditionalFormatting sqref="O734">
    <cfRule type="containsText" dxfId="5338" priority="3511" operator="containsText" text="Cancelado">
      <formula>NOT(ISERROR(SEARCH("Cancelado",O734)))</formula>
    </cfRule>
  </conditionalFormatting>
  <conditionalFormatting sqref="Q734">
    <cfRule type="cellIs" dxfId="5337" priority="3508" operator="equal">
      <formula>"Tramitando"</formula>
    </cfRule>
    <cfRule type="cellIs" dxfId="5336" priority="3509" operator="equal">
      <formula>"Deferido"</formula>
    </cfRule>
    <cfRule type="cellIs" dxfId="5335" priority="3510" operator="equal">
      <formula>"Indeferido"</formula>
    </cfRule>
  </conditionalFormatting>
  <conditionalFormatting sqref="Q734">
    <cfRule type="containsText" dxfId="5334" priority="3507" operator="containsText" text="Cancelado">
      <formula>NOT(ISERROR(SEARCH("Cancelado",Q734)))</formula>
    </cfRule>
  </conditionalFormatting>
  <conditionalFormatting sqref="S734">
    <cfRule type="cellIs" dxfId="5333" priority="3504" operator="equal">
      <formula>"Tramitando"</formula>
    </cfRule>
    <cfRule type="cellIs" dxfId="5332" priority="3505" operator="equal">
      <formula>"Deferido"</formula>
    </cfRule>
    <cfRule type="cellIs" dxfId="5331" priority="3506" operator="equal">
      <formula>"Indeferido"</formula>
    </cfRule>
  </conditionalFormatting>
  <conditionalFormatting sqref="S734">
    <cfRule type="containsText" dxfId="5330" priority="3503" operator="containsText" text="Cancelado">
      <formula>NOT(ISERROR(SEARCH("Cancelado",S734)))</formula>
    </cfRule>
  </conditionalFormatting>
  <conditionalFormatting sqref="J735">
    <cfRule type="cellIs" dxfId="5329" priority="3499" operator="equal">
      <formula>"Tramitando"</formula>
    </cfRule>
    <cfRule type="cellIs" dxfId="5328" priority="3500" operator="equal">
      <formula>"Deferido"</formula>
    </cfRule>
    <cfRule type="cellIs" dxfId="5327" priority="3501" operator="equal">
      <formula>"Indeferido"</formula>
    </cfRule>
  </conditionalFormatting>
  <conditionalFormatting sqref="J735">
    <cfRule type="containsText" dxfId="5326" priority="3498" operator="containsText" text="Cancelado">
      <formula>NOT(ISERROR(SEARCH("Cancelado",J735)))</formula>
    </cfRule>
  </conditionalFormatting>
  <conditionalFormatting sqref="M735">
    <cfRule type="cellIs" dxfId="5325" priority="3495" operator="equal">
      <formula>"Tramitando"</formula>
    </cfRule>
    <cfRule type="cellIs" dxfId="5324" priority="3496" operator="equal">
      <formula>"Deferido"</formula>
    </cfRule>
    <cfRule type="cellIs" dxfId="5323" priority="3497" operator="equal">
      <formula>"Indeferido"</formula>
    </cfRule>
  </conditionalFormatting>
  <conditionalFormatting sqref="M735">
    <cfRule type="containsText" dxfId="5322" priority="3494" operator="containsText" text="Cancelado">
      <formula>NOT(ISERROR(SEARCH("Cancelado",M735)))</formula>
    </cfRule>
  </conditionalFormatting>
  <conditionalFormatting sqref="O735">
    <cfRule type="cellIs" dxfId="5321" priority="3491" operator="equal">
      <formula>"Tramitando"</formula>
    </cfRule>
    <cfRule type="cellIs" dxfId="5320" priority="3492" operator="equal">
      <formula>"Deferido"</formula>
    </cfRule>
    <cfRule type="cellIs" dxfId="5319" priority="3493" operator="equal">
      <formula>"Indeferido"</formula>
    </cfRule>
  </conditionalFormatting>
  <conditionalFormatting sqref="O735">
    <cfRule type="containsText" dxfId="5318" priority="3490" operator="containsText" text="Cancelado">
      <formula>NOT(ISERROR(SEARCH("Cancelado",O735)))</formula>
    </cfRule>
  </conditionalFormatting>
  <conditionalFormatting sqref="Q735">
    <cfRule type="cellIs" dxfId="5317" priority="3487" operator="equal">
      <formula>"Tramitando"</formula>
    </cfRule>
    <cfRule type="cellIs" dxfId="5316" priority="3488" operator="equal">
      <formula>"Deferido"</formula>
    </cfRule>
    <cfRule type="cellIs" dxfId="5315" priority="3489" operator="equal">
      <formula>"Indeferido"</formula>
    </cfRule>
  </conditionalFormatting>
  <conditionalFormatting sqref="Q735">
    <cfRule type="containsText" dxfId="5314" priority="3486" operator="containsText" text="Cancelado">
      <formula>NOT(ISERROR(SEARCH("Cancelado",Q735)))</formula>
    </cfRule>
  </conditionalFormatting>
  <conditionalFormatting sqref="S735">
    <cfRule type="cellIs" dxfId="5313" priority="3483" operator="equal">
      <formula>"Tramitando"</formula>
    </cfRule>
    <cfRule type="cellIs" dxfId="5312" priority="3484" operator="equal">
      <formula>"Deferido"</formula>
    </cfRule>
    <cfRule type="cellIs" dxfId="5311" priority="3485" operator="equal">
      <formula>"Indeferido"</formula>
    </cfRule>
  </conditionalFormatting>
  <conditionalFormatting sqref="S735">
    <cfRule type="containsText" dxfId="5310" priority="3482" operator="containsText" text="Cancelado">
      <formula>NOT(ISERROR(SEARCH("Cancelado",S735)))</formula>
    </cfRule>
  </conditionalFormatting>
  <conditionalFormatting sqref="J736">
    <cfRule type="cellIs" dxfId="5309" priority="3478" operator="equal">
      <formula>"Tramitando"</formula>
    </cfRule>
    <cfRule type="cellIs" dxfId="5308" priority="3479" operator="equal">
      <formula>"Deferido"</formula>
    </cfRule>
    <cfRule type="cellIs" dxfId="5307" priority="3480" operator="equal">
      <formula>"Indeferido"</formula>
    </cfRule>
  </conditionalFormatting>
  <conditionalFormatting sqref="J736">
    <cfRule type="containsText" dxfId="5306" priority="3477" operator="containsText" text="Cancelado">
      <formula>NOT(ISERROR(SEARCH("Cancelado",J736)))</formula>
    </cfRule>
  </conditionalFormatting>
  <conditionalFormatting sqref="M736">
    <cfRule type="cellIs" dxfId="5305" priority="3474" operator="equal">
      <formula>"Tramitando"</formula>
    </cfRule>
    <cfRule type="cellIs" dxfId="5304" priority="3475" operator="equal">
      <formula>"Deferido"</formula>
    </cfRule>
    <cfRule type="cellIs" dxfId="5303" priority="3476" operator="equal">
      <formula>"Indeferido"</formula>
    </cfRule>
  </conditionalFormatting>
  <conditionalFormatting sqref="M736">
    <cfRule type="containsText" dxfId="5302" priority="3473" operator="containsText" text="Cancelado">
      <formula>NOT(ISERROR(SEARCH("Cancelado",M736)))</formula>
    </cfRule>
  </conditionalFormatting>
  <conditionalFormatting sqref="O736">
    <cfRule type="cellIs" dxfId="5301" priority="3470" operator="equal">
      <formula>"Tramitando"</formula>
    </cfRule>
    <cfRule type="cellIs" dxfId="5300" priority="3471" operator="equal">
      <formula>"Deferido"</formula>
    </cfRule>
    <cfRule type="cellIs" dxfId="5299" priority="3472" operator="equal">
      <formula>"Indeferido"</formula>
    </cfRule>
  </conditionalFormatting>
  <conditionalFormatting sqref="O736">
    <cfRule type="containsText" dxfId="5298" priority="3469" operator="containsText" text="Cancelado">
      <formula>NOT(ISERROR(SEARCH("Cancelado",O736)))</formula>
    </cfRule>
  </conditionalFormatting>
  <conditionalFormatting sqref="Q736">
    <cfRule type="cellIs" dxfId="5297" priority="3466" operator="equal">
      <formula>"Tramitando"</formula>
    </cfRule>
    <cfRule type="cellIs" dxfId="5296" priority="3467" operator="equal">
      <formula>"Deferido"</formula>
    </cfRule>
    <cfRule type="cellIs" dxfId="5295" priority="3468" operator="equal">
      <formula>"Indeferido"</formula>
    </cfRule>
  </conditionalFormatting>
  <conditionalFormatting sqref="Q736">
    <cfRule type="containsText" dxfId="5294" priority="3465" operator="containsText" text="Cancelado">
      <formula>NOT(ISERROR(SEARCH("Cancelado",Q736)))</formula>
    </cfRule>
  </conditionalFormatting>
  <conditionalFormatting sqref="S736">
    <cfRule type="cellIs" dxfId="5293" priority="3462" operator="equal">
      <formula>"Tramitando"</formula>
    </cfRule>
    <cfRule type="cellIs" dxfId="5292" priority="3463" operator="equal">
      <formula>"Deferido"</formula>
    </cfRule>
    <cfRule type="cellIs" dxfId="5291" priority="3464" operator="equal">
      <formula>"Indeferido"</formula>
    </cfRule>
  </conditionalFormatting>
  <conditionalFormatting sqref="S736">
    <cfRule type="containsText" dxfId="5290" priority="3461" operator="containsText" text="Cancelado">
      <formula>NOT(ISERROR(SEARCH("Cancelado",S736)))</formula>
    </cfRule>
  </conditionalFormatting>
  <conditionalFormatting sqref="J737">
    <cfRule type="cellIs" dxfId="5289" priority="3457" operator="equal">
      <formula>"Tramitando"</formula>
    </cfRule>
    <cfRule type="cellIs" dxfId="5288" priority="3458" operator="equal">
      <formula>"Deferido"</formula>
    </cfRule>
    <cfRule type="cellIs" dxfId="5287" priority="3459" operator="equal">
      <formula>"Indeferido"</formula>
    </cfRule>
  </conditionalFormatting>
  <conditionalFormatting sqref="J737">
    <cfRule type="containsText" dxfId="5286" priority="3456" operator="containsText" text="Cancelado">
      <formula>NOT(ISERROR(SEARCH("Cancelado",J737)))</formula>
    </cfRule>
  </conditionalFormatting>
  <conditionalFormatting sqref="M737">
    <cfRule type="cellIs" dxfId="5285" priority="3453" operator="equal">
      <formula>"Tramitando"</formula>
    </cfRule>
    <cfRule type="cellIs" dxfId="5284" priority="3454" operator="equal">
      <formula>"Deferido"</formula>
    </cfRule>
    <cfRule type="cellIs" dxfId="5283" priority="3455" operator="equal">
      <formula>"Indeferido"</formula>
    </cfRule>
  </conditionalFormatting>
  <conditionalFormatting sqref="M737">
    <cfRule type="containsText" dxfId="5282" priority="3452" operator="containsText" text="Cancelado">
      <formula>NOT(ISERROR(SEARCH("Cancelado",M737)))</formula>
    </cfRule>
  </conditionalFormatting>
  <conditionalFormatting sqref="O737">
    <cfRule type="cellIs" dxfId="5281" priority="3449" operator="equal">
      <formula>"Tramitando"</formula>
    </cfRule>
    <cfRule type="cellIs" dxfId="5280" priority="3450" operator="equal">
      <formula>"Deferido"</formula>
    </cfRule>
    <cfRule type="cellIs" dxfId="5279" priority="3451" operator="equal">
      <formula>"Indeferido"</formula>
    </cfRule>
  </conditionalFormatting>
  <conditionalFormatting sqref="O737">
    <cfRule type="containsText" dxfId="5278" priority="3448" operator="containsText" text="Cancelado">
      <formula>NOT(ISERROR(SEARCH("Cancelado",O737)))</formula>
    </cfRule>
  </conditionalFormatting>
  <conditionalFormatting sqref="Q737">
    <cfRule type="cellIs" dxfId="5277" priority="3445" operator="equal">
      <formula>"Tramitando"</formula>
    </cfRule>
    <cfRule type="cellIs" dxfId="5276" priority="3446" operator="equal">
      <formula>"Deferido"</formula>
    </cfRule>
    <cfRule type="cellIs" dxfId="5275" priority="3447" operator="equal">
      <formula>"Indeferido"</formula>
    </cfRule>
  </conditionalFormatting>
  <conditionalFormatting sqref="Q737">
    <cfRule type="containsText" dxfId="5274" priority="3444" operator="containsText" text="Cancelado">
      <formula>NOT(ISERROR(SEARCH("Cancelado",Q737)))</formula>
    </cfRule>
  </conditionalFormatting>
  <conditionalFormatting sqref="S737">
    <cfRule type="cellIs" dxfId="5273" priority="3441" operator="equal">
      <formula>"Tramitando"</formula>
    </cfRule>
    <cfRule type="cellIs" dxfId="5272" priority="3442" operator="equal">
      <formula>"Deferido"</formula>
    </cfRule>
    <cfRule type="cellIs" dxfId="5271" priority="3443" operator="equal">
      <formula>"Indeferido"</formula>
    </cfRule>
  </conditionalFormatting>
  <conditionalFormatting sqref="S737">
    <cfRule type="containsText" dxfId="5270" priority="3440" operator="containsText" text="Cancelado">
      <formula>NOT(ISERROR(SEARCH("Cancelado",S737)))</formula>
    </cfRule>
  </conditionalFormatting>
  <conditionalFormatting sqref="J738">
    <cfRule type="cellIs" dxfId="5269" priority="3436" operator="equal">
      <formula>"Tramitando"</formula>
    </cfRule>
    <cfRule type="cellIs" dxfId="5268" priority="3437" operator="equal">
      <formula>"Deferido"</formula>
    </cfRule>
    <cfRule type="cellIs" dxfId="5267" priority="3438" operator="equal">
      <formula>"Indeferido"</formula>
    </cfRule>
  </conditionalFormatting>
  <conditionalFormatting sqref="J738">
    <cfRule type="containsText" dxfId="5266" priority="3435" operator="containsText" text="Cancelado">
      <formula>NOT(ISERROR(SEARCH("Cancelado",J738)))</formula>
    </cfRule>
  </conditionalFormatting>
  <conditionalFormatting sqref="M738">
    <cfRule type="cellIs" dxfId="5265" priority="3432" operator="equal">
      <formula>"Tramitando"</formula>
    </cfRule>
    <cfRule type="cellIs" dxfId="5264" priority="3433" operator="equal">
      <formula>"Deferido"</formula>
    </cfRule>
    <cfRule type="cellIs" dxfId="5263" priority="3434" operator="equal">
      <formula>"Indeferido"</formula>
    </cfRule>
  </conditionalFormatting>
  <conditionalFormatting sqref="M738">
    <cfRule type="containsText" dxfId="5262" priority="3431" operator="containsText" text="Cancelado">
      <formula>NOT(ISERROR(SEARCH("Cancelado",M738)))</formula>
    </cfRule>
  </conditionalFormatting>
  <conditionalFormatting sqref="O738">
    <cfRule type="cellIs" dxfId="5261" priority="3428" operator="equal">
      <formula>"Tramitando"</formula>
    </cfRule>
    <cfRule type="cellIs" dxfId="5260" priority="3429" operator="equal">
      <formula>"Deferido"</formula>
    </cfRule>
    <cfRule type="cellIs" dxfId="5259" priority="3430" operator="equal">
      <formula>"Indeferido"</formula>
    </cfRule>
  </conditionalFormatting>
  <conditionalFormatting sqref="O738">
    <cfRule type="containsText" dxfId="5258" priority="3427" operator="containsText" text="Cancelado">
      <formula>NOT(ISERROR(SEARCH("Cancelado",O738)))</formula>
    </cfRule>
  </conditionalFormatting>
  <conditionalFormatting sqref="Q738">
    <cfRule type="cellIs" dxfId="5257" priority="3424" operator="equal">
      <formula>"Tramitando"</formula>
    </cfRule>
    <cfRule type="cellIs" dxfId="5256" priority="3425" operator="equal">
      <formula>"Deferido"</formula>
    </cfRule>
    <cfRule type="cellIs" dxfId="5255" priority="3426" operator="equal">
      <formula>"Indeferido"</formula>
    </cfRule>
  </conditionalFormatting>
  <conditionalFormatting sqref="Q738">
    <cfRule type="containsText" dxfId="5254" priority="3423" operator="containsText" text="Cancelado">
      <formula>NOT(ISERROR(SEARCH("Cancelado",Q738)))</formula>
    </cfRule>
  </conditionalFormatting>
  <conditionalFormatting sqref="S738">
    <cfRule type="cellIs" dxfId="5253" priority="3420" operator="equal">
      <formula>"Tramitando"</formula>
    </cfRule>
    <cfRule type="cellIs" dxfId="5252" priority="3421" operator="equal">
      <formula>"Deferido"</formula>
    </cfRule>
    <cfRule type="cellIs" dxfId="5251" priority="3422" operator="equal">
      <formula>"Indeferido"</formula>
    </cfRule>
  </conditionalFormatting>
  <conditionalFormatting sqref="S738">
    <cfRule type="containsText" dxfId="5250" priority="3419" operator="containsText" text="Cancelado">
      <formula>NOT(ISERROR(SEARCH("Cancelado",S738)))</formula>
    </cfRule>
  </conditionalFormatting>
  <conditionalFormatting sqref="J739">
    <cfRule type="cellIs" dxfId="5249" priority="3415" operator="equal">
      <formula>"Tramitando"</formula>
    </cfRule>
    <cfRule type="cellIs" dxfId="5248" priority="3416" operator="equal">
      <formula>"Deferido"</formula>
    </cfRule>
    <cfRule type="cellIs" dxfId="5247" priority="3417" operator="equal">
      <formula>"Indeferido"</formula>
    </cfRule>
  </conditionalFormatting>
  <conditionalFormatting sqref="J739">
    <cfRule type="containsText" dxfId="5246" priority="3414" operator="containsText" text="Cancelado">
      <formula>NOT(ISERROR(SEARCH("Cancelado",J739)))</formula>
    </cfRule>
  </conditionalFormatting>
  <conditionalFormatting sqref="M739">
    <cfRule type="cellIs" dxfId="5245" priority="3411" operator="equal">
      <formula>"Tramitando"</formula>
    </cfRule>
    <cfRule type="cellIs" dxfId="5244" priority="3412" operator="equal">
      <formula>"Deferido"</formula>
    </cfRule>
    <cfRule type="cellIs" dxfId="5243" priority="3413" operator="equal">
      <formula>"Indeferido"</formula>
    </cfRule>
  </conditionalFormatting>
  <conditionalFormatting sqref="M739">
    <cfRule type="containsText" dxfId="5242" priority="3410" operator="containsText" text="Cancelado">
      <formula>NOT(ISERROR(SEARCH("Cancelado",M739)))</formula>
    </cfRule>
  </conditionalFormatting>
  <conditionalFormatting sqref="O739">
    <cfRule type="cellIs" dxfId="5241" priority="3407" operator="equal">
      <formula>"Tramitando"</formula>
    </cfRule>
    <cfRule type="cellIs" dxfId="5240" priority="3408" operator="equal">
      <formula>"Deferido"</formula>
    </cfRule>
    <cfRule type="cellIs" dxfId="5239" priority="3409" operator="equal">
      <formula>"Indeferido"</formula>
    </cfRule>
  </conditionalFormatting>
  <conditionalFormatting sqref="O739">
    <cfRule type="containsText" dxfId="5238" priority="3406" operator="containsText" text="Cancelado">
      <formula>NOT(ISERROR(SEARCH("Cancelado",O739)))</formula>
    </cfRule>
  </conditionalFormatting>
  <conditionalFormatting sqref="Q739">
    <cfRule type="cellIs" dxfId="5237" priority="3403" operator="equal">
      <formula>"Tramitando"</formula>
    </cfRule>
    <cfRule type="cellIs" dxfId="5236" priority="3404" operator="equal">
      <formula>"Deferido"</formula>
    </cfRule>
    <cfRule type="cellIs" dxfId="5235" priority="3405" operator="equal">
      <formula>"Indeferido"</formula>
    </cfRule>
  </conditionalFormatting>
  <conditionalFormatting sqref="Q739">
    <cfRule type="containsText" dxfId="5234" priority="3402" operator="containsText" text="Cancelado">
      <formula>NOT(ISERROR(SEARCH("Cancelado",Q739)))</formula>
    </cfRule>
  </conditionalFormatting>
  <conditionalFormatting sqref="S739">
    <cfRule type="cellIs" dxfId="5233" priority="3399" operator="equal">
      <formula>"Tramitando"</formula>
    </cfRule>
    <cfRule type="cellIs" dxfId="5232" priority="3400" operator="equal">
      <formula>"Deferido"</formula>
    </cfRule>
    <cfRule type="cellIs" dxfId="5231" priority="3401" operator="equal">
      <formula>"Indeferido"</formula>
    </cfRule>
  </conditionalFormatting>
  <conditionalFormatting sqref="S739">
    <cfRule type="containsText" dxfId="5230" priority="3398" operator="containsText" text="Cancelado">
      <formula>NOT(ISERROR(SEARCH("Cancelado",S739)))</formula>
    </cfRule>
  </conditionalFormatting>
  <conditionalFormatting sqref="J740">
    <cfRule type="cellIs" dxfId="5229" priority="3394" operator="equal">
      <formula>"Tramitando"</formula>
    </cfRule>
    <cfRule type="cellIs" dxfId="5228" priority="3395" operator="equal">
      <formula>"Deferido"</formula>
    </cfRule>
    <cfRule type="cellIs" dxfId="5227" priority="3396" operator="equal">
      <formula>"Indeferido"</formula>
    </cfRule>
  </conditionalFormatting>
  <conditionalFormatting sqref="J740">
    <cfRule type="containsText" dxfId="5226" priority="3393" operator="containsText" text="Cancelado">
      <formula>NOT(ISERROR(SEARCH("Cancelado",J740)))</formula>
    </cfRule>
  </conditionalFormatting>
  <conditionalFormatting sqref="M740">
    <cfRule type="cellIs" dxfId="5225" priority="3390" operator="equal">
      <formula>"Tramitando"</formula>
    </cfRule>
    <cfRule type="cellIs" dxfId="5224" priority="3391" operator="equal">
      <formula>"Deferido"</formula>
    </cfRule>
    <cfRule type="cellIs" dxfId="5223" priority="3392" operator="equal">
      <formula>"Indeferido"</formula>
    </cfRule>
  </conditionalFormatting>
  <conditionalFormatting sqref="M740">
    <cfRule type="containsText" dxfId="5222" priority="3389" operator="containsText" text="Cancelado">
      <formula>NOT(ISERROR(SEARCH("Cancelado",M740)))</formula>
    </cfRule>
  </conditionalFormatting>
  <conditionalFormatting sqref="O740">
    <cfRule type="cellIs" dxfId="5221" priority="3386" operator="equal">
      <formula>"Tramitando"</formula>
    </cfRule>
    <cfRule type="cellIs" dxfId="5220" priority="3387" operator="equal">
      <formula>"Deferido"</formula>
    </cfRule>
    <cfRule type="cellIs" dxfId="5219" priority="3388" operator="equal">
      <formula>"Indeferido"</formula>
    </cfRule>
  </conditionalFormatting>
  <conditionalFormatting sqref="O740">
    <cfRule type="containsText" dxfId="5218" priority="3385" operator="containsText" text="Cancelado">
      <formula>NOT(ISERROR(SEARCH("Cancelado",O740)))</formula>
    </cfRule>
  </conditionalFormatting>
  <conditionalFormatting sqref="Q740">
    <cfRule type="cellIs" dxfId="5217" priority="3382" operator="equal">
      <formula>"Tramitando"</formula>
    </cfRule>
    <cfRule type="cellIs" dxfId="5216" priority="3383" operator="equal">
      <formula>"Deferido"</formula>
    </cfRule>
    <cfRule type="cellIs" dxfId="5215" priority="3384" operator="equal">
      <formula>"Indeferido"</formula>
    </cfRule>
  </conditionalFormatting>
  <conditionalFormatting sqref="Q740">
    <cfRule type="containsText" dxfId="5214" priority="3381" operator="containsText" text="Cancelado">
      <formula>NOT(ISERROR(SEARCH("Cancelado",Q740)))</formula>
    </cfRule>
  </conditionalFormatting>
  <conditionalFormatting sqref="S740">
    <cfRule type="cellIs" dxfId="5213" priority="3378" operator="equal">
      <formula>"Tramitando"</formula>
    </cfRule>
    <cfRule type="cellIs" dxfId="5212" priority="3379" operator="equal">
      <formula>"Deferido"</formula>
    </cfRule>
    <cfRule type="cellIs" dxfId="5211" priority="3380" operator="equal">
      <formula>"Indeferido"</formula>
    </cfRule>
  </conditionalFormatting>
  <conditionalFormatting sqref="S740">
    <cfRule type="containsText" dxfId="5210" priority="3377" operator="containsText" text="Cancelado">
      <formula>NOT(ISERROR(SEARCH("Cancelado",S740)))</formula>
    </cfRule>
  </conditionalFormatting>
  <conditionalFormatting sqref="J741">
    <cfRule type="cellIs" dxfId="5209" priority="3373" operator="equal">
      <formula>"Tramitando"</formula>
    </cfRule>
    <cfRule type="cellIs" dxfId="5208" priority="3374" operator="equal">
      <formula>"Deferido"</formula>
    </cfRule>
    <cfRule type="cellIs" dxfId="5207" priority="3375" operator="equal">
      <formula>"Indeferido"</formula>
    </cfRule>
  </conditionalFormatting>
  <conditionalFormatting sqref="J741">
    <cfRule type="containsText" dxfId="5206" priority="3372" operator="containsText" text="Cancelado">
      <formula>NOT(ISERROR(SEARCH("Cancelado",J741)))</formula>
    </cfRule>
  </conditionalFormatting>
  <conditionalFormatting sqref="M741">
    <cfRule type="cellIs" dxfId="5205" priority="3369" operator="equal">
      <formula>"Tramitando"</formula>
    </cfRule>
    <cfRule type="cellIs" dxfId="5204" priority="3370" operator="equal">
      <formula>"Deferido"</formula>
    </cfRule>
    <cfRule type="cellIs" dxfId="5203" priority="3371" operator="equal">
      <formula>"Indeferido"</formula>
    </cfRule>
  </conditionalFormatting>
  <conditionalFormatting sqref="M741">
    <cfRule type="containsText" dxfId="5202" priority="3368" operator="containsText" text="Cancelado">
      <formula>NOT(ISERROR(SEARCH("Cancelado",M741)))</formula>
    </cfRule>
  </conditionalFormatting>
  <conditionalFormatting sqref="O741">
    <cfRule type="cellIs" dxfId="5201" priority="3365" operator="equal">
      <formula>"Tramitando"</formula>
    </cfRule>
    <cfRule type="cellIs" dxfId="5200" priority="3366" operator="equal">
      <formula>"Deferido"</formula>
    </cfRule>
    <cfRule type="cellIs" dxfId="5199" priority="3367" operator="equal">
      <formula>"Indeferido"</formula>
    </cfRule>
  </conditionalFormatting>
  <conditionalFormatting sqref="O741">
    <cfRule type="containsText" dxfId="5198" priority="3364" operator="containsText" text="Cancelado">
      <formula>NOT(ISERROR(SEARCH("Cancelado",O741)))</formula>
    </cfRule>
  </conditionalFormatting>
  <conditionalFormatting sqref="Q741">
    <cfRule type="cellIs" dxfId="5197" priority="3361" operator="equal">
      <formula>"Tramitando"</formula>
    </cfRule>
    <cfRule type="cellIs" dxfId="5196" priority="3362" operator="equal">
      <formula>"Deferido"</formula>
    </cfRule>
    <cfRule type="cellIs" dxfId="5195" priority="3363" operator="equal">
      <formula>"Indeferido"</formula>
    </cfRule>
  </conditionalFormatting>
  <conditionalFormatting sqref="Q741">
    <cfRule type="containsText" dxfId="5194" priority="3360" operator="containsText" text="Cancelado">
      <formula>NOT(ISERROR(SEARCH("Cancelado",Q741)))</formula>
    </cfRule>
  </conditionalFormatting>
  <conditionalFormatting sqref="S741">
    <cfRule type="cellIs" dxfId="5193" priority="3357" operator="equal">
      <formula>"Tramitando"</formula>
    </cfRule>
    <cfRule type="cellIs" dxfId="5192" priority="3358" operator="equal">
      <formula>"Deferido"</formula>
    </cfRule>
    <cfRule type="cellIs" dxfId="5191" priority="3359" operator="equal">
      <formula>"Indeferido"</formula>
    </cfRule>
  </conditionalFormatting>
  <conditionalFormatting sqref="S741">
    <cfRule type="containsText" dxfId="5190" priority="3356" operator="containsText" text="Cancelado">
      <formula>NOT(ISERROR(SEARCH("Cancelado",S741)))</formula>
    </cfRule>
  </conditionalFormatting>
  <conditionalFormatting sqref="J742">
    <cfRule type="cellIs" dxfId="5189" priority="3352" operator="equal">
      <formula>"Tramitando"</formula>
    </cfRule>
    <cfRule type="cellIs" dxfId="5188" priority="3353" operator="equal">
      <formula>"Deferido"</formula>
    </cfRule>
    <cfRule type="cellIs" dxfId="5187" priority="3354" operator="equal">
      <formula>"Indeferido"</formula>
    </cfRule>
  </conditionalFormatting>
  <conditionalFormatting sqref="J742">
    <cfRule type="containsText" dxfId="5186" priority="3351" operator="containsText" text="Cancelado">
      <formula>NOT(ISERROR(SEARCH("Cancelado",J742)))</formula>
    </cfRule>
  </conditionalFormatting>
  <conditionalFormatting sqref="M742">
    <cfRule type="cellIs" dxfId="5185" priority="3348" operator="equal">
      <formula>"Tramitando"</formula>
    </cfRule>
    <cfRule type="cellIs" dxfId="5184" priority="3349" operator="equal">
      <formula>"Deferido"</formula>
    </cfRule>
    <cfRule type="cellIs" dxfId="5183" priority="3350" operator="equal">
      <formula>"Indeferido"</formula>
    </cfRule>
  </conditionalFormatting>
  <conditionalFormatting sqref="M742">
    <cfRule type="containsText" dxfId="5182" priority="3347" operator="containsText" text="Cancelado">
      <formula>NOT(ISERROR(SEARCH("Cancelado",M742)))</formula>
    </cfRule>
  </conditionalFormatting>
  <conditionalFormatting sqref="O742">
    <cfRule type="cellIs" dxfId="5181" priority="3344" operator="equal">
      <formula>"Tramitando"</formula>
    </cfRule>
    <cfRule type="cellIs" dxfId="5180" priority="3345" operator="equal">
      <formula>"Deferido"</formula>
    </cfRule>
    <cfRule type="cellIs" dxfId="5179" priority="3346" operator="equal">
      <formula>"Indeferido"</formula>
    </cfRule>
  </conditionalFormatting>
  <conditionalFormatting sqref="O742">
    <cfRule type="containsText" dxfId="5178" priority="3343" operator="containsText" text="Cancelado">
      <formula>NOT(ISERROR(SEARCH("Cancelado",O742)))</formula>
    </cfRule>
  </conditionalFormatting>
  <conditionalFormatting sqref="Q742">
    <cfRule type="cellIs" dxfId="5177" priority="3340" operator="equal">
      <formula>"Tramitando"</formula>
    </cfRule>
    <cfRule type="cellIs" dxfId="5176" priority="3341" operator="equal">
      <formula>"Deferido"</formula>
    </cfRule>
    <cfRule type="cellIs" dxfId="5175" priority="3342" operator="equal">
      <formula>"Indeferido"</formula>
    </cfRule>
  </conditionalFormatting>
  <conditionalFormatting sqref="Q742">
    <cfRule type="containsText" dxfId="5174" priority="3339" operator="containsText" text="Cancelado">
      <formula>NOT(ISERROR(SEARCH("Cancelado",Q742)))</formula>
    </cfRule>
  </conditionalFormatting>
  <conditionalFormatting sqref="S742">
    <cfRule type="cellIs" dxfId="5173" priority="3336" operator="equal">
      <formula>"Tramitando"</formula>
    </cfRule>
    <cfRule type="cellIs" dxfId="5172" priority="3337" operator="equal">
      <formula>"Deferido"</formula>
    </cfRule>
    <cfRule type="cellIs" dxfId="5171" priority="3338" operator="equal">
      <formula>"Indeferido"</formula>
    </cfRule>
  </conditionalFormatting>
  <conditionalFormatting sqref="S742">
    <cfRule type="containsText" dxfId="5170" priority="3335" operator="containsText" text="Cancelado">
      <formula>NOT(ISERROR(SEARCH("Cancelado",S742)))</formula>
    </cfRule>
  </conditionalFormatting>
  <conditionalFormatting sqref="J743">
    <cfRule type="cellIs" dxfId="5169" priority="3331" operator="equal">
      <formula>"Tramitando"</formula>
    </cfRule>
    <cfRule type="cellIs" dxfId="5168" priority="3332" operator="equal">
      <formula>"Deferido"</formula>
    </cfRule>
    <cfRule type="cellIs" dxfId="5167" priority="3333" operator="equal">
      <formula>"Indeferido"</formula>
    </cfRule>
  </conditionalFormatting>
  <conditionalFormatting sqref="J743">
    <cfRule type="containsText" dxfId="5166" priority="3330" operator="containsText" text="Cancelado">
      <formula>NOT(ISERROR(SEARCH("Cancelado",J743)))</formula>
    </cfRule>
  </conditionalFormatting>
  <conditionalFormatting sqref="M743">
    <cfRule type="cellIs" dxfId="5165" priority="3327" operator="equal">
      <formula>"Tramitando"</formula>
    </cfRule>
    <cfRule type="cellIs" dxfId="5164" priority="3328" operator="equal">
      <formula>"Deferido"</formula>
    </cfRule>
    <cfRule type="cellIs" dxfId="5163" priority="3329" operator="equal">
      <formula>"Indeferido"</formula>
    </cfRule>
  </conditionalFormatting>
  <conditionalFormatting sqref="M743">
    <cfRule type="containsText" dxfId="5162" priority="3326" operator="containsText" text="Cancelado">
      <formula>NOT(ISERROR(SEARCH("Cancelado",M743)))</formula>
    </cfRule>
  </conditionalFormatting>
  <conditionalFormatting sqref="O743">
    <cfRule type="cellIs" dxfId="5161" priority="3323" operator="equal">
      <formula>"Tramitando"</formula>
    </cfRule>
    <cfRule type="cellIs" dxfId="5160" priority="3324" operator="equal">
      <formula>"Deferido"</formula>
    </cfRule>
    <cfRule type="cellIs" dxfId="5159" priority="3325" operator="equal">
      <formula>"Indeferido"</formula>
    </cfRule>
  </conditionalFormatting>
  <conditionalFormatting sqref="O743">
    <cfRule type="containsText" dxfId="5158" priority="3322" operator="containsText" text="Cancelado">
      <formula>NOT(ISERROR(SEARCH("Cancelado",O743)))</formula>
    </cfRule>
  </conditionalFormatting>
  <conditionalFormatting sqref="Q743">
    <cfRule type="cellIs" dxfId="5157" priority="3319" operator="equal">
      <formula>"Tramitando"</formula>
    </cfRule>
    <cfRule type="cellIs" dxfId="5156" priority="3320" operator="equal">
      <formula>"Deferido"</formula>
    </cfRule>
    <cfRule type="cellIs" dxfId="5155" priority="3321" operator="equal">
      <formula>"Indeferido"</formula>
    </cfRule>
  </conditionalFormatting>
  <conditionalFormatting sqref="Q743">
    <cfRule type="containsText" dxfId="5154" priority="3318" operator="containsText" text="Cancelado">
      <formula>NOT(ISERROR(SEARCH("Cancelado",Q743)))</formula>
    </cfRule>
  </conditionalFormatting>
  <conditionalFormatting sqref="S743">
    <cfRule type="cellIs" dxfId="5153" priority="3315" operator="equal">
      <formula>"Tramitando"</formula>
    </cfRule>
    <cfRule type="cellIs" dxfId="5152" priority="3316" operator="equal">
      <formula>"Deferido"</formula>
    </cfRule>
    <cfRule type="cellIs" dxfId="5151" priority="3317" operator="equal">
      <formula>"Indeferido"</formula>
    </cfRule>
  </conditionalFormatting>
  <conditionalFormatting sqref="S743">
    <cfRule type="containsText" dxfId="5150" priority="3314" operator="containsText" text="Cancelado">
      <formula>NOT(ISERROR(SEARCH("Cancelado",S743)))</formula>
    </cfRule>
  </conditionalFormatting>
  <conditionalFormatting sqref="J744">
    <cfRule type="cellIs" dxfId="5149" priority="3310" operator="equal">
      <formula>"Tramitando"</formula>
    </cfRule>
    <cfRule type="cellIs" dxfId="5148" priority="3311" operator="equal">
      <formula>"Deferido"</formula>
    </cfRule>
    <cfRule type="cellIs" dxfId="5147" priority="3312" operator="equal">
      <formula>"Indeferido"</formula>
    </cfRule>
  </conditionalFormatting>
  <conditionalFormatting sqref="J744">
    <cfRule type="containsText" dxfId="5146" priority="3309" operator="containsText" text="Cancelado">
      <formula>NOT(ISERROR(SEARCH("Cancelado",J744)))</formula>
    </cfRule>
  </conditionalFormatting>
  <conditionalFormatting sqref="M744">
    <cfRule type="cellIs" dxfId="5145" priority="3306" operator="equal">
      <formula>"Tramitando"</formula>
    </cfRule>
    <cfRule type="cellIs" dxfId="5144" priority="3307" operator="equal">
      <formula>"Deferido"</formula>
    </cfRule>
    <cfRule type="cellIs" dxfId="5143" priority="3308" operator="equal">
      <formula>"Indeferido"</formula>
    </cfRule>
  </conditionalFormatting>
  <conditionalFormatting sqref="M744">
    <cfRule type="containsText" dxfId="5142" priority="3305" operator="containsText" text="Cancelado">
      <formula>NOT(ISERROR(SEARCH("Cancelado",M744)))</formula>
    </cfRule>
  </conditionalFormatting>
  <conditionalFormatting sqref="O744">
    <cfRule type="cellIs" dxfId="5141" priority="3302" operator="equal">
      <formula>"Tramitando"</formula>
    </cfRule>
    <cfRule type="cellIs" dxfId="5140" priority="3303" operator="equal">
      <formula>"Deferido"</formula>
    </cfRule>
    <cfRule type="cellIs" dxfId="5139" priority="3304" operator="equal">
      <formula>"Indeferido"</formula>
    </cfRule>
  </conditionalFormatting>
  <conditionalFormatting sqref="O744">
    <cfRule type="containsText" dxfId="5138" priority="3301" operator="containsText" text="Cancelado">
      <formula>NOT(ISERROR(SEARCH("Cancelado",O744)))</formula>
    </cfRule>
  </conditionalFormatting>
  <conditionalFormatting sqref="Q744">
    <cfRule type="cellIs" dxfId="5137" priority="3298" operator="equal">
      <formula>"Tramitando"</formula>
    </cfRule>
    <cfRule type="cellIs" dxfId="5136" priority="3299" operator="equal">
      <formula>"Deferido"</formula>
    </cfRule>
    <cfRule type="cellIs" dxfId="5135" priority="3300" operator="equal">
      <formula>"Indeferido"</formula>
    </cfRule>
  </conditionalFormatting>
  <conditionalFormatting sqref="Q744">
    <cfRule type="containsText" dxfId="5134" priority="3297" operator="containsText" text="Cancelado">
      <formula>NOT(ISERROR(SEARCH("Cancelado",Q744)))</formula>
    </cfRule>
  </conditionalFormatting>
  <conditionalFormatting sqref="S744">
    <cfRule type="cellIs" dxfId="5133" priority="3294" operator="equal">
      <formula>"Tramitando"</formula>
    </cfRule>
    <cfRule type="cellIs" dxfId="5132" priority="3295" operator="equal">
      <formula>"Deferido"</formula>
    </cfRule>
    <cfRule type="cellIs" dxfId="5131" priority="3296" operator="equal">
      <formula>"Indeferido"</formula>
    </cfRule>
  </conditionalFormatting>
  <conditionalFormatting sqref="S744">
    <cfRule type="containsText" dxfId="5130" priority="3293" operator="containsText" text="Cancelado">
      <formula>NOT(ISERROR(SEARCH("Cancelado",S744)))</formula>
    </cfRule>
  </conditionalFormatting>
  <conditionalFormatting sqref="J745">
    <cfRule type="cellIs" dxfId="5129" priority="3289" operator="equal">
      <formula>"Tramitando"</formula>
    </cfRule>
    <cfRule type="cellIs" dxfId="5128" priority="3290" operator="equal">
      <formula>"Deferido"</formula>
    </cfRule>
    <cfRule type="cellIs" dxfId="5127" priority="3291" operator="equal">
      <formula>"Indeferido"</formula>
    </cfRule>
  </conditionalFormatting>
  <conditionalFormatting sqref="J745">
    <cfRule type="containsText" dxfId="5126" priority="3288" operator="containsText" text="Cancelado">
      <formula>NOT(ISERROR(SEARCH("Cancelado",J745)))</formula>
    </cfRule>
  </conditionalFormatting>
  <conditionalFormatting sqref="M745">
    <cfRule type="cellIs" dxfId="5125" priority="3285" operator="equal">
      <formula>"Tramitando"</formula>
    </cfRule>
    <cfRule type="cellIs" dxfId="5124" priority="3286" operator="equal">
      <formula>"Deferido"</formula>
    </cfRule>
    <cfRule type="cellIs" dxfId="5123" priority="3287" operator="equal">
      <formula>"Indeferido"</formula>
    </cfRule>
  </conditionalFormatting>
  <conditionalFormatting sqref="M745">
    <cfRule type="containsText" dxfId="5122" priority="3284" operator="containsText" text="Cancelado">
      <formula>NOT(ISERROR(SEARCH("Cancelado",M745)))</formula>
    </cfRule>
  </conditionalFormatting>
  <conditionalFormatting sqref="O745">
    <cfRule type="cellIs" dxfId="5121" priority="3281" operator="equal">
      <formula>"Tramitando"</formula>
    </cfRule>
    <cfRule type="cellIs" dxfId="5120" priority="3282" operator="equal">
      <formula>"Deferido"</formula>
    </cfRule>
    <cfRule type="cellIs" dxfId="5119" priority="3283" operator="equal">
      <formula>"Indeferido"</formula>
    </cfRule>
  </conditionalFormatting>
  <conditionalFormatting sqref="O745">
    <cfRule type="containsText" dxfId="5118" priority="3280" operator="containsText" text="Cancelado">
      <formula>NOT(ISERROR(SEARCH("Cancelado",O745)))</formula>
    </cfRule>
  </conditionalFormatting>
  <conditionalFormatting sqref="Q745">
    <cfRule type="cellIs" dxfId="5117" priority="3277" operator="equal">
      <formula>"Tramitando"</formula>
    </cfRule>
    <cfRule type="cellIs" dxfId="5116" priority="3278" operator="equal">
      <formula>"Deferido"</formula>
    </cfRule>
    <cfRule type="cellIs" dxfId="5115" priority="3279" operator="equal">
      <formula>"Indeferido"</formula>
    </cfRule>
  </conditionalFormatting>
  <conditionalFormatting sqref="Q745">
    <cfRule type="containsText" dxfId="5114" priority="3276" operator="containsText" text="Cancelado">
      <formula>NOT(ISERROR(SEARCH("Cancelado",Q745)))</formula>
    </cfRule>
  </conditionalFormatting>
  <conditionalFormatting sqref="S745">
    <cfRule type="cellIs" dxfId="5113" priority="3273" operator="equal">
      <formula>"Tramitando"</formula>
    </cfRule>
    <cfRule type="cellIs" dxfId="5112" priority="3274" operator="equal">
      <formula>"Deferido"</formula>
    </cfRule>
    <cfRule type="cellIs" dxfId="5111" priority="3275" operator="equal">
      <formula>"Indeferido"</formula>
    </cfRule>
  </conditionalFormatting>
  <conditionalFormatting sqref="S745">
    <cfRule type="containsText" dxfId="5110" priority="3272" operator="containsText" text="Cancelado">
      <formula>NOT(ISERROR(SEARCH("Cancelado",S745)))</formula>
    </cfRule>
  </conditionalFormatting>
  <conditionalFormatting sqref="J746">
    <cfRule type="cellIs" dxfId="5109" priority="3268" operator="equal">
      <formula>"Tramitando"</formula>
    </cfRule>
    <cfRule type="cellIs" dxfId="5108" priority="3269" operator="equal">
      <formula>"Deferido"</formula>
    </cfRule>
    <cfRule type="cellIs" dxfId="5107" priority="3270" operator="equal">
      <formula>"Indeferido"</formula>
    </cfRule>
  </conditionalFormatting>
  <conditionalFormatting sqref="J746">
    <cfRule type="containsText" dxfId="5106" priority="3267" operator="containsText" text="Cancelado">
      <formula>NOT(ISERROR(SEARCH("Cancelado",J746)))</formula>
    </cfRule>
  </conditionalFormatting>
  <conditionalFormatting sqref="M746">
    <cfRule type="cellIs" dxfId="5105" priority="3264" operator="equal">
      <formula>"Tramitando"</formula>
    </cfRule>
    <cfRule type="cellIs" dxfId="5104" priority="3265" operator="equal">
      <formula>"Deferido"</formula>
    </cfRule>
    <cfRule type="cellIs" dxfId="5103" priority="3266" operator="equal">
      <formula>"Indeferido"</formula>
    </cfRule>
  </conditionalFormatting>
  <conditionalFormatting sqref="M746">
    <cfRule type="containsText" dxfId="5102" priority="3263" operator="containsText" text="Cancelado">
      <formula>NOT(ISERROR(SEARCH("Cancelado",M746)))</formula>
    </cfRule>
  </conditionalFormatting>
  <conditionalFormatting sqref="O746">
    <cfRule type="cellIs" dxfId="5101" priority="3260" operator="equal">
      <formula>"Tramitando"</formula>
    </cfRule>
    <cfRule type="cellIs" dxfId="5100" priority="3261" operator="equal">
      <formula>"Deferido"</formula>
    </cfRule>
    <cfRule type="cellIs" dxfId="5099" priority="3262" operator="equal">
      <formula>"Indeferido"</formula>
    </cfRule>
  </conditionalFormatting>
  <conditionalFormatting sqref="O746">
    <cfRule type="containsText" dxfId="5098" priority="3259" operator="containsText" text="Cancelado">
      <formula>NOT(ISERROR(SEARCH("Cancelado",O746)))</formula>
    </cfRule>
  </conditionalFormatting>
  <conditionalFormatting sqref="Q746">
    <cfRule type="cellIs" dxfId="5097" priority="3256" operator="equal">
      <formula>"Tramitando"</formula>
    </cfRule>
    <cfRule type="cellIs" dxfId="5096" priority="3257" operator="equal">
      <formula>"Deferido"</formula>
    </cfRule>
    <cfRule type="cellIs" dxfId="5095" priority="3258" operator="equal">
      <formula>"Indeferido"</formula>
    </cfRule>
  </conditionalFormatting>
  <conditionalFormatting sqref="Q746">
    <cfRule type="containsText" dxfId="5094" priority="3255" operator="containsText" text="Cancelado">
      <formula>NOT(ISERROR(SEARCH("Cancelado",Q746)))</formula>
    </cfRule>
  </conditionalFormatting>
  <conditionalFormatting sqref="S746">
    <cfRule type="cellIs" dxfId="5093" priority="3252" operator="equal">
      <formula>"Tramitando"</formula>
    </cfRule>
    <cfRule type="cellIs" dxfId="5092" priority="3253" operator="equal">
      <formula>"Deferido"</formula>
    </cfRule>
    <cfRule type="cellIs" dxfId="5091" priority="3254" operator="equal">
      <formula>"Indeferido"</formula>
    </cfRule>
  </conditionalFormatting>
  <conditionalFormatting sqref="S746">
    <cfRule type="containsText" dxfId="5090" priority="3251" operator="containsText" text="Cancelado">
      <formula>NOT(ISERROR(SEARCH("Cancelado",S746)))</formula>
    </cfRule>
  </conditionalFormatting>
  <conditionalFormatting sqref="J747">
    <cfRule type="cellIs" dxfId="5089" priority="3247" operator="equal">
      <formula>"Tramitando"</formula>
    </cfRule>
    <cfRule type="cellIs" dxfId="5088" priority="3248" operator="equal">
      <formula>"Deferido"</formula>
    </cfRule>
    <cfRule type="cellIs" dxfId="5087" priority="3249" operator="equal">
      <formula>"Indeferido"</formula>
    </cfRule>
  </conditionalFormatting>
  <conditionalFormatting sqref="J747">
    <cfRule type="containsText" dxfId="5086" priority="3246" operator="containsText" text="Cancelado">
      <formula>NOT(ISERROR(SEARCH("Cancelado",J747)))</formula>
    </cfRule>
  </conditionalFormatting>
  <conditionalFormatting sqref="M747">
    <cfRule type="cellIs" dxfId="5085" priority="3243" operator="equal">
      <formula>"Tramitando"</formula>
    </cfRule>
    <cfRule type="cellIs" dxfId="5084" priority="3244" operator="equal">
      <formula>"Deferido"</formula>
    </cfRule>
    <cfRule type="cellIs" dxfId="5083" priority="3245" operator="equal">
      <formula>"Indeferido"</formula>
    </cfRule>
  </conditionalFormatting>
  <conditionalFormatting sqref="M747">
    <cfRule type="containsText" dxfId="5082" priority="3242" operator="containsText" text="Cancelado">
      <formula>NOT(ISERROR(SEARCH("Cancelado",M747)))</formula>
    </cfRule>
  </conditionalFormatting>
  <conditionalFormatting sqref="O747">
    <cfRule type="cellIs" dxfId="5081" priority="3239" operator="equal">
      <formula>"Tramitando"</formula>
    </cfRule>
    <cfRule type="cellIs" dxfId="5080" priority="3240" operator="equal">
      <formula>"Deferido"</formula>
    </cfRule>
    <cfRule type="cellIs" dxfId="5079" priority="3241" operator="equal">
      <formula>"Indeferido"</formula>
    </cfRule>
  </conditionalFormatting>
  <conditionalFormatting sqref="O747">
    <cfRule type="containsText" dxfId="5078" priority="3238" operator="containsText" text="Cancelado">
      <formula>NOT(ISERROR(SEARCH("Cancelado",O747)))</formula>
    </cfRule>
  </conditionalFormatting>
  <conditionalFormatting sqref="Q747">
    <cfRule type="cellIs" dxfId="5077" priority="3235" operator="equal">
      <formula>"Tramitando"</formula>
    </cfRule>
    <cfRule type="cellIs" dxfId="5076" priority="3236" operator="equal">
      <formula>"Deferido"</formula>
    </cfRule>
    <cfRule type="cellIs" dxfId="5075" priority="3237" operator="equal">
      <formula>"Indeferido"</formula>
    </cfRule>
  </conditionalFormatting>
  <conditionalFormatting sqref="Q747">
    <cfRule type="containsText" dxfId="5074" priority="3234" operator="containsText" text="Cancelado">
      <formula>NOT(ISERROR(SEARCH("Cancelado",Q747)))</formula>
    </cfRule>
  </conditionalFormatting>
  <conditionalFormatting sqref="S747">
    <cfRule type="cellIs" dxfId="5073" priority="3231" operator="equal">
      <formula>"Tramitando"</formula>
    </cfRule>
    <cfRule type="cellIs" dxfId="5072" priority="3232" operator="equal">
      <formula>"Deferido"</formula>
    </cfRule>
    <cfRule type="cellIs" dxfId="5071" priority="3233" operator="equal">
      <formula>"Indeferido"</formula>
    </cfRule>
  </conditionalFormatting>
  <conditionalFormatting sqref="S747">
    <cfRule type="containsText" dxfId="5070" priority="3230" operator="containsText" text="Cancelado">
      <formula>NOT(ISERROR(SEARCH("Cancelado",S747)))</formula>
    </cfRule>
  </conditionalFormatting>
  <conditionalFormatting sqref="J748">
    <cfRule type="cellIs" dxfId="5069" priority="3226" operator="equal">
      <formula>"Tramitando"</formula>
    </cfRule>
    <cfRule type="cellIs" dxfId="5068" priority="3227" operator="equal">
      <formula>"Deferido"</formula>
    </cfRule>
    <cfRule type="cellIs" dxfId="5067" priority="3228" operator="equal">
      <formula>"Indeferido"</formula>
    </cfRule>
  </conditionalFormatting>
  <conditionalFormatting sqref="J748">
    <cfRule type="containsText" dxfId="5066" priority="3225" operator="containsText" text="Cancelado">
      <formula>NOT(ISERROR(SEARCH("Cancelado",J748)))</formula>
    </cfRule>
  </conditionalFormatting>
  <conditionalFormatting sqref="M748">
    <cfRule type="cellIs" dxfId="5065" priority="3222" operator="equal">
      <formula>"Tramitando"</formula>
    </cfRule>
    <cfRule type="cellIs" dxfId="5064" priority="3223" operator="equal">
      <formula>"Deferido"</formula>
    </cfRule>
    <cfRule type="cellIs" dxfId="5063" priority="3224" operator="equal">
      <formula>"Indeferido"</formula>
    </cfRule>
  </conditionalFormatting>
  <conditionalFormatting sqref="M748">
    <cfRule type="containsText" dxfId="5062" priority="3221" operator="containsText" text="Cancelado">
      <formula>NOT(ISERROR(SEARCH("Cancelado",M748)))</formula>
    </cfRule>
  </conditionalFormatting>
  <conditionalFormatting sqref="O748">
    <cfRule type="cellIs" dxfId="5061" priority="3218" operator="equal">
      <formula>"Tramitando"</formula>
    </cfRule>
    <cfRule type="cellIs" dxfId="5060" priority="3219" operator="equal">
      <formula>"Deferido"</formula>
    </cfRule>
    <cfRule type="cellIs" dxfId="5059" priority="3220" operator="equal">
      <formula>"Indeferido"</formula>
    </cfRule>
  </conditionalFormatting>
  <conditionalFormatting sqref="O748">
    <cfRule type="containsText" dxfId="5058" priority="3217" operator="containsText" text="Cancelado">
      <formula>NOT(ISERROR(SEARCH("Cancelado",O748)))</formula>
    </cfRule>
  </conditionalFormatting>
  <conditionalFormatting sqref="Q748">
    <cfRule type="cellIs" dxfId="5057" priority="3214" operator="equal">
      <formula>"Tramitando"</formula>
    </cfRule>
    <cfRule type="cellIs" dxfId="5056" priority="3215" operator="equal">
      <formula>"Deferido"</formula>
    </cfRule>
    <cfRule type="cellIs" dxfId="5055" priority="3216" operator="equal">
      <formula>"Indeferido"</formula>
    </cfRule>
  </conditionalFormatting>
  <conditionalFormatting sqref="Q748">
    <cfRule type="containsText" dxfId="5054" priority="3213" operator="containsText" text="Cancelado">
      <formula>NOT(ISERROR(SEARCH("Cancelado",Q748)))</formula>
    </cfRule>
  </conditionalFormatting>
  <conditionalFormatting sqref="S748">
    <cfRule type="cellIs" dxfId="5053" priority="3210" operator="equal">
      <formula>"Tramitando"</formula>
    </cfRule>
    <cfRule type="cellIs" dxfId="5052" priority="3211" operator="equal">
      <formula>"Deferido"</formula>
    </cfRule>
    <cfRule type="cellIs" dxfId="5051" priority="3212" operator="equal">
      <formula>"Indeferido"</formula>
    </cfRule>
  </conditionalFormatting>
  <conditionalFormatting sqref="S748">
    <cfRule type="containsText" dxfId="5050" priority="3209" operator="containsText" text="Cancelado">
      <formula>NOT(ISERROR(SEARCH("Cancelado",S748)))</formula>
    </cfRule>
  </conditionalFormatting>
  <conditionalFormatting sqref="J749:J750">
    <cfRule type="cellIs" dxfId="5049" priority="3205" operator="equal">
      <formula>"Tramitando"</formula>
    </cfRule>
    <cfRule type="cellIs" dxfId="5048" priority="3206" operator="equal">
      <formula>"Deferido"</formula>
    </cfRule>
    <cfRule type="cellIs" dxfId="5047" priority="3207" operator="equal">
      <formula>"Indeferido"</formula>
    </cfRule>
  </conditionalFormatting>
  <conditionalFormatting sqref="J749:J750">
    <cfRule type="containsText" dxfId="5046" priority="3204" operator="containsText" text="Cancelado">
      <formula>NOT(ISERROR(SEARCH("Cancelado",J749)))</formula>
    </cfRule>
  </conditionalFormatting>
  <conditionalFormatting sqref="M749:M750">
    <cfRule type="cellIs" dxfId="5045" priority="3201" operator="equal">
      <formula>"Tramitando"</formula>
    </cfRule>
    <cfRule type="cellIs" dxfId="5044" priority="3202" operator="equal">
      <formula>"Deferido"</formula>
    </cfRule>
    <cfRule type="cellIs" dxfId="5043" priority="3203" operator="equal">
      <formula>"Indeferido"</formula>
    </cfRule>
  </conditionalFormatting>
  <conditionalFormatting sqref="M749:M750">
    <cfRule type="containsText" dxfId="5042" priority="3200" operator="containsText" text="Cancelado">
      <formula>NOT(ISERROR(SEARCH("Cancelado",M749)))</formula>
    </cfRule>
  </conditionalFormatting>
  <conditionalFormatting sqref="O749:O750">
    <cfRule type="cellIs" dxfId="5041" priority="3197" operator="equal">
      <formula>"Tramitando"</formula>
    </cfRule>
    <cfRule type="cellIs" dxfId="5040" priority="3198" operator="equal">
      <formula>"Deferido"</formula>
    </cfRule>
    <cfRule type="cellIs" dxfId="5039" priority="3199" operator="equal">
      <formula>"Indeferido"</formula>
    </cfRule>
  </conditionalFormatting>
  <conditionalFormatting sqref="O749:O750">
    <cfRule type="containsText" dxfId="5038" priority="3196" operator="containsText" text="Cancelado">
      <formula>NOT(ISERROR(SEARCH("Cancelado",O749)))</formula>
    </cfRule>
  </conditionalFormatting>
  <conditionalFormatting sqref="Q749:Q750">
    <cfRule type="cellIs" dxfId="5037" priority="3193" operator="equal">
      <formula>"Tramitando"</formula>
    </cfRule>
    <cfRule type="cellIs" dxfId="5036" priority="3194" operator="equal">
      <formula>"Deferido"</formula>
    </cfRule>
    <cfRule type="cellIs" dxfId="5035" priority="3195" operator="equal">
      <formula>"Indeferido"</formula>
    </cfRule>
  </conditionalFormatting>
  <conditionalFormatting sqref="Q749:Q750">
    <cfRule type="containsText" dxfId="5034" priority="3192" operator="containsText" text="Cancelado">
      <formula>NOT(ISERROR(SEARCH("Cancelado",Q749)))</formula>
    </cfRule>
  </conditionalFormatting>
  <conditionalFormatting sqref="S749:S750">
    <cfRule type="cellIs" dxfId="5033" priority="3189" operator="equal">
      <formula>"Tramitando"</formula>
    </cfRule>
    <cfRule type="cellIs" dxfId="5032" priority="3190" operator="equal">
      <formula>"Deferido"</formula>
    </cfRule>
    <cfRule type="cellIs" dxfId="5031" priority="3191" operator="equal">
      <formula>"Indeferido"</formula>
    </cfRule>
  </conditionalFormatting>
  <conditionalFormatting sqref="S749:S750">
    <cfRule type="containsText" dxfId="5030" priority="3188" operator="containsText" text="Cancelado">
      <formula>NOT(ISERROR(SEARCH("Cancelado",S749)))</formula>
    </cfRule>
  </conditionalFormatting>
  <conditionalFormatting sqref="J751:J752">
    <cfRule type="cellIs" dxfId="5029" priority="3184" operator="equal">
      <formula>"Tramitando"</formula>
    </cfRule>
    <cfRule type="cellIs" dxfId="5028" priority="3185" operator="equal">
      <formula>"Deferido"</formula>
    </cfRule>
    <cfRule type="cellIs" dxfId="5027" priority="3186" operator="equal">
      <formula>"Indeferido"</formula>
    </cfRule>
  </conditionalFormatting>
  <conditionalFormatting sqref="J751:J752">
    <cfRule type="containsText" dxfId="5026" priority="3183" operator="containsText" text="Cancelado">
      <formula>NOT(ISERROR(SEARCH("Cancelado",J751)))</formula>
    </cfRule>
  </conditionalFormatting>
  <conditionalFormatting sqref="M751:M752">
    <cfRule type="cellIs" dxfId="5025" priority="3180" operator="equal">
      <formula>"Tramitando"</formula>
    </cfRule>
    <cfRule type="cellIs" dxfId="5024" priority="3181" operator="equal">
      <formula>"Deferido"</formula>
    </cfRule>
    <cfRule type="cellIs" dxfId="5023" priority="3182" operator="equal">
      <formula>"Indeferido"</formula>
    </cfRule>
  </conditionalFormatting>
  <conditionalFormatting sqref="M751:M752">
    <cfRule type="containsText" dxfId="5022" priority="3179" operator="containsText" text="Cancelado">
      <formula>NOT(ISERROR(SEARCH("Cancelado",M751)))</formula>
    </cfRule>
  </conditionalFormatting>
  <conditionalFormatting sqref="O751:O752">
    <cfRule type="cellIs" dxfId="5021" priority="3176" operator="equal">
      <formula>"Tramitando"</formula>
    </cfRule>
    <cfRule type="cellIs" dxfId="5020" priority="3177" operator="equal">
      <formula>"Deferido"</formula>
    </cfRule>
    <cfRule type="cellIs" dxfId="5019" priority="3178" operator="equal">
      <formula>"Indeferido"</formula>
    </cfRule>
  </conditionalFormatting>
  <conditionalFormatting sqref="O751:O752">
    <cfRule type="containsText" dxfId="5018" priority="3175" operator="containsText" text="Cancelado">
      <formula>NOT(ISERROR(SEARCH("Cancelado",O751)))</formula>
    </cfRule>
  </conditionalFormatting>
  <conditionalFormatting sqref="Q751:Q752">
    <cfRule type="cellIs" dxfId="5017" priority="3172" operator="equal">
      <formula>"Tramitando"</formula>
    </cfRule>
    <cfRule type="cellIs" dxfId="5016" priority="3173" operator="equal">
      <formula>"Deferido"</formula>
    </cfRule>
    <cfRule type="cellIs" dxfId="5015" priority="3174" operator="equal">
      <formula>"Indeferido"</formula>
    </cfRule>
  </conditionalFormatting>
  <conditionalFormatting sqref="Q751:Q752">
    <cfRule type="containsText" dxfId="5014" priority="3171" operator="containsText" text="Cancelado">
      <formula>NOT(ISERROR(SEARCH("Cancelado",Q751)))</formula>
    </cfRule>
  </conditionalFormatting>
  <conditionalFormatting sqref="S751:S752">
    <cfRule type="cellIs" dxfId="5013" priority="3168" operator="equal">
      <formula>"Tramitando"</formula>
    </cfRule>
    <cfRule type="cellIs" dxfId="5012" priority="3169" operator="equal">
      <formula>"Deferido"</formula>
    </cfRule>
    <cfRule type="cellIs" dxfId="5011" priority="3170" operator="equal">
      <formula>"Indeferido"</formula>
    </cfRule>
  </conditionalFormatting>
  <conditionalFormatting sqref="S751:S752">
    <cfRule type="containsText" dxfId="5010" priority="3167" operator="containsText" text="Cancelado">
      <formula>NOT(ISERROR(SEARCH("Cancelado",S751)))</formula>
    </cfRule>
  </conditionalFormatting>
  <conditionalFormatting sqref="J753:J754">
    <cfRule type="cellIs" dxfId="5009" priority="3163" operator="equal">
      <formula>"Tramitando"</formula>
    </cfRule>
    <cfRule type="cellIs" dxfId="5008" priority="3164" operator="equal">
      <formula>"Deferido"</formula>
    </cfRule>
    <cfRule type="cellIs" dxfId="5007" priority="3165" operator="equal">
      <formula>"Indeferido"</formula>
    </cfRule>
  </conditionalFormatting>
  <conditionalFormatting sqref="J753:J754">
    <cfRule type="containsText" dxfId="5006" priority="3162" operator="containsText" text="Cancelado">
      <formula>NOT(ISERROR(SEARCH("Cancelado",J753)))</formula>
    </cfRule>
  </conditionalFormatting>
  <conditionalFormatting sqref="M753:M754">
    <cfRule type="cellIs" dxfId="5005" priority="3159" operator="equal">
      <formula>"Tramitando"</formula>
    </cfRule>
    <cfRule type="cellIs" dxfId="5004" priority="3160" operator="equal">
      <formula>"Deferido"</formula>
    </cfRule>
    <cfRule type="cellIs" dxfId="5003" priority="3161" operator="equal">
      <formula>"Indeferido"</formula>
    </cfRule>
  </conditionalFormatting>
  <conditionalFormatting sqref="M753:M754">
    <cfRule type="containsText" dxfId="5002" priority="3158" operator="containsText" text="Cancelado">
      <formula>NOT(ISERROR(SEARCH("Cancelado",M753)))</formula>
    </cfRule>
  </conditionalFormatting>
  <conditionalFormatting sqref="O753:O754">
    <cfRule type="cellIs" dxfId="5001" priority="3155" operator="equal">
      <formula>"Tramitando"</formula>
    </cfRule>
    <cfRule type="cellIs" dxfId="5000" priority="3156" operator="equal">
      <formula>"Deferido"</formula>
    </cfRule>
    <cfRule type="cellIs" dxfId="4999" priority="3157" operator="equal">
      <formula>"Indeferido"</formula>
    </cfRule>
  </conditionalFormatting>
  <conditionalFormatting sqref="O753:O754">
    <cfRule type="containsText" dxfId="4998" priority="3154" operator="containsText" text="Cancelado">
      <formula>NOT(ISERROR(SEARCH("Cancelado",O753)))</formula>
    </cfRule>
  </conditionalFormatting>
  <conditionalFormatting sqref="Q753:Q754">
    <cfRule type="cellIs" dxfId="4997" priority="3151" operator="equal">
      <formula>"Tramitando"</formula>
    </cfRule>
    <cfRule type="cellIs" dxfId="4996" priority="3152" operator="equal">
      <formula>"Deferido"</formula>
    </cfRule>
    <cfRule type="cellIs" dxfId="4995" priority="3153" operator="equal">
      <formula>"Indeferido"</formula>
    </cfRule>
  </conditionalFormatting>
  <conditionalFormatting sqref="Q753:Q754">
    <cfRule type="containsText" dxfId="4994" priority="3150" operator="containsText" text="Cancelado">
      <formula>NOT(ISERROR(SEARCH("Cancelado",Q753)))</formula>
    </cfRule>
  </conditionalFormatting>
  <conditionalFormatting sqref="S753:S754">
    <cfRule type="cellIs" dxfId="4993" priority="3147" operator="equal">
      <formula>"Tramitando"</formula>
    </cfRule>
    <cfRule type="cellIs" dxfId="4992" priority="3148" operator="equal">
      <formula>"Deferido"</formula>
    </cfRule>
    <cfRule type="cellIs" dxfId="4991" priority="3149" operator="equal">
      <formula>"Indeferido"</formula>
    </cfRule>
  </conditionalFormatting>
  <conditionalFormatting sqref="S753:S754">
    <cfRule type="containsText" dxfId="4990" priority="3146" operator="containsText" text="Cancelado">
      <formula>NOT(ISERROR(SEARCH("Cancelado",S753)))</formula>
    </cfRule>
  </conditionalFormatting>
  <conditionalFormatting sqref="J755:J756">
    <cfRule type="cellIs" dxfId="4989" priority="3142" operator="equal">
      <formula>"Tramitando"</formula>
    </cfRule>
    <cfRule type="cellIs" dxfId="4988" priority="3143" operator="equal">
      <formula>"Deferido"</formula>
    </cfRule>
    <cfRule type="cellIs" dxfId="4987" priority="3144" operator="equal">
      <formula>"Indeferido"</formula>
    </cfRule>
  </conditionalFormatting>
  <conditionalFormatting sqref="J755:J756">
    <cfRule type="containsText" dxfId="4986" priority="3141" operator="containsText" text="Cancelado">
      <formula>NOT(ISERROR(SEARCH("Cancelado",J755)))</formula>
    </cfRule>
  </conditionalFormatting>
  <conditionalFormatting sqref="M755:M756">
    <cfRule type="cellIs" dxfId="4985" priority="3138" operator="equal">
      <formula>"Tramitando"</formula>
    </cfRule>
    <cfRule type="cellIs" dxfId="4984" priority="3139" operator="equal">
      <formula>"Deferido"</formula>
    </cfRule>
    <cfRule type="cellIs" dxfId="4983" priority="3140" operator="equal">
      <formula>"Indeferido"</formula>
    </cfRule>
  </conditionalFormatting>
  <conditionalFormatting sqref="M755:M756">
    <cfRule type="containsText" dxfId="4982" priority="3137" operator="containsText" text="Cancelado">
      <formula>NOT(ISERROR(SEARCH("Cancelado",M755)))</formula>
    </cfRule>
  </conditionalFormatting>
  <conditionalFormatting sqref="O755:O756">
    <cfRule type="cellIs" dxfId="4981" priority="3134" operator="equal">
      <formula>"Tramitando"</formula>
    </cfRule>
    <cfRule type="cellIs" dxfId="4980" priority="3135" operator="equal">
      <formula>"Deferido"</formula>
    </cfRule>
    <cfRule type="cellIs" dxfId="4979" priority="3136" operator="equal">
      <formula>"Indeferido"</formula>
    </cfRule>
  </conditionalFormatting>
  <conditionalFormatting sqref="O755:O756">
    <cfRule type="containsText" dxfId="4978" priority="3133" operator="containsText" text="Cancelado">
      <formula>NOT(ISERROR(SEARCH("Cancelado",O755)))</formula>
    </cfRule>
  </conditionalFormatting>
  <conditionalFormatting sqref="Q755:Q756">
    <cfRule type="cellIs" dxfId="4977" priority="3130" operator="equal">
      <formula>"Tramitando"</formula>
    </cfRule>
    <cfRule type="cellIs" dxfId="4976" priority="3131" operator="equal">
      <formula>"Deferido"</formula>
    </cfRule>
    <cfRule type="cellIs" dxfId="4975" priority="3132" operator="equal">
      <formula>"Indeferido"</formula>
    </cfRule>
  </conditionalFormatting>
  <conditionalFormatting sqref="Q755:Q756">
    <cfRule type="containsText" dxfId="4974" priority="3129" operator="containsText" text="Cancelado">
      <formula>NOT(ISERROR(SEARCH("Cancelado",Q755)))</formula>
    </cfRule>
  </conditionalFormatting>
  <conditionalFormatting sqref="S755:S756">
    <cfRule type="cellIs" dxfId="4973" priority="3126" operator="equal">
      <formula>"Tramitando"</formula>
    </cfRule>
    <cfRule type="cellIs" dxfId="4972" priority="3127" operator="equal">
      <formula>"Deferido"</formula>
    </cfRule>
    <cfRule type="cellIs" dxfId="4971" priority="3128" operator="equal">
      <formula>"Indeferido"</formula>
    </cfRule>
  </conditionalFormatting>
  <conditionalFormatting sqref="S755:S756">
    <cfRule type="containsText" dxfId="4970" priority="3125" operator="containsText" text="Cancelado">
      <formula>NOT(ISERROR(SEARCH("Cancelado",S755)))</formula>
    </cfRule>
  </conditionalFormatting>
  <conditionalFormatting sqref="J757:J758">
    <cfRule type="cellIs" dxfId="4969" priority="3121" operator="equal">
      <formula>"Tramitando"</formula>
    </cfRule>
    <cfRule type="cellIs" dxfId="4968" priority="3122" operator="equal">
      <formula>"Deferido"</formula>
    </cfRule>
    <cfRule type="cellIs" dxfId="4967" priority="3123" operator="equal">
      <formula>"Indeferido"</formula>
    </cfRule>
  </conditionalFormatting>
  <conditionalFormatting sqref="J757:J758">
    <cfRule type="containsText" dxfId="4966" priority="3120" operator="containsText" text="Cancelado">
      <formula>NOT(ISERROR(SEARCH("Cancelado",J757)))</formula>
    </cfRule>
  </conditionalFormatting>
  <conditionalFormatting sqref="M757:M758">
    <cfRule type="cellIs" dxfId="4965" priority="3117" operator="equal">
      <formula>"Tramitando"</formula>
    </cfRule>
    <cfRule type="cellIs" dxfId="4964" priority="3118" operator="equal">
      <formula>"Deferido"</formula>
    </cfRule>
    <cfRule type="cellIs" dxfId="4963" priority="3119" operator="equal">
      <formula>"Indeferido"</formula>
    </cfRule>
  </conditionalFormatting>
  <conditionalFormatting sqref="M757:M758">
    <cfRule type="containsText" dxfId="4962" priority="3116" operator="containsText" text="Cancelado">
      <formula>NOT(ISERROR(SEARCH("Cancelado",M757)))</formula>
    </cfRule>
  </conditionalFormatting>
  <conditionalFormatting sqref="O757:O758">
    <cfRule type="cellIs" dxfId="4961" priority="3113" operator="equal">
      <formula>"Tramitando"</formula>
    </cfRule>
    <cfRule type="cellIs" dxfId="4960" priority="3114" operator="equal">
      <formula>"Deferido"</formula>
    </cfRule>
    <cfRule type="cellIs" dxfId="4959" priority="3115" operator="equal">
      <formula>"Indeferido"</formula>
    </cfRule>
  </conditionalFormatting>
  <conditionalFormatting sqref="O757:O758">
    <cfRule type="containsText" dxfId="4958" priority="3112" operator="containsText" text="Cancelado">
      <formula>NOT(ISERROR(SEARCH("Cancelado",O757)))</formula>
    </cfRule>
  </conditionalFormatting>
  <conditionalFormatting sqref="Q757:Q758">
    <cfRule type="cellIs" dxfId="4957" priority="3109" operator="equal">
      <formula>"Tramitando"</formula>
    </cfRule>
    <cfRule type="cellIs" dxfId="4956" priority="3110" operator="equal">
      <formula>"Deferido"</formula>
    </cfRule>
    <cfRule type="cellIs" dxfId="4955" priority="3111" operator="equal">
      <formula>"Indeferido"</formula>
    </cfRule>
  </conditionalFormatting>
  <conditionalFormatting sqref="Q757:Q758">
    <cfRule type="containsText" dxfId="4954" priority="3108" operator="containsText" text="Cancelado">
      <formula>NOT(ISERROR(SEARCH("Cancelado",Q757)))</formula>
    </cfRule>
  </conditionalFormatting>
  <conditionalFormatting sqref="S757:S758">
    <cfRule type="cellIs" dxfId="4953" priority="3105" operator="equal">
      <formula>"Tramitando"</formula>
    </cfRule>
    <cfRule type="cellIs" dxfId="4952" priority="3106" operator="equal">
      <formula>"Deferido"</formula>
    </cfRule>
    <cfRule type="cellIs" dxfId="4951" priority="3107" operator="equal">
      <formula>"Indeferido"</formula>
    </cfRule>
  </conditionalFormatting>
  <conditionalFormatting sqref="S757:S758">
    <cfRule type="containsText" dxfId="4950" priority="3104" operator="containsText" text="Cancelado">
      <formula>NOT(ISERROR(SEARCH("Cancelado",S757)))</formula>
    </cfRule>
  </conditionalFormatting>
  <conditionalFormatting sqref="J759">
    <cfRule type="cellIs" dxfId="4949" priority="3098" operator="equal">
      <formula>"Tramitando"</formula>
    </cfRule>
    <cfRule type="cellIs" dxfId="4948" priority="3099" operator="equal">
      <formula>"Deferido"</formula>
    </cfRule>
    <cfRule type="cellIs" dxfId="4947" priority="3100" operator="equal">
      <formula>"Indeferido"</formula>
    </cfRule>
  </conditionalFormatting>
  <conditionalFormatting sqref="J759">
    <cfRule type="containsText" dxfId="4946" priority="3097" operator="containsText" text="Cancelado">
      <formula>NOT(ISERROR(SEARCH("Cancelado",J759)))</formula>
    </cfRule>
  </conditionalFormatting>
  <conditionalFormatting sqref="M759">
    <cfRule type="cellIs" dxfId="4945" priority="3094" operator="equal">
      <formula>"Tramitando"</formula>
    </cfRule>
    <cfRule type="cellIs" dxfId="4944" priority="3095" operator="equal">
      <formula>"Deferido"</formula>
    </cfRule>
    <cfRule type="cellIs" dxfId="4943" priority="3096" operator="equal">
      <formula>"Indeferido"</formula>
    </cfRule>
  </conditionalFormatting>
  <conditionalFormatting sqref="M759">
    <cfRule type="containsText" dxfId="4942" priority="3093" operator="containsText" text="Cancelado">
      <formula>NOT(ISERROR(SEARCH("Cancelado",M759)))</formula>
    </cfRule>
  </conditionalFormatting>
  <conditionalFormatting sqref="O759">
    <cfRule type="cellIs" dxfId="4941" priority="3090" operator="equal">
      <formula>"Tramitando"</formula>
    </cfRule>
    <cfRule type="cellIs" dxfId="4940" priority="3091" operator="equal">
      <formula>"Deferido"</formula>
    </cfRule>
    <cfRule type="cellIs" dxfId="4939" priority="3092" operator="equal">
      <formula>"Indeferido"</formula>
    </cfRule>
  </conditionalFormatting>
  <conditionalFormatting sqref="O759">
    <cfRule type="containsText" dxfId="4938" priority="3089" operator="containsText" text="Cancelado">
      <formula>NOT(ISERROR(SEARCH("Cancelado",O759)))</formula>
    </cfRule>
  </conditionalFormatting>
  <conditionalFormatting sqref="Q759">
    <cfRule type="cellIs" dxfId="4937" priority="3086" operator="equal">
      <formula>"Tramitando"</formula>
    </cfRule>
    <cfRule type="cellIs" dxfId="4936" priority="3087" operator="equal">
      <formula>"Deferido"</formula>
    </cfRule>
    <cfRule type="cellIs" dxfId="4935" priority="3088" operator="equal">
      <formula>"Indeferido"</formula>
    </cfRule>
  </conditionalFormatting>
  <conditionalFormatting sqref="Q759">
    <cfRule type="containsText" dxfId="4934" priority="3085" operator="containsText" text="Cancelado">
      <formula>NOT(ISERROR(SEARCH("Cancelado",Q759)))</formula>
    </cfRule>
  </conditionalFormatting>
  <conditionalFormatting sqref="S759">
    <cfRule type="cellIs" dxfId="4933" priority="3082" operator="equal">
      <formula>"Tramitando"</formula>
    </cfRule>
    <cfRule type="cellIs" dxfId="4932" priority="3083" operator="equal">
      <formula>"Deferido"</formula>
    </cfRule>
    <cfRule type="cellIs" dxfId="4931" priority="3084" operator="equal">
      <formula>"Indeferido"</formula>
    </cfRule>
  </conditionalFormatting>
  <conditionalFormatting sqref="S759">
    <cfRule type="containsText" dxfId="4930" priority="3081" operator="containsText" text="Cancelado">
      <formula>NOT(ISERROR(SEARCH("Cancelado",S759)))</formula>
    </cfRule>
  </conditionalFormatting>
  <conditionalFormatting sqref="J760">
    <cfRule type="cellIs" dxfId="4929" priority="3077" operator="equal">
      <formula>"Tramitando"</formula>
    </cfRule>
    <cfRule type="cellIs" dxfId="4928" priority="3078" operator="equal">
      <formula>"Deferido"</formula>
    </cfRule>
    <cfRule type="cellIs" dxfId="4927" priority="3079" operator="equal">
      <formula>"Indeferido"</formula>
    </cfRule>
  </conditionalFormatting>
  <conditionalFormatting sqref="J760">
    <cfRule type="containsText" dxfId="4926" priority="3076" operator="containsText" text="Cancelado">
      <formula>NOT(ISERROR(SEARCH("Cancelado",J760)))</formula>
    </cfRule>
  </conditionalFormatting>
  <conditionalFormatting sqref="M760">
    <cfRule type="cellIs" dxfId="4925" priority="3073" operator="equal">
      <formula>"Tramitando"</formula>
    </cfRule>
    <cfRule type="cellIs" dxfId="4924" priority="3074" operator="equal">
      <formula>"Deferido"</formula>
    </cfRule>
    <cfRule type="cellIs" dxfId="4923" priority="3075" operator="equal">
      <formula>"Indeferido"</formula>
    </cfRule>
  </conditionalFormatting>
  <conditionalFormatting sqref="M760">
    <cfRule type="containsText" dxfId="4922" priority="3072" operator="containsText" text="Cancelado">
      <formula>NOT(ISERROR(SEARCH("Cancelado",M760)))</formula>
    </cfRule>
  </conditionalFormatting>
  <conditionalFormatting sqref="O760">
    <cfRule type="cellIs" dxfId="4921" priority="3069" operator="equal">
      <formula>"Tramitando"</formula>
    </cfRule>
    <cfRule type="cellIs" dxfId="4920" priority="3070" operator="equal">
      <formula>"Deferido"</formula>
    </cfRule>
    <cfRule type="cellIs" dxfId="4919" priority="3071" operator="equal">
      <formula>"Indeferido"</formula>
    </cfRule>
  </conditionalFormatting>
  <conditionalFormatting sqref="O760">
    <cfRule type="containsText" dxfId="4918" priority="3068" operator="containsText" text="Cancelado">
      <formula>NOT(ISERROR(SEARCH("Cancelado",O760)))</formula>
    </cfRule>
  </conditionalFormatting>
  <conditionalFormatting sqref="Q760">
    <cfRule type="cellIs" dxfId="4917" priority="3065" operator="equal">
      <formula>"Tramitando"</formula>
    </cfRule>
    <cfRule type="cellIs" dxfId="4916" priority="3066" operator="equal">
      <formula>"Deferido"</formula>
    </cfRule>
    <cfRule type="cellIs" dxfId="4915" priority="3067" operator="equal">
      <formula>"Indeferido"</formula>
    </cfRule>
  </conditionalFormatting>
  <conditionalFormatting sqref="Q760">
    <cfRule type="containsText" dxfId="4914" priority="3064" operator="containsText" text="Cancelado">
      <formula>NOT(ISERROR(SEARCH("Cancelado",Q760)))</formula>
    </cfRule>
  </conditionalFormatting>
  <conditionalFormatting sqref="S760">
    <cfRule type="cellIs" dxfId="4913" priority="3061" operator="equal">
      <formula>"Tramitando"</formula>
    </cfRule>
    <cfRule type="cellIs" dxfId="4912" priority="3062" operator="equal">
      <formula>"Deferido"</formula>
    </cfRule>
    <cfRule type="cellIs" dxfId="4911" priority="3063" operator="equal">
      <formula>"Indeferido"</formula>
    </cfRule>
  </conditionalFormatting>
  <conditionalFormatting sqref="S760">
    <cfRule type="containsText" dxfId="4910" priority="3060" operator="containsText" text="Cancelado">
      <formula>NOT(ISERROR(SEARCH("Cancelado",S760)))</formula>
    </cfRule>
  </conditionalFormatting>
  <conditionalFormatting sqref="J761:J762">
    <cfRule type="cellIs" dxfId="4909" priority="3056" operator="equal">
      <formula>"Tramitando"</formula>
    </cfRule>
    <cfRule type="cellIs" dxfId="4908" priority="3057" operator="equal">
      <formula>"Deferido"</formula>
    </cfRule>
    <cfRule type="cellIs" dxfId="4907" priority="3058" operator="equal">
      <formula>"Indeferido"</formula>
    </cfRule>
  </conditionalFormatting>
  <conditionalFormatting sqref="J761:J762">
    <cfRule type="containsText" dxfId="4906" priority="3055" operator="containsText" text="Cancelado">
      <formula>NOT(ISERROR(SEARCH("Cancelado",J761)))</formula>
    </cfRule>
  </conditionalFormatting>
  <conditionalFormatting sqref="M761:M762">
    <cfRule type="cellIs" dxfId="4905" priority="3052" operator="equal">
      <formula>"Tramitando"</formula>
    </cfRule>
    <cfRule type="cellIs" dxfId="4904" priority="3053" operator="equal">
      <formula>"Deferido"</formula>
    </cfRule>
    <cfRule type="cellIs" dxfId="4903" priority="3054" operator="equal">
      <formula>"Indeferido"</formula>
    </cfRule>
  </conditionalFormatting>
  <conditionalFormatting sqref="M761:M762">
    <cfRule type="containsText" dxfId="4902" priority="3051" operator="containsText" text="Cancelado">
      <formula>NOT(ISERROR(SEARCH("Cancelado",M761)))</formula>
    </cfRule>
  </conditionalFormatting>
  <conditionalFormatting sqref="O761:O762">
    <cfRule type="cellIs" dxfId="4901" priority="3048" operator="equal">
      <formula>"Tramitando"</formula>
    </cfRule>
    <cfRule type="cellIs" dxfId="4900" priority="3049" operator="equal">
      <formula>"Deferido"</formula>
    </cfRule>
    <cfRule type="cellIs" dxfId="4899" priority="3050" operator="equal">
      <formula>"Indeferido"</formula>
    </cfRule>
  </conditionalFormatting>
  <conditionalFormatting sqref="O761:O762">
    <cfRule type="containsText" dxfId="4898" priority="3047" operator="containsText" text="Cancelado">
      <formula>NOT(ISERROR(SEARCH("Cancelado",O761)))</formula>
    </cfRule>
  </conditionalFormatting>
  <conditionalFormatting sqref="Q761:Q762">
    <cfRule type="cellIs" dxfId="4897" priority="3044" operator="equal">
      <formula>"Tramitando"</formula>
    </cfRule>
    <cfRule type="cellIs" dxfId="4896" priority="3045" operator="equal">
      <formula>"Deferido"</formula>
    </cfRule>
    <cfRule type="cellIs" dxfId="4895" priority="3046" operator="equal">
      <formula>"Indeferido"</formula>
    </cfRule>
  </conditionalFormatting>
  <conditionalFormatting sqref="Q761:Q762">
    <cfRule type="containsText" dxfId="4894" priority="3043" operator="containsText" text="Cancelado">
      <formula>NOT(ISERROR(SEARCH("Cancelado",Q761)))</formula>
    </cfRule>
  </conditionalFormatting>
  <conditionalFormatting sqref="S761:S762">
    <cfRule type="cellIs" dxfId="4893" priority="3040" operator="equal">
      <formula>"Tramitando"</formula>
    </cfRule>
    <cfRule type="cellIs" dxfId="4892" priority="3041" operator="equal">
      <formula>"Deferido"</formula>
    </cfRule>
    <cfRule type="cellIs" dxfId="4891" priority="3042" operator="equal">
      <formula>"Indeferido"</formula>
    </cfRule>
  </conditionalFormatting>
  <conditionalFormatting sqref="S761:S762">
    <cfRule type="containsText" dxfId="4890" priority="3039" operator="containsText" text="Cancelado">
      <formula>NOT(ISERROR(SEARCH("Cancelado",S761)))</formula>
    </cfRule>
  </conditionalFormatting>
  <conditionalFormatting sqref="J763">
    <cfRule type="cellIs" dxfId="4889" priority="3035" operator="equal">
      <formula>"Tramitando"</formula>
    </cfRule>
    <cfRule type="cellIs" dxfId="4888" priority="3036" operator="equal">
      <formula>"Deferido"</formula>
    </cfRule>
    <cfRule type="cellIs" dxfId="4887" priority="3037" operator="equal">
      <formula>"Indeferido"</formula>
    </cfRule>
  </conditionalFormatting>
  <conditionalFormatting sqref="J763">
    <cfRule type="containsText" dxfId="4886" priority="3034" operator="containsText" text="Cancelado">
      <formula>NOT(ISERROR(SEARCH("Cancelado",J763)))</formula>
    </cfRule>
  </conditionalFormatting>
  <conditionalFormatting sqref="M763">
    <cfRule type="cellIs" dxfId="4885" priority="3031" operator="equal">
      <formula>"Tramitando"</formula>
    </cfRule>
    <cfRule type="cellIs" dxfId="4884" priority="3032" operator="equal">
      <formula>"Deferido"</formula>
    </cfRule>
    <cfRule type="cellIs" dxfId="4883" priority="3033" operator="equal">
      <formula>"Indeferido"</formula>
    </cfRule>
  </conditionalFormatting>
  <conditionalFormatting sqref="M763">
    <cfRule type="containsText" dxfId="4882" priority="3030" operator="containsText" text="Cancelado">
      <formula>NOT(ISERROR(SEARCH("Cancelado",M763)))</formula>
    </cfRule>
  </conditionalFormatting>
  <conditionalFormatting sqref="O763">
    <cfRule type="cellIs" dxfId="4881" priority="3027" operator="equal">
      <formula>"Tramitando"</formula>
    </cfRule>
    <cfRule type="cellIs" dxfId="4880" priority="3028" operator="equal">
      <formula>"Deferido"</formula>
    </cfRule>
    <cfRule type="cellIs" dxfId="4879" priority="3029" operator="equal">
      <formula>"Indeferido"</formula>
    </cfRule>
  </conditionalFormatting>
  <conditionalFormatting sqref="O763">
    <cfRule type="containsText" dxfId="4878" priority="3026" operator="containsText" text="Cancelado">
      <formula>NOT(ISERROR(SEARCH("Cancelado",O763)))</formula>
    </cfRule>
  </conditionalFormatting>
  <conditionalFormatting sqref="Q763">
    <cfRule type="cellIs" dxfId="4877" priority="3023" operator="equal">
      <formula>"Tramitando"</formula>
    </cfRule>
    <cfRule type="cellIs" dxfId="4876" priority="3024" operator="equal">
      <formula>"Deferido"</formula>
    </cfRule>
    <cfRule type="cellIs" dxfId="4875" priority="3025" operator="equal">
      <formula>"Indeferido"</formula>
    </cfRule>
  </conditionalFormatting>
  <conditionalFormatting sqref="Q763">
    <cfRule type="containsText" dxfId="4874" priority="3022" operator="containsText" text="Cancelado">
      <formula>NOT(ISERROR(SEARCH("Cancelado",Q763)))</formula>
    </cfRule>
  </conditionalFormatting>
  <conditionalFormatting sqref="S763">
    <cfRule type="cellIs" dxfId="4873" priority="3019" operator="equal">
      <formula>"Tramitando"</formula>
    </cfRule>
    <cfRule type="cellIs" dxfId="4872" priority="3020" operator="equal">
      <formula>"Deferido"</formula>
    </cfRule>
    <cfRule type="cellIs" dxfId="4871" priority="3021" operator="equal">
      <formula>"Indeferido"</formula>
    </cfRule>
  </conditionalFormatting>
  <conditionalFormatting sqref="S763">
    <cfRule type="containsText" dxfId="4870" priority="3018" operator="containsText" text="Cancelado">
      <formula>NOT(ISERROR(SEARCH("Cancelado",S763)))</formula>
    </cfRule>
  </conditionalFormatting>
  <conditionalFormatting sqref="J764">
    <cfRule type="cellIs" dxfId="4869" priority="3014" operator="equal">
      <formula>"Tramitando"</formula>
    </cfRule>
    <cfRule type="cellIs" dxfId="4868" priority="3015" operator="equal">
      <formula>"Deferido"</formula>
    </cfRule>
    <cfRule type="cellIs" dxfId="4867" priority="3016" operator="equal">
      <formula>"Indeferido"</formula>
    </cfRule>
  </conditionalFormatting>
  <conditionalFormatting sqref="J764">
    <cfRule type="containsText" dxfId="4866" priority="3013" operator="containsText" text="Cancelado">
      <formula>NOT(ISERROR(SEARCH("Cancelado",J764)))</formula>
    </cfRule>
  </conditionalFormatting>
  <conditionalFormatting sqref="M764">
    <cfRule type="cellIs" dxfId="4865" priority="3010" operator="equal">
      <formula>"Tramitando"</formula>
    </cfRule>
    <cfRule type="cellIs" dxfId="4864" priority="3011" operator="equal">
      <formula>"Deferido"</formula>
    </cfRule>
    <cfRule type="cellIs" dxfId="4863" priority="3012" operator="equal">
      <formula>"Indeferido"</formula>
    </cfRule>
  </conditionalFormatting>
  <conditionalFormatting sqref="M764">
    <cfRule type="containsText" dxfId="4862" priority="3009" operator="containsText" text="Cancelado">
      <formula>NOT(ISERROR(SEARCH("Cancelado",M764)))</formula>
    </cfRule>
  </conditionalFormatting>
  <conditionalFormatting sqref="O764">
    <cfRule type="cellIs" dxfId="4861" priority="3006" operator="equal">
      <formula>"Tramitando"</formula>
    </cfRule>
    <cfRule type="cellIs" dxfId="4860" priority="3007" operator="equal">
      <formula>"Deferido"</formula>
    </cfRule>
    <cfRule type="cellIs" dxfId="4859" priority="3008" operator="equal">
      <formula>"Indeferido"</formula>
    </cfRule>
  </conditionalFormatting>
  <conditionalFormatting sqref="O764">
    <cfRule type="containsText" dxfId="4858" priority="3005" operator="containsText" text="Cancelado">
      <formula>NOT(ISERROR(SEARCH("Cancelado",O764)))</formula>
    </cfRule>
  </conditionalFormatting>
  <conditionalFormatting sqref="Q764">
    <cfRule type="cellIs" dxfId="4857" priority="3002" operator="equal">
      <formula>"Tramitando"</formula>
    </cfRule>
    <cfRule type="cellIs" dxfId="4856" priority="3003" operator="equal">
      <formula>"Deferido"</formula>
    </cfRule>
    <cfRule type="cellIs" dxfId="4855" priority="3004" operator="equal">
      <formula>"Indeferido"</formula>
    </cfRule>
  </conditionalFormatting>
  <conditionalFormatting sqref="Q764">
    <cfRule type="containsText" dxfId="4854" priority="3001" operator="containsText" text="Cancelado">
      <formula>NOT(ISERROR(SEARCH("Cancelado",Q764)))</formula>
    </cfRule>
  </conditionalFormatting>
  <conditionalFormatting sqref="S764">
    <cfRule type="cellIs" dxfId="4853" priority="2998" operator="equal">
      <formula>"Tramitando"</formula>
    </cfRule>
    <cfRule type="cellIs" dxfId="4852" priority="2999" operator="equal">
      <formula>"Deferido"</formula>
    </cfRule>
    <cfRule type="cellIs" dxfId="4851" priority="3000" operator="equal">
      <formula>"Indeferido"</formula>
    </cfRule>
  </conditionalFormatting>
  <conditionalFormatting sqref="S764">
    <cfRule type="containsText" dxfId="4850" priority="2997" operator="containsText" text="Cancelado">
      <formula>NOT(ISERROR(SEARCH("Cancelado",S764)))</formula>
    </cfRule>
  </conditionalFormatting>
  <conditionalFormatting sqref="J765">
    <cfRule type="cellIs" dxfId="4849" priority="2993" operator="equal">
      <formula>"Tramitando"</formula>
    </cfRule>
    <cfRule type="cellIs" dxfId="4848" priority="2994" operator="equal">
      <formula>"Deferido"</formula>
    </cfRule>
    <cfRule type="cellIs" dxfId="4847" priority="2995" operator="equal">
      <formula>"Indeferido"</formula>
    </cfRule>
  </conditionalFormatting>
  <conditionalFormatting sqref="J765">
    <cfRule type="containsText" dxfId="4846" priority="2992" operator="containsText" text="Cancelado">
      <formula>NOT(ISERROR(SEARCH("Cancelado",J765)))</formula>
    </cfRule>
  </conditionalFormatting>
  <conditionalFormatting sqref="M765">
    <cfRule type="cellIs" dxfId="4845" priority="2989" operator="equal">
      <formula>"Tramitando"</formula>
    </cfRule>
    <cfRule type="cellIs" dxfId="4844" priority="2990" operator="equal">
      <formula>"Deferido"</formula>
    </cfRule>
    <cfRule type="cellIs" dxfId="4843" priority="2991" operator="equal">
      <formula>"Indeferido"</formula>
    </cfRule>
  </conditionalFormatting>
  <conditionalFormatting sqref="M765">
    <cfRule type="containsText" dxfId="4842" priority="2988" operator="containsText" text="Cancelado">
      <formula>NOT(ISERROR(SEARCH("Cancelado",M765)))</formula>
    </cfRule>
  </conditionalFormatting>
  <conditionalFormatting sqref="O765">
    <cfRule type="cellIs" dxfId="4841" priority="2985" operator="equal">
      <formula>"Tramitando"</formula>
    </cfRule>
    <cfRule type="cellIs" dxfId="4840" priority="2986" operator="equal">
      <formula>"Deferido"</formula>
    </cfRule>
    <cfRule type="cellIs" dxfId="4839" priority="2987" operator="equal">
      <formula>"Indeferido"</formula>
    </cfRule>
  </conditionalFormatting>
  <conditionalFormatting sqref="O765">
    <cfRule type="containsText" dxfId="4838" priority="2984" operator="containsText" text="Cancelado">
      <formula>NOT(ISERROR(SEARCH("Cancelado",O765)))</formula>
    </cfRule>
  </conditionalFormatting>
  <conditionalFormatting sqref="Q765">
    <cfRule type="cellIs" dxfId="4837" priority="2981" operator="equal">
      <formula>"Tramitando"</formula>
    </cfRule>
    <cfRule type="cellIs" dxfId="4836" priority="2982" operator="equal">
      <formula>"Deferido"</formula>
    </cfRule>
    <cfRule type="cellIs" dxfId="4835" priority="2983" operator="equal">
      <formula>"Indeferido"</formula>
    </cfRule>
  </conditionalFormatting>
  <conditionalFormatting sqref="Q765">
    <cfRule type="containsText" dxfId="4834" priority="2980" operator="containsText" text="Cancelado">
      <formula>NOT(ISERROR(SEARCH("Cancelado",Q765)))</formula>
    </cfRule>
  </conditionalFormatting>
  <conditionalFormatting sqref="S765">
    <cfRule type="cellIs" dxfId="4833" priority="2977" operator="equal">
      <formula>"Tramitando"</formula>
    </cfRule>
    <cfRule type="cellIs" dxfId="4832" priority="2978" operator="equal">
      <formula>"Deferido"</formula>
    </cfRule>
    <cfRule type="cellIs" dxfId="4831" priority="2979" operator="equal">
      <formula>"Indeferido"</formula>
    </cfRule>
  </conditionalFormatting>
  <conditionalFormatting sqref="S765">
    <cfRule type="containsText" dxfId="4830" priority="2976" operator="containsText" text="Cancelado">
      <formula>NOT(ISERROR(SEARCH("Cancelado",S765)))</formula>
    </cfRule>
  </conditionalFormatting>
  <conditionalFormatting sqref="J766">
    <cfRule type="cellIs" dxfId="4829" priority="2972" operator="equal">
      <formula>"Tramitando"</formula>
    </cfRule>
    <cfRule type="cellIs" dxfId="4828" priority="2973" operator="equal">
      <formula>"Deferido"</formula>
    </cfRule>
    <cfRule type="cellIs" dxfId="4827" priority="2974" operator="equal">
      <formula>"Indeferido"</formula>
    </cfRule>
  </conditionalFormatting>
  <conditionalFormatting sqref="J766">
    <cfRule type="containsText" dxfId="4826" priority="2971" operator="containsText" text="Cancelado">
      <formula>NOT(ISERROR(SEARCH("Cancelado",J766)))</formula>
    </cfRule>
  </conditionalFormatting>
  <conditionalFormatting sqref="M766">
    <cfRule type="cellIs" dxfId="4825" priority="2968" operator="equal">
      <formula>"Tramitando"</formula>
    </cfRule>
    <cfRule type="cellIs" dxfId="4824" priority="2969" operator="equal">
      <formula>"Deferido"</formula>
    </cfRule>
    <cfRule type="cellIs" dxfId="4823" priority="2970" operator="equal">
      <formula>"Indeferido"</formula>
    </cfRule>
  </conditionalFormatting>
  <conditionalFormatting sqref="M766">
    <cfRule type="containsText" dxfId="4822" priority="2967" operator="containsText" text="Cancelado">
      <formula>NOT(ISERROR(SEARCH("Cancelado",M766)))</formula>
    </cfRule>
  </conditionalFormatting>
  <conditionalFormatting sqref="O766">
    <cfRule type="cellIs" dxfId="4821" priority="2964" operator="equal">
      <formula>"Tramitando"</formula>
    </cfRule>
    <cfRule type="cellIs" dxfId="4820" priority="2965" operator="equal">
      <formula>"Deferido"</formula>
    </cfRule>
    <cfRule type="cellIs" dxfId="4819" priority="2966" operator="equal">
      <formula>"Indeferido"</formula>
    </cfRule>
  </conditionalFormatting>
  <conditionalFormatting sqref="O766">
    <cfRule type="containsText" dxfId="4818" priority="2963" operator="containsText" text="Cancelado">
      <formula>NOT(ISERROR(SEARCH("Cancelado",O766)))</formula>
    </cfRule>
  </conditionalFormatting>
  <conditionalFormatting sqref="Q766">
    <cfRule type="cellIs" dxfId="4817" priority="2960" operator="equal">
      <formula>"Tramitando"</formula>
    </cfRule>
    <cfRule type="cellIs" dxfId="4816" priority="2961" operator="equal">
      <formula>"Deferido"</formula>
    </cfRule>
    <cfRule type="cellIs" dxfId="4815" priority="2962" operator="equal">
      <formula>"Indeferido"</formula>
    </cfRule>
  </conditionalFormatting>
  <conditionalFormatting sqref="Q766">
    <cfRule type="containsText" dxfId="4814" priority="2959" operator="containsText" text="Cancelado">
      <formula>NOT(ISERROR(SEARCH("Cancelado",Q766)))</formula>
    </cfRule>
  </conditionalFormatting>
  <conditionalFormatting sqref="S766">
    <cfRule type="cellIs" dxfId="4813" priority="2956" operator="equal">
      <formula>"Tramitando"</formula>
    </cfRule>
    <cfRule type="cellIs" dxfId="4812" priority="2957" operator="equal">
      <formula>"Deferido"</formula>
    </cfRule>
    <cfRule type="cellIs" dxfId="4811" priority="2958" operator="equal">
      <formula>"Indeferido"</formula>
    </cfRule>
  </conditionalFormatting>
  <conditionalFormatting sqref="S766">
    <cfRule type="containsText" dxfId="4810" priority="2955" operator="containsText" text="Cancelado">
      <formula>NOT(ISERROR(SEARCH("Cancelado",S766)))</formula>
    </cfRule>
  </conditionalFormatting>
  <conditionalFormatting sqref="J767">
    <cfRule type="cellIs" dxfId="4809" priority="2951" operator="equal">
      <formula>"Tramitando"</formula>
    </cfRule>
    <cfRule type="cellIs" dxfId="4808" priority="2952" operator="equal">
      <formula>"Deferido"</formula>
    </cfRule>
    <cfRule type="cellIs" dxfId="4807" priority="2953" operator="equal">
      <formula>"Indeferido"</formula>
    </cfRule>
  </conditionalFormatting>
  <conditionalFormatting sqref="J767">
    <cfRule type="containsText" dxfId="4806" priority="2950" operator="containsText" text="Cancelado">
      <formula>NOT(ISERROR(SEARCH("Cancelado",J767)))</formula>
    </cfRule>
  </conditionalFormatting>
  <conditionalFormatting sqref="M767">
    <cfRule type="cellIs" dxfId="4805" priority="2947" operator="equal">
      <formula>"Tramitando"</formula>
    </cfRule>
    <cfRule type="cellIs" dxfId="4804" priority="2948" operator="equal">
      <formula>"Deferido"</formula>
    </cfRule>
    <cfRule type="cellIs" dxfId="4803" priority="2949" operator="equal">
      <formula>"Indeferido"</formula>
    </cfRule>
  </conditionalFormatting>
  <conditionalFormatting sqref="M767">
    <cfRule type="containsText" dxfId="4802" priority="2946" operator="containsText" text="Cancelado">
      <formula>NOT(ISERROR(SEARCH("Cancelado",M767)))</formula>
    </cfRule>
  </conditionalFormatting>
  <conditionalFormatting sqref="O767">
    <cfRule type="cellIs" dxfId="4801" priority="2943" operator="equal">
      <formula>"Tramitando"</formula>
    </cfRule>
    <cfRule type="cellIs" dxfId="4800" priority="2944" operator="equal">
      <formula>"Deferido"</formula>
    </cfRule>
    <cfRule type="cellIs" dxfId="4799" priority="2945" operator="equal">
      <formula>"Indeferido"</formula>
    </cfRule>
  </conditionalFormatting>
  <conditionalFormatting sqref="O767">
    <cfRule type="containsText" dxfId="4798" priority="2942" operator="containsText" text="Cancelado">
      <formula>NOT(ISERROR(SEARCH("Cancelado",O767)))</formula>
    </cfRule>
  </conditionalFormatting>
  <conditionalFormatting sqref="Q767">
    <cfRule type="cellIs" dxfId="4797" priority="2939" operator="equal">
      <formula>"Tramitando"</formula>
    </cfRule>
    <cfRule type="cellIs" dxfId="4796" priority="2940" operator="equal">
      <formula>"Deferido"</formula>
    </cfRule>
    <cfRule type="cellIs" dxfId="4795" priority="2941" operator="equal">
      <formula>"Indeferido"</formula>
    </cfRule>
  </conditionalFormatting>
  <conditionalFormatting sqref="Q767">
    <cfRule type="containsText" dxfId="4794" priority="2938" operator="containsText" text="Cancelado">
      <formula>NOT(ISERROR(SEARCH("Cancelado",Q767)))</formula>
    </cfRule>
  </conditionalFormatting>
  <conditionalFormatting sqref="S767">
    <cfRule type="cellIs" dxfId="4793" priority="2935" operator="equal">
      <formula>"Tramitando"</formula>
    </cfRule>
    <cfRule type="cellIs" dxfId="4792" priority="2936" operator="equal">
      <formula>"Deferido"</formula>
    </cfRule>
    <cfRule type="cellIs" dxfId="4791" priority="2937" operator="equal">
      <formula>"Indeferido"</formula>
    </cfRule>
  </conditionalFormatting>
  <conditionalFormatting sqref="S767">
    <cfRule type="containsText" dxfId="4790" priority="2934" operator="containsText" text="Cancelado">
      <formula>NOT(ISERROR(SEARCH("Cancelado",S767)))</formula>
    </cfRule>
  </conditionalFormatting>
  <conditionalFormatting sqref="J768:J769">
    <cfRule type="cellIs" dxfId="4789" priority="2930" operator="equal">
      <formula>"Tramitando"</formula>
    </cfRule>
    <cfRule type="cellIs" dxfId="4788" priority="2931" operator="equal">
      <formula>"Deferido"</formula>
    </cfRule>
    <cfRule type="cellIs" dxfId="4787" priority="2932" operator="equal">
      <formula>"Indeferido"</formula>
    </cfRule>
  </conditionalFormatting>
  <conditionalFormatting sqref="J768:J769">
    <cfRule type="containsText" dxfId="4786" priority="2929" operator="containsText" text="Cancelado">
      <formula>NOT(ISERROR(SEARCH("Cancelado",J768)))</formula>
    </cfRule>
  </conditionalFormatting>
  <conditionalFormatting sqref="M768:M769">
    <cfRule type="cellIs" dxfId="4785" priority="2926" operator="equal">
      <formula>"Tramitando"</formula>
    </cfRule>
    <cfRule type="cellIs" dxfId="4784" priority="2927" operator="equal">
      <formula>"Deferido"</formula>
    </cfRule>
    <cfRule type="cellIs" dxfId="4783" priority="2928" operator="equal">
      <formula>"Indeferido"</formula>
    </cfRule>
  </conditionalFormatting>
  <conditionalFormatting sqref="M768:M769">
    <cfRule type="containsText" dxfId="4782" priority="2925" operator="containsText" text="Cancelado">
      <formula>NOT(ISERROR(SEARCH("Cancelado",M768)))</formula>
    </cfRule>
  </conditionalFormatting>
  <conditionalFormatting sqref="O768:O769">
    <cfRule type="cellIs" dxfId="4781" priority="2922" operator="equal">
      <formula>"Tramitando"</formula>
    </cfRule>
    <cfRule type="cellIs" dxfId="4780" priority="2923" operator="equal">
      <formula>"Deferido"</formula>
    </cfRule>
    <cfRule type="cellIs" dxfId="4779" priority="2924" operator="equal">
      <formula>"Indeferido"</formula>
    </cfRule>
  </conditionalFormatting>
  <conditionalFormatting sqref="O768:O769">
    <cfRule type="containsText" dxfId="4778" priority="2921" operator="containsText" text="Cancelado">
      <formula>NOT(ISERROR(SEARCH("Cancelado",O768)))</formula>
    </cfRule>
  </conditionalFormatting>
  <conditionalFormatting sqref="Q768:Q769">
    <cfRule type="cellIs" dxfId="4777" priority="2918" operator="equal">
      <formula>"Tramitando"</formula>
    </cfRule>
    <cfRule type="cellIs" dxfId="4776" priority="2919" operator="equal">
      <formula>"Deferido"</formula>
    </cfRule>
    <cfRule type="cellIs" dxfId="4775" priority="2920" operator="equal">
      <formula>"Indeferido"</formula>
    </cfRule>
  </conditionalFormatting>
  <conditionalFormatting sqref="Q768:Q769">
    <cfRule type="containsText" dxfId="4774" priority="2917" operator="containsText" text="Cancelado">
      <formula>NOT(ISERROR(SEARCH("Cancelado",Q768)))</formula>
    </cfRule>
  </conditionalFormatting>
  <conditionalFormatting sqref="S768:S769">
    <cfRule type="cellIs" dxfId="4773" priority="2914" operator="equal">
      <formula>"Tramitando"</formula>
    </cfRule>
    <cfRule type="cellIs" dxfId="4772" priority="2915" operator="equal">
      <formula>"Deferido"</formula>
    </cfRule>
    <cfRule type="cellIs" dxfId="4771" priority="2916" operator="equal">
      <formula>"Indeferido"</formula>
    </cfRule>
  </conditionalFormatting>
  <conditionalFormatting sqref="S768:S769">
    <cfRule type="containsText" dxfId="4770" priority="2913" operator="containsText" text="Cancelado">
      <formula>NOT(ISERROR(SEARCH("Cancelado",S768)))</formula>
    </cfRule>
  </conditionalFormatting>
  <conditionalFormatting sqref="J770">
    <cfRule type="cellIs" dxfId="4769" priority="2909" operator="equal">
      <formula>"Tramitando"</formula>
    </cfRule>
    <cfRule type="cellIs" dxfId="4768" priority="2910" operator="equal">
      <formula>"Deferido"</formula>
    </cfRule>
    <cfRule type="cellIs" dxfId="4767" priority="2911" operator="equal">
      <formula>"Indeferido"</formula>
    </cfRule>
  </conditionalFormatting>
  <conditionalFormatting sqref="J770">
    <cfRule type="containsText" dxfId="4766" priority="2908" operator="containsText" text="Cancelado">
      <formula>NOT(ISERROR(SEARCH("Cancelado",J770)))</formula>
    </cfRule>
  </conditionalFormatting>
  <conditionalFormatting sqref="M770">
    <cfRule type="cellIs" dxfId="4765" priority="2905" operator="equal">
      <formula>"Tramitando"</formula>
    </cfRule>
    <cfRule type="cellIs" dxfId="4764" priority="2906" operator="equal">
      <formula>"Deferido"</formula>
    </cfRule>
    <cfRule type="cellIs" dxfId="4763" priority="2907" operator="equal">
      <formula>"Indeferido"</formula>
    </cfRule>
  </conditionalFormatting>
  <conditionalFormatting sqref="M770">
    <cfRule type="containsText" dxfId="4762" priority="2904" operator="containsText" text="Cancelado">
      <formula>NOT(ISERROR(SEARCH("Cancelado",M770)))</formula>
    </cfRule>
  </conditionalFormatting>
  <conditionalFormatting sqref="O770">
    <cfRule type="cellIs" dxfId="4761" priority="2901" operator="equal">
      <formula>"Tramitando"</formula>
    </cfRule>
    <cfRule type="cellIs" dxfId="4760" priority="2902" operator="equal">
      <formula>"Deferido"</formula>
    </cfRule>
    <cfRule type="cellIs" dxfId="4759" priority="2903" operator="equal">
      <formula>"Indeferido"</formula>
    </cfRule>
  </conditionalFormatting>
  <conditionalFormatting sqref="O770">
    <cfRule type="containsText" dxfId="4758" priority="2900" operator="containsText" text="Cancelado">
      <formula>NOT(ISERROR(SEARCH("Cancelado",O770)))</formula>
    </cfRule>
  </conditionalFormatting>
  <conditionalFormatting sqref="Q770">
    <cfRule type="cellIs" dxfId="4757" priority="2897" operator="equal">
      <formula>"Tramitando"</formula>
    </cfRule>
    <cfRule type="cellIs" dxfId="4756" priority="2898" operator="equal">
      <formula>"Deferido"</formula>
    </cfRule>
    <cfRule type="cellIs" dxfId="4755" priority="2899" operator="equal">
      <formula>"Indeferido"</formula>
    </cfRule>
  </conditionalFormatting>
  <conditionalFormatting sqref="Q770">
    <cfRule type="containsText" dxfId="4754" priority="2896" operator="containsText" text="Cancelado">
      <formula>NOT(ISERROR(SEARCH("Cancelado",Q770)))</formula>
    </cfRule>
  </conditionalFormatting>
  <conditionalFormatting sqref="S770">
    <cfRule type="cellIs" dxfId="4753" priority="2893" operator="equal">
      <formula>"Tramitando"</formula>
    </cfRule>
    <cfRule type="cellIs" dxfId="4752" priority="2894" operator="equal">
      <formula>"Deferido"</formula>
    </cfRule>
    <cfRule type="cellIs" dxfId="4751" priority="2895" operator="equal">
      <formula>"Indeferido"</formula>
    </cfRule>
  </conditionalFormatting>
  <conditionalFormatting sqref="S770">
    <cfRule type="containsText" dxfId="4750" priority="2892" operator="containsText" text="Cancelado">
      <formula>NOT(ISERROR(SEARCH("Cancelado",S770)))</formula>
    </cfRule>
  </conditionalFormatting>
  <conditionalFormatting sqref="J771:J773">
    <cfRule type="cellIs" dxfId="4749" priority="2888" operator="equal">
      <formula>"Tramitando"</formula>
    </cfRule>
    <cfRule type="cellIs" dxfId="4748" priority="2889" operator="equal">
      <formula>"Deferido"</formula>
    </cfRule>
    <cfRule type="cellIs" dxfId="4747" priority="2890" operator="equal">
      <formula>"Indeferido"</formula>
    </cfRule>
  </conditionalFormatting>
  <conditionalFormatting sqref="J771:J773">
    <cfRule type="containsText" dxfId="4746" priority="2887" operator="containsText" text="Cancelado">
      <formula>NOT(ISERROR(SEARCH("Cancelado",J771)))</formula>
    </cfRule>
  </conditionalFormatting>
  <conditionalFormatting sqref="M771:M773">
    <cfRule type="cellIs" dxfId="4745" priority="2884" operator="equal">
      <formula>"Tramitando"</formula>
    </cfRule>
    <cfRule type="cellIs" dxfId="4744" priority="2885" operator="equal">
      <formula>"Deferido"</formula>
    </cfRule>
    <cfRule type="cellIs" dxfId="4743" priority="2886" operator="equal">
      <formula>"Indeferido"</formula>
    </cfRule>
  </conditionalFormatting>
  <conditionalFormatting sqref="M771:M773">
    <cfRule type="containsText" dxfId="4742" priority="2883" operator="containsText" text="Cancelado">
      <formula>NOT(ISERROR(SEARCH("Cancelado",M771)))</formula>
    </cfRule>
  </conditionalFormatting>
  <conditionalFormatting sqref="O771:O773">
    <cfRule type="cellIs" dxfId="4741" priority="2880" operator="equal">
      <formula>"Tramitando"</formula>
    </cfRule>
    <cfRule type="cellIs" dxfId="4740" priority="2881" operator="equal">
      <formula>"Deferido"</formula>
    </cfRule>
    <cfRule type="cellIs" dxfId="4739" priority="2882" operator="equal">
      <formula>"Indeferido"</formula>
    </cfRule>
  </conditionalFormatting>
  <conditionalFormatting sqref="O771:O773">
    <cfRule type="containsText" dxfId="4738" priority="2879" operator="containsText" text="Cancelado">
      <formula>NOT(ISERROR(SEARCH("Cancelado",O771)))</formula>
    </cfRule>
  </conditionalFormatting>
  <conditionalFormatting sqref="Q771:Q773">
    <cfRule type="cellIs" dxfId="4737" priority="2876" operator="equal">
      <formula>"Tramitando"</formula>
    </cfRule>
    <cfRule type="cellIs" dxfId="4736" priority="2877" operator="equal">
      <formula>"Deferido"</formula>
    </cfRule>
    <cfRule type="cellIs" dxfId="4735" priority="2878" operator="equal">
      <formula>"Indeferido"</formula>
    </cfRule>
  </conditionalFormatting>
  <conditionalFormatting sqref="Q771:Q773">
    <cfRule type="containsText" dxfId="4734" priority="2875" operator="containsText" text="Cancelado">
      <formula>NOT(ISERROR(SEARCH("Cancelado",Q771)))</formula>
    </cfRule>
  </conditionalFormatting>
  <conditionalFormatting sqref="S771:S773">
    <cfRule type="cellIs" dxfId="4733" priority="2872" operator="equal">
      <formula>"Tramitando"</formula>
    </cfRule>
    <cfRule type="cellIs" dxfId="4732" priority="2873" operator="equal">
      <formula>"Deferido"</formula>
    </cfRule>
    <cfRule type="cellIs" dxfId="4731" priority="2874" operator="equal">
      <formula>"Indeferido"</formula>
    </cfRule>
  </conditionalFormatting>
  <conditionalFormatting sqref="S771:S773">
    <cfRule type="containsText" dxfId="4730" priority="2871" operator="containsText" text="Cancelado">
      <formula>NOT(ISERROR(SEARCH("Cancelado",S771)))</formula>
    </cfRule>
  </conditionalFormatting>
  <conditionalFormatting sqref="J774">
    <cfRule type="cellIs" dxfId="4729" priority="2867" operator="equal">
      <formula>"Tramitando"</formula>
    </cfRule>
    <cfRule type="cellIs" dxfId="4728" priority="2868" operator="equal">
      <formula>"Deferido"</formula>
    </cfRule>
    <cfRule type="cellIs" dxfId="4727" priority="2869" operator="equal">
      <formula>"Indeferido"</formula>
    </cfRule>
  </conditionalFormatting>
  <conditionalFormatting sqref="J774">
    <cfRule type="containsText" dxfId="4726" priority="2866" operator="containsText" text="Cancelado">
      <formula>NOT(ISERROR(SEARCH("Cancelado",J774)))</formula>
    </cfRule>
  </conditionalFormatting>
  <conditionalFormatting sqref="M774">
    <cfRule type="cellIs" dxfId="4725" priority="2863" operator="equal">
      <formula>"Tramitando"</formula>
    </cfRule>
    <cfRule type="cellIs" dxfId="4724" priority="2864" operator="equal">
      <formula>"Deferido"</formula>
    </cfRule>
    <cfRule type="cellIs" dxfId="4723" priority="2865" operator="equal">
      <formula>"Indeferido"</formula>
    </cfRule>
  </conditionalFormatting>
  <conditionalFormatting sqref="M774">
    <cfRule type="containsText" dxfId="4722" priority="2862" operator="containsText" text="Cancelado">
      <formula>NOT(ISERROR(SEARCH("Cancelado",M774)))</formula>
    </cfRule>
  </conditionalFormatting>
  <conditionalFormatting sqref="O774:O775">
    <cfRule type="cellIs" dxfId="4721" priority="2859" operator="equal">
      <formula>"Tramitando"</formula>
    </cfRule>
    <cfRule type="cellIs" dxfId="4720" priority="2860" operator="equal">
      <formula>"Deferido"</formula>
    </cfRule>
    <cfRule type="cellIs" dxfId="4719" priority="2861" operator="equal">
      <formula>"Indeferido"</formula>
    </cfRule>
  </conditionalFormatting>
  <conditionalFormatting sqref="O774:O775">
    <cfRule type="containsText" dxfId="4718" priority="2858" operator="containsText" text="Cancelado">
      <formula>NOT(ISERROR(SEARCH("Cancelado",O774)))</formula>
    </cfRule>
  </conditionalFormatting>
  <conditionalFormatting sqref="Q774:Q775">
    <cfRule type="cellIs" dxfId="4717" priority="2855" operator="equal">
      <formula>"Tramitando"</formula>
    </cfRule>
    <cfRule type="cellIs" dxfId="4716" priority="2856" operator="equal">
      <formula>"Deferido"</formula>
    </cfRule>
    <cfRule type="cellIs" dxfId="4715" priority="2857" operator="equal">
      <formula>"Indeferido"</formula>
    </cfRule>
  </conditionalFormatting>
  <conditionalFormatting sqref="Q774:Q775">
    <cfRule type="containsText" dxfId="4714" priority="2854" operator="containsText" text="Cancelado">
      <formula>NOT(ISERROR(SEARCH("Cancelado",Q774)))</formula>
    </cfRule>
  </conditionalFormatting>
  <conditionalFormatting sqref="S774:S775">
    <cfRule type="cellIs" dxfId="4713" priority="2851" operator="equal">
      <formula>"Tramitando"</formula>
    </cfRule>
    <cfRule type="cellIs" dxfId="4712" priority="2852" operator="equal">
      <formula>"Deferido"</formula>
    </cfRule>
    <cfRule type="cellIs" dxfId="4711" priority="2853" operator="equal">
      <formula>"Indeferido"</formula>
    </cfRule>
  </conditionalFormatting>
  <conditionalFormatting sqref="S774:S775">
    <cfRule type="containsText" dxfId="4710" priority="2850" operator="containsText" text="Cancelado">
      <formula>NOT(ISERROR(SEARCH("Cancelado",S774)))</formula>
    </cfRule>
  </conditionalFormatting>
  <conditionalFormatting sqref="M776">
    <cfRule type="cellIs" dxfId="4709" priority="2842" operator="equal">
      <formula>"Tramitando"</formula>
    </cfRule>
    <cfRule type="cellIs" dxfId="4708" priority="2843" operator="equal">
      <formula>"Deferido"</formula>
    </cfRule>
    <cfRule type="cellIs" dxfId="4707" priority="2844" operator="equal">
      <formula>"Indeferido"</formula>
    </cfRule>
  </conditionalFormatting>
  <conditionalFormatting sqref="M776">
    <cfRule type="containsText" dxfId="4706" priority="2841" operator="containsText" text="Cancelado">
      <formula>NOT(ISERROR(SEARCH("Cancelado",M776)))</formula>
    </cfRule>
  </conditionalFormatting>
  <conditionalFormatting sqref="O776">
    <cfRule type="cellIs" dxfId="4705" priority="2838" operator="equal">
      <formula>"Tramitando"</formula>
    </cfRule>
    <cfRule type="cellIs" dxfId="4704" priority="2839" operator="equal">
      <formula>"Deferido"</formula>
    </cfRule>
    <cfRule type="cellIs" dxfId="4703" priority="2840" operator="equal">
      <formula>"Indeferido"</formula>
    </cfRule>
  </conditionalFormatting>
  <conditionalFormatting sqref="O776">
    <cfRule type="containsText" dxfId="4702" priority="2837" operator="containsText" text="Cancelado">
      <formula>NOT(ISERROR(SEARCH("Cancelado",O776)))</formula>
    </cfRule>
  </conditionalFormatting>
  <conditionalFormatting sqref="Q776">
    <cfRule type="cellIs" dxfId="4701" priority="2834" operator="equal">
      <formula>"Tramitando"</formula>
    </cfRule>
    <cfRule type="cellIs" dxfId="4700" priority="2835" operator="equal">
      <formula>"Deferido"</formula>
    </cfRule>
    <cfRule type="cellIs" dxfId="4699" priority="2836" operator="equal">
      <formula>"Indeferido"</formula>
    </cfRule>
  </conditionalFormatting>
  <conditionalFormatting sqref="Q776">
    <cfRule type="containsText" dxfId="4698" priority="2833" operator="containsText" text="Cancelado">
      <formula>NOT(ISERROR(SEARCH("Cancelado",Q776)))</formula>
    </cfRule>
  </conditionalFormatting>
  <conditionalFormatting sqref="S776">
    <cfRule type="cellIs" dxfId="4697" priority="2830" operator="equal">
      <formula>"Tramitando"</formula>
    </cfRule>
    <cfRule type="cellIs" dxfId="4696" priority="2831" operator="equal">
      <formula>"Deferido"</formula>
    </cfRule>
    <cfRule type="cellIs" dxfId="4695" priority="2832" operator="equal">
      <formula>"Indeferido"</formula>
    </cfRule>
  </conditionalFormatting>
  <conditionalFormatting sqref="S776">
    <cfRule type="containsText" dxfId="4694" priority="2829" operator="containsText" text="Cancelado">
      <formula>NOT(ISERROR(SEARCH("Cancelado",S776)))</formula>
    </cfRule>
  </conditionalFormatting>
  <conditionalFormatting sqref="M777">
    <cfRule type="cellIs" dxfId="4693" priority="2821" operator="equal">
      <formula>"Tramitando"</formula>
    </cfRule>
    <cfRule type="cellIs" dxfId="4692" priority="2822" operator="equal">
      <formula>"Deferido"</formula>
    </cfRule>
    <cfRule type="cellIs" dxfId="4691" priority="2823" operator="equal">
      <formula>"Indeferido"</formula>
    </cfRule>
  </conditionalFormatting>
  <conditionalFormatting sqref="M777">
    <cfRule type="containsText" dxfId="4690" priority="2820" operator="containsText" text="Cancelado">
      <formula>NOT(ISERROR(SEARCH("Cancelado",M777)))</formula>
    </cfRule>
  </conditionalFormatting>
  <conditionalFormatting sqref="O777">
    <cfRule type="cellIs" dxfId="4689" priority="2817" operator="equal">
      <formula>"Tramitando"</formula>
    </cfRule>
    <cfRule type="cellIs" dxfId="4688" priority="2818" operator="equal">
      <formula>"Deferido"</formula>
    </cfRule>
    <cfRule type="cellIs" dxfId="4687" priority="2819" operator="equal">
      <formula>"Indeferido"</formula>
    </cfRule>
  </conditionalFormatting>
  <conditionalFormatting sqref="O777">
    <cfRule type="containsText" dxfId="4686" priority="2816" operator="containsText" text="Cancelado">
      <formula>NOT(ISERROR(SEARCH("Cancelado",O777)))</formula>
    </cfRule>
  </conditionalFormatting>
  <conditionalFormatting sqref="Q777">
    <cfRule type="cellIs" dxfId="4685" priority="2813" operator="equal">
      <formula>"Tramitando"</formula>
    </cfRule>
    <cfRule type="cellIs" dxfId="4684" priority="2814" operator="equal">
      <formula>"Deferido"</formula>
    </cfRule>
    <cfRule type="cellIs" dxfId="4683" priority="2815" operator="equal">
      <formula>"Indeferido"</formula>
    </cfRule>
  </conditionalFormatting>
  <conditionalFormatting sqref="Q777">
    <cfRule type="containsText" dxfId="4682" priority="2812" operator="containsText" text="Cancelado">
      <formula>NOT(ISERROR(SEARCH("Cancelado",Q777)))</formula>
    </cfRule>
  </conditionalFormatting>
  <conditionalFormatting sqref="S777">
    <cfRule type="cellIs" dxfId="4681" priority="2809" operator="equal">
      <formula>"Tramitando"</formula>
    </cfRule>
    <cfRule type="cellIs" dxfId="4680" priority="2810" operator="equal">
      <formula>"Deferido"</formula>
    </cfRule>
    <cfRule type="cellIs" dxfId="4679" priority="2811" operator="equal">
      <formula>"Indeferido"</formula>
    </cfRule>
  </conditionalFormatting>
  <conditionalFormatting sqref="S777">
    <cfRule type="containsText" dxfId="4678" priority="2808" operator="containsText" text="Cancelado">
      <formula>NOT(ISERROR(SEARCH("Cancelado",S777)))</formula>
    </cfRule>
  </conditionalFormatting>
  <conditionalFormatting sqref="M778">
    <cfRule type="cellIs" dxfId="4677" priority="2800" operator="equal">
      <formula>"Tramitando"</formula>
    </cfRule>
    <cfRule type="cellIs" dxfId="4676" priority="2801" operator="equal">
      <formula>"Deferido"</formula>
    </cfRule>
    <cfRule type="cellIs" dxfId="4675" priority="2802" operator="equal">
      <formula>"Indeferido"</formula>
    </cfRule>
  </conditionalFormatting>
  <conditionalFormatting sqref="M778">
    <cfRule type="containsText" dxfId="4674" priority="2799" operator="containsText" text="Cancelado">
      <formula>NOT(ISERROR(SEARCH("Cancelado",M778)))</formula>
    </cfRule>
  </conditionalFormatting>
  <conditionalFormatting sqref="O778">
    <cfRule type="cellIs" dxfId="4673" priority="2796" operator="equal">
      <formula>"Tramitando"</formula>
    </cfRule>
    <cfRule type="cellIs" dxfId="4672" priority="2797" operator="equal">
      <formula>"Deferido"</formula>
    </cfRule>
    <cfRule type="cellIs" dxfId="4671" priority="2798" operator="equal">
      <formula>"Indeferido"</formula>
    </cfRule>
  </conditionalFormatting>
  <conditionalFormatting sqref="O778">
    <cfRule type="containsText" dxfId="4670" priority="2795" operator="containsText" text="Cancelado">
      <formula>NOT(ISERROR(SEARCH("Cancelado",O778)))</formula>
    </cfRule>
  </conditionalFormatting>
  <conditionalFormatting sqref="Q778">
    <cfRule type="cellIs" dxfId="4669" priority="2792" operator="equal">
      <formula>"Tramitando"</formula>
    </cfRule>
    <cfRule type="cellIs" dxfId="4668" priority="2793" operator="equal">
      <formula>"Deferido"</formula>
    </cfRule>
    <cfRule type="cellIs" dxfId="4667" priority="2794" operator="equal">
      <formula>"Indeferido"</formula>
    </cfRule>
  </conditionalFormatting>
  <conditionalFormatting sqref="Q778">
    <cfRule type="containsText" dxfId="4666" priority="2791" operator="containsText" text="Cancelado">
      <formula>NOT(ISERROR(SEARCH("Cancelado",Q778)))</formula>
    </cfRule>
  </conditionalFormatting>
  <conditionalFormatting sqref="S778">
    <cfRule type="cellIs" dxfId="4665" priority="2788" operator="equal">
      <formula>"Tramitando"</formula>
    </cfRule>
    <cfRule type="cellIs" dxfId="4664" priority="2789" operator="equal">
      <formula>"Deferido"</formula>
    </cfRule>
    <cfRule type="cellIs" dxfId="4663" priority="2790" operator="equal">
      <formula>"Indeferido"</formula>
    </cfRule>
  </conditionalFormatting>
  <conditionalFormatting sqref="S778">
    <cfRule type="containsText" dxfId="4662" priority="2787" operator="containsText" text="Cancelado">
      <formula>NOT(ISERROR(SEARCH("Cancelado",S778)))</formula>
    </cfRule>
  </conditionalFormatting>
  <conditionalFormatting sqref="J775">
    <cfRule type="cellIs" dxfId="4661" priority="2783" operator="equal">
      <formula>"Tramitando"</formula>
    </cfRule>
    <cfRule type="cellIs" dxfId="4660" priority="2784" operator="equal">
      <formula>"Deferido"</formula>
    </cfRule>
    <cfRule type="cellIs" dxfId="4659" priority="2785" operator="equal">
      <formula>"Indeferido"</formula>
    </cfRule>
  </conditionalFormatting>
  <conditionalFormatting sqref="J775">
    <cfRule type="containsText" dxfId="4658" priority="2782" operator="containsText" text="Cancelado">
      <formula>NOT(ISERROR(SEARCH("Cancelado",J775)))</formula>
    </cfRule>
  </conditionalFormatting>
  <conditionalFormatting sqref="M775">
    <cfRule type="cellIs" dxfId="4657" priority="2779" operator="equal">
      <formula>"Tramitando"</formula>
    </cfRule>
    <cfRule type="cellIs" dxfId="4656" priority="2780" operator="equal">
      <formula>"Deferido"</formula>
    </cfRule>
    <cfRule type="cellIs" dxfId="4655" priority="2781" operator="equal">
      <formula>"Indeferido"</formula>
    </cfRule>
  </conditionalFormatting>
  <conditionalFormatting sqref="M775">
    <cfRule type="containsText" dxfId="4654" priority="2778" operator="containsText" text="Cancelado">
      <formula>NOT(ISERROR(SEARCH("Cancelado",M775)))</formula>
    </cfRule>
  </conditionalFormatting>
  <conditionalFormatting sqref="J776">
    <cfRule type="cellIs" dxfId="4653" priority="2774" operator="equal">
      <formula>"Tramitando"</formula>
    </cfRule>
    <cfRule type="cellIs" dxfId="4652" priority="2775" operator="equal">
      <formula>"Deferido"</formula>
    </cfRule>
    <cfRule type="cellIs" dxfId="4651" priority="2776" operator="equal">
      <formula>"Indeferido"</formula>
    </cfRule>
  </conditionalFormatting>
  <conditionalFormatting sqref="J776">
    <cfRule type="containsText" dxfId="4650" priority="2773" operator="containsText" text="Cancelado">
      <formula>NOT(ISERROR(SEARCH("Cancelado",J776)))</formula>
    </cfRule>
  </conditionalFormatting>
  <conditionalFormatting sqref="J777">
    <cfRule type="cellIs" dxfId="4649" priority="2769" operator="equal">
      <formula>"Tramitando"</formula>
    </cfRule>
    <cfRule type="cellIs" dxfId="4648" priority="2770" operator="equal">
      <formula>"Deferido"</formula>
    </cfRule>
    <cfRule type="cellIs" dxfId="4647" priority="2771" operator="equal">
      <formula>"Indeferido"</formula>
    </cfRule>
  </conditionalFormatting>
  <conditionalFormatting sqref="J777">
    <cfRule type="containsText" dxfId="4646" priority="2768" operator="containsText" text="Cancelado">
      <formula>NOT(ISERROR(SEARCH("Cancelado",J777)))</formula>
    </cfRule>
  </conditionalFormatting>
  <conditionalFormatting sqref="J778">
    <cfRule type="cellIs" dxfId="4645" priority="2764" operator="equal">
      <formula>"Tramitando"</formula>
    </cfRule>
    <cfRule type="cellIs" dxfId="4644" priority="2765" operator="equal">
      <formula>"Deferido"</formula>
    </cfRule>
    <cfRule type="cellIs" dxfId="4643" priority="2766" operator="equal">
      <formula>"Indeferido"</formula>
    </cfRule>
  </conditionalFormatting>
  <conditionalFormatting sqref="J778">
    <cfRule type="containsText" dxfId="4642" priority="2763" operator="containsText" text="Cancelado">
      <formula>NOT(ISERROR(SEARCH("Cancelado",J778)))</formula>
    </cfRule>
  </conditionalFormatting>
  <conditionalFormatting sqref="J779">
    <cfRule type="cellIs" dxfId="4641" priority="2759" operator="equal">
      <formula>"Tramitando"</formula>
    </cfRule>
    <cfRule type="cellIs" dxfId="4640" priority="2760" operator="equal">
      <formula>"Deferido"</formula>
    </cfRule>
    <cfRule type="cellIs" dxfId="4639" priority="2761" operator="equal">
      <formula>"Indeferido"</formula>
    </cfRule>
  </conditionalFormatting>
  <conditionalFormatting sqref="J779">
    <cfRule type="containsText" dxfId="4638" priority="2758" operator="containsText" text="Cancelado">
      <formula>NOT(ISERROR(SEARCH("Cancelado",J779)))</formula>
    </cfRule>
  </conditionalFormatting>
  <conditionalFormatting sqref="M779">
    <cfRule type="cellIs" dxfId="4637" priority="2755" operator="equal">
      <formula>"Tramitando"</formula>
    </cfRule>
    <cfRule type="cellIs" dxfId="4636" priority="2756" operator="equal">
      <formula>"Deferido"</formula>
    </cfRule>
    <cfRule type="cellIs" dxfId="4635" priority="2757" operator="equal">
      <formula>"Indeferido"</formula>
    </cfRule>
  </conditionalFormatting>
  <conditionalFormatting sqref="M779">
    <cfRule type="containsText" dxfId="4634" priority="2754" operator="containsText" text="Cancelado">
      <formula>NOT(ISERROR(SEARCH("Cancelado",M779)))</formula>
    </cfRule>
  </conditionalFormatting>
  <conditionalFormatting sqref="O779">
    <cfRule type="cellIs" dxfId="4633" priority="2751" operator="equal">
      <formula>"Tramitando"</formula>
    </cfRule>
    <cfRule type="cellIs" dxfId="4632" priority="2752" operator="equal">
      <formula>"Deferido"</formula>
    </cfRule>
    <cfRule type="cellIs" dxfId="4631" priority="2753" operator="equal">
      <formula>"Indeferido"</formula>
    </cfRule>
  </conditionalFormatting>
  <conditionalFormatting sqref="O779">
    <cfRule type="containsText" dxfId="4630" priority="2750" operator="containsText" text="Cancelado">
      <formula>NOT(ISERROR(SEARCH("Cancelado",O779)))</formula>
    </cfRule>
  </conditionalFormatting>
  <conditionalFormatting sqref="Q779">
    <cfRule type="cellIs" dxfId="4629" priority="2747" operator="equal">
      <formula>"Tramitando"</formula>
    </cfRule>
    <cfRule type="cellIs" dxfId="4628" priority="2748" operator="equal">
      <formula>"Deferido"</formula>
    </cfRule>
    <cfRule type="cellIs" dxfId="4627" priority="2749" operator="equal">
      <formula>"Indeferido"</formula>
    </cfRule>
  </conditionalFormatting>
  <conditionalFormatting sqref="Q779">
    <cfRule type="containsText" dxfId="4626" priority="2746" operator="containsText" text="Cancelado">
      <formula>NOT(ISERROR(SEARCH("Cancelado",Q779)))</formula>
    </cfRule>
  </conditionalFormatting>
  <conditionalFormatting sqref="S779">
    <cfRule type="cellIs" dxfId="4625" priority="2743" operator="equal">
      <formula>"Tramitando"</formula>
    </cfRule>
    <cfRule type="cellIs" dxfId="4624" priority="2744" operator="equal">
      <formula>"Deferido"</formula>
    </cfRule>
    <cfRule type="cellIs" dxfId="4623" priority="2745" operator="equal">
      <formula>"Indeferido"</formula>
    </cfRule>
  </conditionalFormatting>
  <conditionalFormatting sqref="S779">
    <cfRule type="containsText" dxfId="4622" priority="2742" operator="containsText" text="Cancelado">
      <formula>NOT(ISERROR(SEARCH("Cancelado",S779)))</formula>
    </cfRule>
  </conditionalFormatting>
  <conditionalFormatting sqref="J780">
    <cfRule type="cellIs" dxfId="4621" priority="2738" operator="equal">
      <formula>"Tramitando"</formula>
    </cfRule>
    <cfRule type="cellIs" dxfId="4620" priority="2739" operator="equal">
      <formula>"Deferido"</formula>
    </cfRule>
    <cfRule type="cellIs" dxfId="4619" priority="2740" operator="equal">
      <formula>"Indeferido"</formula>
    </cfRule>
  </conditionalFormatting>
  <conditionalFormatting sqref="J780">
    <cfRule type="containsText" dxfId="4618" priority="2737" operator="containsText" text="Cancelado">
      <formula>NOT(ISERROR(SEARCH("Cancelado",J780)))</formula>
    </cfRule>
  </conditionalFormatting>
  <conditionalFormatting sqref="M780">
    <cfRule type="cellIs" dxfId="4617" priority="2734" operator="equal">
      <formula>"Tramitando"</formula>
    </cfRule>
    <cfRule type="cellIs" dxfId="4616" priority="2735" operator="equal">
      <formula>"Deferido"</formula>
    </cfRule>
    <cfRule type="cellIs" dxfId="4615" priority="2736" operator="equal">
      <formula>"Indeferido"</formula>
    </cfRule>
  </conditionalFormatting>
  <conditionalFormatting sqref="M780">
    <cfRule type="containsText" dxfId="4614" priority="2733" operator="containsText" text="Cancelado">
      <formula>NOT(ISERROR(SEARCH("Cancelado",M780)))</formula>
    </cfRule>
  </conditionalFormatting>
  <conditionalFormatting sqref="O780">
    <cfRule type="cellIs" dxfId="4613" priority="2730" operator="equal">
      <formula>"Tramitando"</formula>
    </cfRule>
    <cfRule type="cellIs" dxfId="4612" priority="2731" operator="equal">
      <formula>"Deferido"</formula>
    </cfRule>
    <cfRule type="cellIs" dxfId="4611" priority="2732" operator="equal">
      <formula>"Indeferido"</formula>
    </cfRule>
  </conditionalFormatting>
  <conditionalFormatting sqref="O780">
    <cfRule type="containsText" dxfId="4610" priority="2729" operator="containsText" text="Cancelado">
      <formula>NOT(ISERROR(SEARCH("Cancelado",O780)))</formula>
    </cfRule>
  </conditionalFormatting>
  <conditionalFormatting sqref="Q780">
    <cfRule type="cellIs" dxfId="4609" priority="2726" operator="equal">
      <formula>"Tramitando"</formula>
    </cfRule>
    <cfRule type="cellIs" dxfId="4608" priority="2727" operator="equal">
      <formula>"Deferido"</formula>
    </cfRule>
    <cfRule type="cellIs" dxfId="4607" priority="2728" operator="equal">
      <formula>"Indeferido"</formula>
    </cfRule>
  </conditionalFormatting>
  <conditionalFormatting sqref="Q780">
    <cfRule type="containsText" dxfId="4606" priority="2725" operator="containsText" text="Cancelado">
      <formula>NOT(ISERROR(SEARCH("Cancelado",Q780)))</formula>
    </cfRule>
  </conditionalFormatting>
  <conditionalFormatting sqref="S780">
    <cfRule type="cellIs" dxfId="4605" priority="2722" operator="equal">
      <formula>"Tramitando"</formula>
    </cfRule>
    <cfRule type="cellIs" dxfId="4604" priority="2723" operator="equal">
      <formula>"Deferido"</formula>
    </cfRule>
    <cfRule type="cellIs" dxfId="4603" priority="2724" operator="equal">
      <formula>"Indeferido"</formula>
    </cfRule>
  </conditionalFormatting>
  <conditionalFormatting sqref="S780">
    <cfRule type="containsText" dxfId="4602" priority="2721" operator="containsText" text="Cancelado">
      <formula>NOT(ISERROR(SEARCH("Cancelado",S780)))</formula>
    </cfRule>
  </conditionalFormatting>
  <conditionalFormatting sqref="J781">
    <cfRule type="cellIs" dxfId="4601" priority="2717" operator="equal">
      <formula>"Tramitando"</formula>
    </cfRule>
    <cfRule type="cellIs" dxfId="4600" priority="2718" operator="equal">
      <formula>"Deferido"</formula>
    </cfRule>
    <cfRule type="cellIs" dxfId="4599" priority="2719" operator="equal">
      <formula>"Indeferido"</formula>
    </cfRule>
  </conditionalFormatting>
  <conditionalFormatting sqref="J781">
    <cfRule type="containsText" dxfId="4598" priority="2716" operator="containsText" text="Cancelado">
      <formula>NOT(ISERROR(SEARCH("Cancelado",J781)))</formula>
    </cfRule>
  </conditionalFormatting>
  <conditionalFormatting sqref="M781">
    <cfRule type="cellIs" dxfId="4597" priority="2713" operator="equal">
      <formula>"Tramitando"</formula>
    </cfRule>
    <cfRule type="cellIs" dxfId="4596" priority="2714" operator="equal">
      <formula>"Deferido"</formula>
    </cfRule>
    <cfRule type="cellIs" dxfId="4595" priority="2715" operator="equal">
      <formula>"Indeferido"</formula>
    </cfRule>
  </conditionalFormatting>
  <conditionalFormatting sqref="M781">
    <cfRule type="containsText" dxfId="4594" priority="2712" operator="containsText" text="Cancelado">
      <formula>NOT(ISERROR(SEARCH("Cancelado",M781)))</formula>
    </cfRule>
  </conditionalFormatting>
  <conditionalFormatting sqref="O781">
    <cfRule type="cellIs" dxfId="4593" priority="2709" operator="equal">
      <formula>"Tramitando"</formula>
    </cfRule>
    <cfRule type="cellIs" dxfId="4592" priority="2710" operator="equal">
      <formula>"Deferido"</formula>
    </cfRule>
    <cfRule type="cellIs" dxfId="4591" priority="2711" operator="equal">
      <formula>"Indeferido"</formula>
    </cfRule>
  </conditionalFormatting>
  <conditionalFormatting sqref="O781">
    <cfRule type="containsText" dxfId="4590" priority="2708" operator="containsText" text="Cancelado">
      <formula>NOT(ISERROR(SEARCH("Cancelado",O781)))</formula>
    </cfRule>
  </conditionalFormatting>
  <conditionalFormatting sqref="Q781">
    <cfRule type="cellIs" dxfId="4589" priority="2705" operator="equal">
      <formula>"Tramitando"</formula>
    </cfRule>
    <cfRule type="cellIs" dxfId="4588" priority="2706" operator="equal">
      <formula>"Deferido"</formula>
    </cfRule>
    <cfRule type="cellIs" dxfId="4587" priority="2707" operator="equal">
      <formula>"Indeferido"</formula>
    </cfRule>
  </conditionalFormatting>
  <conditionalFormatting sqref="Q781">
    <cfRule type="containsText" dxfId="4586" priority="2704" operator="containsText" text="Cancelado">
      <formula>NOT(ISERROR(SEARCH("Cancelado",Q781)))</formula>
    </cfRule>
  </conditionalFormatting>
  <conditionalFormatting sqref="S781">
    <cfRule type="cellIs" dxfId="4585" priority="2701" operator="equal">
      <formula>"Tramitando"</formula>
    </cfRule>
    <cfRule type="cellIs" dxfId="4584" priority="2702" operator="equal">
      <formula>"Deferido"</formula>
    </cfRule>
    <cfRule type="cellIs" dxfId="4583" priority="2703" operator="equal">
      <formula>"Indeferido"</formula>
    </cfRule>
  </conditionalFormatting>
  <conditionalFormatting sqref="S781">
    <cfRule type="containsText" dxfId="4582" priority="2700" operator="containsText" text="Cancelado">
      <formula>NOT(ISERROR(SEARCH("Cancelado",S781)))</formula>
    </cfRule>
  </conditionalFormatting>
  <conditionalFormatting sqref="J782">
    <cfRule type="cellIs" dxfId="4581" priority="2696" operator="equal">
      <formula>"Tramitando"</formula>
    </cfRule>
    <cfRule type="cellIs" dxfId="4580" priority="2697" operator="equal">
      <formula>"Deferido"</formula>
    </cfRule>
    <cfRule type="cellIs" dxfId="4579" priority="2698" operator="equal">
      <formula>"Indeferido"</formula>
    </cfRule>
  </conditionalFormatting>
  <conditionalFormatting sqref="J782">
    <cfRule type="containsText" dxfId="4578" priority="2695" operator="containsText" text="Cancelado">
      <formula>NOT(ISERROR(SEARCH("Cancelado",J782)))</formula>
    </cfRule>
  </conditionalFormatting>
  <conditionalFormatting sqref="M782">
    <cfRule type="cellIs" dxfId="4577" priority="2692" operator="equal">
      <formula>"Tramitando"</formula>
    </cfRule>
    <cfRule type="cellIs" dxfId="4576" priority="2693" operator="equal">
      <formula>"Deferido"</formula>
    </cfRule>
    <cfRule type="cellIs" dxfId="4575" priority="2694" operator="equal">
      <formula>"Indeferido"</formula>
    </cfRule>
  </conditionalFormatting>
  <conditionalFormatting sqref="M782">
    <cfRule type="containsText" dxfId="4574" priority="2691" operator="containsText" text="Cancelado">
      <formula>NOT(ISERROR(SEARCH("Cancelado",M782)))</formula>
    </cfRule>
  </conditionalFormatting>
  <conditionalFormatting sqref="O782">
    <cfRule type="cellIs" dxfId="4573" priority="2688" operator="equal">
      <formula>"Tramitando"</formula>
    </cfRule>
    <cfRule type="cellIs" dxfId="4572" priority="2689" operator="equal">
      <formula>"Deferido"</formula>
    </cfRule>
    <cfRule type="cellIs" dxfId="4571" priority="2690" operator="equal">
      <formula>"Indeferido"</formula>
    </cfRule>
  </conditionalFormatting>
  <conditionalFormatting sqref="O782">
    <cfRule type="containsText" dxfId="4570" priority="2687" operator="containsText" text="Cancelado">
      <formula>NOT(ISERROR(SEARCH("Cancelado",O782)))</formula>
    </cfRule>
  </conditionalFormatting>
  <conditionalFormatting sqref="Q782">
    <cfRule type="cellIs" dxfId="4569" priority="2684" operator="equal">
      <formula>"Tramitando"</formula>
    </cfRule>
    <cfRule type="cellIs" dxfId="4568" priority="2685" operator="equal">
      <formula>"Deferido"</formula>
    </cfRule>
    <cfRule type="cellIs" dxfId="4567" priority="2686" operator="equal">
      <formula>"Indeferido"</formula>
    </cfRule>
  </conditionalFormatting>
  <conditionalFormatting sqref="Q782">
    <cfRule type="containsText" dxfId="4566" priority="2683" operator="containsText" text="Cancelado">
      <formula>NOT(ISERROR(SEARCH("Cancelado",Q782)))</formula>
    </cfRule>
  </conditionalFormatting>
  <conditionalFormatting sqref="S782">
    <cfRule type="cellIs" dxfId="4565" priority="2680" operator="equal">
      <formula>"Tramitando"</formula>
    </cfRule>
    <cfRule type="cellIs" dxfId="4564" priority="2681" operator="equal">
      <formula>"Deferido"</formula>
    </cfRule>
    <cfRule type="cellIs" dxfId="4563" priority="2682" operator="equal">
      <formula>"Indeferido"</formula>
    </cfRule>
  </conditionalFormatting>
  <conditionalFormatting sqref="S782">
    <cfRule type="containsText" dxfId="4562" priority="2679" operator="containsText" text="Cancelado">
      <formula>NOT(ISERROR(SEARCH("Cancelado",S782)))</formula>
    </cfRule>
  </conditionalFormatting>
  <conditionalFormatting sqref="J783">
    <cfRule type="cellIs" dxfId="4561" priority="2675" operator="equal">
      <formula>"Tramitando"</formula>
    </cfRule>
    <cfRule type="cellIs" dxfId="4560" priority="2676" operator="equal">
      <formula>"Deferido"</formula>
    </cfRule>
    <cfRule type="cellIs" dxfId="4559" priority="2677" operator="equal">
      <formula>"Indeferido"</formula>
    </cfRule>
  </conditionalFormatting>
  <conditionalFormatting sqref="J783">
    <cfRule type="containsText" dxfId="4558" priority="2674" operator="containsText" text="Cancelado">
      <formula>NOT(ISERROR(SEARCH("Cancelado",J783)))</formula>
    </cfRule>
  </conditionalFormatting>
  <conditionalFormatting sqref="M783">
    <cfRule type="cellIs" dxfId="4557" priority="2671" operator="equal">
      <formula>"Tramitando"</formula>
    </cfRule>
    <cfRule type="cellIs" dxfId="4556" priority="2672" operator="equal">
      <formula>"Deferido"</formula>
    </cfRule>
    <cfRule type="cellIs" dxfId="4555" priority="2673" operator="equal">
      <formula>"Indeferido"</formula>
    </cfRule>
  </conditionalFormatting>
  <conditionalFormatting sqref="M783">
    <cfRule type="containsText" dxfId="4554" priority="2670" operator="containsText" text="Cancelado">
      <formula>NOT(ISERROR(SEARCH("Cancelado",M783)))</formula>
    </cfRule>
  </conditionalFormatting>
  <conditionalFormatting sqref="O783">
    <cfRule type="cellIs" dxfId="4553" priority="2667" operator="equal">
      <formula>"Tramitando"</formula>
    </cfRule>
    <cfRule type="cellIs" dxfId="4552" priority="2668" operator="equal">
      <formula>"Deferido"</formula>
    </cfRule>
    <cfRule type="cellIs" dxfId="4551" priority="2669" operator="equal">
      <formula>"Indeferido"</formula>
    </cfRule>
  </conditionalFormatting>
  <conditionalFormatting sqref="O783">
    <cfRule type="containsText" dxfId="4550" priority="2666" operator="containsText" text="Cancelado">
      <formula>NOT(ISERROR(SEARCH("Cancelado",O783)))</formula>
    </cfRule>
  </conditionalFormatting>
  <conditionalFormatting sqref="Q783">
    <cfRule type="cellIs" dxfId="4549" priority="2663" operator="equal">
      <formula>"Tramitando"</formula>
    </cfRule>
    <cfRule type="cellIs" dxfId="4548" priority="2664" operator="equal">
      <formula>"Deferido"</formula>
    </cfRule>
    <cfRule type="cellIs" dxfId="4547" priority="2665" operator="equal">
      <formula>"Indeferido"</formula>
    </cfRule>
  </conditionalFormatting>
  <conditionalFormatting sqref="Q783">
    <cfRule type="containsText" dxfId="4546" priority="2662" operator="containsText" text="Cancelado">
      <formula>NOT(ISERROR(SEARCH("Cancelado",Q783)))</formula>
    </cfRule>
  </conditionalFormatting>
  <conditionalFormatting sqref="S783">
    <cfRule type="cellIs" dxfId="4545" priority="2659" operator="equal">
      <formula>"Tramitando"</formula>
    </cfRule>
    <cfRule type="cellIs" dxfId="4544" priority="2660" operator="equal">
      <formula>"Deferido"</formula>
    </cfRule>
    <cfRule type="cellIs" dxfId="4543" priority="2661" operator="equal">
      <formula>"Indeferido"</formula>
    </cfRule>
  </conditionalFormatting>
  <conditionalFormatting sqref="S783">
    <cfRule type="containsText" dxfId="4542" priority="2658" operator="containsText" text="Cancelado">
      <formula>NOT(ISERROR(SEARCH("Cancelado",S783)))</formula>
    </cfRule>
  </conditionalFormatting>
  <conditionalFormatting sqref="J784">
    <cfRule type="cellIs" dxfId="4541" priority="2654" operator="equal">
      <formula>"Tramitando"</formula>
    </cfRule>
    <cfRule type="cellIs" dxfId="4540" priority="2655" operator="equal">
      <formula>"Deferido"</formula>
    </cfRule>
    <cfRule type="cellIs" dxfId="4539" priority="2656" operator="equal">
      <formula>"Indeferido"</formula>
    </cfRule>
  </conditionalFormatting>
  <conditionalFormatting sqref="J784">
    <cfRule type="containsText" dxfId="4538" priority="2653" operator="containsText" text="Cancelado">
      <formula>NOT(ISERROR(SEARCH("Cancelado",J784)))</formula>
    </cfRule>
  </conditionalFormatting>
  <conditionalFormatting sqref="M784">
    <cfRule type="cellIs" dxfId="4537" priority="2650" operator="equal">
      <formula>"Tramitando"</formula>
    </cfRule>
    <cfRule type="cellIs" dxfId="4536" priority="2651" operator="equal">
      <formula>"Deferido"</formula>
    </cfRule>
    <cfRule type="cellIs" dxfId="4535" priority="2652" operator="equal">
      <formula>"Indeferido"</formula>
    </cfRule>
  </conditionalFormatting>
  <conditionalFormatting sqref="M784">
    <cfRule type="containsText" dxfId="4534" priority="2649" operator="containsText" text="Cancelado">
      <formula>NOT(ISERROR(SEARCH("Cancelado",M784)))</formula>
    </cfRule>
  </conditionalFormatting>
  <conditionalFormatting sqref="O784">
    <cfRule type="cellIs" dxfId="4533" priority="2646" operator="equal">
      <formula>"Tramitando"</formula>
    </cfRule>
    <cfRule type="cellIs" dxfId="4532" priority="2647" operator="equal">
      <formula>"Deferido"</formula>
    </cfRule>
    <cfRule type="cellIs" dxfId="4531" priority="2648" operator="equal">
      <formula>"Indeferido"</formula>
    </cfRule>
  </conditionalFormatting>
  <conditionalFormatting sqref="O784">
    <cfRule type="containsText" dxfId="4530" priority="2645" operator="containsText" text="Cancelado">
      <formula>NOT(ISERROR(SEARCH("Cancelado",O784)))</formula>
    </cfRule>
  </conditionalFormatting>
  <conditionalFormatting sqref="Q784">
    <cfRule type="cellIs" dxfId="4529" priority="2642" operator="equal">
      <formula>"Tramitando"</formula>
    </cfRule>
    <cfRule type="cellIs" dxfId="4528" priority="2643" operator="equal">
      <formula>"Deferido"</formula>
    </cfRule>
    <cfRule type="cellIs" dxfId="4527" priority="2644" operator="equal">
      <formula>"Indeferido"</formula>
    </cfRule>
  </conditionalFormatting>
  <conditionalFormatting sqref="Q784">
    <cfRule type="containsText" dxfId="4526" priority="2641" operator="containsText" text="Cancelado">
      <formula>NOT(ISERROR(SEARCH("Cancelado",Q784)))</formula>
    </cfRule>
  </conditionalFormatting>
  <conditionalFormatting sqref="S784">
    <cfRule type="cellIs" dxfId="4525" priority="2638" operator="equal">
      <formula>"Tramitando"</formula>
    </cfRule>
    <cfRule type="cellIs" dxfId="4524" priority="2639" operator="equal">
      <formula>"Deferido"</formula>
    </cfRule>
    <cfRule type="cellIs" dxfId="4523" priority="2640" operator="equal">
      <formula>"Indeferido"</formula>
    </cfRule>
  </conditionalFormatting>
  <conditionalFormatting sqref="S784">
    <cfRule type="containsText" dxfId="4522" priority="2637" operator="containsText" text="Cancelado">
      <formula>NOT(ISERROR(SEARCH("Cancelado",S784)))</formula>
    </cfRule>
  </conditionalFormatting>
  <conditionalFormatting sqref="J785">
    <cfRule type="cellIs" dxfId="4521" priority="2633" operator="equal">
      <formula>"Tramitando"</formula>
    </cfRule>
    <cfRule type="cellIs" dxfId="4520" priority="2634" operator="equal">
      <formula>"Deferido"</formula>
    </cfRule>
    <cfRule type="cellIs" dxfId="4519" priority="2635" operator="equal">
      <formula>"Indeferido"</formula>
    </cfRule>
  </conditionalFormatting>
  <conditionalFormatting sqref="J785">
    <cfRule type="containsText" dxfId="4518" priority="2632" operator="containsText" text="Cancelado">
      <formula>NOT(ISERROR(SEARCH("Cancelado",J785)))</formula>
    </cfRule>
  </conditionalFormatting>
  <conditionalFormatting sqref="M785">
    <cfRule type="cellIs" dxfId="4517" priority="2629" operator="equal">
      <formula>"Tramitando"</formula>
    </cfRule>
    <cfRule type="cellIs" dxfId="4516" priority="2630" operator="equal">
      <formula>"Deferido"</formula>
    </cfRule>
    <cfRule type="cellIs" dxfId="4515" priority="2631" operator="equal">
      <formula>"Indeferido"</formula>
    </cfRule>
  </conditionalFormatting>
  <conditionalFormatting sqref="M785">
    <cfRule type="containsText" dxfId="4514" priority="2628" operator="containsText" text="Cancelado">
      <formula>NOT(ISERROR(SEARCH("Cancelado",M785)))</formula>
    </cfRule>
  </conditionalFormatting>
  <conditionalFormatting sqref="O785">
    <cfRule type="cellIs" dxfId="4513" priority="2625" operator="equal">
      <formula>"Tramitando"</formula>
    </cfRule>
    <cfRule type="cellIs" dxfId="4512" priority="2626" operator="equal">
      <formula>"Deferido"</formula>
    </cfRule>
    <cfRule type="cellIs" dxfId="4511" priority="2627" operator="equal">
      <formula>"Indeferido"</formula>
    </cfRule>
  </conditionalFormatting>
  <conditionalFormatting sqref="O785">
    <cfRule type="containsText" dxfId="4510" priority="2624" operator="containsText" text="Cancelado">
      <formula>NOT(ISERROR(SEARCH("Cancelado",O785)))</formula>
    </cfRule>
  </conditionalFormatting>
  <conditionalFormatting sqref="Q785">
    <cfRule type="cellIs" dxfId="4509" priority="2621" operator="equal">
      <formula>"Tramitando"</formula>
    </cfRule>
    <cfRule type="cellIs" dxfId="4508" priority="2622" operator="equal">
      <formula>"Deferido"</formula>
    </cfRule>
    <cfRule type="cellIs" dxfId="4507" priority="2623" operator="equal">
      <formula>"Indeferido"</formula>
    </cfRule>
  </conditionalFormatting>
  <conditionalFormatting sqref="Q785">
    <cfRule type="containsText" dxfId="4506" priority="2620" operator="containsText" text="Cancelado">
      <formula>NOT(ISERROR(SEARCH("Cancelado",Q785)))</formula>
    </cfRule>
  </conditionalFormatting>
  <conditionalFormatting sqref="S785">
    <cfRule type="cellIs" dxfId="4505" priority="2617" operator="equal">
      <formula>"Tramitando"</formula>
    </cfRule>
    <cfRule type="cellIs" dxfId="4504" priority="2618" operator="equal">
      <formula>"Deferido"</formula>
    </cfRule>
    <cfRule type="cellIs" dxfId="4503" priority="2619" operator="equal">
      <formula>"Indeferido"</formula>
    </cfRule>
  </conditionalFormatting>
  <conditionalFormatting sqref="S785">
    <cfRule type="containsText" dxfId="4502" priority="2616" operator="containsText" text="Cancelado">
      <formula>NOT(ISERROR(SEARCH("Cancelado",S785)))</formula>
    </cfRule>
  </conditionalFormatting>
  <conditionalFormatting sqref="J786">
    <cfRule type="cellIs" dxfId="4501" priority="2612" operator="equal">
      <formula>"Tramitando"</formula>
    </cfRule>
    <cfRule type="cellIs" dxfId="4500" priority="2613" operator="equal">
      <formula>"Deferido"</formula>
    </cfRule>
    <cfRule type="cellIs" dxfId="4499" priority="2614" operator="equal">
      <formula>"Indeferido"</formula>
    </cfRule>
  </conditionalFormatting>
  <conditionalFormatting sqref="J786">
    <cfRule type="containsText" dxfId="4498" priority="2611" operator="containsText" text="Cancelado">
      <formula>NOT(ISERROR(SEARCH("Cancelado",J786)))</formula>
    </cfRule>
  </conditionalFormatting>
  <conditionalFormatting sqref="M786">
    <cfRule type="cellIs" dxfId="4497" priority="2608" operator="equal">
      <formula>"Tramitando"</formula>
    </cfRule>
    <cfRule type="cellIs" dxfId="4496" priority="2609" operator="equal">
      <formula>"Deferido"</formula>
    </cfRule>
    <cfRule type="cellIs" dxfId="4495" priority="2610" operator="equal">
      <formula>"Indeferido"</formula>
    </cfRule>
  </conditionalFormatting>
  <conditionalFormatting sqref="M786">
    <cfRule type="containsText" dxfId="4494" priority="2607" operator="containsText" text="Cancelado">
      <formula>NOT(ISERROR(SEARCH("Cancelado",M786)))</formula>
    </cfRule>
  </conditionalFormatting>
  <conditionalFormatting sqref="O786">
    <cfRule type="cellIs" dxfId="4493" priority="2604" operator="equal">
      <formula>"Tramitando"</formula>
    </cfRule>
    <cfRule type="cellIs" dxfId="4492" priority="2605" operator="equal">
      <formula>"Deferido"</formula>
    </cfRule>
    <cfRule type="cellIs" dxfId="4491" priority="2606" operator="equal">
      <formula>"Indeferido"</formula>
    </cfRule>
  </conditionalFormatting>
  <conditionalFormatting sqref="O786">
    <cfRule type="containsText" dxfId="4490" priority="2603" operator="containsText" text="Cancelado">
      <formula>NOT(ISERROR(SEARCH("Cancelado",O786)))</formula>
    </cfRule>
  </conditionalFormatting>
  <conditionalFormatting sqref="Q786">
    <cfRule type="cellIs" dxfId="4489" priority="2600" operator="equal">
      <formula>"Tramitando"</formula>
    </cfRule>
    <cfRule type="cellIs" dxfId="4488" priority="2601" operator="equal">
      <formula>"Deferido"</formula>
    </cfRule>
    <cfRule type="cellIs" dxfId="4487" priority="2602" operator="equal">
      <formula>"Indeferido"</formula>
    </cfRule>
  </conditionalFormatting>
  <conditionalFormatting sqref="Q786">
    <cfRule type="containsText" dxfId="4486" priority="2599" operator="containsText" text="Cancelado">
      <formula>NOT(ISERROR(SEARCH("Cancelado",Q786)))</formula>
    </cfRule>
  </conditionalFormatting>
  <conditionalFormatting sqref="S786">
    <cfRule type="cellIs" dxfId="4485" priority="2596" operator="equal">
      <formula>"Tramitando"</formula>
    </cfRule>
    <cfRule type="cellIs" dxfId="4484" priority="2597" operator="equal">
      <formula>"Deferido"</formula>
    </cfRule>
    <cfRule type="cellIs" dxfId="4483" priority="2598" operator="equal">
      <formula>"Indeferido"</formula>
    </cfRule>
  </conditionalFormatting>
  <conditionalFormatting sqref="S786">
    <cfRule type="containsText" dxfId="4482" priority="2595" operator="containsText" text="Cancelado">
      <formula>NOT(ISERROR(SEARCH("Cancelado",S786)))</formula>
    </cfRule>
  </conditionalFormatting>
  <conditionalFormatting sqref="J787:J788">
    <cfRule type="cellIs" dxfId="4481" priority="2591" operator="equal">
      <formula>"Tramitando"</formula>
    </cfRule>
    <cfRule type="cellIs" dxfId="4480" priority="2592" operator="equal">
      <formula>"Deferido"</formula>
    </cfRule>
    <cfRule type="cellIs" dxfId="4479" priority="2593" operator="equal">
      <formula>"Indeferido"</formula>
    </cfRule>
  </conditionalFormatting>
  <conditionalFormatting sqref="J787:J788">
    <cfRule type="containsText" dxfId="4478" priority="2590" operator="containsText" text="Cancelado">
      <formula>NOT(ISERROR(SEARCH("Cancelado",J787)))</formula>
    </cfRule>
  </conditionalFormatting>
  <conditionalFormatting sqref="M787:M788">
    <cfRule type="cellIs" dxfId="4477" priority="2587" operator="equal">
      <formula>"Tramitando"</formula>
    </cfRule>
    <cfRule type="cellIs" dxfId="4476" priority="2588" operator="equal">
      <formula>"Deferido"</formula>
    </cfRule>
    <cfRule type="cellIs" dxfId="4475" priority="2589" operator="equal">
      <formula>"Indeferido"</formula>
    </cfRule>
  </conditionalFormatting>
  <conditionalFormatting sqref="M787:M788">
    <cfRule type="containsText" dxfId="4474" priority="2586" operator="containsText" text="Cancelado">
      <formula>NOT(ISERROR(SEARCH("Cancelado",M787)))</formula>
    </cfRule>
  </conditionalFormatting>
  <conditionalFormatting sqref="O787:O788">
    <cfRule type="cellIs" dxfId="4473" priority="2583" operator="equal">
      <formula>"Tramitando"</formula>
    </cfRule>
    <cfRule type="cellIs" dxfId="4472" priority="2584" operator="equal">
      <formula>"Deferido"</formula>
    </cfRule>
    <cfRule type="cellIs" dxfId="4471" priority="2585" operator="equal">
      <formula>"Indeferido"</formula>
    </cfRule>
  </conditionalFormatting>
  <conditionalFormatting sqref="O787:O788">
    <cfRule type="containsText" dxfId="4470" priority="2582" operator="containsText" text="Cancelado">
      <formula>NOT(ISERROR(SEARCH("Cancelado",O787)))</formula>
    </cfRule>
  </conditionalFormatting>
  <conditionalFormatting sqref="Q787:Q788">
    <cfRule type="cellIs" dxfId="4469" priority="2579" operator="equal">
      <formula>"Tramitando"</formula>
    </cfRule>
    <cfRule type="cellIs" dxfId="4468" priority="2580" operator="equal">
      <formula>"Deferido"</formula>
    </cfRule>
    <cfRule type="cellIs" dxfId="4467" priority="2581" operator="equal">
      <formula>"Indeferido"</formula>
    </cfRule>
  </conditionalFormatting>
  <conditionalFormatting sqref="Q787:Q788">
    <cfRule type="containsText" dxfId="4466" priority="2578" operator="containsText" text="Cancelado">
      <formula>NOT(ISERROR(SEARCH("Cancelado",Q787)))</formula>
    </cfRule>
  </conditionalFormatting>
  <conditionalFormatting sqref="S787:S788">
    <cfRule type="cellIs" dxfId="4465" priority="2575" operator="equal">
      <formula>"Tramitando"</formula>
    </cfRule>
    <cfRule type="cellIs" dxfId="4464" priority="2576" operator="equal">
      <formula>"Deferido"</formula>
    </cfRule>
    <cfRule type="cellIs" dxfId="4463" priority="2577" operator="equal">
      <formula>"Indeferido"</formula>
    </cfRule>
  </conditionalFormatting>
  <conditionalFormatting sqref="S787:S788">
    <cfRule type="containsText" dxfId="4462" priority="2574" operator="containsText" text="Cancelado">
      <formula>NOT(ISERROR(SEARCH("Cancelado",S787)))</formula>
    </cfRule>
  </conditionalFormatting>
  <conditionalFormatting sqref="J789">
    <cfRule type="cellIs" dxfId="4461" priority="2570" operator="equal">
      <formula>"Tramitando"</formula>
    </cfRule>
    <cfRule type="cellIs" dxfId="4460" priority="2571" operator="equal">
      <formula>"Deferido"</formula>
    </cfRule>
    <cfRule type="cellIs" dxfId="4459" priority="2572" operator="equal">
      <formula>"Indeferido"</formula>
    </cfRule>
  </conditionalFormatting>
  <conditionalFormatting sqref="J789">
    <cfRule type="containsText" dxfId="4458" priority="2569" operator="containsText" text="Cancelado">
      <formula>NOT(ISERROR(SEARCH("Cancelado",J789)))</formula>
    </cfRule>
  </conditionalFormatting>
  <conditionalFormatting sqref="M789">
    <cfRule type="cellIs" dxfId="4457" priority="2566" operator="equal">
      <formula>"Tramitando"</formula>
    </cfRule>
    <cfRule type="cellIs" dxfId="4456" priority="2567" operator="equal">
      <formula>"Deferido"</formula>
    </cfRule>
    <cfRule type="cellIs" dxfId="4455" priority="2568" operator="equal">
      <formula>"Indeferido"</formula>
    </cfRule>
  </conditionalFormatting>
  <conditionalFormatting sqref="M789">
    <cfRule type="containsText" dxfId="4454" priority="2565" operator="containsText" text="Cancelado">
      <formula>NOT(ISERROR(SEARCH("Cancelado",M789)))</formula>
    </cfRule>
  </conditionalFormatting>
  <conditionalFormatting sqref="O789">
    <cfRule type="cellIs" dxfId="4453" priority="2562" operator="equal">
      <formula>"Tramitando"</formula>
    </cfRule>
    <cfRule type="cellIs" dxfId="4452" priority="2563" operator="equal">
      <formula>"Deferido"</formula>
    </cfRule>
    <cfRule type="cellIs" dxfId="4451" priority="2564" operator="equal">
      <formula>"Indeferido"</formula>
    </cfRule>
  </conditionalFormatting>
  <conditionalFormatting sqref="O789">
    <cfRule type="containsText" dxfId="4450" priority="2561" operator="containsText" text="Cancelado">
      <formula>NOT(ISERROR(SEARCH("Cancelado",O789)))</formula>
    </cfRule>
  </conditionalFormatting>
  <conditionalFormatting sqref="Q789">
    <cfRule type="cellIs" dxfId="4449" priority="2558" operator="equal">
      <formula>"Tramitando"</formula>
    </cfRule>
    <cfRule type="cellIs" dxfId="4448" priority="2559" operator="equal">
      <formula>"Deferido"</formula>
    </cfRule>
    <cfRule type="cellIs" dxfId="4447" priority="2560" operator="equal">
      <formula>"Indeferido"</formula>
    </cfRule>
  </conditionalFormatting>
  <conditionalFormatting sqref="Q789">
    <cfRule type="containsText" dxfId="4446" priority="2557" operator="containsText" text="Cancelado">
      <formula>NOT(ISERROR(SEARCH("Cancelado",Q789)))</formula>
    </cfRule>
  </conditionalFormatting>
  <conditionalFormatting sqref="S789">
    <cfRule type="cellIs" dxfId="4445" priority="2554" operator="equal">
      <formula>"Tramitando"</formula>
    </cfRule>
    <cfRule type="cellIs" dxfId="4444" priority="2555" operator="equal">
      <formula>"Deferido"</formula>
    </cfRule>
    <cfRule type="cellIs" dxfId="4443" priority="2556" operator="equal">
      <formula>"Indeferido"</formula>
    </cfRule>
  </conditionalFormatting>
  <conditionalFormatting sqref="S789">
    <cfRule type="containsText" dxfId="4442" priority="2553" operator="containsText" text="Cancelado">
      <formula>NOT(ISERROR(SEARCH("Cancelado",S789)))</formula>
    </cfRule>
  </conditionalFormatting>
  <conditionalFormatting sqref="J790">
    <cfRule type="cellIs" dxfId="4441" priority="2549" operator="equal">
      <formula>"Tramitando"</formula>
    </cfRule>
    <cfRule type="cellIs" dxfId="4440" priority="2550" operator="equal">
      <formula>"Deferido"</formula>
    </cfRule>
    <cfRule type="cellIs" dxfId="4439" priority="2551" operator="equal">
      <formula>"Indeferido"</formula>
    </cfRule>
  </conditionalFormatting>
  <conditionalFormatting sqref="J790">
    <cfRule type="containsText" dxfId="4438" priority="2548" operator="containsText" text="Cancelado">
      <formula>NOT(ISERROR(SEARCH("Cancelado",J790)))</formula>
    </cfRule>
  </conditionalFormatting>
  <conditionalFormatting sqref="M790">
    <cfRule type="cellIs" dxfId="4437" priority="2545" operator="equal">
      <formula>"Tramitando"</formula>
    </cfRule>
    <cfRule type="cellIs" dxfId="4436" priority="2546" operator="equal">
      <formula>"Deferido"</formula>
    </cfRule>
    <cfRule type="cellIs" dxfId="4435" priority="2547" operator="equal">
      <formula>"Indeferido"</formula>
    </cfRule>
  </conditionalFormatting>
  <conditionalFormatting sqref="M790">
    <cfRule type="containsText" dxfId="4434" priority="2544" operator="containsText" text="Cancelado">
      <formula>NOT(ISERROR(SEARCH("Cancelado",M790)))</formula>
    </cfRule>
  </conditionalFormatting>
  <conditionalFormatting sqref="O790">
    <cfRule type="cellIs" dxfId="4433" priority="2541" operator="equal">
      <formula>"Tramitando"</formula>
    </cfRule>
    <cfRule type="cellIs" dxfId="4432" priority="2542" operator="equal">
      <formula>"Deferido"</formula>
    </cfRule>
    <cfRule type="cellIs" dxfId="4431" priority="2543" operator="equal">
      <formula>"Indeferido"</formula>
    </cfRule>
  </conditionalFormatting>
  <conditionalFormatting sqref="O790">
    <cfRule type="containsText" dxfId="4430" priority="2540" operator="containsText" text="Cancelado">
      <formula>NOT(ISERROR(SEARCH("Cancelado",O790)))</formula>
    </cfRule>
  </conditionalFormatting>
  <conditionalFormatting sqref="Q790">
    <cfRule type="cellIs" dxfId="4429" priority="2537" operator="equal">
      <formula>"Tramitando"</formula>
    </cfRule>
    <cfRule type="cellIs" dxfId="4428" priority="2538" operator="equal">
      <formula>"Deferido"</formula>
    </cfRule>
    <cfRule type="cellIs" dxfId="4427" priority="2539" operator="equal">
      <formula>"Indeferido"</formula>
    </cfRule>
  </conditionalFormatting>
  <conditionalFormatting sqref="Q790">
    <cfRule type="containsText" dxfId="4426" priority="2536" operator="containsText" text="Cancelado">
      <formula>NOT(ISERROR(SEARCH("Cancelado",Q790)))</formula>
    </cfRule>
  </conditionalFormatting>
  <conditionalFormatting sqref="S790">
    <cfRule type="cellIs" dxfId="4425" priority="2533" operator="equal">
      <formula>"Tramitando"</formula>
    </cfRule>
    <cfRule type="cellIs" dxfId="4424" priority="2534" operator="equal">
      <formula>"Deferido"</formula>
    </cfRule>
    <cfRule type="cellIs" dxfId="4423" priority="2535" operator="equal">
      <formula>"Indeferido"</formula>
    </cfRule>
  </conditionalFormatting>
  <conditionalFormatting sqref="S790">
    <cfRule type="containsText" dxfId="4422" priority="2532" operator="containsText" text="Cancelado">
      <formula>NOT(ISERROR(SEARCH("Cancelado",S790)))</formula>
    </cfRule>
  </conditionalFormatting>
  <conditionalFormatting sqref="J791">
    <cfRule type="cellIs" dxfId="4421" priority="2528" operator="equal">
      <formula>"Tramitando"</formula>
    </cfRule>
    <cfRule type="cellIs" dxfId="4420" priority="2529" operator="equal">
      <formula>"Deferido"</formula>
    </cfRule>
    <cfRule type="cellIs" dxfId="4419" priority="2530" operator="equal">
      <formula>"Indeferido"</formula>
    </cfRule>
  </conditionalFormatting>
  <conditionalFormatting sqref="J791">
    <cfRule type="containsText" dxfId="4418" priority="2527" operator="containsText" text="Cancelado">
      <formula>NOT(ISERROR(SEARCH("Cancelado",J791)))</formula>
    </cfRule>
  </conditionalFormatting>
  <conditionalFormatting sqref="M791">
    <cfRule type="cellIs" dxfId="4417" priority="2524" operator="equal">
      <formula>"Tramitando"</formula>
    </cfRule>
    <cfRule type="cellIs" dxfId="4416" priority="2525" operator="equal">
      <formula>"Deferido"</formula>
    </cfRule>
    <cfRule type="cellIs" dxfId="4415" priority="2526" operator="equal">
      <formula>"Indeferido"</formula>
    </cfRule>
  </conditionalFormatting>
  <conditionalFormatting sqref="M791">
    <cfRule type="containsText" dxfId="4414" priority="2523" operator="containsText" text="Cancelado">
      <formula>NOT(ISERROR(SEARCH("Cancelado",M791)))</formula>
    </cfRule>
  </conditionalFormatting>
  <conditionalFormatting sqref="O791">
    <cfRule type="cellIs" dxfId="4413" priority="2520" operator="equal">
      <formula>"Tramitando"</formula>
    </cfRule>
    <cfRule type="cellIs" dxfId="4412" priority="2521" operator="equal">
      <formula>"Deferido"</formula>
    </cfRule>
    <cfRule type="cellIs" dxfId="4411" priority="2522" operator="equal">
      <formula>"Indeferido"</formula>
    </cfRule>
  </conditionalFormatting>
  <conditionalFormatting sqref="O791">
    <cfRule type="containsText" dxfId="4410" priority="2519" operator="containsText" text="Cancelado">
      <formula>NOT(ISERROR(SEARCH("Cancelado",O791)))</formula>
    </cfRule>
  </conditionalFormatting>
  <conditionalFormatting sqref="Q791">
    <cfRule type="cellIs" dxfId="4409" priority="2516" operator="equal">
      <formula>"Tramitando"</formula>
    </cfRule>
    <cfRule type="cellIs" dxfId="4408" priority="2517" operator="equal">
      <formula>"Deferido"</formula>
    </cfRule>
    <cfRule type="cellIs" dxfId="4407" priority="2518" operator="equal">
      <formula>"Indeferido"</formula>
    </cfRule>
  </conditionalFormatting>
  <conditionalFormatting sqref="Q791">
    <cfRule type="containsText" dxfId="4406" priority="2515" operator="containsText" text="Cancelado">
      <formula>NOT(ISERROR(SEARCH("Cancelado",Q791)))</formula>
    </cfRule>
  </conditionalFormatting>
  <conditionalFormatting sqref="S791">
    <cfRule type="cellIs" dxfId="4405" priority="2512" operator="equal">
      <formula>"Tramitando"</formula>
    </cfRule>
    <cfRule type="cellIs" dxfId="4404" priority="2513" operator="equal">
      <formula>"Deferido"</formula>
    </cfRule>
    <cfRule type="cellIs" dxfId="4403" priority="2514" operator="equal">
      <formula>"Indeferido"</formula>
    </cfRule>
  </conditionalFormatting>
  <conditionalFormatting sqref="S791">
    <cfRule type="containsText" dxfId="4402" priority="2511" operator="containsText" text="Cancelado">
      <formula>NOT(ISERROR(SEARCH("Cancelado",S791)))</formula>
    </cfRule>
  </conditionalFormatting>
  <conditionalFormatting sqref="J792">
    <cfRule type="cellIs" dxfId="4401" priority="2507" operator="equal">
      <formula>"Tramitando"</formula>
    </cfRule>
    <cfRule type="cellIs" dxfId="4400" priority="2508" operator="equal">
      <formula>"Deferido"</formula>
    </cfRule>
    <cfRule type="cellIs" dxfId="4399" priority="2509" operator="equal">
      <formula>"Indeferido"</formula>
    </cfRule>
  </conditionalFormatting>
  <conditionalFormatting sqref="J792">
    <cfRule type="containsText" dxfId="4398" priority="2506" operator="containsText" text="Cancelado">
      <formula>NOT(ISERROR(SEARCH("Cancelado",J792)))</formula>
    </cfRule>
  </conditionalFormatting>
  <conditionalFormatting sqref="M792">
    <cfRule type="cellIs" dxfId="4397" priority="2503" operator="equal">
      <formula>"Tramitando"</formula>
    </cfRule>
    <cfRule type="cellIs" dxfId="4396" priority="2504" operator="equal">
      <formula>"Deferido"</formula>
    </cfRule>
    <cfRule type="cellIs" dxfId="4395" priority="2505" operator="equal">
      <formula>"Indeferido"</formula>
    </cfRule>
  </conditionalFormatting>
  <conditionalFormatting sqref="M792">
    <cfRule type="containsText" dxfId="4394" priority="2502" operator="containsText" text="Cancelado">
      <formula>NOT(ISERROR(SEARCH("Cancelado",M792)))</formula>
    </cfRule>
  </conditionalFormatting>
  <conditionalFormatting sqref="O792">
    <cfRule type="cellIs" dxfId="4393" priority="2499" operator="equal">
      <formula>"Tramitando"</formula>
    </cfRule>
    <cfRule type="cellIs" dxfId="4392" priority="2500" operator="equal">
      <formula>"Deferido"</formula>
    </cfRule>
    <cfRule type="cellIs" dxfId="4391" priority="2501" operator="equal">
      <formula>"Indeferido"</formula>
    </cfRule>
  </conditionalFormatting>
  <conditionalFormatting sqref="O792">
    <cfRule type="containsText" dxfId="4390" priority="2498" operator="containsText" text="Cancelado">
      <formula>NOT(ISERROR(SEARCH("Cancelado",O792)))</formula>
    </cfRule>
  </conditionalFormatting>
  <conditionalFormatting sqref="Q792">
    <cfRule type="cellIs" dxfId="4389" priority="2495" operator="equal">
      <formula>"Tramitando"</formula>
    </cfRule>
    <cfRule type="cellIs" dxfId="4388" priority="2496" operator="equal">
      <formula>"Deferido"</formula>
    </cfRule>
    <cfRule type="cellIs" dxfId="4387" priority="2497" operator="equal">
      <formula>"Indeferido"</formula>
    </cfRule>
  </conditionalFormatting>
  <conditionalFormatting sqref="Q792">
    <cfRule type="containsText" dxfId="4386" priority="2494" operator="containsText" text="Cancelado">
      <formula>NOT(ISERROR(SEARCH("Cancelado",Q792)))</formula>
    </cfRule>
  </conditionalFormatting>
  <conditionalFormatting sqref="S792">
    <cfRule type="cellIs" dxfId="4385" priority="2491" operator="equal">
      <formula>"Tramitando"</formula>
    </cfRule>
    <cfRule type="cellIs" dxfId="4384" priority="2492" operator="equal">
      <formula>"Deferido"</formula>
    </cfRule>
    <cfRule type="cellIs" dxfId="4383" priority="2493" operator="equal">
      <formula>"Indeferido"</formula>
    </cfRule>
  </conditionalFormatting>
  <conditionalFormatting sqref="S792">
    <cfRule type="containsText" dxfId="4382" priority="2490" operator="containsText" text="Cancelado">
      <formula>NOT(ISERROR(SEARCH("Cancelado",S792)))</formula>
    </cfRule>
  </conditionalFormatting>
  <conditionalFormatting sqref="J793">
    <cfRule type="cellIs" dxfId="4381" priority="2486" operator="equal">
      <formula>"Tramitando"</formula>
    </cfRule>
    <cfRule type="cellIs" dxfId="4380" priority="2487" operator="equal">
      <formula>"Deferido"</formula>
    </cfRule>
    <cfRule type="cellIs" dxfId="4379" priority="2488" operator="equal">
      <formula>"Indeferido"</formula>
    </cfRule>
  </conditionalFormatting>
  <conditionalFormatting sqref="J793">
    <cfRule type="containsText" dxfId="4378" priority="2485" operator="containsText" text="Cancelado">
      <formula>NOT(ISERROR(SEARCH("Cancelado",J793)))</formula>
    </cfRule>
  </conditionalFormatting>
  <conditionalFormatting sqref="M793">
    <cfRule type="cellIs" dxfId="4377" priority="2482" operator="equal">
      <formula>"Tramitando"</formula>
    </cfRule>
    <cfRule type="cellIs" dxfId="4376" priority="2483" operator="equal">
      <formula>"Deferido"</formula>
    </cfRule>
    <cfRule type="cellIs" dxfId="4375" priority="2484" operator="equal">
      <formula>"Indeferido"</formula>
    </cfRule>
  </conditionalFormatting>
  <conditionalFormatting sqref="M793">
    <cfRule type="containsText" dxfId="4374" priority="2481" operator="containsText" text="Cancelado">
      <formula>NOT(ISERROR(SEARCH("Cancelado",M793)))</formula>
    </cfRule>
  </conditionalFormatting>
  <conditionalFormatting sqref="O793">
    <cfRule type="cellIs" dxfId="4373" priority="2478" operator="equal">
      <formula>"Tramitando"</formula>
    </cfRule>
    <cfRule type="cellIs" dxfId="4372" priority="2479" operator="equal">
      <formula>"Deferido"</formula>
    </cfRule>
    <cfRule type="cellIs" dxfId="4371" priority="2480" operator="equal">
      <formula>"Indeferido"</formula>
    </cfRule>
  </conditionalFormatting>
  <conditionalFormatting sqref="O793">
    <cfRule type="containsText" dxfId="4370" priority="2477" operator="containsText" text="Cancelado">
      <formula>NOT(ISERROR(SEARCH("Cancelado",O793)))</formula>
    </cfRule>
  </conditionalFormatting>
  <conditionalFormatting sqref="Q793">
    <cfRule type="cellIs" dxfId="4369" priority="2474" operator="equal">
      <formula>"Tramitando"</formula>
    </cfRule>
    <cfRule type="cellIs" dxfId="4368" priority="2475" operator="equal">
      <formula>"Deferido"</formula>
    </cfRule>
    <cfRule type="cellIs" dxfId="4367" priority="2476" operator="equal">
      <formula>"Indeferido"</formula>
    </cfRule>
  </conditionalFormatting>
  <conditionalFormatting sqref="Q793">
    <cfRule type="containsText" dxfId="4366" priority="2473" operator="containsText" text="Cancelado">
      <formula>NOT(ISERROR(SEARCH("Cancelado",Q793)))</formula>
    </cfRule>
  </conditionalFormatting>
  <conditionalFormatting sqref="S793">
    <cfRule type="cellIs" dxfId="4365" priority="2470" operator="equal">
      <formula>"Tramitando"</formula>
    </cfRule>
    <cfRule type="cellIs" dxfId="4364" priority="2471" operator="equal">
      <formula>"Deferido"</formula>
    </cfRule>
    <cfRule type="cellIs" dxfId="4363" priority="2472" operator="equal">
      <formula>"Indeferido"</formula>
    </cfRule>
  </conditionalFormatting>
  <conditionalFormatting sqref="S793">
    <cfRule type="containsText" dxfId="4362" priority="2469" operator="containsText" text="Cancelado">
      <formula>NOT(ISERROR(SEARCH("Cancelado",S793)))</formula>
    </cfRule>
  </conditionalFormatting>
  <conditionalFormatting sqref="J794">
    <cfRule type="cellIs" dxfId="4361" priority="2465" operator="equal">
      <formula>"Tramitando"</formula>
    </cfRule>
    <cfRule type="cellIs" dxfId="4360" priority="2466" operator="equal">
      <formula>"Deferido"</formula>
    </cfRule>
    <cfRule type="cellIs" dxfId="4359" priority="2467" operator="equal">
      <formula>"Indeferido"</formula>
    </cfRule>
  </conditionalFormatting>
  <conditionalFormatting sqref="J794">
    <cfRule type="containsText" dxfId="4358" priority="2464" operator="containsText" text="Cancelado">
      <formula>NOT(ISERROR(SEARCH("Cancelado",J794)))</formula>
    </cfRule>
  </conditionalFormatting>
  <conditionalFormatting sqref="M794">
    <cfRule type="cellIs" dxfId="4357" priority="2461" operator="equal">
      <formula>"Tramitando"</formula>
    </cfRule>
    <cfRule type="cellIs" dxfId="4356" priority="2462" operator="equal">
      <formula>"Deferido"</formula>
    </cfRule>
    <cfRule type="cellIs" dxfId="4355" priority="2463" operator="equal">
      <formula>"Indeferido"</formula>
    </cfRule>
  </conditionalFormatting>
  <conditionalFormatting sqref="M794">
    <cfRule type="containsText" dxfId="4354" priority="2460" operator="containsText" text="Cancelado">
      <formula>NOT(ISERROR(SEARCH("Cancelado",M794)))</formula>
    </cfRule>
  </conditionalFormatting>
  <conditionalFormatting sqref="O794">
    <cfRule type="cellIs" dxfId="4353" priority="2457" operator="equal">
      <formula>"Tramitando"</formula>
    </cfRule>
    <cfRule type="cellIs" dxfId="4352" priority="2458" operator="equal">
      <formula>"Deferido"</formula>
    </cfRule>
    <cfRule type="cellIs" dxfId="4351" priority="2459" operator="equal">
      <formula>"Indeferido"</formula>
    </cfRule>
  </conditionalFormatting>
  <conditionalFormatting sqref="O794">
    <cfRule type="containsText" dxfId="4350" priority="2456" operator="containsText" text="Cancelado">
      <formula>NOT(ISERROR(SEARCH("Cancelado",O794)))</formula>
    </cfRule>
  </conditionalFormatting>
  <conditionalFormatting sqref="Q794">
    <cfRule type="cellIs" dxfId="4349" priority="2453" operator="equal">
      <formula>"Tramitando"</formula>
    </cfRule>
    <cfRule type="cellIs" dxfId="4348" priority="2454" operator="equal">
      <formula>"Deferido"</formula>
    </cfRule>
    <cfRule type="cellIs" dxfId="4347" priority="2455" operator="equal">
      <formula>"Indeferido"</formula>
    </cfRule>
  </conditionalFormatting>
  <conditionalFormatting sqref="Q794">
    <cfRule type="containsText" dxfId="4346" priority="2452" operator="containsText" text="Cancelado">
      <formula>NOT(ISERROR(SEARCH("Cancelado",Q794)))</formula>
    </cfRule>
  </conditionalFormatting>
  <conditionalFormatting sqref="S794">
    <cfRule type="cellIs" dxfId="4345" priority="2449" operator="equal">
      <formula>"Tramitando"</formula>
    </cfRule>
    <cfRule type="cellIs" dxfId="4344" priority="2450" operator="equal">
      <formula>"Deferido"</formula>
    </cfRule>
    <cfRule type="cellIs" dxfId="4343" priority="2451" operator="equal">
      <formula>"Indeferido"</formula>
    </cfRule>
  </conditionalFormatting>
  <conditionalFormatting sqref="S794">
    <cfRule type="containsText" dxfId="4342" priority="2448" operator="containsText" text="Cancelado">
      <formula>NOT(ISERROR(SEARCH("Cancelado",S794)))</formula>
    </cfRule>
  </conditionalFormatting>
  <conditionalFormatting sqref="J795">
    <cfRule type="cellIs" dxfId="4341" priority="2444" operator="equal">
      <formula>"Tramitando"</formula>
    </cfRule>
    <cfRule type="cellIs" dxfId="4340" priority="2445" operator="equal">
      <formula>"Deferido"</formula>
    </cfRule>
    <cfRule type="cellIs" dxfId="4339" priority="2446" operator="equal">
      <formula>"Indeferido"</formula>
    </cfRule>
  </conditionalFormatting>
  <conditionalFormatting sqref="J795">
    <cfRule type="containsText" dxfId="4338" priority="2443" operator="containsText" text="Cancelado">
      <formula>NOT(ISERROR(SEARCH("Cancelado",J795)))</formula>
    </cfRule>
  </conditionalFormatting>
  <conditionalFormatting sqref="M795">
    <cfRule type="cellIs" dxfId="4337" priority="2440" operator="equal">
      <formula>"Tramitando"</formula>
    </cfRule>
    <cfRule type="cellIs" dxfId="4336" priority="2441" operator="equal">
      <formula>"Deferido"</formula>
    </cfRule>
    <cfRule type="cellIs" dxfId="4335" priority="2442" operator="equal">
      <formula>"Indeferido"</formula>
    </cfRule>
  </conditionalFormatting>
  <conditionalFormatting sqref="M795">
    <cfRule type="containsText" dxfId="4334" priority="2439" operator="containsText" text="Cancelado">
      <formula>NOT(ISERROR(SEARCH("Cancelado",M795)))</formula>
    </cfRule>
  </conditionalFormatting>
  <conditionalFormatting sqref="O795">
    <cfRule type="cellIs" dxfId="4333" priority="2436" operator="equal">
      <formula>"Tramitando"</formula>
    </cfRule>
    <cfRule type="cellIs" dxfId="4332" priority="2437" operator="equal">
      <formula>"Deferido"</formula>
    </cfRule>
    <cfRule type="cellIs" dxfId="4331" priority="2438" operator="equal">
      <formula>"Indeferido"</formula>
    </cfRule>
  </conditionalFormatting>
  <conditionalFormatting sqref="O795">
    <cfRule type="containsText" dxfId="4330" priority="2435" operator="containsText" text="Cancelado">
      <formula>NOT(ISERROR(SEARCH("Cancelado",O795)))</formula>
    </cfRule>
  </conditionalFormatting>
  <conditionalFormatting sqref="Q795">
    <cfRule type="cellIs" dxfId="4329" priority="2432" operator="equal">
      <formula>"Tramitando"</formula>
    </cfRule>
    <cfRule type="cellIs" dxfId="4328" priority="2433" operator="equal">
      <formula>"Deferido"</formula>
    </cfRule>
    <cfRule type="cellIs" dxfId="4327" priority="2434" operator="equal">
      <formula>"Indeferido"</formula>
    </cfRule>
  </conditionalFormatting>
  <conditionalFormatting sqref="Q795">
    <cfRule type="containsText" dxfId="4326" priority="2431" operator="containsText" text="Cancelado">
      <formula>NOT(ISERROR(SEARCH("Cancelado",Q795)))</formula>
    </cfRule>
  </conditionalFormatting>
  <conditionalFormatting sqref="S795">
    <cfRule type="cellIs" dxfId="4325" priority="2428" operator="equal">
      <formula>"Tramitando"</formula>
    </cfRule>
    <cfRule type="cellIs" dxfId="4324" priority="2429" operator="equal">
      <formula>"Deferido"</formula>
    </cfRule>
    <cfRule type="cellIs" dxfId="4323" priority="2430" operator="equal">
      <formula>"Indeferido"</formula>
    </cfRule>
  </conditionalFormatting>
  <conditionalFormatting sqref="S795">
    <cfRule type="containsText" dxfId="4322" priority="2427" operator="containsText" text="Cancelado">
      <formula>NOT(ISERROR(SEARCH("Cancelado",S795)))</formula>
    </cfRule>
  </conditionalFormatting>
  <conditionalFormatting sqref="J796">
    <cfRule type="cellIs" dxfId="4321" priority="2423" operator="equal">
      <formula>"Tramitando"</formula>
    </cfRule>
    <cfRule type="cellIs" dxfId="4320" priority="2424" operator="equal">
      <formula>"Deferido"</formula>
    </cfRule>
    <cfRule type="cellIs" dxfId="4319" priority="2425" operator="equal">
      <formula>"Indeferido"</formula>
    </cfRule>
  </conditionalFormatting>
  <conditionalFormatting sqref="J796">
    <cfRule type="containsText" dxfId="4318" priority="2422" operator="containsText" text="Cancelado">
      <formula>NOT(ISERROR(SEARCH("Cancelado",J796)))</formula>
    </cfRule>
  </conditionalFormatting>
  <conditionalFormatting sqref="M796">
    <cfRule type="cellIs" dxfId="4317" priority="2419" operator="equal">
      <formula>"Tramitando"</formula>
    </cfRule>
    <cfRule type="cellIs" dxfId="4316" priority="2420" operator="equal">
      <formula>"Deferido"</formula>
    </cfRule>
    <cfRule type="cellIs" dxfId="4315" priority="2421" operator="equal">
      <formula>"Indeferido"</formula>
    </cfRule>
  </conditionalFormatting>
  <conditionalFormatting sqref="M796">
    <cfRule type="containsText" dxfId="4314" priority="2418" operator="containsText" text="Cancelado">
      <formula>NOT(ISERROR(SEARCH("Cancelado",M796)))</formula>
    </cfRule>
  </conditionalFormatting>
  <conditionalFormatting sqref="O796">
    <cfRule type="cellIs" dxfId="4313" priority="2415" operator="equal">
      <formula>"Tramitando"</formula>
    </cfRule>
    <cfRule type="cellIs" dxfId="4312" priority="2416" operator="equal">
      <formula>"Deferido"</formula>
    </cfRule>
    <cfRule type="cellIs" dxfId="4311" priority="2417" operator="equal">
      <formula>"Indeferido"</formula>
    </cfRule>
  </conditionalFormatting>
  <conditionalFormatting sqref="O796">
    <cfRule type="containsText" dxfId="4310" priority="2414" operator="containsText" text="Cancelado">
      <formula>NOT(ISERROR(SEARCH("Cancelado",O796)))</formula>
    </cfRule>
  </conditionalFormatting>
  <conditionalFormatting sqref="Q796">
    <cfRule type="cellIs" dxfId="4309" priority="2411" operator="equal">
      <formula>"Tramitando"</formula>
    </cfRule>
    <cfRule type="cellIs" dxfId="4308" priority="2412" operator="equal">
      <formula>"Deferido"</formula>
    </cfRule>
    <cfRule type="cellIs" dxfId="4307" priority="2413" operator="equal">
      <formula>"Indeferido"</formula>
    </cfRule>
  </conditionalFormatting>
  <conditionalFormatting sqref="Q796">
    <cfRule type="containsText" dxfId="4306" priority="2410" operator="containsText" text="Cancelado">
      <formula>NOT(ISERROR(SEARCH("Cancelado",Q796)))</formula>
    </cfRule>
  </conditionalFormatting>
  <conditionalFormatting sqref="S796">
    <cfRule type="cellIs" dxfId="4305" priority="2407" operator="equal">
      <formula>"Tramitando"</formula>
    </cfRule>
    <cfRule type="cellIs" dxfId="4304" priority="2408" operator="equal">
      <formula>"Deferido"</formula>
    </cfRule>
    <cfRule type="cellIs" dxfId="4303" priority="2409" operator="equal">
      <formula>"Indeferido"</formula>
    </cfRule>
  </conditionalFormatting>
  <conditionalFormatting sqref="S796">
    <cfRule type="containsText" dxfId="4302" priority="2406" operator="containsText" text="Cancelado">
      <formula>NOT(ISERROR(SEARCH("Cancelado",S796)))</formula>
    </cfRule>
  </conditionalFormatting>
  <conditionalFormatting sqref="J797">
    <cfRule type="cellIs" dxfId="4301" priority="2402" operator="equal">
      <formula>"Tramitando"</formula>
    </cfRule>
    <cfRule type="cellIs" dxfId="4300" priority="2403" operator="equal">
      <formula>"Deferido"</formula>
    </cfRule>
    <cfRule type="cellIs" dxfId="4299" priority="2404" operator="equal">
      <formula>"Indeferido"</formula>
    </cfRule>
  </conditionalFormatting>
  <conditionalFormatting sqref="J797">
    <cfRule type="containsText" dxfId="4298" priority="2401" operator="containsText" text="Cancelado">
      <formula>NOT(ISERROR(SEARCH("Cancelado",J797)))</formula>
    </cfRule>
  </conditionalFormatting>
  <conditionalFormatting sqref="M797">
    <cfRule type="cellIs" dxfId="4297" priority="2398" operator="equal">
      <formula>"Tramitando"</formula>
    </cfRule>
    <cfRule type="cellIs" dxfId="4296" priority="2399" operator="equal">
      <formula>"Deferido"</formula>
    </cfRule>
    <cfRule type="cellIs" dxfId="4295" priority="2400" operator="equal">
      <formula>"Indeferido"</formula>
    </cfRule>
  </conditionalFormatting>
  <conditionalFormatting sqref="M797">
    <cfRule type="containsText" dxfId="4294" priority="2397" operator="containsText" text="Cancelado">
      <formula>NOT(ISERROR(SEARCH("Cancelado",M797)))</formula>
    </cfRule>
  </conditionalFormatting>
  <conditionalFormatting sqref="O797">
    <cfRule type="cellIs" dxfId="4293" priority="2394" operator="equal">
      <formula>"Tramitando"</formula>
    </cfRule>
    <cfRule type="cellIs" dxfId="4292" priority="2395" operator="equal">
      <formula>"Deferido"</formula>
    </cfRule>
    <cfRule type="cellIs" dxfId="4291" priority="2396" operator="equal">
      <formula>"Indeferido"</formula>
    </cfRule>
  </conditionalFormatting>
  <conditionalFormatting sqref="O797">
    <cfRule type="containsText" dxfId="4290" priority="2393" operator="containsText" text="Cancelado">
      <formula>NOT(ISERROR(SEARCH("Cancelado",O797)))</formula>
    </cfRule>
  </conditionalFormatting>
  <conditionalFormatting sqref="Q797">
    <cfRule type="cellIs" dxfId="4289" priority="2390" operator="equal">
      <formula>"Tramitando"</formula>
    </cfRule>
    <cfRule type="cellIs" dxfId="4288" priority="2391" operator="equal">
      <formula>"Deferido"</formula>
    </cfRule>
    <cfRule type="cellIs" dxfId="4287" priority="2392" operator="equal">
      <formula>"Indeferido"</formula>
    </cfRule>
  </conditionalFormatting>
  <conditionalFormatting sqref="Q797">
    <cfRule type="containsText" dxfId="4286" priority="2389" operator="containsText" text="Cancelado">
      <formula>NOT(ISERROR(SEARCH("Cancelado",Q797)))</formula>
    </cfRule>
  </conditionalFormatting>
  <conditionalFormatting sqref="S797">
    <cfRule type="cellIs" dxfId="4285" priority="2386" operator="equal">
      <formula>"Tramitando"</formula>
    </cfRule>
    <cfRule type="cellIs" dxfId="4284" priority="2387" operator="equal">
      <formula>"Deferido"</formula>
    </cfRule>
    <cfRule type="cellIs" dxfId="4283" priority="2388" operator="equal">
      <formula>"Indeferido"</formula>
    </cfRule>
  </conditionalFormatting>
  <conditionalFormatting sqref="S797">
    <cfRule type="containsText" dxfId="4282" priority="2385" operator="containsText" text="Cancelado">
      <formula>NOT(ISERROR(SEARCH("Cancelado",S797)))</formula>
    </cfRule>
  </conditionalFormatting>
  <conditionalFormatting sqref="J798">
    <cfRule type="cellIs" dxfId="4281" priority="2381" operator="equal">
      <formula>"Tramitando"</formula>
    </cfRule>
    <cfRule type="cellIs" dxfId="4280" priority="2382" operator="equal">
      <formula>"Deferido"</formula>
    </cfRule>
    <cfRule type="cellIs" dxfId="4279" priority="2383" operator="equal">
      <formula>"Indeferido"</formula>
    </cfRule>
  </conditionalFormatting>
  <conditionalFormatting sqref="J798">
    <cfRule type="containsText" dxfId="4278" priority="2380" operator="containsText" text="Cancelado">
      <formula>NOT(ISERROR(SEARCH("Cancelado",J798)))</formula>
    </cfRule>
  </conditionalFormatting>
  <conditionalFormatting sqref="M798">
    <cfRule type="cellIs" dxfId="4277" priority="2377" operator="equal">
      <formula>"Tramitando"</formula>
    </cfRule>
    <cfRule type="cellIs" dxfId="4276" priority="2378" operator="equal">
      <formula>"Deferido"</formula>
    </cfRule>
    <cfRule type="cellIs" dxfId="4275" priority="2379" operator="equal">
      <formula>"Indeferido"</formula>
    </cfRule>
  </conditionalFormatting>
  <conditionalFormatting sqref="M798">
    <cfRule type="containsText" dxfId="4274" priority="2376" operator="containsText" text="Cancelado">
      <formula>NOT(ISERROR(SEARCH("Cancelado",M798)))</formula>
    </cfRule>
  </conditionalFormatting>
  <conditionalFormatting sqref="O798">
    <cfRule type="cellIs" dxfId="4273" priority="2373" operator="equal">
      <formula>"Tramitando"</formula>
    </cfRule>
    <cfRule type="cellIs" dxfId="4272" priority="2374" operator="equal">
      <formula>"Deferido"</formula>
    </cfRule>
    <cfRule type="cellIs" dxfId="4271" priority="2375" operator="equal">
      <formula>"Indeferido"</formula>
    </cfRule>
  </conditionalFormatting>
  <conditionalFormatting sqref="O798">
    <cfRule type="containsText" dxfId="4270" priority="2372" operator="containsText" text="Cancelado">
      <formula>NOT(ISERROR(SEARCH("Cancelado",O798)))</formula>
    </cfRule>
  </conditionalFormatting>
  <conditionalFormatting sqref="Q798">
    <cfRule type="cellIs" dxfId="4269" priority="2369" operator="equal">
      <formula>"Tramitando"</formula>
    </cfRule>
    <cfRule type="cellIs" dxfId="4268" priority="2370" operator="equal">
      <formula>"Deferido"</formula>
    </cfRule>
    <cfRule type="cellIs" dxfId="4267" priority="2371" operator="equal">
      <formula>"Indeferido"</formula>
    </cfRule>
  </conditionalFormatting>
  <conditionalFormatting sqref="Q798">
    <cfRule type="containsText" dxfId="4266" priority="2368" operator="containsText" text="Cancelado">
      <formula>NOT(ISERROR(SEARCH("Cancelado",Q798)))</formula>
    </cfRule>
  </conditionalFormatting>
  <conditionalFormatting sqref="S798">
    <cfRule type="cellIs" dxfId="4265" priority="2365" operator="equal">
      <formula>"Tramitando"</formula>
    </cfRule>
    <cfRule type="cellIs" dxfId="4264" priority="2366" operator="equal">
      <formula>"Deferido"</formula>
    </cfRule>
    <cfRule type="cellIs" dxfId="4263" priority="2367" operator="equal">
      <formula>"Indeferido"</formula>
    </cfRule>
  </conditionalFormatting>
  <conditionalFormatting sqref="S798">
    <cfRule type="containsText" dxfId="4262" priority="2364" operator="containsText" text="Cancelado">
      <formula>NOT(ISERROR(SEARCH("Cancelado",S798)))</formula>
    </cfRule>
  </conditionalFormatting>
  <conditionalFormatting sqref="J799:J801">
    <cfRule type="cellIs" dxfId="4261" priority="2358" operator="equal">
      <formula>"Tramitando"</formula>
    </cfRule>
    <cfRule type="cellIs" dxfId="4260" priority="2359" operator="equal">
      <formula>"Deferido"</formula>
    </cfRule>
    <cfRule type="cellIs" dxfId="4259" priority="2360" operator="equal">
      <formula>"Indeferido"</formula>
    </cfRule>
  </conditionalFormatting>
  <conditionalFormatting sqref="J799:J801">
    <cfRule type="containsText" dxfId="4258" priority="2357" operator="containsText" text="Cancelado">
      <formula>NOT(ISERROR(SEARCH("Cancelado",J799)))</formula>
    </cfRule>
  </conditionalFormatting>
  <conditionalFormatting sqref="M799:M801">
    <cfRule type="cellIs" dxfId="4257" priority="2354" operator="equal">
      <formula>"Tramitando"</formula>
    </cfRule>
    <cfRule type="cellIs" dxfId="4256" priority="2355" operator="equal">
      <formula>"Deferido"</formula>
    </cfRule>
    <cfRule type="cellIs" dxfId="4255" priority="2356" operator="equal">
      <formula>"Indeferido"</formula>
    </cfRule>
  </conditionalFormatting>
  <conditionalFormatting sqref="M799:M801">
    <cfRule type="containsText" dxfId="4254" priority="2353" operator="containsText" text="Cancelado">
      <formula>NOT(ISERROR(SEARCH("Cancelado",M799)))</formula>
    </cfRule>
  </conditionalFormatting>
  <conditionalFormatting sqref="O799:O801">
    <cfRule type="cellIs" dxfId="4253" priority="2350" operator="equal">
      <formula>"Tramitando"</formula>
    </cfRule>
    <cfRule type="cellIs" dxfId="4252" priority="2351" operator="equal">
      <formula>"Deferido"</formula>
    </cfRule>
    <cfRule type="cellIs" dxfId="4251" priority="2352" operator="equal">
      <formula>"Indeferido"</formula>
    </cfRule>
  </conditionalFormatting>
  <conditionalFormatting sqref="O799:O801">
    <cfRule type="containsText" dxfId="4250" priority="2349" operator="containsText" text="Cancelado">
      <formula>NOT(ISERROR(SEARCH("Cancelado",O799)))</formula>
    </cfRule>
  </conditionalFormatting>
  <conditionalFormatting sqref="Q799:Q801">
    <cfRule type="cellIs" dxfId="4249" priority="2346" operator="equal">
      <formula>"Tramitando"</formula>
    </cfRule>
    <cfRule type="cellIs" dxfId="4248" priority="2347" operator="equal">
      <formula>"Deferido"</formula>
    </cfRule>
    <cfRule type="cellIs" dxfId="4247" priority="2348" operator="equal">
      <formula>"Indeferido"</formula>
    </cfRule>
  </conditionalFormatting>
  <conditionalFormatting sqref="Q799:Q801">
    <cfRule type="containsText" dxfId="4246" priority="2345" operator="containsText" text="Cancelado">
      <formula>NOT(ISERROR(SEARCH("Cancelado",Q799)))</formula>
    </cfRule>
  </conditionalFormatting>
  <conditionalFormatting sqref="S799:S801">
    <cfRule type="cellIs" dxfId="4245" priority="2342" operator="equal">
      <formula>"Tramitando"</formula>
    </cfRule>
    <cfRule type="cellIs" dxfId="4244" priority="2343" operator="equal">
      <formula>"Deferido"</formula>
    </cfRule>
    <cfRule type="cellIs" dxfId="4243" priority="2344" operator="equal">
      <formula>"Indeferido"</formula>
    </cfRule>
  </conditionalFormatting>
  <conditionalFormatting sqref="S799:S801">
    <cfRule type="containsText" dxfId="4242" priority="2341" operator="containsText" text="Cancelado">
      <formula>NOT(ISERROR(SEARCH("Cancelado",S799)))</formula>
    </cfRule>
  </conditionalFormatting>
  <conditionalFormatting sqref="J802">
    <cfRule type="cellIs" dxfId="4241" priority="2337" operator="equal">
      <formula>"Tramitando"</formula>
    </cfRule>
    <cfRule type="cellIs" dxfId="4240" priority="2338" operator="equal">
      <formula>"Deferido"</formula>
    </cfRule>
    <cfRule type="cellIs" dxfId="4239" priority="2339" operator="equal">
      <formula>"Indeferido"</formula>
    </cfRule>
  </conditionalFormatting>
  <conditionalFormatting sqref="J802">
    <cfRule type="containsText" dxfId="4238" priority="2336" operator="containsText" text="Cancelado">
      <formula>NOT(ISERROR(SEARCH("Cancelado",J802)))</formula>
    </cfRule>
  </conditionalFormatting>
  <conditionalFormatting sqref="M802">
    <cfRule type="cellIs" dxfId="4237" priority="2333" operator="equal">
      <formula>"Tramitando"</formula>
    </cfRule>
    <cfRule type="cellIs" dxfId="4236" priority="2334" operator="equal">
      <formula>"Deferido"</formula>
    </cfRule>
    <cfRule type="cellIs" dxfId="4235" priority="2335" operator="equal">
      <formula>"Indeferido"</formula>
    </cfRule>
  </conditionalFormatting>
  <conditionalFormatting sqref="M802">
    <cfRule type="containsText" dxfId="4234" priority="2332" operator="containsText" text="Cancelado">
      <formula>NOT(ISERROR(SEARCH("Cancelado",M802)))</formula>
    </cfRule>
  </conditionalFormatting>
  <conditionalFormatting sqref="O802">
    <cfRule type="cellIs" dxfId="4233" priority="2329" operator="equal">
      <formula>"Tramitando"</formula>
    </cfRule>
    <cfRule type="cellIs" dxfId="4232" priority="2330" operator="equal">
      <formula>"Deferido"</formula>
    </cfRule>
    <cfRule type="cellIs" dxfId="4231" priority="2331" operator="equal">
      <formula>"Indeferido"</formula>
    </cfRule>
  </conditionalFormatting>
  <conditionalFormatting sqref="O802">
    <cfRule type="containsText" dxfId="4230" priority="2328" operator="containsText" text="Cancelado">
      <formula>NOT(ISERROR(SEARCH("Cancelado",O802)))</formula>
    </cfRule>
  </conditionalFormatting>
  <conditionalFormatting sqref="Q802">
    <cfRule type="cellIs" dxfId="4229" priority="2325" operator="equal">
      <formula>"Tramitando"</formula>
    </cfRule>
    <cfRule type="cellIs" dxfId="4228" priority="2326" operator="equal">
      <formula>"Deferido"</formula>
    </cfRule>
    <cfRule type="cellIs" dxfId="4227" priority="2327" operator="equal">
      <formula>"Indeferido"</formula>
    </cfRule>
  </conditionalFormatting>
  <conditionalFormatting sqref="Q802">
    <cfRule type="containsText" dxfId="4226" priority="2324" operator="containsText" text="Cancelado">
      <formula>NOT(ISERROR(SEARCH("Cancelado",Q802)))</formula>
    </cfRule>
  </conditionalFormatting>
  <conditionalFormatting sqref="S802">
    <cfRule type="cellIs" dxfId="4225" priority="2321" operator="equal">
      <formula>"Tramitando"</formula>
    </cfRule>
    <cfRule type="cellIs" dxfId="4224" priority="2322" operator="equal">
      <formula>"Deferido"</formula>
    </cfRule>
    <cfRule type="cellIs" dxfId="4223" priority="2323" operator="equal">
      <formula>"Indeferido"</formula>
    </cfRule>
  </conditionalFormatting>
  <conditionalFormatting sqref="S802">
    <cfRule type="containsText" dxfId="4222" priority="2320" operator="containsText" text="Cancelado">
      <formula>NOT(ISERROR(SEARCH("Cancelado",S802)))</formula>
    </cfRule>
  </conditionalFormatting>
  <conditionalFormatting sqref="J803:J804">
    <cfRule type="cellIs" dxfId="4221" priority="2316" operator="equal">
      <formula>"Tramitando"</formula>
    </cfRule>
    <cfRule type="cellIs" dxfId="4220" priority="2317" operator="equal">
      <formula>"Deferido"</formula>
    </cfRule>
    <cfRule type="cellIs" dxfId="4219" priority="2318" operator="equal">
      <formula>"Indeferido"</formula>
    </cfRule>
  </conditionalFormatting>
  <conditionalFormatting sqref="J803:J804">
    <cfRule type="containsText" dxfId="4218" priority="2315" operator="containsText" text="Cancelado">
      <formula>NOT(ISERROR(SEARCH("Cancelado",J803)))</formula>
    </cfRule>
  </conditionalFormatting>
  <conditionalFormatting sqref="M803:M804">
    <cfRule type="cellIs" dxfId="4217" priority="2312" operator="equal">
      <formula>"Tramitando"</formula>
    </cfRule>
    <cfRule type="cellIs" dxfId="4216" priority="2313" operator="equal">
      <formula>"Deferido"</formula>
    </cfRule>
    <cfRule type="cellIs" dxfId="4215" priority="2314" operator="equal">
      <formula>"Indeferido"</formula>
    </cfRule>
  </conditionalFormatting>
  <conditionalFormatting sqref="M803:M804">
    <cfRule type="containsText" dxfId="4214" priority="2311" operator="containsText" text="Cancelado">
      <formula>NOT(ISERROR(SEARCH("Cancelado",M803)))</formula>
    </cfRule>
  </conditionalFormatting>
  <conditionalFormatting sqref="O803:O804">
    <cfRule type="cellIs" dxfId="4213" priority="2308" operator="equal">
      <formula>"Tramitando"</formula>
    </cfRule>
    <cfRule type="cellIs" dxfId="4212" priority="2309" operator="equal">
      <formula>"Deferido"</formula>
    </cfRule>
    <cfRule type="cellIs" dxfId="4211" priority="2310" operator="equal">
      <formula>"Indeferido"</formula>
    </cfRule>
  </conditionalFormatting>
  <conditionalFormatting sqref="O803:O804">
    <cfRule type="containsText" dxfId="4210" priority="2307" operator="containsText" text="Cancelado">
      <formula>NOT(ISERROR(SEARCH("Cancelado",O803)))</formula>
    </cfRule>
  </conditionalFormatting>
  <conditionalFormatting sqref="Q803:Q804">
    <cfRule type="cellIs" dxfId="4209" priority="2304" operator="equal">
      <formula>"Tramitando"</formula>
    </cfRule>
    <cfRule type="cellIs" dxfId="4208" priority="2305" operator="equal">
      <formula>"Deferido"</formula>
    </cfRule>
    <cfRule type="cellIs" dxfId="4207" priority="2306" operator="equal">
      <formula>"Indeferido"</formula>
    </cfRule>
  </conditionalFormatting>
  <conditionalFormatting sqref="Q803:Q804">
    <cfRule type="containsText" dxfId="4206" priority="2303" operator="containsText" text="Cancelado">
      <formula>NOT(ISERROR(SEARCH("Cancelado",Q803)))</formula>
    </cfRule>
  </conditionalFormatting>
  <conditionalFormatting sqref="S803:S804">
    <cfRule type="cellIs" dxfId="4205" priority="2300" operator="equal">
      <formula>"Tramitando"</formula>
    </cfRule>
    <cfRule type="cellIs" dxfId="4204" priority="2301" operator="equal">
      <formula>"Deferido"</formula>
    </cfRule>
    <cfRule type="cellIs" dxfId="4203" priority="2302" operator="equal">
      <formula>"Indeferido"</formula>
    </cfRule>
  </conditionalFormatting>
  <conditionalFormatting sqref="S803:S804">
    <cfRule type="containsText" dxfId="4202" priority="2299" operator="containsText" text="Cancelado">
      <formula>NOT(ISERROR(SEARCH("Cancelado",S803)))</formula>
    </cfRule>
  </conditionalFormatting>
  <conditionalFormatting sqref="J805:J807">
    <cfRule type="cellIs" dxfId="4201" priority="2295" operator="equal">
      <formula>"Tramitando"</formula>
    </cfRule>
    <cfRule type="cellIs" dxfId="4200" priority="2296" operator="equal">
      <formula>"Deferido"</formula>
    </cfRule>
    <cfRule type="cellIs" dxfId="4199" priority="2297" operator="equal">
      <formula>"Indeferido"</formula>
    </cfRule>
  </conditionalFormatting>
  <conditionalFormatting sqref="J805:J807">
    <cfRule type="containsText" dxfId="4198" priority="2294" operator="containsText" text="Cancelado">
      <formula>NOT(ISERROR(SEARCH("Cancelado",J805)))</formula>
    </cfRule>
  </conditionalFormatting>
  <conditionalFormatting sqref="M805:M807">
    <cfRule type="cellIs" dxfId="4197" priority="2291" operator="equal">
      <formula>"Tramitando"</formula>
    </cfRule>
    <cfRule type="cellIs" dxfId="4196" priority="2292" operator="equal">
      <formula>"Deferido"</formula>
    </cfRule>
    <cfRule type="cellIs" dxfId="4195" priority="2293" operator="equal">
      <formula>"Indeferido"</formula>
    </cfRule>
  </conditionalFormatting>
  <conditionalFormatting sqref="M805:M807">
    <cfRule type="containsText" dxfId="4194" priority="2290" operator="containsText" text="Cancelado">
      <formula>NOT(ISERROR(SEARCH("Cancelado",M805)))</formula>
    </cfRule>
  </conditionalFormatting>
  <conditionalFormatting sqref="O805:O807">
    <cfRule type="cellIs" dxfId="4193" priority="2287" operator="equal">
      <formula>"Tramitando"</formula>
    </cfRule>
    <cfRule type="cellIs" dxfId="4192" priority="2288" operator="equal">
      <formula>"Deferido"</formula>
    </cfRule>
    <cfRule type="cellIs" dxfId="4191" priority="2289" operator="equal">
      <formula>"Indeferido"</formula>
    </cfRule>
  </conditionalFormatting>
  <conditionalFormatting sqref="O805:O807">
    <cfRule type="containsText" dxfId="4190" priority="2286" operator="containsText" text="Cancelado">
      <formula>NOT(ISERROR(SEARCH("Cancelado",O805)))</formula>
    </cfRule>
  </conditionalFormatting>
  <conditionalFormatting sqref="Q805:Q807">
    <cfRule type="cellIs" dxfId="4189" priority="2283" operator="equal">
      <formula>"Tramitando"</formula>
    </cfRule>
    <cfRule type="cellIs" dxfId="4188" priority="2284" operator="equal">
      <formula>"Deferido"</formula>
    </cfRule>
    <cfRule type="cellIs" dxfId="4187" priority="2285" operator="equal">
      <formula>"Indeferido"</formula>
    </cfRule>
  </conditionalFormatting>
  <conditionalFormatting sqref="Q805:Q807">
    <cfRule type="containsText" dxfId="4186" priority="2282" operator="containsText" text="Cancelado">
      <formula>NOT(ISERROR(SEARCH("Cancelado",Q805)))</formula>
    </cfRule>
  </conditionalFormatting>
  <conditionalFormatting sqref="S805:S807">
    <cfRule type="cellIs" dxfId="4185" priority="2279" operator="equal">
      <formula>"Tramitando"</formula>
    </cfRule>
    <cfRule type="cellIs" dxfId="4184" priority="2280" operator="equal">
      <formula>"Deferido"</formula>
    </cfRule>
    <cfRule type="cellIs" dxfId="4183" priority="2281" operator="equal">
      <formula>"Indeferido"</formula>
    </cfRule>
  </conditionalFormatting>
  <conditionalFormatting sqref="S805:S807">
    <cfRule type="containsText" dxfId="4182" priority="2278" operator="containsText" text="Cancelado">
      <formula>NOT(ISERROR(SEARCH("Cancelado",S805)))</formula>
    </cfRule>
  </conditionalFormatting>
  <conditionalFormatting sqref="J808:J809">
    <cfRule type="cellIs" dxfId="4181" priority="2274" operator="equal">
      <formula>"Tramitando"</formula>
    </cfRule>
    <cfRule type="cellIs" dxfId="4180" priority="2275" operator="equal">
      <formula>"Deferido"</formula>
    </cfRule>
    <cfRule type="cellIs" dxfId="4179" priority="2276" operator="equal">
      <formula>"Indeferido"</formula>
    </cfRule>
  </conditionalFormatting>
  <conditionalFormatting sqref="J808:J809">
    <cfRule type="containsText" dxfId="4178" priority="2273" operator="containsText" text="Cancelado">
      <formula>NOT(ISERROR(SEARCH("Cancelado",J808)))</formula>
    </cfRule>
  </conditionalFormatting>
  <conditionalFormatting sqref="M808:M809">
    <cfRule type="cellIs" dxfId="4177" priority="2270" operator="equal">
      <formula>"Tramitando"</formula>
    </cfRule>
    <cfRule type="cellIs" dxfId="4176" priority="2271" operator="equal">
      <formula>"Deferido"</formula>
    </cfRule>
    <cfRule type="cellIs" dxfId="4175" priority="2272" operator="equal">
      <formula>"Indeferido"</formula>
    </cfRule>
  </conditionalFormatting>
  <conditionalFormatting sqref="M808:M809">
    <cfRule type="containsText" dxfId="4174" priority="2269" operator="containsText" text="Cancelado">
      <formula>NOT(ISERROR(SEARCH("Cancelado",M808)))</formula>
    </cfRule>
  </conditionalFormatting>
  <conditionalFormatting sqref="O808:O809">
    <cfRule type="cellIs" dxfId="4173" priority="2266" operator="equal">
      <formula>"Tramitando"</formula>
    </cfRule>
    <cfRule type="cellIs" dxfId="4172" priority="2267" operator="equal">
      <formula>"Deferido"</formula>
    </cfRule>
    <cfRule type="cellIs" dxfId="4171" priority="2268" operator="equal">
      <formula>"Indeferido"</formula>
    </cfRule>
  </conditionalFormatting>
  <conditionalFormatting sqref="O808:O809">
    <cfRule type="containsText" dxfId="4170" priority="2265" operator="containsText" text="Cancelado">
      <formula>NOT(ISERROR(SEARCH("Cancelado",O808)))</formula>
    </cfRule>
  </conditionalFormatting>
  <conditionalFormatting sqref="Q808:Q809">
    <cfRule type="cellIs" dxfId="4169" priority="2262" operator="equal">
      <formula>"Tramitando"</formula>
    </cfRule>
    <cfRule type="cellIs" dxfId="4168" priority="2263" operator="equal">
      <formula>"Deferido"</formula>
    </cfRule>
    <cfRule type="cellIs" dxfId="4167" priority="2264" operator="equal">
      <formula>"Indeferido"</formula>
    </cfRule>
  </conditionalFormatting>
  <conditionalFormatting sqref="Q808:Q809">
    <cfRule type="containsText" dxfId="4166" priority="2261" operator="containsText" text="Cancelado">
      <formula>NOT(ISERROR(SEARCH("Cancelado",Q808)))</formula>
    </cfRule>
  </conditionalFormatting>
  <conditionalFormatting sqref="S808:S809">
    <cfRule type="cellIs" dxfId="4165" priority="2258" operator="equal">
      <formula>"Tramitando"</formula>
    </cfRule>
    <cfRule type="cellIs" dxfId="4164" priority="2259" operator="equal">
      <formula>"Deferido"</formula>
    </cfRule>
    <cfRule type="cellIs" dxfId="4163" priority="2260" operator="equal">
      <formula>"Indeferido"</formula>
    </cfRule>
  </conditionalFormatting>
  <conditionalFormatting sqref="S808:S809">
    <cfRule type="containsText" dxfId="4162" priority="2257" operator="containsText" text="Cancelado">
      <formula>NOT(ISERROR(SEARCH("Cancelado",S808)))</formula>
    </cfRule>
  </conditionalFormatting>
  <conditionalFormatting sqref="J810:J811">
    <cfRule type="cellIs" dxfId="4161" priority="2253" operator="equal">
      <formula>"Tramitando"</formula>
    </cfRule>
    <cfRule type="cellIs" dxfId="4160" priority="2254" operator="equal">
      <formula>"Deferido"</formula>
    </cfRule>
    <cfRule type="cellIs" dxfId="4159" priority="2255" operator="equal">
      <formula>"Indeferido"</formula>
    </cfRule>
  </conditionalFormatting>
  <conditionalFormatting sqref="J810:J811">
    <cfRule type="containsText" dxfId="4158" priority="2252" operator="containsText" text="Cancelado">
      <formula>NOT(ISERROR(SEARCH("Cancelado",J810)))</formula>
    </cfRule>
  </conditionalFormatting>
  <conditionalFormatting sqref="M810:M811">
    <cfRule type="cellIs" dxfId="4157" priority="2249" operator="equal">
      <formula>"Tramitando"</formula>
    </cfRule>
    <cfRule type="cellIs" dxfId="4156" priority="2250" operator="equal">
      <formula>"Deferido"</formula>
    </cfRule>
    <cfRule type="cellIs" dxfId="4155" priority="2251" operator="equal">
      <formula>"Indeferido"</formula>
    </cfRule>
  </conditionalFormatting>
  <conditionalFormatting sqref="M810:M811">
    <cfRule type="containsText" dxfId="4154" priority="2248" operator="containsText" text="Cancelado">
      <formula>NOT(ISERROR(SEARCH("Cancelado",M810)))</formula>
    </cfRule>
  </conditionalFormatting>
  <conditionalFormatting sqref="O810:O811">
    <cfRule type="cellIs" dxfId="4153" priority="2245" operator="equal">
      <formula>"Tramitando"</formula>
    </cfRule>
    <cfRule type="cellIs" dxfId="4152" priority="2246" operator="equal">
      <formula>"Deferido"</formula>
    </cfRule>
    <cfRule type="cellIs" dxfId="4151" priority="2247" operator="equal">
      <formula>"Indeferido"</formula>
    </cfRule>
  </conditionalFormatting>
  <conditionalFormatting sqref="O810:O811">
    <cfRule type="containsText" dxfId="4150" priority="2244" operator="containsText" text="Cancelado">
      <formula>NOT(ISERROR(SEARCH("Cancelado",O810)))</formula>
    </cfRule>
  </conditionalFormatting>
  <conditionalFormatting sqref="Q810:Q811">
    <cfRule type="cellIs" dxfId="4149" priority="2241" operator="equal">
      <formula>"Tramitando"</formula>
    </cfRule>
    <cfRule type="cellIs" dxfId="4148" priority="2242" operator="equal">
      <formula>"Deferido"</formula>
    </cfRule>
    <cfRule type="cellIs" dxfId="4147" priority="2243" operator="equal">
      <formula>"Indeferido"</formula>
    </cfRule>
  </conditionalFormatting>
  <conditionalFormatting sqref="Q810:Q811">
    <cfRule type="containsText" dxfId="4146" priority="2240" operator="containsText" text="Cancelado">
      <formula>NOT(ISERROR(SEARCH("Cancelado",Q810)))</formula>
    </cfRule>
  </conditionalFormatting>
  <conditionalFormatting sqref="S810:S811">
    <cfRule type="cellIs" dxfId="4145" priority="2237" operator="equal">
      <formula>"Tramitando"</formula>
    </cfRule>
    <cfRule type="cellIs" dxfId="4144" priority="2238" operator="equal">
      <formula>"Deferido"</formula>
    </cfRule>
    <cfRule type="cellIs" dxfId="4143" priority="2239" operator="equal">
      <formula>"Indeferido"</formula>
    </cfRule>
  </conditionalFormatting>
  <conditionalFormatting sqref="S810:S811">
    <cfRule type="containsText" dxfId="4142" priority="2236" operator="containsText" text="Cancelado">
      <formula>NOT(ISERROR(SEARCH("Cancelado",S810)))</formula>
    </cfRule>
  </conditionalFormatting>
  <conditionalFormatting sqref="J812">
    <cfRule type="cellIs" dxfId="4141" priority="2232" operator="equal">
      <formula>"Tramitando"</formula>
    </cfRule>
    <cfRule type="cellIs" dxfId="4140" priority="2233" operator="equal">
      <formula>"Deferido"</formula>
    </cfRule>
    <cfRule type="cellIs" dxfId="4139" priority="2234" operator="equal">
      <formula>"Indeferido"</formula>
    </cfRule>
  </conditionalFormatting>
  <conditionalFormatting sqref="J812">
    <cfRule type="containsText" dxfId="4138" priority="2231" operator="containsText" text="Cancelado">
      <formula>NOT(ISERROR(SEARCH("Cancelado",J812)))</formula>
    </cfRule>
  </conditionalFormatting>
  <conditionalFormatting sqref="M812">
    <cfRule type="cellIs" dxfId="4137" priority="2228" operator="equal">
      <formula>"Tramitando"</formula>
    </cfRule>
    <cfRule type="cellIs" dxfId="4136" priority="2229" operator="equal">
      <formula>"Deferido"</formula>
    </cfRule>
    <cfRule type="cellIs" dxfId="4135" priority="2230" operator="equal">
      <formula>"Indeferido"</formula>
    </cfRule>
  </conditionalFormatting>
  <conditionalFormatting sqref="M812">
    <cfRule type="containsText" dxfId="4134" priority="2227" operator="containsText" text="Cancelado">
      <formula>NOT(ISERROR(SEARCH("Cancelado",M812)))</formula>
    </cfRule>
  </conditionalFormatting>
  <conditionalFormatting sqref="O812">
    <cfRule type="cellIs" dxfId="4133" priority="2224" operator="equal">
      <formula>"Tramitando"</formula>
    </cfRule>
    <cfRule type="cellIs" dxfId="4132" priority="2225" operator="equal">
      <formula>"Deferido"</formula>
    </cfRule>
    <cfRule type="cellIs" dxfId="4131" priority="2226" operator="equal">
      <formula>"Indeferido"</formula>
    </cfRule>
  </conditionalFormatting>
  <conditionalFormatting sqref="O812">
    <cfRule type="containsText" dxfId="4130" priority="2223" operator="containsText" text="Cancelado">
      <formula>NOT(ISERROR(SEARCH("Cancelado",O812)))</formula>
    </cfRule>
  </conditionalFormatting>
  <conditionalFormatting sqref="Q812">
    <cfRule type="cellIs" dxfId="4129" priority="2220" operator="equal">
      <formula>"Tramitando"</formula>
    </cfRule>
    <cfRule type="cellIs" dxfId="4128" priority="2221" operator="equal">
      <formula>"Deferido"</formula>
    </cfRule>
    <cfRule type="cellIs" dxfId="4127" priority="2222" operator="equal">
      <formula>"Indeferido"</formula>
    </cfRule>
  </conditionalFormatting>
  <conditionalFormatting sqref="Q812">
    <cfRule type="containsText" dxfId="4126" priority="2219" operator="containsText" text="Cancelado">
      <formula>NOT(ISERROR(SEARCH("Cancelado",Q812)))</formula>
    </cfRule>
  </conditionalFormatting>
  <conditionalFormatting sqref="S812">
    <cfRule type="cellIs" dxfId="4125" priority="2216" operator="equal">
      <formula>"Tramitando"</formula>
    </cfRule>
    <cfRule type="cellIs" dxfId="4124" priority="2217" operator="equal">
      <formula>"Deferido"</formula>
    </cfRule>
    <cfRule type="cellIs" dxfId="4123" priority="2218" operator="equal">
      <formula>"Indeferido"</formula>
    </cfRule>
  </conditionalFormatting>
  <conditionalFormatting sqref="S812">
    <cfRule type="containsText" dxfId="4122" priority="2215" operator="containsText" text="Cancelado">
      <formula>NOT(ISERROR(SEARCH("Cancelado",S812)))</formula>
    </cfRule>
  </conditionalFormatting>
  <conditionalFormatting sqref="J813">
    <cfRule type="cellIs" dxfId="4121" priority="2211" operator="equal">
      <formula>"Tramitando"</formula>
    </cfRule>
    <cfRule type="cellIs" dxfId="4120" priority="2212" operator="equal">
      <formula>"Deferido"</formula>
    </cfRule>
    <cfRule type="cellIs" dxfId="4119" priority="2213" operator="equal">
      <formula>"Indeferido"</formula>
    </cfRule>
  </conditionalFormatting>
  <conditionalFormatting sqref="J813">
    <cfRule type="containsText" dxfId="4118" priority="2210" operator="containsText" text="Cancelado">
      <formula>NOT(ISERROR(SEARCH("Cancelado",J813)))</formula>
    </cfRule>
  </conditionalFormatting>
  <conditionalFormatting sqref="M813">
    <cfRule type="cellIs" dxfId="4117" priority="2207" operator="equal">
      <formula>"Tramitando"</formula>
    </cfRule>
    <cfRule type="cellIs" dxfId="4116" priority="2208" operator="equal">
      <formula>"Deferido"</formula>
    </cfRule>
    <cfRule type="cellIs" dxfId="4115" priority="2209" operator="equal">
      <formula>"Indeferido"</formula>
    </cfRule>
  </conditionalFormatting>
  <conditionalFormatting sqref="M813">
    <cfRule type="containsText" dxfId="4114" priority="2206" operator="containsText" text="Cancelado">
      <formula>NOT(ISERROR(SEARCH("Cancelado",M813)))</formula>
    </cfRule>
  </conditionalFormatting>
  <conditionalFormatting sqref="O813">
    <cfRule type="cellIs" dxfId="4113" priority="2203" operator="equal">
      <formula>"Tramitando"</formula>
    </cfRule>
    <cfRule type="cellIs" dxfId="4112" priority="2204" operator="equal">
      <formula>"Deferido"</formula>
    </cfRule>
    <cfRule type="cellIs" dxfId="4111" priority="2205" operator="equal">
      <formula>"Indeferido"</formula>
    </cfRule>
  </conditionalFormatting>
  <conditionalFormatting sqref="O813">
    <cfRule type="containsText" dxfId="4110" priority="2202" operator="containsText" text="Cancelado">
      <formula>NOT(ISERROR(SEARCH("Cancelado",O813)))</formula>
    </cfRule>
  </conditionalFormatting>
  <conditionalFormatting sqref="Q813">
    <cfRule type="cellIs" dxfId="4109" priority="2199" operator="equal">
      <formula>"Tramitando"</formula>
    </cfRule>
    <cfRule type="cellIs" dxfId="4108" priority="2200" operator="equal">
      <formula>"Deferido"</formula>
    </cfRule>
    <cfRule type="cellIs" dxfId="4107" priority="2201" operator="equal">
      <formula>"Indeferido"</formula>
    </cfRule>
  </conditionalFormatting>
  <conditionalFormatting sqref="Q813">
    <cfRule type="containsText" dxfId="4106" priority="2198" operator="containsText" text="Cancelado">
      <formula>NOT(ISERROR(SEARCH("Cancelado",Q813)))</formula>
    </cfRule>
  </conditionalFormatting>
  <conditionalFormatting sqref="S813">
    <cfRule type="cellIs" dxfId="4105" priority="2195" operator="equal">
      <formula>"Tramitando"</formula>
    </cfRule>
    <cfRule type="cellIs" dxfId="4104" priority="2196" operator="equal">
      <formula>"Deferido"</formula>
    </cfRule>
    <cfRule type="cellIs" dxfId="4103" priority="2197" operator="equal">
      <formula>"Indeferido"</formula>
    </cfRule>
  </conditionalFormatting>
  <conditionalFormatting sqref="S813">
    <cfRule type="containsText" dxfId="4102" priority="2194" operator="containsText" text="Cancelado">
      <formula>NOT(ISERROR(SEARCH("Cancelado",S813)))</formula>
    </cfRule>
  </conditionalFormatting>
  <conditionalFormatting sqref="J814">
    <cfRule type="cellIs" dxfId="4101" priority="2190" operator="equal">
      <formula>"Tramitando"</formula>
    </cfRule>
    <cfRule type="cellIs" dxfId="4100" priority="2191" operator="equal">
      <formula>"Deferido"</formula>
    </cfRule>
    <cfRule type="cellIs" dxfId="4099" priority="2192" operator="equal">
      <formula>"Indeferido"</formula>
    </cfRule>
  </conditionalFormatting>
  <conditionalFormatting sqref="J814">
    <cfRule type="containsText" dxfId="4098" priority="2189" operator="containsText" text="Cancelado">
      <formula>NOT(ISERROR(SEARCH("Cancelado",J814)))</formula>
    </cfRule>
  </conditionalFormatting>
  <conditionalFormatting sqref="M814">
    <cfRule type="cellIs" dxfId="4097" priority="2186" operator="equal">
      <formula>"Tramitando"</formula>
    </cfRule>
    <cfRule type="cellIs" dxfId="4096" priority="2187" operator="equal">
      <formula>"Deferido"</formula>
    </cfRule>
    <cfRule type="cellIs" dxfId="4095" priority="2188" operator="equal">
      <formula>"Indeferido"</formula>
    </cfRule>
  </conditionalFormatting>
  <conditionalFormatting sqref="M814">
    <cfRule type="containsText" dxfId="4094" priority="2185" operator="containsText" text="Cancelado">
      <formula>NOT(ISERROR(SEARCH("Cancelado",M814)))</formula>
    </cfRule>
  </conditionalFormatting>
  <conditionalFormatting sqref="O814">
    <cfRule type="cellIs" dxfId="4093" priority="2182" operator="equal">
      <formula>"Tramitando"</formula>
    </cfRule>
    <cfRule type="cellIs" dxfId="4092" priority="2183" operator="equal">
      <formula>"Deferido"</formula>
    </cfRule>
    <cfRule type="cellIs" dxfId="4091" priority="2184" operator="equal">
      <formula>"Indeferido"</formula>
    </cfRule>
  </conditionalFormatting>
  <conditionalFormatting sqref="O814">
    <cfRule type="containsText" dxfId="4090" priority="2181" operator="containsText" text="Cancelado">
      <formula>NOT(ISERROR(SEARCH("Cancelado",O814)))</formula>
    </cfRule>
  </conditionalFormatting>
  <conditionalFormatting sqref="Q814">
    <cfRule type="cellIs" dxfId="4089" priority="2178" operator="equal">
      <formula>"Tramitando"</formula>
    </cfRule>
    <cfRule type="cellIs" dxfId="4088" priority="2179" operator="equal">
      <formula>"Deferido"</formula>
    </cfRule>
    <cfRule type="cellIs" dxfId="4087" priority="2180" operator="equal">
      <formula>"Indeferido"</formula>
    </cfRule>
  </conditionalFormatting>
  <conditionalFormatting sqref="Q814">
    <cfRule type="containsText" dxfId="4086" priority="2177" operator="containsText" text="Cancelado">
      <formula>NOT(ISERROR(SEARCH("Cancelado",Q814)))</formula>
    </cfRule>
  </conditionalFormatting>
  <conditionalFormatting sqref="S814">
    <cfRule type="cellIs" dxfId="4085" priority="2174" operator="equal">
      <formula>"Tramitando"</formula>
    </cfRule>
    <cfRule type="cellIs" dxfId="4084" priority="2175" operator="equal">
      <formula>"Deferido"</formula>
    </cfRule>
    <cfRule type="cellIs" dxfId="4083" priority="2176" operator="equal">
      <formula>"Indeferido"</formula>
    </cfRule>
  </conditionalFormatting>
  <conditionalFormatting sqref="S814">
    <cfRule type="containsText" dxfId="4082" priority="2173" operator="containsText" text="Cancelado">
      <formula>NOT(ISERROR(SEARCH("Cancelado",S814)))</formula>
    </cfRule>
  </conditionalFormatting>
  <conditionalFormatting sqref="J815">
    <cfRule type="cellIs" dxfId="4081" priority="2169" operator="equal">
      <formula>"Tramitando"</formula>
    </cfRule>
    <cfRule type="cellIs" dxfId="4080" priority="2170" operator="equal">
      <formula>"Deferido"</formula>
    </cfRule>
    <cfRule type="cellIs" dxfId="4079" priority="2171" operator="equal">
      <formula>"Indeferido"</formula>
    </cfRule>
  </conditionalFormatting>
  <conditionalFormatting sqref="J815">
    <cfRule type="containsText" dxfId="4078" priority="2168" operator="containsText" text="Cancelado">
      <formula>NOT(ISERROR(SEARCH("Cancelado",J815)))</formula>
    </cfRule>
  </conditionalFormatting>
  <conditionalFormatting sqref="M815">
    <cfRule type="cellIs" dxfId="4077" priority="2165" operator="equal">
      <formula>"Tramitando"</formula>
    </cfRule>
    <cfRule type="cellIs" dxfId="4076" priority="2166" operator="equal">
      <formula>"Deferido"</formula>
    </cfRule>
    <cfRule type="cellIs" dxfId="4075" priority="2167" operator="equal">
      <formula>"Indeferido"</formula>
    </cfRule>
  </conditionalFormatting>
  <conditionalFormatting sqref="M815">
    <cfRule type="containsText" dxfId="4074" priority="2164" operator="containsText" text="Cancelado">
      <formula>NOT(ISERROR(SEARCH("Cancelado",M815)))</formula>
    </cfRule>
  </conditionalFormatting>
  <conditionalFormatting sqref="O815">
    <cfRule type="cellIs" dxfId="4073" priority="2161" operator="equal">
      <formula>"Tramitando"</formula>
    </cfRule>
    <cfRule type="cellIs" dxfId="4072" priority="2162" operator="equal">
      <formula>"Deferido"</formula>
    </cfRule>
    <cfRule type="cellIs" dxfId="4071" priority="2163" operator="equal">
      <formula>"Indeferido"</formula>
    </cfRule>
  </conditionalFormatting>
  <conditionalFormatting sqref="O815">
    <cfRule type="containsText" dxfId="4070" priority="2160" operator="containsText" text="Cancelado">
      <formula>NOT(ISERROR(SEARCH("Cancelado",O815)))</formula>
    </cfRule>
  </conditionalFormatting>
  <conditionalFormatting sqref="Q815">
    <cfRule type="cellIs" dxfId="4069" priority="2157" operator="equal">
      <formula>"Tramitando"</formula>
    </cfRule>
    <cfRule type="cellIs" dxfId="4068" priority="2158" operator="equal">
      <formula>"Deferido"</formula>
    </cfRule>
    <cfRule type="cellIs" dxfId="4067" priority="2159" operator="equal">
      <formula>"Indeferido"</formula>
    </cfRule>
  </conditionalFormatting>
  <conditionalFormatting sqref="Q815">
    <cfRule type="containsText" dxfId="4066" priority="2156" operator="containsText" text="Cancelado">
      <formula>NOT(ISERROR(SEARCH("Cancelado",Q815)))</formula>
    </cfRule>
  </conditionalFormatting>
  <conditionalFormatting sqref="S815">
    <cfRule type="cellIs" dxfId="4065" priority="2153" operator="equal">
      <formula>"Tramitando"</formula>
    </cfRule>
    <cfRule type="cellIs" dxfId="4064" priority="2154" operator="equal">
      <formula>"Deferido"</formula>
    </cfRule>
    <cfRule type="cellIs" dxfId="4063" priority="2155" operator="equal">
      <formula>"Indeferido"</formula>
    </cfRule>
  </conditionalFormatting>
  <conditionalFormatting sqref="S815">
    <cfRule type="containsText" dxfId="4062" priority="2152" operator="containsText" text="Cancelado">
      <formula>NOT(ISERROR(SEARCH("Cancelado",S815)))</formula>
    </cfRule>
  </conditionalFormatting>
  <conditionalFormatting sqref="J816:J817">
    <cfRule type="cellIs" dxfId="4061" priority="2148" operator="equal">
      <formula>"Tramitando"</formula>
    </cfRule>
    <cfRule type="cellIs" dxfId="4060" priority="2149" operator="equal">
      <formula>"Deferido"</formula>
    </cfRule>
    <cfRule type="cellIs" dxfId="4059" priority="2150" operator="equal">
      <formula>"Indeferido"</formula>
    </cfRule>
  </conditionalFormatting>
  <conditionalFormatting sqref="J816:J817">
    <cfRule type="containsText" dxfId="4058" priority="2147" operator="containsText" text="Cancelado">
      <formula>NOT(ISERROR(SEARCH("Cancelado",J816)))</formula>
    </cfRule>
  </conditionalFormatting>
  <conditionalFormatting sqref="M816:M817">
    <cfRule type="cellIs" dxfId="4057" priority="2144" operator="equal">
      <formula>"Tramitando"</formula>
    </cfRule>
    <cfRule type="cellIs" dxfId="4056" priority="2145" operator="equal">
      <formula>"Deferido"</formula>
    </cfRule>
    <cfRule type="cellIs" dxfId="4055" priority="2146" operator="equal">
      <formula>"Indeferido"</formula>
    </cfRule>
  </conditionalFormatting>
  <conditionalFormatting sqref="M816:M817">
    <cfRule type="containsText" dxfId="4054" priority="2143" operator="containsText" text="Cancelado">
      <formula>NOT(ISERROR(SEARCH("Cancelado",M816)))</formula>
    </cfRule>
  </conditionalFormatting>
  <conditionalFormatting sqref="O816:O817">
    <cfRule type="cellIs" dxfId="4053" priority="2140" operator="equal">
      <formula>"Tramitando"</formula>
    </cfRule>
    <cfRule type="cellIs" dxfId="4052" priority="2141" operator="equal">
      <formula>"Deferido"</formula>
    </cfRule>
    <cfRule type="cellIs" dxfId="4051" priority="2142" operator="equal">
      <formula>"Indeferido"</formula>
    </cfRule>
  </conditionalFormatting>
  <conditionalFormatting sqref="O816:O817">
    <cfRule type="containsText" dxfId="4050" priority="2139" operator="containsText" text="Cancelado">
      <formula>NOT(ISERROR(SEARCH("Cancelado",O816)))</formula>
    </cfRule>
  </conditionalFormatting>
  <conditionalFormatting sqref="Q816:Q817">
    <cfRule type="cellIs" dxfId="4049" priority="2136" operator="equal">
      <formula>"Tramitando"</formula>
    </cfRule>
    <cfRule type="cellIs" dxfId="4048" priority="2137" operator="equal">
      <formula>"Deferido"</formula>
    </cfRule>
    <cfRule type="cellIs" dxfId="4047" priority="2138" operator="equal">
      <formula>"Indeferido"</formula>
    </cfRule>
  </conditionalFormatting>
  <conditionalFormatting sqref="Q816:Q817">
    <cfRule type="containsText" dxfId="4046" priority="2135" operator="containsText" text="Cancelado">
      <formula>NOT(ISERROR(SEARCH("Cancelado",Q816)))</formula>
    </cfRule>
  </conditionalFormatting>
  <conditionalFormatting sqref="S816:S817">
    <cfRule type="cellIs" dxfId="4045" priority="2132" operator="equal">
      <formula>"Tramitando"</formula>
    </cfRule>
    <cfRule type="cellIs" dxfId="4044" priority="2133" operator="equal">
      <formula>"Deferido"</formula>
    </cfRule>
    <cfRule type="cellIs" dxfId="4043" priority="2134" operator="equal">
      <formula>"Indeferido"</formula>
    </cfRule>
  </conditionalFormatting>
  <conditionalFormatting sqref="S816:S817">
    <cfRule type="containsText" dxfId="4042" priority="2131" operator="containsText" text="Cancelado">
      <formula>NOT(ISERROR(SEARCH("Cancelado",S816)))</formula>
    </cfRule>
  </conditionalFormatting>
  <conditionalFormatting sqref="J818">
    <cfRule type="cellIs" dxfId="4041" priority="2127" operator="equal">
      <formula>"Tramitando"</formula>
    </cfRule>
    <cfRule type="cellIs" dxfId="4040" priority="2128" operator="equal">
      <formula>"Deferido"</formula>
    </cfRule>
    <cfRule type="cellIs" dxfId="4039" priority="2129" operator="equal">
      <formula>"Indeferido"</formula>
    </cfRule>
  </conditionalFormatting>
  <conditionalFormatting sqref="J818">
    <cfRule type="containsText" dxfId="4038" priority="2126" operator="containsText" text="Cancelado">
      <formula>NOT(ISERROR(SEARCH("Cancelado",J818)))</formula>
    </cfRule>
  </conditionalFormatting>
  <conditionalFormatting sqref="M818">
    <cfRule type="cellIs" dxfId="4037" priority="2123" operator="equal">
      <formula>"Tramitando"</formula>
    </cfRule>
    <cfRule type="cellIs" dxfId="4036" priority="2124" operator="equal">
      <formula>"Deferido"</formula>
    </cfRule>
    <cfRule type="cellIs" dxfId="4035" priority="2125" operator="equal">
      <formula>"Indeferido"</formula>
    </cfRule>
  </conditionalFormatting>
  <conditionalFormatting sqref="M818">
    <cfRule type="containsText" dxfId="4034" priority="2122" operator="containsText" text="Cancelado">
      <formula>NOT(ISERROR(SEARCH("Cancelado",M818)))</formula>
    </cfRule>
  </conditionalFormatting>
  <conditionalFormatting sqref="O818">
    <cfRule type="cellIs" dxfId="4033" priority="2119" operator="equal">
      <formula>"Tramitando"</formula>
    </cfRule>
    <cfRule type="cellIs" dxfId="4032" priority="2120" operator="equal">
      <formula>"Deferido"</formula>
    </cfRule>
    <cfRule type="cellIs" dxfId="4031" priority="2121" operator="equal">
      <formula>"Indeferido"</formula>
    </cfRule>
  </conditionalFormatting>
  <conditionalFormatting sqref="O818">
    <cfRule type="containsText" dxfId="4030" priority="2118" operator="containsText" text="Cancelado">
      <formula>NOT(ISERROR(SEARCH("Cancelado",O818)))</formula>
    </cfRule>
  </conditionalFormatting>
  <conditionalFormatting sqref="Q818">
    <cfRule type="cellIs" dxfId="4029" priority="2115" operator="equal">
      <formula>"Tramitando"</formula>
    </cfRule>
    <cfRule type="cellIs" dxfId="4028" priority="2116" operator="equal">
      <formula>"Deferido"</formula>
    </cfRule>
    <cfRule type="cellIs" dxfId="4027" priority="2117" operator="equal">
      <formula>"Indeferido"</formula>
    </cfRule>
  </conditionalFormatting>
  <conditionalFormatting sqref="Q818">
    <cfRule type="containsText" dxfId="4026" priority="2114" operator="containsText" text="Cancelado">
      <formula>NOT(ISERROR(SEARCH("Cancelado",Q818)))</formula>
    </cfRule>
  </conditionalFormatting>
  <conditionalFormatting sqref="S818">
    <cfRule type="cellIs" dxfId="4025" priority="2111" operator="equal">
      <formula>"Tramitando"</formula>
    </cfRule>
    <cfRule type="cellIs" dxfId="4024" priority="2112" operator="equal">
      <formula>"Deferido"</formula>
    </cfRule>
    <cfRule type="cellIs" dxfId="4023" priority="2113" operator="equal">
      <formula>"Indeferido"</formula>
    </cfRule>
  </conditionalFormatting>
  <conditionalFormatting sqref="S818">
    <cfRule type="containsText" dxfId="4022" priority="2110" operator="containsText" text="Cancelado">
      <formula>NOT(ISERROR(SEARCH("Cancelado",S818)))</formula>
    </cfRule>
  </conditionalFormatting>
  <conditionalFormatting sqref="J819">
    <cfRule type="cellIs" dxfId="4021" priority="2106" operator="equal">
      <formula>"Tramitando"</formula>
    </cfRule>
    <cfRule type="cellIs" dxfId="4020" priority="2107" operator="equal">
      <formula>"Deferido"</formula>
    </cfRule>
    <cfRule type="cellIs" dxfId="4019" priority="2108" operator="equal">
      <formula>"Indeferido"</formula>
    </cfRule>
  </conditionalFormatting>
  <conditionalFormatting sqref="J819">
    <cfRule type="containsText" dxfId="4018" priority="2105" operator="containsText" text="Cancelado">
      <formula>NOT(ISERROR(SEARCH("Cancelado",J819)))</formula>
    </cfRule>
  </conditionalFormatting>
  <conditionalFormatting sqref="M819">
    <cfRule type="cellIs" dxfId="4017" priority="2102" operator="equal">
      <formula>"Tramitando"</formula>
    </cfRule>
    <cfRule type="cellIs" dxfId="4016" priority="2103" operator="equal">
      <formula>"Deferido"</formula>
    </cfRule>
    <cfRule type="cellIs" dxfId="4015" priority="2104" operator="equal">
      <formula>"Indeferido"</formula>
    </cfRule>
  </conditionalFormatting>
  <conditionalFormatting sqref="M819">
    <cfRule type="containsText" dxfId="4014" priority="2101" operator="containsText" text="Cancelado">
      <formula>NOT(ISERROR(SEARCH("Cancelado",M819)))</formula>
    </cfRule>
  </conditionalFormatting>
  <conditionalFormatting sqref="O819">
    <cfRule type="cellIs" dxfId="4013" priority="2098" operator="equal">
      <formula>"Tramitando"</formula>
    </cfRule>
    <cfRule type="cellIs" dxfId="4012" priority="2099" operator="equal">
      <formula>"Deferido"</formula>
    </cfRule>
    <cfRule type="cellIs" dxfId="4011" priority="2100" operator="equal">
      <formula>"Indeferido"</formula>
    </cfRule>
  </conditionalFormatting>
  <conditionalFormatting sqref="O819">
    <cfRule type="containsText" dxfId="4010" priority="2097" operator="containsText" text="Cancelado">
      <formula>NOT(ISERROR(SEARCH("Cancelado",O819)))</formula>
    </cfRule>
  </conditionalFormatting>
  <conditionalFormatting sqref="Q819">
    <cfRule type="cellIs" dxfId="4009" priority="2094" operator="equal">
      <formula>"Tramitando"</formula>
    </cfRule>
    <cfRule type="cellIs" dxfId="4008" priority="2095" operator="equal">
      <formula>"Deferido"</formula>
    </cfRule>
    <cfRule type="cellIs" dxfId="4007" priority="2096" operator="equal">
      <formula>"Indeferido"</formula>
    </cfRule>
  </conditionalFormatting>
  <conditionalFormatting sqref="Q819">
    <cfRule type="containsText" dxfId="4006" priority="2093" operator="containsText" text="Cancelado">
      <formula>NOT(ISERROR(SEARCH("Cancelado",Q819)))</formula>
    </cfRule>
  </conditionalFormatting>
  <conditionalFormatting sqref="S819">
    <cfRule type="cellIs" dxfId="4005" priority="2090" operator="equal">
      <formula>"Tramitando"</formula>
    </cfRule>
    <cfRule type="cellIs" dxfId="4004" priority="2091" operator="equal">
      <formula>"Deferido"</formula>
    </cfRule>
    <cfRule type="cellIs" dxfId="4003" priority="2092" operator="equal">
      <formula>"Indeferido"</formula>
    </cfRule>
  </conditionalFormatting>
  <conditionalFormatting sqref="S819">
    <cfRule type="containsText" dxfId="4002" priority="2089" operator="containsText" text="Cancelado">
      <formula>NOT(ISERROR(SEARCH("Cancelado",S819)))</formula>
    </cfRule>
  </conditionalFormatting>
  <conditionalFormatting sqref="J820">
    <cfRule type="cellIs" dxfId="4001" priority="2085" operator="equal">
      <formula>"Tramitando"</formula>
    </cfRule>
    <cfRule type="cellIs" dxfId="4000" priority="2086" operator="equal">
      <formula>"Deferido"</formula>
    </cfRule>
    <cfRule type="cellIs" dxfId="3999" priority="2087" operator="equal">
      <formula>"Indeferido"</formula>
    </cfRule>
  </conditionalFormatting>
  <conditionalFormatting sqref="J820">
    <cfRule type="containsText" dxfId="3998" priority="2084" operator="containsText" text="Cancelado">
      <formula>NOT(ISERROR(SEARCH("Cancelado",J820)))</formula>
    </cfRule>
  </conditionalFormatting>
  <conditionalFormatting sqref="M820">
    <cfRule type="cellIs" dxfId="3997" priority="2081" operator="equal">
      <formula>"Tramitando"</formula>
    </cfRule>
    <cfRule type="cellIs" dxfId="3996" priority="2082" operator="equal">
      <formula>"Deferido"</formula>
    </cfRule>
    <cfRule type="cellIs" dxfId="3995" priority="2083" operator="equal">
      <formula>"Indeferido"</formula>
    </cfRule>
  </conditionalFormatting>
  <conditionalFormatting sqref="M820">
    <cfRule type="containsText" dxfId="3994" priority="2080" operator="containsText" text="Cancelado">
      <formula>NOT(ISERROR(SEARCH("Cancelado",M820)))</formula>
    </cfRule>
  </conditionalFormatting>
  <conditionalFormatting sqref="O820">
    <cfRule type="cellIs" dxfId="3993" priority="2077" operator="equal">
      <formula>"Tramitando"</formula>
    </cfRule>
    <cfRule type="cellIs" dxfId="3992" priority="2078" operator="equal">
      <formula>"Deferido"</formula>
    </cfRule>
    <cfRule type="cellIs" dxfId="3991" priority="2079" operator="equal">
      <formula>"Indeferido"</formula>
    </cfRule>
  </conditionalFormatting>
  <conditionalFormatting sqref="O820">
    <cfRule type="containsText" dxfId="3990" priority="2076" operator="containsText" text="Cancelado">
      <formula>NOT(ISERROR(SEARCH("Cancelado",O820)))</formula>
    </cfRule>
  </conditionalFormatting>
  <conditionalFormatting sqref="Q820">
    <cfRule type="cellIs" dxfId="3989" priority="2073" operator="equal">
      <formula>"Tramitando"</formula>
    </cfRule>
    <cfRule type="cellIs" dxfId="3988" priority="2074" operator="equal">
      <formula>"Deferido"</formula>
    </cfRule>
    <cfRule type="cellIs" dxfId="3987" priority="2075" operator="equal">
      <formula>"Indeferido"</formula>
    </cfRule>
  </conditionalFormatting>
  <conditionalFormatting sqref="Q820">
    <cfRule type="containsText" dxfId="3986" priority="2072" operator="containsText" text="Cancelado">
      <formula>NOT(ISERROR(SEARCH("Cancelado",Q820)))</formula>
    </cfRule>
  </conditionalFormatting>
  <conditionalFormatting sqref="S820">
    <cfRule type="cellIs" dxfId="3985" priority="2069" operator="equal">
      <formula>"Tramitando"</formula>
    </cfRule>
    <cfRule type="cellIs" dxfId="3984" priority="2070" operator="equal">
      <formula>"Deferido"</formula>
    </cfRule>
    <cfRule type="cellIs" dxfId="3983" priority="2071" operator="equal">
      <formula>"Indeferido"</formula>
    </cfRule>
  </conditionalFormatting>
  <conditionalFormatting sqref="S820">
    <cfRule type="containsText" dxfId="3982" priority="2068" operator="containsText" text="Cancelado">
      <formula>NOT(ISERROR(SEARCH("Cancelado",S820)))</formula>
    </cfRule>
  </conditionalFormatting>
  <conditionalFormatting sqref="J821">
    <cfRule type="cellIs" dxfId="3981" priority="2064" operator="equal">
      <formula>"Tramitando"</formula>
    </cfRule>
    <cfRule type="cellIs" dxfId="3980" priority="2065" operator="equal">
      <formula>"Deferido"</formula>
    </cfRule>
    <cfRule type="cellIs" dxfId="3979" priority="2066" operator="equal">
      <formula>"Indeferido"</formula>
    </cfRule>
  </conditionalFormatting>
  <conditionalFormatting sqref="J821">
    <cfRule type="containsText" dxfId="3978" priority="2063" operator="containsText" text="Cancelado">
      <formula>NOT(ISERROR(SEARCH("Cancelado",J821)))</formula>
    </cfRule>
  </conditionalFormatting>
  <conditionalFormatting sqref="M821">
    <cfRule type="cellIs" dxfId="3977" priority="2060" operator="equal">
      <formula>"Tramitando"</formula>
    </cfRule>
    <cfRule type="cellIs" dxfId="3976" priority="2061" operator="equal">
      <formula>"Deferido"</formula>
    </cfRule>
    <cfRule type="cellIs" dxfId="3975" priority="2062" operator="equal">
      <formula>"Indeferido"</formula>
    </cfRule>
  </conditionalFormatting>
  <conditionalFormatting sqref="M821">
    <cfRule type="containsText" dxfId="3974" priority="2059" operator="containsText" text="Cancelado">
      <formula>NOT(ISERROR(SEARCH("Cancelado",M821)))</formula>
    </cfRule>
  </conditionalFormatting>
  <conditionalFormatting sqref="O821">
    <cfRule type="cellIs" dxfId="3973" priority="2056" operator="equal">
      <formula>"Tramitando"</formula>
    </cfRule>
    <cfRule type="cellIs" dxfId="3972" priority="2057" operator="equal">
      <formula>"Deferido"</formula>
    </cfRule>
    <cfRule type="cellIs" dxfId="3971" priority="2058" operator="equal">
      <formula>"Indeferido"</formula>
    </cfRule>
  </conditionalFormatting>
  <conditionalFormatting sqref="O821">
    <cfRule type="containsText" dxfId="3970" priority="2055" operator="containsText" text="Cancelado">
      <formula>NOT(ISERROR(SEARCH("Cancelado",O821)))</formula>
    </cfRule>
  </conditionalFormatting>
  <conditionalFormatting sqref="Q821">
    <cfRule type="cellIs" dxfId="3969" priority="2052" operator="equal">
      <formula>"Tramitando"</formula>
    </cfRule>
    <cfRule type="cellIs" dxfId="3968" priority="2053" operator="equal">
      <formula>"Deferido"</formula>
    </cfRule>
    <cfRule type="cellIs" dxfId="3967" priority="2054" operator="equal">
      <formula>"Indeferido"</formula>
    </cfRule>
  </conditionalFormatting>
  <conditionalFormatting sqref="Q821">
    <cfRule type="containsText" dxfId="3966" priority="2051" operator="containsText" text="Cancelado">
      <formula>NOT(ISERROR(SEARCH("Cancelado",Q821)))</formula>
    </cfRule>
  </conditionalFormatting>
  <conditionalFormatting sqref="S821">
    <cfRule type="cellIs" dxfId="3965" priority="2048" operator="equal">
      <formula>"Tramitando"</formula>
    </cfRule>
    <cfRule type="cellIs" dxfId="3964" priority="2049" operator="equal">
      <formula>"Deferido"</formula>
    </cfRule>
    <cfRule type="cellIs" dxfId="3963" priority="2050" operator="equal">
      <formula>"Indeferido"</formula>
    </cfRule>
  </conditionalFormatting>
  <conditionalFormatting sqref="S821">
    <cfRule type="containsText" dxfId="3962" priority="2047" operator="containsText" text="Cancelado">
      <formula>NOT(ISERROR(SEARCH("Cancelado",S821)))</formula>
    </cfRule>
  </conditionalFormatting>
  <conditionalFormatting sqref="J822">
    <cfRule type="cellIs" dxfId="3961" priority="2043" operator="equal">
      <formula>"Tramitando"</formula>
    </cfRule>
    <cfRule type="cellIs" dxfId="3960" priority="2044" operator="equal">
      <formula>"Deferido"</formula>
    </cfRule>
    <cfRule type="cellIs" dxfId="3959" priority="2045" operator="equal">
      <formula>"Indeferido"</formula>
    </cfRule>
  </conditionalFormatting>
  <conditionalFormatting sqref="J822">
    <cfRule type="containsText" dxfId="3958" priority="2042" operator="containsText" text="Cancelado">
      <formula>NOT(ISERROR(SEARCH("Cancelado",J822)))</formula>
    </cfRule>
  </conditionalFormatting>
  <conditionalFormatting sqref="M822">
    <cfRule type="cellIs" dxfId="3957" priority="2039" operator="equal">
      <formula>"Tramitando"</formula>
    </cfRule>
    <cfRule type="cellIs" dxfId="3956" priority="2040" operator="equal">
      <formula>"Deferido"</formula>
    </cfRule>
    <cfRule type="cellIs" dxfId="3955" priority="2041" operator="equal">
      <formula>"Indeferido"</formula>
    </cfRule>
  </conditionalFormatting>
  <conditionalFormatting sqref="M822">
    <cfRule type="containsText" dxfId="3954" priority="2038" operator="containsText" text="Cancelado">
      <formula>NOT(ISERROR(SEARCH("Cancelado",M822)))</formula>
    </cfRule>
  </conditionalFormatting>
  <conditionalFormatting sqref="O822">
    <cfRule type="cellIs" dxfId="3953" priority="2035" operator="equal">
      <formula>"Tramitando"</formula>
    </cfRule>
    <cfRule type="cellIs" dxfId="3952" priority="2036" operator="equal">
      <formula>"Deferido"</formula>
    </cfRule>
    <cfRule type="cellIs" dxfId="3951" priority="2037" operator="equal">
      <formula>"Indeferido"</formula>
    </cfRule>
  </conditionalFormatting>
  <conditionalFormatting sqref="O822">
    <cfRule type="containsText" dxfId="3950" priority="2034" operator="containsText" text="Cancelado">
      <formula>NOT(ISERROR(SEARCH("Cancelado",O822)))</formula>
    </cfRule>
  </conditionalFormatting>
  <conditionalFormatting sqref="Q822">
    <cfRule type="cellIs" dxfId="3949" priority="2031" operator="equal">
      <formula>"Tramitando"</formula>
    </cfRule>
    <cfRule type="cellIs" dxfId="3948" priority="2032" operator="equal">
      <formula>"Deferido"</formula>
    </cfRule>
    <cfRule type="cellIs" dxfId="3947" priority="2033" operator="equal">
      <formula>"Indeferido"</formula>
    </cfRule>
  </conditionalFormatting>
  <conditionalFormatting sqref="Q822">
    <cfRule type="containsText" dxfId="3946" priority="2030" operator="containsText" text="Cancelado">
      <formula>NOT(ISERROR(SEARCH("Cancelado",Q822)))</formula>
    </cfRule>
  </conditionalFormatting>
  <conditionalFormatting sqref="S822">
    <cfRule type="cellIs" dxfId="3945" priority="2027" operator="equal">
      <formula>"Tramitando"</formula>
    </cfRule>
    <cfRule type="cellIs" dxfId="3944" priority="2028" operator="equal">
      <formula>"Deferido"</formula>
    </cfRule>
    <cfRule type="cellIs" dxfId="3943" priority="2029" operator="equal">
      <formula>"Indeferido"</formula>
    </cfRule>
  </conditionalFormatting>
  <conditionalFormatting sqref="S822">
    <cfRule type="containsText" dxfId="3942" priority="2026" operator="containsText" text="Cancelado">
      <formula>NOT(ISERROR(SEARCH("Cancelado",S822)))</formula>
    </cfRule>
  </conditionalFormatting>
  <conditionalFormatting sqref="J823">
    <cfRule type="cellIs" dxfId="3941" priority="2022" operator="equal">
      <formula>"Tramitando"</formula>
    </cfRule>
    <cfRule type="cellIs" dxfId="3940" priority="2023" operator="equal">
      <formula>"Deferido"</formula>
    </cfRule>
    <cfRule type="cellIs" dxfId="3939" priority="2024" operator="equal">
      <formula>"Indeferido"</formula>
    </cfRule>
  </conditionalFormatting>
  <conditionalFormatting sqref="J823">
    <cfRule type="containsText" dxfId="3938" priority="2021" operator="containsText" text="Cancelado">
      <formula>NOT(ISERROR(SEARCH("Cancelado",J823)))</formula>
    </cfRule>
  </conditionalFormatting>
  <conditionalFormatting sqref="M823">
    <cfRule type="cellIs" dxfId="3937" priority="2018" operator="equal">
      <formula>"Tramitando"</formula>
    </cfRule>
    <cfRule type="cellIs" dxfId="3936" priority="2019" operator="equal">
      <formula>"Deferido"</formula>
    </cfRule>
    <cfRule type="cellIs" dxfId="3935" priority="2020" operator="equal">
      <formula>"Indeferido"</formula>
    </cfRule>
  </conditionalFormatting>
  <conditionalFormatting sqref="M823">
    <cfRule type="containsText" dxfId="3934" priority="2017" operator="containsText" text="Cancelado">
      <formula>NOT(ISERROR(SEARCH("Cancelado",M823)))</formula>
    </cfRule>
  </conditionalFormatting>
  <conditionalFormatting sqref="O823">
    <cfRule type="cellIs" dxfId="3933" priority="2014" operator="equal">
      <formula>"Tramitando"</formula>
    </cfRule>
    <cfRule type="cellIs" dxfId="3932" priority="2015" operator="equal">
      <formula>"Deferido"</formula>
    </cfRule>
    <cfRule type="cellIs" dxfId="3931" priority="2016" operator="equal">
      <formula>"Indeferido"</formula>
    </cfRule>
  </conditionalFormatting>
  <conditionalFormatting sqref="O823">
    <cfRule type="containsText" dxfId="3930" priority="2013" operator="containsText" text="Cancelado">
      <formula>NOT(ISERROR(SEARCH("Cancelado",O823)))</formula>
    </cfRule>
  </conditionalFormatting>
  <conditionalFormatting sqref="Q823">
    <cfRule type="cellIs" dxfId="3929" priority="2010" operator="equal">
      <formula>"Tramitando"</formula>
    </cfRule>
    <cfRule type="cellIs" dxfId="3928" priority="2011" operator="equal">
      <formula>"Deferido"</formula>
    </cfRule>
    <cfRule type="cellIs" dxfId="3927" priority="2012" operator="equal">
      <formula>"Indeferido"</formula>
    </cfRule>
  </conditionalFormatting>
  <conditionalFormatting sqref="Q823">
    <cfRule type="containsText" dxfId="3926" priority="2009" operator="containsText" text="Cancelado">
      <formula>NOT(ISERROR(SEARCH("Cancelado",Q823)))</formula>
    </cfRule>
  </conditionalFormatting>
  <conditionalFormatting sqref="S823">
    <cfRule type="cellIs" dxfId="3925" priority="2006" operator="equal">
      <formula>"Tramitando"</formula>
    </cfRule>
    <cfRule type="cellIs" dxfId="3924" priority="2007" operator="equal">
      <formula>"Deferido"</formula>
    </cfRule>
    <cfRule type="cellIs" dxfId="3923" priority="2008" operator="equal">
      <formula>"Indeferido"</formula>
    </cfRule>
  </conditionalFormatting>
  <conditionalFormatting sqref="S823">
    <cfRule type="containsText" dxfId="3922" priority="2005" operator="containsText" text="Cancelado">
      <formula>NOT(ISERROR(SEARCH("Cancelado",S823)))</formula>
    </cfRule>
  </conditionalFormatting>
  <conditionalFormatting sqref="J824">
    <cfRule type="cellIs" dxfId="3921" priority="2001" operator="equal">
      <formula>"Tramitando"</formula>
    </cfRule>
    <cfRule type="cellIs" dxfId="3920" priority="2002" operator="equal">
      <formula>"Deferido"</formula>
    </cfRule>
    <cfRule type="cellIs" dxfId="3919" priority="2003" operator="equal">
      <formula>"Indeferido"</formula>
    </cfRule>
  </conditionalFormatting>
  <conditionalFormatting sqref="J824">
    <cfRule type="containsText" dxfId="3918" priority="2000" operator="containsText" text="Cancelado">
      <formula>NOT(ISERROR(SEARCH("Cancelado",J824)))</formula>
    </cfRule>
  </conditionalFormatting>
  <conditionalFormatting sqref="M824">
    <cfRule type="cellIs" dxfId="3917" priority="1997" operator="equal">
      <formula>"Tramitando"</formula>
    </cfRule>
    <cfRule type="cellIs" dxfId="3916" priority="1998" operator="equal">
      <formula>"Deferido"</formula>
    </cfRule>
    <cfRule type="cellIs" dxfId="3915" priority="1999" operator="equal">
      <formula>"Indeferido"</formula>
    </cfRule>
  </conditionalFormatting>
  <conditionalFormatting sqref="M824">
    <cfRule type="containsText" dxfId="3914" priority="1996" operator="containsText" text="Cancelado">
      <formula>NOT(ISERROR(SEARCH("Cancelado",M824)))</formula>
    </cfRule>
  </conditionalFormatting>
  <conditionalFormatting sqref="O824">
    <cfRule type="cellIs" dxfId="3913" priority="1993" operator="equal">
      <formula>"Tramitando"</formula>
    </cfRule>
    <cfRule type="cellIs" dxfId="3912" priority="1994" operator="equal">
      <formula>"Deferido"</formula>
    </cfRule>
    <cfRule type="cellIs" dxfId="3911" priority="1995" operator="equal">
      <formula>"Indeferido"</formula>
    </cfRule>
  </conditionalFormatting>
  <conditionalFormatting sqref="O824">
    <cfRule type="containsText" dxfId="3910" priority="1992" operator="containsText" text="Cancelado">
      <formula>NOT(ISERROR(SEARCH("Cancelado",O824)))</formula>
    </cfRule>
  </conditionalFormatting>
  <conditionalFormatting sqref="Q824">
    <cfRule type="cellIs" dxfId="3909" priority="1989" operator="equal">
      <formula>"Tramitando"</formula>
    </cfRule>
    <cfRule type="cellIs" dxfId="3908" priority="1990" operator="equal">
      <formula>"Deferido"</formula>
    </cfRule>
    <cfRule type="cellIs" dxfId="3907" priority="1991" operator="equal">
      <formula>"Indeferido"</formula>
    </cfRule>
  </conditionalFormatting>
  <conditionalFormatting sqref="Q824">
    <cfRule type="containsText" dxfId="3906" priority="1988" operator="containsText" text="Cancelado">
      <formula>NOT(ISERROR(SEARCH("Cancelado",Q824)))</formula>
    </cfRule>
  </conditionalFormatting>
  <conditionalFormatting sqref="S824">
    <cfRule type="cellIs" dxfId="3905" priority="1985" operator="equal">
      <formula>"Tramitando"</formula>
    </cfRule>
    <cfRule type="cellIs" dxfId="3904" priority="1986" operator="equal">
      <formula>"Deferido"</formula>
    </cfRule>
    <cfRule type="cellIs" dxfId="3903" priority="1987" operator="equal">
      <formula>"Indeferido"</formula>
    </cfRule>
  </conditionalFormatting>
  <conditionalFormatting sqref="S824">
    <cfRule type="containsText" dxfId="3902" priority="1984" operator="containsText" text="Cancelado">
      <formula>NOT(ISERROR(SEARCH("Cancelado",S824)))</formula>
    </cfRule>
  </conditionalFormatting>
  <conditionalFormatting sqref="J825">
    <cfRule type="cellIs" dxfId="3901" priority="1980" operator="equal">
      <formula>"Tramitando"</formula>
    </cfRule>
    <cfRule type="cellIs" dxfId="3900" priority="1981" operator="equal">
      <formula>"Deferido"</formula>
    </cfRule>
    <cfRule type="cellIs" dxfId="3899" priority="1982" operator="equal">
      <formula>"Indeferido"</formula>
    </cfRule>
  </conditionalFormatting>
  <conditionalFormatting sqref="J825">
    <cfRule type="containsText" dxfId="3898" priority="1979" operator="containsText" text="Cancelado">
      <formula>NOT(ISERROR(SEARCH("Cancelado",J825)))</formula>
    </cfRule>
  </conditionalFormatting>
  <conditionalFormatting sqref="M825">
    <cfRule type="cellIs" dxfId="3897" priority="1976" operator="equal">
      <formula>"Tramitando"</formula>
    </cfRule>
    <cfRule type="cellIs" dxfId="3896" priority="1977" operator="equal">
      <formula>"Deferido"</formula>
    </cfRule>
    <cfRule type="cellIs" dxfId="3895" priority="1978" operator="equal">
      <formula>"Indeferido"</formula>
    </cfRule>
  </conditionalFormatting>
  <conditionalFormatting sqref="M825">
    <cfRule type="containsText" dxfId="3894" priority="1975" operator="containsText" text="Cancelado">
      <formula>NOT(ISERROR(SEARCH("Cancelado",M825)))</formula>
    </cfRule>
  </conditionalFormatting>
  <conditionalFormatting sqref="O825">
    <cfRule type="cellIs" dxfId="3893" priority="1972" operator="equal">
      <formula>"Tramitando"</formula>
    </cfRule>
    <cfRule type="cellIs" dxfId="3892" priority="1973" operator="equal">
      <formula>"Deferido"</formula>
    </cfRule>
    <cfRule type="cellIs" dxfId="3891" priority="1974" operator="equal">
      <formula>"Indeferido"</formula>
    </cfRule>
  </conditionalFormatting>
  <conditionalFormatting sqref="O825">
    <cfRule type="containsText" dxfId="3890" priority="1971" operator="containsText" text="Cancelado">
      <formula>NOT(ISERROR(SEARCH("Cancelado",O825)))</formula>
    </cfRule>
  </conditionalFormatting>
  <conditionalFormatting sqref="Q825">
    <cfRule type="cellIs" dxfId="3889" priority="1968" operator="equal">
      <formula>"Tramitando"</formula>
    </cfRule>
    <cfRule type="cellIs" dxfId="3888" priority="1969" operator="equal">
      <formula>"Deferido"</formula>
    </cfRule>
    <cfRule type="cellIs" dxfId="3887" priority="1970" operator="equal">
      <formula>"Indeferido"</formula>
    </cfRule>
  </conditionalFormatting>
  <conditionalFormatting sqref="Q825">
    <cfRule type="containsText" dxfId="3886" priority="1967" operator="containsText" text="Cancelado">
      <formula>NOT(ISERROR(SEARCH("Cancelado",Q825)))</formula>
    </cfRule>
  </conditionalFormatting>
  <conditionalFormatting sqref="S825">
    <cfRule type="cellIs" dxfId="3885" priority="1964" operator="equal">
      <formula>"Tramitando"</formula>
    </cfRule>
    <cfRule type="cellIs" dxfId="3884" priority="1965" operator="equal">
      <formula>"Deferido"</formula>
    </cfRule>
    <cfRule type="cellIs" dxfId="3883" priority="1966" operator="equal">
      <formula>"Indeferido"</formula>
    </cfRule>
  </conditionalFormatting>
  <conditionalFormatting sqref="S825">
    <cfRule type="containsText" dxfId="3882" priority="1963" operator="containsText" text="Cancelado">
      <formula>NOT(ISERROR(SEARCH("Cancelado",S825)))</formula>
    </cfRule>
  </conditionalFormatting>
  <conditionalFormatting sqref="J826">
    <cfRule type="cellIs" dxfId="3881" priority="1959" operator="equal">
      <formula>"Tramitando"</formula>
    </cfRule>
    <cfRule type="cellIs" dxfId="3880" priority="1960" operator="equal">
      <formula>"Deferido"</formula>
    </cfRule>
    <cfRule type="cellIs" dxfId="3879" priority="1961" operator="equal">
      <formula>"Indeferido"</formula>
    </cfRule>
  </conditionalFormatting>
  <conditionalFormatting sqref="J826">
    <cfRule type="containsText" dxfId="3878" priority="1958" operator="containsText" text="Cancelado">
      <formula>NOT(ISERROR(SEARCH("Cancelado",J826)))</formula>
    </cfRule>
  </conditionalFormatting>
  <conditionalFormatting sqref="M826">
    <cfRule type="cellIs" dxfId="3877" priority="1955" operator="equal">
      <formula>"Tramitando"</formula>
    </cfRule>
    <cfRule type="cellIs" dxfId="3876" priority="1956" operator="equal">
      <formula>"Deferido"</formula>
    </cfRule>
    <cfRule type="cellIs" dxfId="3875" priority="1957" operator="equal">
      <formula>"Indeferido"</formula>
    </cfRule>
  </conditionalFormatting>
  <conditionalFormatting sqref="M826">
    <cfRule type="containsText" dxfId="3874" priority="1954" operator="containsText" text="Cancelado">
      <formula>NOT(ISERROR(SEARCH("Cancelado",M826)))</formula>
    </cfRule>
  </conditionalFormatting>
  <conditionalFormatting sqref="O826">
    <cfRule type="cellIs" dxfId="3873" priority="1951" operator="equal">
      <formula>"Tramitando"</formula>
    </cfRule>
    <cfRule type="cellIs" dxfId="3872" priority="1952" operator="equal">
      <formula>"Deferido"</formula>
    </cfRule>
    <cfRule type="cellIs" dxfId="3871" priority="1953" operator="equal">
      <formula>"Indeferido"</formula>
    </cfRule>
  </conditionalFormatting>
  <conditionalFormatting sqref="O826">
    <cfRule type="containsText" dxfId="3870" priority="1950" operator="containsText" text="Cancelado">
      <formula>NOT(ISERROR(SEARCH("Cancelado",O826)))</formula>
    </cfRule>
  </conditionalFormatting>
  <conditionalFormatting sqref="Q826">
    <cfRule type="cellIs" dxfId="3869" priority="1947" operator="equal">
      <formula>"Tramitando"</formula>
    </cfRule>
    <cfRule type="cellIs" dxfId="3868" priority="1948" operator="equal">
      <formula>"Deferido"</formula>
    </cfRule>
    <cfRule type="cellIs" dxfId="3867" priority="1949" operator="equal">
      <formula>"Indeferido"</formula>
    </cfRule>
  </conditionalFormatting>
  <conditionalFormatting sqref="Q826">
    <cfRule type="containsText" dxfId="3866" priority="1946" operator="containsText" text="Cancelado">
      <formula>NOT(ISERROR(SEARCH("Cancelado",Q826)))</formula>
    </cfRule>
  </conditionalFormatting>
  <conditionalFormatting sqref="S826">
    <cfRule type="cellIs" dxfId="3865" priority="1943" operator="equal">
      <formula>"Tramitando"</formula>
    </cfRule>
    <cfRule type="cellIs" dxfId="3864" priority="1944" operator="equal">
      <formula>"Deferido"</formula>
    </cfRule>
    <cfRule type="cellIs" dxfId="3863" priority="1945" operator="equal">
      <formula>"Indeferido"</formula>
    </cfRule>
  </conditionalFormatting>
  <conditionalFormatting sqref="S826">
    <cfRule type="containsText" dxfId="3862" priority="1942" operator="containsText" text="Cancelado">
      <formula>NOT(ISERROR(SEARCH("Cancelado",S826)))</formula>
    </cfRule>
  </conditionalFormatting>
  <conditionalFormatting sqref="J827">
    <cfRule type="cellIs" dxfId="3861" priority="1938" operator="equal">
      <formula>"Tramitando"</formula>
    </cfRule>
    <cfRule type="cellIs" dxfId="3860" priority="1939" operator="equal">
      <formula>"Deferido"</formula>
    </cfRule>
    <cfRule type="cellIs" dxfId="3859" priority="1940" operator="equal">
      <formula>"Indeferido"</formula>
    </cfRule>
  </conditionalFormatting>
  <conditionalFormatting sqref="J827">
    <cfRule type="containsText" dxfId="3858" priority="1937" operator="containsText" text="Cancelado">
      <formula>NOT(ISERROR(SEARCH("Cancelado",J827)))</formula>
    </cfRule>
  </conditionalFormatting>
  <conditionalFormatting sqref="M827">
    <cfRule type="cellIs" dxfId="3857" priority="1934" operator="equal">
      <formula>"Tramitando"</formula>
    </cfRule>
    <cfRule type="cellIs" dxfId="3856" priority="1935" operator="equal">
      <formula>"Deferido"</formula>
    </cfRule>
    <cfRule type="cellIs" dxfId="3855" priority="1936" operator="equal">
      <formula>"Indeferido"</formula>
    </cfRule>
  </conditionalFormatting>
  <conditionalFormatting sqref="M827">
    <cfRule type="containsText" dxfId="3854" priority="1933" operator="containsText" text="Cancelado">
      <formula>NOT(ISERROR(SEARCH("Cancelado",M827)))</formula>
    </cfRule>
  </conditionalFormatting>
  <conditionalFormatting sqref="O827">
    <cfRule type="cellIs" dxfId="3853" priority="1930" operator="equal">
      <formula>"Tramitando"</formula>
    </cfRule>
    <cfRule type="cellIs" dxfId="3852" priority="1931" operator="equal">
      <formula>"Deferido"</formula>
    </cfRule>
    <cfRule type="cellIs" dxfId="3851" priority="1932" operator="equal">
      <formula>"Indeferido"</formula>
    </cfRule>
  </conditionalFormatting>
  <conditionalFormatting sqref="O827">
    <cfRule type="containsText" dxfId="3850" priority="1929" operator="containsText" text="Cancelado">
      <formula>NOT(ISERROR(SEARCH("Cancelado",O827)))</formula>
    </cfRule>
  </conditionalFormatting>
  <conditionalFormatting sqref="Q827">
    <cfRule type="cellIs" dxfId="3849" priority="1926" operator="equal">
      <formula>"Tramitando"</formula>
    </cfRule>
    <cfRule type="cellIs" dxfId="3848" priority="1927" operator="equal">
      <formula>"Deferido"</formula>
    </cfRule>
    <cfRule type="cellIs" dxfId="3847" priority="1928" operator="equal">
      <formula>"Indeferido"</formula>
    </cfRule>
  </conditionalFormatting>
  <conditionalFormatting sqref="Q827">
    <cfRule type="containsText" dxfId="3846" priority="1925" operator="containsText" text="Cancelado">
      <formula>NOT(ISERROR(SEARCH("Cancelado",Q827)))</formula>
    </cfRule>
  </conditionalFormatting>
  <conditionalFormatting sqref="S827">
    <cfRule type="cellIs" dxfId="3845" priority="1922" operator="equal">
      <formula>"Tramitando"</formula>
    </cfRule>
    <cfRule type="cellIs" dxfId="3844" priority="1923" operator="equal">
      <formula>"Deferido"</formula>
    </cfRule>
    <cfRule type="cellIs" dxfId="3843" priority="1924" operator="equal">
      <formula>"Indeferido"</formula>
    </cfRule>
  </conditionalFormatting>
  <conditionalFormatting sqref="S827">
    <cfRule type="containsText" dxfId="3842" priority="1921" operator="containsText" text="Cancelado">
      <formula>NOT(ISERROR(SEARCH("Cancelado",S827)))</formula>
    </cfRule>
  </conditionalFormatting>
  <conditionalFormatting sqref="J828">
    <cfRule type="cellIs" dxfId="3841" priority="1917" operator="equal">
      <formula>"Tramitando"</formula>
    </cfRule>
    <cfRule type="cellIs" dxfId="3840" priority="1918" operator="equal">
      <formula>"Deferido"</formula>
    </cfRule>
    <cfRule type="cellIs" dxfId="3839" priority="1919" operator="equal">
      <formula>"Indeferido"</formula>
    </cfRule>
  </conditionalFormatting>
  <conditionalFormatting sqref="J828">
    <cfRule type="containsText" dxfId="3838" priority="1916" operator="containsText" text="Cancelado">
      <formula>NOT(ISERROR(SEARCH("Cancelado",J828)))</formula>
    </cfRule>
  </conditionalFormatting>
  <conditionalFormatting sqref="M828">
    <cfRule type="cellIs" dxfId="3837" priority="1913" operator="equal">
      <formula>"Tramitando"</formula>
    </cfRule>
    <cfRule type="cellIs" dxfId="3836" priority="1914" operator="equal">
      <formula>"Deferido"</formula>
    </cfRule>
    <cfRule type="cellIs" dxfId="3835" priority="1915" operator="equal">
      <formula>"Indeferido"</formula>
    </cfRule>
  </conditionalFormatting>
  <conditionalFormatting sqref="M828">
    <cfRule type="containsText" dxfId="3834" priority="1912" operator="containsText" text="Cancelado">
      <formula>NOT(ISERROR(SEARCH("Cancelado",M828)))</formula>
    </cfRule>
  </conditionalFormatting>
  <conditionalFormatting sqref="O828">
    <cfRule type="cellIs" dxfId="3833" priority="1909" operator="equal">
      <formula>"Tramitando"</formula>
    </cfRule>
    <cfRule type="cellIs" dxfId="3832" priority="1910" operator="equal">
      <formula>"Deferido"</formula>
    </cfRule>
    <cfRule type="cellIs" dxfId="3831" priority="1911" operator="equal">
      <formula>"Indeferido"</formula>
    </cfRule>
  </conditionalFormatting>
  <conditionalFormatting sqref="O828">
    <cfRule type="containsText" dxfId="3830" priority="1908" operator="containsText" text="Cancelado">
      <formula>NOT(ISERROR(SEARCH("Cancelado",O828)))</formula>
    </cfRule>
  </conditionalFormatting>
  <conditionalFormatting sqref="Q828">
    <cfRule type="cellIs" dxfId="3829" priority="1905" operator="equal">
      <formula>"Tramitando"</formula>
    </cfRule>
    <cfRule type="cellIs" dxfId="3828" priority="1906" operator="equal">
      <formula>"Deferido"</formula>
    </cfRule>
    <cfRule type="cellIs" dxfId="3827" priority="1907" operator="equal">
      <formula>"Indeferido"</formula>
    </cfRule>
  </conditionalFormatting>
  <conditionalFormatting sqref="Q828">
    <cfRule type="containsText" dxfId="3826" priority="1904" operator="containsText" text="Cancelado">
      <formula>NOT(ISERROR(SEARCH("Cancelado",Q828)))</formula>
    </cfRule>
  </conditionalFormatting>
  <conditionalFormatting sqref="S828">
    <cfRule type="cellIs" dxfId="3825" priority="1901" operator="equal">
      <formula>"Tramitando"</formula>
    </cfRule>
    <cfRule type="cellIs" dxfId="3824" priority="1902" operator="equal">
      <formula>"Deferido"</formula>
    </cfRule>
    <cfRule type="cellIs" dxfId="3823" priority="1903" operator="equal">
      <formula>"Indeferido"</formula>
    </cfRule>
  </conditionalFormatting>
  <conditionalFormatting sqref="S828">
    <cfRule type="containsText" dxfId="3822" priority="1900" operator="containsText" text="Cancelado">
      <formula>NOT(ISERROR(SEARCH("Cancelado",S828)))</formula>
    </cfRule>
  </conditionalFormatting>
  <conditionalFormatting sqref="J829">
    <cfRule type="cellIs" dxfId="3821" priority="1896" operator="equal">
      <formula>"Tramitando"</formula>
    </cfRule>
    <cfRule type="cellIs" dxfId="3820" priority="1897" operator="equal">
      <formula>"Deferido"</formula>
    </cfRule>
    <cfRule type="cellIs" dxfId="3819" priority="1898" operator="equal">
      <formula>"Indeferido"</formula>
    </cfRule>
  </conditionalFormatting>
  <conditionalFormatting sqref="J829">
    <cfRule type="containsText" dxfId="3818" priority="1895" operator="containsText" text="Cancelado">
      <formula>NOT(ISERROR(SEARCH("Cancelado",J829)))</formula>
    </cfRule>
  </conditionalFormatting>
  <conditionalFormatting sqref="M829">
    <cfRule type="cellIs" dxfId="3817" priority="1892" operator="equal">
      <formula>"Tramitando"</formula>
    </cfRule>
    <cfRule type="cellIs" dxfId="3816" priority="1893" operator="equal">
      <formula>"Deferido"</formula>
    </cfRule>
    <cfRule type="cellIs" dxfId="3815" priority="1894" operator="equal">
      <formula>"Indeferido"</formula>
    </cfRule>
  </conditionalFormatting>
  <conditionalFormatting sqref="M829">
    <cfRule type="containsText" dxfId="3814" priority="1891" operator="containsText" text="Cancelado">
      <formula>NOT(ISERROR(SEARCH("Cancelado",M829)))</formula>
    </cfRule>
  </conditionalFormatting>
  <conditionalFormatting sqref="O829">
    <cfRule type="cellIs" dxfId="3813" priority="1888" operator="equal">
      <formula>"Tramitando"</formula>
    </cfRule>
    <cfRule type="cellIs" dxfId="3812" priority="1889" operator="equal">
      <formula>"Deferido"</formula>
    </cfRule>
    <cfRule type="cellIs" dxfId="3811" priority="1890" operator="equal">
      <formula>"Indeferido"</formula>
    </cfRule>
  </conditionalFormatting>
  <conditionalFormatting sqref="O829">
    <cfRule type="containsText" dxfId="3810" priority="1887" operator="containsText" text="Cancelado">
      <formula>NOT(ISERROR(SEARCH("Cancelado",O829)))</formula>
    </cfRule>
  </conditionalFormatting>
  <conditionalFormatting sqref="Q829">
    <cfRule type="cellIs" dxfId="3809" priority="1884" operator="equal">
      <formula>"Tramitando"</formula>
    </cfRule>
    <cfRule type="cellIs" dxfId="3808" priority="1885" operator="equal">
      <formula>"Deferido"</formula>
    </cfRule>
    <cfRule type="cellIs" dxfId="3807" priority="1886" operator="equal">
      <formula>"Indeferido"</formula>
    </cfRule>
  </conditionalFormatting>
  <conditionalFormatting sqref="Q829">
    <cfRule type="containsText" dxfId="3806" priority="1883" operator="containsText" text="Cancelado">
      <formula>NOT(ISERROR(SEARCH("Cancelado",Q829)))</formula>
    </cfRule>
  </conditionalFormatting>
  <conditionalFormatting sqref="S829">
    <cfRule type="cellIs" dxfId="3805" priority="1880" operator="equal">
      <formula>"Tramitando"</formula>
    </cfRule>
    <cfRule type="cellIs" dxfId="3804" priority="1881" operator="equal">
      <formula>"Deferido"</formula>
    </cfRule>
    <cfRule type="cellIs" dxfId="3803" priority="1882" operator="equal">
      <formula>"Indeferido"</formula>
    </cfRule>
  </conditionalFormatting>
  <conditionalFormatting sqref="S829">
    <cfRule type="containsText" dxfId="3802" priority="1879" operator="containsText" text="Cancelado">
      <formula>NOT(ISERROR(SEARCH("Cancelado",S829)))</formula>
    </cfRule>
  </conditionalFormatting>
  <conditionalFormatting sqref="J830">
    <cfRule type="cellIs" dxfId="3801" priority="1875" operator="equal">
      <formula>"Tramitando"</formula>
    </cfRule>
    <cfRule type="cellIs" dxfId="3800" priority="1876" operator="equal">
      <formula>"Deferido"</formula>
    </cfRule>
    <cfRule type="cellIs" dxfId="3799" priority="1877" operator="equal">
      <formula>"Indeferido"</formula>
    </cfRule>
  </conditionalFormatting>
  <conditionalFormatting sqref="J830">
    <cfRule type="containsText" dxfId="3798" priority="1874" operator="containsText" text="Cancelado">
      <formula>NOT(ISERROR(SEARCH("Cancelado",J830)))</formula>
    </cfRule>
  </conditionalFormatting>
  <conditionalFormatting sqref="M830">
    <cfRule type="cellIs" dxfId="3797" priority="1871" operator="equal">
      <formula>"Tramitando"</formula>
    </cfRule>
    <cfRule type="cellIs" dxfId="3796" priority="1872" operator="equal">
      <formula>"Deferido"</formula>
    </cfRule>
    <cfRule type="cellIs" dxfId="3795" priority="1873" operator="equal">
      <formula>"Indeferido"</formula>
    </cfRule>
  </conditionalFormatting>
  <conditionalFormatting sqref="M830">
    <cfRule type="containsText" dxfId="3794" priority="1870" operator="containsText" text="Cancelado">
      <formula>NOT(ISERROR(SEARCH("Cancelado",M830)))</formula>
    </cfRule>
  </conditionalFormatting>
  <conditionalFormatting sqref="O830">
    <cfRule type="cellIs" dxfId="3793" priority="1867" operator="equal">
      <formula>"Tramitando"</formula>
    </cfRule>
    <cfRule type="cellIs" dxfId="3792" priority="1868" operator="equal">
      <formula>"Deferido"</formula>
    </cfRule>
    <cfRule type="cellIs" dxfId="3791" priority="1869" operator="equal">
      <formula>"Indeferido"</formula>
    </cfRule>
  </conditionalFormatting>
  <conditionalFormatting sqref="O830">
    <cfRule type="containsText" dxfId="3790" priority="1866" operator="containsText" text="Cancelado">
      <formula>NOT(ISERROR(SEARCH("Cancelado",O830)))</formula>
    </cfRule>
  </conditionalFormatting>
  <conditionalFormatting sqref="Q830">
    <cfRule type="cellIs" dxfId="3789" priority="1863" operator="equal">
      <formula>"Tramitando"</formula>
    </cfRule>
    <cfRule type="cellIs" dxfId="3788" priority="1864" operator="equal">
      <formula>"Deferido"</formula>
    </cfRule>
    <cfRule type="cellIs" dxfId="3787" priority="1865" operator="equal">
      <formula>"Indeferido"</formula>
    </cfRule>
  </conditionalFormatting>
  <conditionalFormatting sqref="Q830">
    <cfRule type="containsText" dxfId="3786" priority="1862" operator="containsText" text="Cancelado">
      <formula>NOT(ISERROR(SEARCH("Cancelado",Q830)))</formula>
    </cfRule>
  </conditionalFormatting>
  <conditionalFormatting sqref="S830">
    <cfRule type="cellIs" dxfId="3785" priority="1859" operator="equal">
      <formula>"Tramitando"</formula>
    </cfRule>
    <cfRule type="cellIs" dxfId="3784" priority="1860" operator="equal">
      <formula>"Deferido"</formula>
    </cfRule>
    <cfRule type="cellIs" dxfId="3783" priority="1861" operator="equal">
      <formula>"Indeferido"</formula>
    </cfRule>
  </conditionalFormatting>
  <conditionalFormatting sqref="S830">
    <cfRule type="containsText" dxfId="3782" priority="1858" operator="containsText" text="Cancelado">
      <formula>NOT(ISERROR(SEARCH("Cancelado",S830)))</formula>
    </cfRule>
  </conditionalFormatting>
  <conditionalFormatting sqref="J831">
    <cfRule type="cellIs" dxfId="3781" priority="1854" operator="equal">
      <formula>"Tramitando"</formula>
    </cfRule>
    <cfRule type="cellIs" dxfId="3780" priority="1855" operator="equal">
      <formula>"Deferido"</formula>
    </cfRule>
    <cfRule type="cellIs" dxfId="3779" priority="1856" operator="equal">
      <formula>"Indeferido"</formula>
    </cfRule>
  </conditionalFormatting>
  <conditionalFormatting sqref="J831">
    <cfRule type="containsText" dxfId="3778" priority="1853" operator="containsText" text="Cancelado">
      <formula>NOT(ISERROR(SEARCH("Cancelado",J831)))</formula>
    </cfRule>
  </conditionalFormatting>
  <conditionalFormatting sqref="M831">
    <cfRule type="cellIs" dxfId="3777" priority="1850" operator="equal">
      <formula>"Tramitando"</formula>
    </cfRule>
    <cfRule type="cellIs" dxfId="3776" priority="1851" operator="equal">
      <formula>"Deferido"</formula>
    </cfRule>
    <cfRule type="cellIs" dxfId="3775" priority="1852" operator="equal">
      <formula>"Indeferido"</formula>
    </cfRule>
  </conditionalFormatting>
  <conditionalFormatting sqref="M831">
    <cfRule type="containsText" dxfId="3774" priority="1849" operator="containsText" text="Cancelado">
      <formula>NOT(ISERROR(SEARCH("Cancelado",M831)))</formula>
    </cfRule>
  </conditionalFormatting>
  <conditionalFormatting sqref="O831">
    <cfRule type="cellIs" dxfId="3773" priority="1846" operator="equal">
      <formula>"Tramitando"</formula>
    </cfRule>
    <cfRule type="cellIs" dxfId="3772" priority="1847" operator="equal">
      <formula>"Deferido"</formula>
    </cfRule>
    <cfRule type="cellIs" dxfId="3771" priority="1848" operator="equal">
      <formula>"Indeferido"</formula>
    </cfRule>
  </conditionalFormatting>
  <conditionalFormatting sqref="O831">
    <cfRule type="containsText" dxfId="3770" priority="1845" operator="containsText" text="Cancelado">
      <formula>NOT(ISERROR(SEARCH("Cancelado",O831)))</formula>
    </cfRule>
  </conditionalFormatting>
  <conditionalFormatting sqref="Q831">
    <cfRule type="cellIs" dxfId="3769" priority="1842" operator="equal">
      <formula>"Tramitando"</formula>
    </cfRule>
    <cfRule type="cellIs" dxfId="3768" priority="1843" operator="equal">
      <formula>"Deferido"</formula>
    </cfRule>
    <cfRule type="cellIs" dxfId="3767" priority="1844" operator="equal">
      <formula>"Indeferido"</formula>
    </cfRule>
  </conditionalFormatting>
  <conditionalFormatting sqref="Q831">
    <cfRule type="containsText" dxfId="3766" priority="1841" operator="containsText" text="Cancelado">
      <formula>NOT(ISERROR(SEARCH("Cancelado",Q831)))</formula>
    </cfRule>
  </conditionalFormatting>
  <conditionalFormatting sqref="S831">
    <cfRule type="cellIs" dxfId="3765" priority="1838" operator="equal">
      <formula>"Tramitando"</formula>
    </cfRule>
    <cfRule type="cellIs" dxfId="3764" priority="1839" operator="equal">
      <formula>"Deferido"</formula>
    </cfRule>
    <cfRule type="cellIs" dxfId="3763" priority="1840" operator="equal">
      <formula>"Indeferido"</formula>
    </cfRule>
  </conditionalFormatting>
  <conditionalFormatting sqref="S831">
    <cfRule type="containsText" dxfId="3762" priority="1837" operator="containsText" text="Cancelado">
      <formula>NOT(ISERROR(SEARCH("Cancelado",S831)))</formula>
    </cfRule>
  </conditionalFormatting>
  <conditionalFormatting sqref="J832">
    <cfRule type="cellIs" dxfId="3761" priority="1833" operator="equal">
      <formula>"Tramitando"</formula>
    </cfRule>
    <cfRule type="cellIs" dxfId="3760" priority="1834" operator="equal">
      <formula>"Deferido"</formula>
    </cfRule>
    <cfRule type="cellIs" dxfId="3759" priority="1835" operator="equal">
      <formula>"Indeferido"</formula>
    </cfRule>
  </conditionalFormatting>
  <conditionalFormatting sqref="J832">
    <cfRule type="containsText" dxfId="3758" priority="1832" operator="containsText" text="Cancelado">
      <formula>NOT(ISERROR(SEARCH("Cancelado",J832)))</formula>
    </cfRule>
  </conditionalFormatting>
  <conditionalFormatting sqref="M832">
    <cfRule type="cellIs" dxfId="3757" priority="1829" operator="equal">
      <formula>"Tramitando"</formula>
    </cfRule>
    <cfRule type="cellIs" dxfId="3756" priority="1830" operator="equal">
      <formula>"Deferido"</formula>
    </cfRule>
    <cfRule type="cellIs" dxfId="3755" priority="1831" operator="equal">
      <formula>"Indeferido"</formula>
    </cfRule>
  </conditionalFormatting>
  <conditionalFormatting sqref="M832">
    <cfRule type="containsText" dxfId="3754" priority="1828" operator="containsText" text="Cancelado">
      <formula>NOT(ISERROR(SEARCH("Cancelado",M832)))</formula>
    </cfRule>
  </conditionalFormatting>
  <conditionalFormatting sqref="O832">
    <cfRule type="cellIs" dxfId="3753" priority="1825" operator="equal">
      <formula>"Tramitando"</formula>
    </cfRule>
    <cfRule type="cellIs" dxfId="3752" priority="1826" operator="equal">
      <formula>"Deferido"</formula>
    </cfRule>
    <cfRule type="cellIs" dxfId="3751" priority="1827" operator="equal">
      <formula>"Indeferido"</formula>
    </cfRule>
  </conditionalFormatting>
  <conditionalFormatting sqref="O832">
    <cfRule type="containsText" dxfId="3750" priority="1824" operator="containsText" text="Cancelado">
      <formula>NOT(ISERROR(SEARCH("Cancelado",O832)))</formula>
    </cfRule>
  </conditionalFormatting>
  <conditionalFormatting sqref="Q832">
    <cfRule type="cellIs" dxfId="3749" priority="1821" operator="equal">
      <formula>"Tramitando"</formula>
    </cfRule>
    <cfRule type="cellIs" dxfId="3748" priority="1822" operator="equal">
      <formula>"Deferido"</formula>
    </cfRule>
    <cfRule type="cellIs" dxfId="3747" priority="1823" operator="equal">
      <formula>"Indeferido"</formula>
    </cfRule>
  </conditionalFormatting>
  <conditionalFormatting sqref="Q832">
    <cfRule type="containsText" dxfId="3746" priority="1820" operator="containsText" text="Cancelado">
      <formula>NOT(ISERROR(SEARCH("Cancelado",Q832)))</formula>
    </cfRule>
  </conditionalFormatting>
  <conditionalFormatting sqref="S832">
    <cfRule type="cellIs" dxfId="3745" priority="1817" operator="equal">
      <formula>"Tramitando"</formula>
    </cfRule>
    <cfRule type="cellIs" dxfId="3744" priority="1818" operator="equal">
      <formula>"Deferido"</formula>
    </cfRule>
    <cfRule type="cellIs" dxfId="3743" priority="1819" operator="equal">
      <formula>"Indeferido"</formula>
    </cfRule>
  </conditionalFormatting>
  <conditionalFormatting sqref="S832">
    <cfRule type="containsText" dxfId="3742" priority="1816" operator="containsText" text="Cancelado">
      <formula>NOT(ISERROR(SEARCH("Cancelado",S832)))</formula>
    </cfRule>
  </conditionalFormatting>
  <conditionalFormatting sqref="J833">
    <cfRule type="cellIs" dxfId="3741" priority="1812" operator="equal">
      <formula>"Tramitando"</formula>
    </cfRule>
    <cfRule type="cellIs" dxfId="3740" priority="1813" operator="equal">
      <formula>"Deferido"</formula>
    </cfRule>
    <cfRule type="cellIs" dxfId="3739" priority="1814" operator="equal">
      <formula>"Indeferido"</formula>
    </cfRule>
  </conditionalFormatting>
  <conditionalFormatting sqref="J833">
    <cfRule type="containsText" dxfId="3738" priority="1811" operator="containsText" text="Cancelado">
      <formula>NOT(ISERROR(SEARCH("Cancelado",J833)))</formula>
    </cfRule>
  </conditionalFormatting>
  <conditionalFormatting sqref="M833">
    <cfRule type="cellIs" dxfId="3737" priority="1808" operator="equal">
      <formula>"Tramitando"</formula>
    </cfRule>
    <cfRule type="cellIs" dxfId="3736" priority="1809" operator="equal">
      <formula>"Deferido"</formula>
    </cfRule>
    <cfRule type="cellIs" dxfId="3735" priority="1810" operator="equal">
      <formula>"Indeferido"</formula>
    </cfRule>
  </conditionalFormatting>
  <conditionalFormatting sqref="M833">
    <cfRule type="containsText" dxfId="3734" priority="1807" operator="containsText" text="Cancelado">
      <formula>NOT(ISERROR(SEARCH("Cancelado",M833)))</formula>
    </cfRule>
  </conditionalFormatting>
  <conditionalFormatting sqref="O833">
    <cfRule type="cellIs" dxfId="3733" priority="1804" operator="equal">
      <formula>"Tramitando"</formula>
    </cfRule>
    <cfRule type="cellIs" dxfId="3732" priority="1805" operator="equal">
      <formula>"Deferido"</formula>
    </cfRule>
    <cfRule type="cellIs" dxfId="3731" priority="1806" operator="equal">
      <formula>"Indeferido"</formula>
    </cfRule>
  </conditionalFormatting>
  <conditionalFormatting sqref="O833">
    <cfRule type="containsText" dxfId="3730" priority="1803" operator="containsText" text="Cancelado">
      <formula>NOT(ISERROR(SEARCH("Cancelado",O833)))</formula>
    </cfRule>
  </conditionalFormatting>
  <conditionalFormatting sqref="Q833">
    <cfRule type="cellIs" dxfId="3729" priority="1800" operator="equal">
      <formula>"Tramitando"</formula>
    </cfRule>
    <cfRule type="cellIs" dxfId="3728" priority="1801" operator="equal">
      <formula>"Deferido"</formula>
    </cfRule>
    <cfRule type="cellIs" dxfId="3727" priority="1802" operator="equal">
      <formula>"Indeferido"</formula>
    </cfRule>
  </conditionalFormatting>
  <conditionalFormatting sqref="Q833">
    <cfRule type="containsText" dxfId="3726" priority="1799" operator="containsText" text="Cancelado">
      <formula>NOT(ISERROR(SEARCH("Cancelado",Q833)))</formula>
    </cfRule>
  </conditionalFormatting>
  <conditionalFormatting sqref="S833">
    <cfRule type="cellIs" dxfId="3725" priority="1796" operator="equal">
      <formula>"Tramitando"</formula>
    </cfRule>
    <cfRule type="cellIs" dxfId="3724" priority="1797" operator="equal">
      <formula>"Deferido"</formula>
    </cfRule>
    <cfRule type="cellIs" dxfId="3723" priority="1798" operator="equal">
      <formula>"Indeferido"</formula>
    </cfRule>
  </conditionalFormatting>
  <conditionalFormatting sqref="S833">
    <cfRule type="containsText" dxfId="3722" priority="1795" operator="containsText" text="Cancelado">
      <formula>NOT(ISERROR(SEARCH("Cancelado",S833)))</formula>
    </cfRule>
  </conditionalFormatting>
  <conditionalFormatting sqref="J834">
    <cfRule type="cellIs" dxfId="3721" priority="1791" operator="equal">
      <formula>"Tramitando"</formula>
    </cfRule>
    <cfRule type="cellIs" dxfId="3720" priority="1792" operator="equal">
      <formula>"Deferido"</formula>
    </cfRule>
    <cfRule type="cellIs" dxfId="3719" priority="1793" operator="equal">
      <formula>"Indeferido"</formula>
    </cfRule>
  </conditionalFormatting>
  <conditionalFormatting sqref="J834">
    <cfRule type="containsText" dxfId="3718" priority="1790" operator="containsText" text="Cancelado">
      <formula>NOT(ISERROR(SEARCH("Cancelado",J834)))</formula>
    </cfRule>
  </conditionalFormatting>
  <conditionalFormatting sqref="M834">
    <cfRule type="cellIs" dxfId="3717" priority="1787" operator="equal">
      <formula>"Tramitando"</formula>
    </cfRule>
    <cfRule type="cellIs" dxfId="3716" priority="1788" operator="equal">
      <formula>"Deferido"</formula>
    </cfRule>
    <cfRule type="cellIs" dxfId="3715" priority="1789" operator="equal">
      <formula>"Indeferido"</formula>
    </cfRule>
  </conditionalFormatting>
  <conditionalFormatting sqref="M834">
    <cfRule type="containsText" dxfId="3714" priority="1786" operator="containsText" text="Cancelado">
      <formula>NOT(ISERROR(SEARCH("Cancelado",M834)))</formula>
    </cfRule>
  </conditionalFormatting>
  <conditionalFormatting sqref="O834">
    <cfRule type="cellIs" dxfId="3713" priority="1783" operator="equal">
      <formula>"Tramitando"</formula>
    </cfRule>
    <cfRule type="cellIs" dxfId="3712" priority="1784" operator="equal">
      <formula>"Deferido"</formula>
    </cfRule>
    <cfRule type="cellIs" dxfId="3711" priority="1785" operator="equal">
      <formula>"Indeferido"</formula>
    </cfRule>
  </conditionalFormatting>
  <conditionalFormatting sqref="O834">
    <cfRule type="containsText" dxfId="3710" priority="1782" operator="containsText" text="Cancelado">
      <formula>NOT(ISERROR(SEARCH("Cancelado",O834)))</formula>
    </cfRule>
  </conditionalFormatting>
  <conditionalFormatting sqref="Q834">
    <cfRule type="cellIs" dxfId="3709" priority="1779" operator="equal">
      <formula>"Tramitando"</formula>
    </cfRule>
    <cfRule type="cellIs" dxfId="3708" priority="1780" operator="equal">
      <formula>"Deferido"</formula>
    </cfRule>
    <cfRule type="cellIs" dxfId="3707" priority="1781" operator="equal">
      <formula>"Indeferido"</formula>
    </cfRule>
  </conditionalFormatting>
  <conditionalFormatting sqref="Q834">
    <cfRule type="containsText" dxfId="3706" priority="1778" operator="containsText" text="Cancelado">
      <formula>NOT(ISERROR(SEARCH("Cancelado",Q834)))</formula>
    </cfRule>
  </conditionalFormatting>
  <conditionalFormatting sqref="S834">
    <cfRule type="cellIs" dxfId="3705" priority="1775" operator="equal">
      <formula>"Tramitando"</formula>
    </cfRule>
    <cfRule type="cellIs" dxfId="3704" priority="1776" operator="equal">
      <formula>"Deferido"</formula>
    </cfRule>
    <cfRule type="cellIs" dxfId="3703" priority="1777" operator="equal">
      <formula>"Indeferido"</formula>
    </cfRule>
  </conditionalFormatting>
  <conditionalFormatting sqref="S834">
    <cfRule type="containsText" dxfId="3702" priority="1774" operator="containsText" text="Cancelado">
      <formula>NOT(ISERROR(SEARCH("Cancelado",S834)))</formula>
    </cfRule>
  </conditionalFormatting>
  <conditionalFormatting sqref="J835">
    <cfRule type="cellIs" dxfId="3701" priority="1770" operator="equal">
      <formula>"Tramitando"</formula>
    </cfRule>
    <cfRule type="cellIs" dxfId="3700" priority="1771" operator="equal">
      <formula>"Deferido"</formula>
    </cfRule>
    <cfRule type="cellIs" dxfId="3699" priority="1772" operator="equal">
      <formula>"Indeferido"</formula>
    </cfRule>
  </conditionalFormatting>
  <conditionalFormatting sqref="J835">
    <cfRule type="containsText" dxfId="3698" priority="1769" operator="containsText" text="Cancelado">
      <formula>NOT(ISERROR(SEARCH("Cancelado",J835)))</formula>
    </cfRule>
  </conditionalFormatting>
  <conditionalFormatting sqref="M835">
    <cfRule type="cellIs" dxfId="3697" priority="1766" operator="equal">
      <formula>"Tramitando"</formula>
    </cfRule>
    <cfRule type="cellIs" dxfId="3696" priority="1767" operator="equal">
      <formula>"Deferido"</formula>
    </cfRule>
    <cfRule type="cellIs" dxfId="3695" priority="1768" operator="equal">
      <formula>"Indeferido"</formula>
    </cfRule>
  </conditionalFormatting>
  <conditionalFormatting sqref="M835">
    <cfRule type="containsText" dxfId="3694" priority="1765" operator="containsText" text="Cancelado">
      <formula>NOT(ISERROR(SEARCH("Cancelado",M835)))</formula>
    </cfRule>
  </conditionalFormatting>
  <conditionalFormatting sqref="O835">
    <cfRule type="cellIs" dxfId="3693" priority="1762" operator="equal">
      <formula>"Tramitando"</formula>
    </cfRule>
    <cfRule type="cellIs" dxfId="3692" priority="1763" operator="equal">
      <formula>"Deferido"</formula>
    </cfRule>
    <cfRule type="cellIs" dxfId="3691" priority="1764" operator="equal">
      <formula>"Indeferido"</formula>
    </cfRule>
  </conditionalFormatting>
  <conditionalFormatting sqref="O835">
    <cfRule type="containsText" dxfId="3690" priority="1761" operator="containsText" text="Cancelado">
      <formula>NOT(ISERROR(SEARCH("Cancelado",O835)))</formula>
    </cfRule>
  </conditionalFormatting>
  <conditionalFormatting sqref="Q835">
    <cfRule type="cellIs" dxfId="3689" priority="1758" operator="equal">
      <formula>"Tramitando"</formula>
    </cfRule>
    <cfRule type="cellIs" dxfId="3688" priority="1759" operator="equal">
      <formula>"Deferido"</formula>
    </cfRule>
    <cfRule type="cellIs" dxfId="3687" priority="1760" operator="equal">
      <formula>"Indeferido"</formula>
    </cfRule>
  </conditionalFormatting>
  <conditionalFormatting sqref="Q835">
    <cfRule type="containsText" dxfId="3686" priority="1757" operator="containsText" text="Cancelado">
      <formula>NOT(ISERROR(SEARCH("Cancelado",Q835)))</formula>
    </cfRule>
  </conditionalFormatting>
  <conditionalFormatting sqref="S835">
    <cfRule type="cellIs" dxfId="3685" priority="1754" operator="equal">
      <formula>"Tramitando"</formula>
    </cfRule>
    <cfRule type="cellIs" dxfId="3684" priority="1755" operator="equal">
      <formula>"Deferido"</formula>
    </cfRule>
    <cfRule type="cellIs" dxfId="3683" priority="1756" operator="equal">
      <formula>"Indeferido"</formula>
    </cfRule>
  </conditionalFormatting>
  <conditionalFormatting sqref="S835">
    <cfRule type="containsText" dxfId="3682" priority="1753" operator="containsText" text="Cancelado">
      <formula>NOT(ISERROR(SEARCH("Cancelado",S835)))</formula>
    </cfRule>
  </conditionalFormatting>
  <conditionalFormatting sqref="J836:J837">
    <cfRule type="cellIs" dxfId="3681" priority="1749" operator="equal">
      <formula>"Tramitando"</formula>
    </cfRule>
    <cfRule type="cellIs" dxfId="3680" priority="1750" operator="equal">
      <formula>"Deferido"</formula>
    </cfRule>
    <cfRule type="cellIs" dxfId="3679" priority="1751" operator="equal">
      <formula>"Indeferido"</formula>
    </cfRule>
  </conditionalFormatting>
  <conditionalFormatting sqref="J836:J837">
    <cfRule type="containsText" dxfId="3678" priority="1748" operator="containsText" text="Cancelado">
      <formula>NOT(ISERROR(SEARCH("Cancelado",J836)))</formula>
    </cfRule>
  </conditionalFormatting>
  <conditionalFormatting sqref="M836:M837">
    <cfRule type="cellIs" dxfId="3677" priority="1745" operator="equal">
      <formula>"Tramitando"</formula>
    </cfRule>
    <cfRule type="cellIs" dxfId="3676" priority="1746" operator="equal">
      <formula>"Deferido"</formula>
    </cfRule>
    <cfRule type="cellIs" dxfId="3675" priority="1747" operator="equal">
      <formula>"Indeferido"</formula>
    </cfRule>
  </conditionalFormatting>
  <conditionalFormatting sqref="M836:M837">
    <cfRule type="containsText" dxfId="3674" priority="1744" operator="containsText" text="Cancelado">
      <formula>NOT(ISERROR(SEARCH("Cancelado",M836)))</formula>
    </cfRule>
  </conditionalFormatting>
  <conditionalFormatting sqref="O836:O837">
    <cfRule type="cellIs" dxfId="3673" priority="1741" operator="equal">
      <formula>"Tramitando"</formula>
    </cfRule>
    <cfRule type="cellIs" dxfId="3672" priority="1742" operator="equal">
      <formula>"Deferido"</formula>
    </cfRule>
    <cfRule type="cellIs" dxfId="3671" priority="1743" operator="equal">
      <formula>"Indeferido"</formula>
    </cfRule>
  </conditionalFormatting>
  <conditionalFormatting sqref="O836:O837">
    <cfRule type="containsText" dxfId="3670" priority="1740" operator="containsText" text="Cancelado">
      <formula>NOT(ISERROR(SEARCH("Cancelado",O836)))</formula>
    </cfRule>
  </conditionalFormatting>
  <conditionalFormatting sqref="Q836:Q837">
    <cfRule type="cellIs" dxfId="3669" priority="1737" operator="equal">
      <formula>"Tramitando"</formula>
    </cfRule>
    <cfRule type="cellIs" dxfId="3668" priority="1738" operator="equal">
      <formula>"Deferido"</formula>
    </cfRule>
    <cfRule type="cellIs" dxfId="3667" priority="1739" operator="equal">
      <formula>"Indeferido"</formula>
    </cfRule>
  </conditionalFormatting>
  <conditionalFormatting sqref="Q836:Q837">
    <cfRule type="containsText" dxfId="3666" priority="1736" operator="containsText" text="Cancelado">
      <formula>NOT(ISERROR(SEARCH("Cancelado",Q836)))</formula>
    </cfRule>
  </conditionalFormatting>
  <conditionalFormatting sqref="S836:S837">
    <cfRule type="cellIs" dxfId="3665" priority="1733" operator="equal">
      <formula>"Tramitando"</formula>
    </cfRule>
    <cfRule type="cellIs" dxfId="3664" priority="1734" operator="equal">
      <formula>"Deferido"</formula>
    </cfRule>
    <cfRule type="cellIs" dxfId="3663" priority="1735" operator="equal">
      <formula>"Indeferido"</formula>
    </cfRule>
  </conditionalFormatting>
  <conditionalFormatting sqref="S836:S837">
    <cfRule type="containsText" dxfId="3662" priority="1732" operator="containsText" text="Cancelado">
      <formula>NOT(ISERROR(SEARCH("Cancelado",S836)))</formula>
    </cfRule>
  </conditionalFormatting>
  <conditionalFormatting sqref="J838">
    <cfRule type="cellIs" dxfId="3661" priority="1728" operator="equal">
      <formula>"Tramitando"</formula>
    </cfRule>
    <cfRule type="cellIs" dxfId="3660" priority="1729" operator="equal">
      <formula>"Deferido"</formula>
    </cfRule>
    <cfRule type="cellIs" dxfId="3659" priority="1730" operator="equal">
      <formula>"Indeferido"</formula>
    </cfRule>
  </conditionalFormatting>
  <conditionalFormatting sqref="J838">
    <cfRule type="containsText" dxfId="3658" priority="1727" operator="containsText" text="Cancelado">
      <formula>NOT(ISERROR(SEARCH("Cancelado",J838)))</formula>
    </cfRule>
  </conditionalFormatting>
  <conditionalFormatting sqref="M838">
    <cfRule type="cellIs" dxfId="3657" priority="1724" operator="equal">
      <formula>"Tramitando"</formula>
    </cfRule>
    <cfRule type="cellIs" dxfId="3656" priority="1725" operator="equal">
      <formula>"Deferido"</formula>
    </cfRule>
    <cfRule type="cellIs" dxfId="3655" priority="1726" operator="equal">
      <formula>"Indeferido"</formula>
    </cfRule>
  </conditionalFormatting>
  <conditionalFormatting sqref="M838">
    <cfRule type="containsText" dxfId="3654" priority="1723" operator="containsText" text="Cancelado">
      <formula>NOT(ISERROR(SEARCH("Cancelado",M838)))</formula>
    </cfRule>
  </conditionalFormatting>
  <conditionalFormatting sqref="O838">
    <cfRule type="cellIs" dxfId="3653" priority="1720" operator="equal">
      <formula>"Tramitando"</formula>
    </cfRule>
    <cfRule type="cellIs" dxfId="3652" priority="1721" operator="equal">
      <formula>"Deferido"</formula>
    </cfRule>
    <cfRule type="cellIs" dxfId="3651" priority="1722" operator="equal">
      <formula>"Indeferido"</formula>
    </cfRule>
  </conditionalFormatting>
  <conditionalFormatting sqref="O838">
    <cfRule type="containsText" dxfId="3650" priority="1719" operator="containsText" text="Cancelado">
      <formula>NOT(ISERROR(SEARCH("Cancelado",O838)))</formula>
    </cfRule>
  </conditionalFormatting>
  <conditionalFormatting sqref="Q838">
    <cfRule type="cellIs" dxfId="3649" priority="1716" operator="equal">
      <formula>"Tramitando"</formula>
    </cfRule>
    <cfRule type="cellIs" dxfId="3648" priority="1717" operator="equal">
      <formula>"Deferido"</formula>
    </cfRule>
    <cfRule type="cellIs" dxfId="3647" priority="1718" operator="equal">
      <formula>"Indeferido"</formula>
    </cfRule>
  </conditionalFormatting>
  <conditionalFormatting sqref="Q838">
    <cfRule type="containsText" dxfId="3646" priority="1715" operator="containsText" text="Cancelado">
      <formula>NOT(ISERROR(SEARCH("Cancelado",Q838)))</formula>
    </cfRule>
  </conditionalFormatting>
  <conditionalFormatting sqref="S838">
    <cfRule type="cellIs" dxfId="3645" priority="1712" operator="equal">
      <formula>"Tramitando"</formula>
    </cfRule>
    <cfRule type="cellIs" dxfId="3644" priority="1713" operator="equal">
      <formula>"Deferido"</formula>
    </cfRule>
    <cfRule type="cellIs" dxfId="3643" priority="1714" operator="equal">
      <formula>"Indeferido"</formula>
    </cfRule>
  </conditionalFormatting>
  <conditionalFormatting sqref="S838">
    <cfRule type="containsText" dxfId="3642" priority="1711" operator="containsText" text="Cancelado">
      <formula>NOT(ISERROR(SEARCH("Cancelado",S838)))</formula>
    </cfRule>
  </conditionalFormatting>
  <conditionalFormatting sqref="J839">
    <cfRule type="cellIs" dxfId="3641" priority="1707" operator="equal">
      <formula>"Tramitando"</formula>
    </cfRule>
    <cfRule type="cellIs" dxfId="3640" priority="1708" operator="equal">
      <formula>"Deferido"</formula>
    </cfRule>
    <cfRule type="cellIs" dxfId="3639" priority="1709" operator="equal">
      <formula>"Indeferido"</formula>
    </cfRule>
  </conditionalFormatting>
  <conditionalFormatting sqref="J839">
    <cfRule type="containsText" dxfId="3638" priority="1706" operator="containsText" text="Cancelado">
      <formula>NOT(ISERROR(SEARCH("Cancelado",J839)))</formula>
    </cfRule>
  </conditionalFormatting>
  <conditionalFormatting sqref="M839">
    <cfRule type="cellIs" dxfId="3637" priority="1703" operator="equal">
      <formula>"Tramitando"</formula>
    </cfRule>
    <cfRule type="cellIs" dxfId="3636" priority="1704" operator="equal">
      <formula>"Deferido"</formula>
    </cfRule>
    <cfRule type="cellIs" dxfId="3635" priority="1705" operator="equal">
      <formula>"Indeferido"</formula>
    </cfRule>
  </conditionalFormatting>
  <conditionalFormatting sqref="M839">
    <cfRule type="containsText" dxfId="3634" priority="1702" operator="containsText" text="Cancelado">
      <formula>NOT(ISERROR(SEARCH("Cancelado",M839)))</formula>
    </cfRule>
  </conditionalFormatting>
  <conditionalFormatting sqref="O839">
    <cfRule type="cellIs" dxfId="3633" priority="1699" operator="equal">
      <formula>"Tramitando"</formula>
    </cfRule>
    <cfRule type="cellIs" dxfId="3632" priority="1700" operator="equal">
      <formula>"Deferido"</formula>
    </cfRule>
    <cfRule type="cellIs" dxfId="3631" priority="1701" operator="equal">
      <formula>"Indeferido"</formula>
    </cfRule>
  </conditionalFormatting>
  <conditionalFormatting sqref="O839">
    <cfRule type="containsText" dxfId="3630" priority="1698" operator="containsText" text="Cancelado">
      <formula>NOT(ISERROR(SEARCH("Cancelado",O839)))</formula>
    </cfRule>
  </conditionalFormatting>
  <conditionalFormatting sqref="Q839">
    <cfRule type="cellIs" dxfId="3629" priority="1695" operator="equal">
      <formula>"Tramitando"</formula>
    </cfRule>
    <cfRule type="cellIs" dxfId="3628" priority="1696" operator="equal">
      <formula>"Deferido"</formula>
    </cfRule>
    <cfRule type="cellIs" dxfId="3627" priority="1697" operator="equal">
      <formula>"Indeferido"</formula>
    </cfRule>
  </conditionalFormatting>
  <conditionalFormatting sqref="Q839">
    <cfRule type="containsText" dxfId="3626" priority="1694" operator="containsText" text="Cancelado">
      <formula>NOT(ISERROR(SEARCH("Cancelado",Q839)))</formula>
    </cfRule>
  </conditionalFormatting>
  <conditionalFormatting sqref="S839">
    <cfRule type="cellIs" dxfId="3625" priority="1691" operator="equal">
      <formula>"Tramitando"</formula>
    </cfRule>
    <cfRule type="cellIs" dxfId="3624" priority="1692" operator="equal">
      <formula>"Deferido"</formula>
    </cfRule>
    <cfRule type="cellIs" dxfId="3623" priority="1693" operator="equal">
      <formula>"Indeferido"</formula>
    </cfRule>
  </conditionalFormatting>
  <conditionalFormatting sqref="S839">
    <cfRule type="containsText" dxfId="3622" priority="1690" operator="containsText" text="Cancelado">
      <formula>NOT(ISERROR(SEARCH("Cancelado",S839)))</formula>
    </cfRule>
  </conditionalFormatting>
  <conditionalFormatting sqref="J840">
    <cfRule type="cellIs" dxfId="3621" priority="1686" operator="equal">
      <formula>"Tramitando"</formula>
    </cfRule>
    <cfRule type="cellIs" dxfId="3620" priority="1687" operator="equal">
      <formula>"Deferido"</formula>
    </cfRule>
    <cfRule type="cellIs" dxfId="3619" priority="1688" operator="equal">
      <formula>"Indeferido"</formula>
    </cfRule>
  </conditionalFormatting>
  <conditionalFormatting sqref="J840">
    <cfRule type="containsText" dxfId="3618" priority="1685" operator="containsText" text="Cancelado">
      <formula>NOT(ISERROR(SEARCH("Cancelado",J840)))</formula>
    </cfRule>
  </conditionalFormatting>
  <conditionalFormatting sqref="M840">
    <cfRule type="cellIs" dxfId="3617" priority="1682" operator="equal">
      <formula>"Tramitando"</formula>
    </cfRule>
    <cfRule type="cellIs" dxfId="3616" priority="1683" operator="equal">
      <formula>"Deferido"</formula>
    </cfRule>
    <cfRule type="cellIs" dxfId="3615" priority="1684" operator="equal">
      <formula>"Indeferido"</formula>
    </cfRule>
  </conditionalFormatting>
  <conditionalFormatting sqref="M840">
    <cfRule type="containsText" dxfId="3614" priority="1681" operator="containsText" text="Cancelado">
      <formula>NOT(ISERROR(SEARCH("Cancelado",M840)))</formula>
    </cfRule>
  </conditionalFormatting>
  <conditionalFormatting sqref="O840">
    <cfRule type="cellIs" dxfId="3613" priority="1678" operator="equal">
      <formula>"Tramitando"</formula>
    </cfRule>
    <cfRule type="cellIs" dxfId="3612" priority="1679" operator="equal">
      <formula>"Deferido"</formula>
    </cfRule>
    <cfRule type="cellIs" dxfId="3611" priority="1680" operator="equal">
      <formula>"Indeferido"</formula>
    </cfRule>
  </conditionalFormatting>
  <conditionalFormatting sqref="O840">
    <cfRule type="containsText" dxfId="3610" priority="1677" operator="containsText" text="Cancelado">
      <formula>NOT(ISERROR(SEARCH("Cancelado",O840)))</formula>
    </cfRule>
  </conditionalFormatting>
  <conditionalFormatting sqref="Q840">
    <cfRule type="cellIs" dxfId="3609" priority="1674" operator="equal">
      <formula>"Tramitando"</formula>
    </cfRule>
    <cfRule type="cellIs" dxfId="3608" priority="1675" operator="equal">
      <formula>"Deferido"</formula>
    </cfRule>
    <cfRule type="cellIs" dxfId="3607" priority="1676" operator="equal">
      <formula>"Indeferido"</formula>
    </cfRule>
  </conditionalFormatting>
  <conditionalFormatting sqref="Q840">
    <cfRule type="containsText" dxfId="3606" priority="1673" operator="containsText" text="Cancelado">
      <formula>NOT(ISERROR(SEARCH("Cancelado",Q840)))</formula>
    </cfRule>
  </conditionalFormatting>
  <conditionalFormatting sqref="S840">
    <cfRule type="cellIs" dxfId="3605" priority="1670" operator="equal">
      <formula>"Tramitando"</formula>
    </cfRule>
    <cfRule type="cellIs" dxfId="3604" priority="1671" operator="equal">
      <formula>"Deferido"</formula>
    </cfRule>
    <cfRule type="cellIs" dxfId="3603" priority="1672" operator="equal">
      <formula>"Indeferido"</formula>
    </cfRule>
  </conditionalFormatting>
  <conditionalFormatting sqref="S840">
    <cfRule type="containsText" dxfId="3602" priority="1669" operator="containsText" text="Cancelado">
      <formula>NOT(ISERROR(SEARCH("Cancelado",S840)))</formula>
    </cfRule>
  </conditionalFormatting>
  <conditionalFormatting sqref="J841">
    <cfRule type="cellIs" dxfId="3601" priority="1665" operator="equal">
      <formula>"Tramitando"</formula>
    </cfRule>
    <cfRule type="cellIs" dxfId="3600" priority="1666" operator="equal">
      <formula>"Deferido"</formula>
    </cfRule>
    <cfRule type="cellIs" dxfId="3599" priority="1667" operator="equal">
      <formula>"Indeferido"</formula>
    </cfRule>
  </conditionalFormatting>
  <conditionalFormatting sqref="J841">
    <cfRule type="containsText" dxfId="3598" priority="1664" operator="containsText" text="Cancelado">
      <formula>NOT(ISERROR(SEARCH("Cancelado",J841)))</formula>
    </cfRule>
  </conditionalFormatting>
  <conditionalFormatting sqref="M841">
    <cfRule type="cellIs" dxfId="3597" priority="1661" operator="equal">
      <formula>"Tramitando"</formula>
    </cfRule>
    <cfRule type="cellIs" dxfId="3596" priority="1662" operator="equal">
      <formula>"Deferido"</formula>
    </cfRule>
    <cfRule type="cellIs" dxfId="3595" priority="1663" operator="equal">
      <formula>"Indeferido"</formula>
    </cfRule>
  </conditionalFormatting>
  <conditionalFormatting sqref="M841">
    <cfRule type="containsText" dxfId="3594" priority="1660" operator="containsText" text="Cancelado">
      <formula>NOT(ISERROR(SEARCH("Cancelado",M841)))</formula>
    </cfRule>
  </conditionalFormatting>
  <conditionalFormatting sqref="O841">
    <cfRule type="cellIs" dxfId="3593" priority="1657" operator="equal">
      <formula>"Tramitando"</formula>
    </cfRule>
    <cfRule type="cellIs" dxfId="3592" priority="1658" operator="equal">
      <formula>"Deferido"</formula>
    </cfRule>
    <cfRule type="cellIs" dxfId="3591" priority="1659" operator="equal">
      <formula>"Indeferido"</formula>
    </cfRule>
  </conditionalFormatting>
  <conditionalFormatting sqref="O841">
    <cfRule type="containsText" dxfId="3590" priority="1656" operator="containsText" text="Cancelado">
      <formula>NOT(ISERROR(SEARCH("Cancelado",O841)))</formula>
    </cfRule>
  </conditionalFormatting>
  <conditionalFormatting sqref="Q841">
    <cfRule type="cellIs" dxfId="3589" priority="1653" operator="equal">
      <formula>"Tramitando"</formula>
    </cfRule>
    <cfRule type="cellIs" dxfId="3588" priority="1654" operator="equal">
      <formula>"Deferido"</formula>
    </cfRule>
    <cfRule type="cellIs" dxfId="3587" priority="1655" operator="equal">
      <formula>"Indeferido"</formula>
    </cfRule>
  </conditionalFormatting>
  <conditionalFormatting sqref="Q841">
    <cfRule type="containsText" dxfId="3586" priority="1652" operator="containsText" text="Cancelado">
      <formula>NOT(ISERROR(SEARCH("Cancelado",Q841)))</formula>
    </cfRule>
  </conditionalFormatting>
  <conditionalFormatting sqref="S841">
    <cfRule type="cellIs" dxfId="3585" priority="1649" operator="equal">
      <formula>"Tramitando"</formula>
    </cfRule>
    <cfRule type="cellIs" dxfId="3584" priority="1650" operator="equal">
      <formula>"Deferido"</formula>
    </cfRule>
    <cfRule type="cellIs" dxfId="3583" priority="1651" operator="equal">
      <formula>"Indeferido"</formula>
    </cfRule>
  </conditionalFormatting>
  <conditionalFormatting sqref="S841">
    <cfRule type="containsText" dxfId="3582" priority="1648" operator="containsText" text="Cancelado">
      <formula>NOT(ISERROR(SEARCH("Cancelado",S841)))</formula>
    </cfRule>
  </conditionalFormatting>
  <conditionalFormatting sqref="J842">
    <cfRule type="cellIs" dxfId="3581" priority="1644" operator="equal">
      <formula>"Tramitando"</formula>
    </cfRule>
    <cfRule type="cellIs" dxfId="3580" priority="1645" operator="equal">
      <formula>"Deferido"</formula>
    </cfRule>
    <cfRule type="cellIs" dxfId="3579" priority="1646" operator="equal">
      <formula>"Indeferido"</formula>
    </cfRule>
  </conditionalFormatting>
  <conditionalFormatting sqref="J842">
    <cfRule type="containsText" dxfId="3578" priority="1643" operator="containsText" text="Cancelado">
      <formula>NOT(ISERROR(SEARCH("Cancelado",J842)))</formula>
    </cfRule>
  </conditionalFormatting>
  <conditionalFormatting sqref="M842">
    <cfRule type="cellIs" dxfId="3577" priority="1640" operator="equal">
      <formula>"Tramitando"</formula>
    </cfRule>
    <cfRule type="cellIs" dxfId="3576" priority="1641" operator="equal">
      <formula>"Deferido"</formula>
    </cfRule>
    <cfRule type="cellIs" dxfId="3575" priority="1642" operator="equal">
      <formula>"Indeferido"</formula>
    </cfRule>
  </conditionalFormatting>
  <conditionalFormatting sqref="M842">
    <cfRule type="containsText" dxfId="3574" priority="1639" operator="containsText" text="Cancelado">
      <formula>NOT(ISERROR(SEARCH("Cancelado",M842)))</formula>
    </cfRule>
  </conditionalFormatting>
  <conditionalFormatting sqref="O842">
    <cfRule type="cellIs" dxfId="3573" priority="1636" operator="equal">
      <formula>"Tramitando"</formula>
    </cfRule>
    <cfRule type="cellIs" dxfId="3572" priority="1637" operator="equal">
      <formula>"Deferido"</formula>
    </cfRule>
    <cfRule type="cellIs" dxfId="3571" priority="1638" operator="equal">
      <formula>"Indeferido"</formula>
    </cfRule>
  </conditionalFormatting>
  <conditionalFormatting sqref="O842">
    <cfRule type="containsText" dxfId="3570" priority="1635" operator="containsText" text="Cancelado">
      <formula>NOT(ISERROR(SEARCH("Cancelado",O842)))</formula>
    </cfRule>
  </conditionalFormatting>
  <conditionalFormatting sqref="Q842">
    <cfRule type="cellIs" dxfId="3569" priority="1632" operator="equal">
      <formula>"Tramitando"</formula>
    </cfRule>
    <cfRule type="cellIs" dxfId="3568" priority="1633" operator="equal">
      <formula>"Deferido"</formula>
    </cfRule>
    <cfRule type="cellIs" dxfId="3567" priority="1634" operator="equal">
      <formula>"Indeferido"</formula>
    </cfRule>
  </conditionalFormatting>
  <conditionalFormatting sqref="Q842">
    <cfRule type="containsText" dxfId="3566" priority="1631" operator="containsText" text="Cancelado">
      <formula>NOT(ISERROR(SEARCH("Cancelado",Q842)))</formula>
    </cfRule>
  </conditionalFormatting>
  <conditionalFormatting sqref="S842">
    <cfRule type="cellIs" dxfId="3565" priority="1628" operator="equal">
      <formula>"Tramitando"</formula>
    </cfRule>
    <cfRule type="cellIs" dxfId="3564" priority="1629" operator="equal">
      <formula>"Deferido"</formula>
    </cfRule>
    <cfRule type="cellIs" dxfId="3563" priority="1630" operator="equal">
      <formula>"Indeferido"</formula>
    </cfRule>
  </conditionalFormatting>
  <conditionalFormatting sqref="S842">
    <cfRule type="containsText" dxfId="3562" priority="1627" operator="containsText" text="Cancelado">
      <formula>NOT(ISERROR(SEARCH("Cancelado",S842)))</formula>
    </cfRule>
  </conditionalFormatting>
  <conditionalFormatting sqref="J843">
    <cfRule type="cellIs" dxfId="3561" priority="1623" operator="equal">
      <formula>"Tramitando"</formula>
    </cfRule>
    <cfRule type="cellIs" dxfId="3560" priority="1624" operator="equal">
      <formula>"Deferido"</formula>
    </cfRule>
    <cfRule type="cellIs" dxfId="3559" priority="1625" operator="equal">
      <formula>"Indeferido"</formula>
    </cfRule>
  </conditionalFormatting>
  <conditionalFormatting sqref="J843">
    <cfRule type="containsText" dxfId="3558" priority="1622" operator="containsText" text="Cancelado">
      <formula>NOT(ISERROR(SEARCH("Cancelado",J843)))</formula>
    </cfRule>
  </conditionalFormatting>
  <conditionalFormatting sqref="M843">
    <cfRule type="cellIs" dxfId="3557" priority="1619" operator="equal">
      <formula>"Tramitando"</formula>
    </cfRule>
    <cfRule type="cellIs" dxfId="3556" priority="1620" operator="equal">
      <formula>"Deferido"</formula>
    </cfRule>
    <cfRule type="cellIs" dxfId="3555" priority="1621" operator="equal">
      <formula>"Indeferido"</formula>
    </cfRule>
  </conditionalFormatting>
  <conditionalFormatting sqref="M843">
    <cfRule type="containsText" dxfId="3554" priority="1618" operator="containsText" text="Cancelado">
      <formula>NOT(ISERROR(SEARCH("Cancelado",M843)))</formula>
    </cfRule>
  </conditionalFormatting>
  <conditionalFormatting sqref="O843">
    <cfRule type="cellIs" dxfId="3553" priority="1615" operator="equal">
      <formula>"Tramitando"</formula>
    </cfRule>
    <cfRule type="cellIs" dxfId="3552" priority="1616" operator="equal">
      <formula>"Deferido"</formula>
    </cfRule>
    <cfRule type="cellIs" dxfId="3551" priority="1617" operator="equal">
      <formula>"Indeferido"</formula>
    </cfRule>
  </conditionalFormatting>
  <conditionalFormatting sqref="O843">
    <cfRule type="containsText" dxfId="3550" priority="1614" operator="containsText" text="Cancelado">
      <formula>NOT(ISERROR(SEARCH("Cancelado",O843)))</formula>
    </cfRule>
  </conditionalFormatting>
  <conditionalFormatting sqref="Q843">
    <cfRule type="cellIs" dxfId="3549" priority="1611" operator="equal">
      <formula>"Tramitando"</formula>
    </cfRule>
    <cfRule type="cellIs" dxfId="3548" priority="1612" operator="equal">
      <formula>"Deferido"</formula>
    </cfRule>
    <cfRule type="cellIs" dxfId="3547" priority="1613" operator="equal">
      <formula>"Indeferido"</formula>
    </cfRule>
  </conditionalFormatting>
  <conditionalFormatting sqref="Q843">
    <cfRule type="containsText" dxfId="3546" priority="1610" operator="containsText" text="Cancelado">
      <formula>NOT(ISERROR(SEARCH("Cancelado",Q843)))</formula>
    </cfRule>
  </conditionalFormatting>
  <conditionalFormatting sqref="S843">
    <cfRule type="cellIs" dxfId="3545" priority="1607" operator="equal">
      <formula>"Tramitando"</formula>
    </cfRule>
    <cfRule type="cellIs" dxfId="3544" priority="1608" operator="equal">
      <formula>"Deferido"</formula>
    </cfRule>
    <cfRule type="cellIs" dxfId="3543" priority="1609" operator="equal">
      <formula>"Indeferido"</formula>
    </cfRule>
  </conditionalFormatting>
  <conditionalFormatting sqref="S843">
    <cfRule type="containsText" dxfId="3542" priority="1606" operator="containsText" text="Cancelado">
      <formula>NOT(ISERROR(SEARCH("Cancelado",S843)))</formula>
    </cfRule>
  </conditionalFormatting>
  <conditionalFormatting sqref="J844">
    <cfRule type="cellIs" dxfId="3541" priority="1602" operator="equal">
      <formula>"Tramitando"</formula>
    </cfRule>
    <cfRule type="cellIs" dxfId="3540" priority="1603" operator="equal">
      <formula>"Deferido"</formula>
    </cfRule>
    <cfRule type="cellIs" dxfId="3539" priority="1604" operator="equal">
      <formula>"Indeferido"</formula>
    </cfRule>
  </conditionalFormatting>
  <conditionalFormatting sqref="J844">
    <cfRule type="containsText" dxfId="3538" priority="1601" operator="containsText" text="Cancelado">
      <formula>NOT(ISERROR(SEARCH("Cancelado",J844)))</formula>
    </cfRule>
  </conditionalFormatting>
  <conditionalFormatting sqref="M844">
    <cfRule type="cellIs" dxfId="3537" priority="1598" operator="equal">
      <formula>"Tramitando"</formula>
    </cfRule>
    <cfRule type="cellIs" dxfId="3536" priority="1599" operator="equal">
      <formula>"Deferido"</formula>
    </cfRule>
    <cfRule type="cellIs" dxfId="3535" priority="1600" operator="equal">
      <formula>"Indeferido"</formula>
    </cfRule>
  </conditionalFormatting>
  <conditionalFormatting sqref="M844">
    <cfRule type="containsText" dxfId="3534" priority="1597" operator="containsText" text="Cancelado">
      <formula>NOT(ISERROR(SEARCH("Cancelado",M844)))</formula>
    </cfRule>
  </conditionalFormatting>
  <conditionalFormatting sqref="O844">
    <cfRule type="cellIs" dxfId="3533" priority="1594" operator="equal">
      <formula>"Tramitando"</formula>
    </cfRule>
    <cfRule type="cellIs" dxfId="3532" priority="1595" operator="equal">
      <formula>"Deferido"</formula>
    </cfRule>
    <cfRule type="cellIs" dxfId="3531" priority="1596" operator="equal">
      <formula>"Indeferido"</formula>
    </cfRule>
  </conditionalFormatting>
  <conditionalFormatting sqref="O844">
    <cfRule type="containsText" dxfId="3530" priority="1593" operator="containsText" text="Cancelado">
      <formula>NOT(ISERROR(SEARCH("Cancelado",O844)))</formula>
    </cfRule>
  </conditionalFormatting>
  <conditionalFormatting sqref="Q844">
    <cfRule type="cellIs" dxfId="3529" priority="1590" operator="equal">
      <formula>"Tramitando"</formula>
    </cfRule>
    <cfRule type="cellIs" dxfId="3528" priority="1591" operator="equal">
      <formula>"Deferido"</formula>
    </cfRule>
    <cfRule type="cellIs" dxfId="3527" priority="1592" operator="equal">
      <formula>"Indeferido"</formula>
    </cfRule>
  </conditionalFormatting>
  <conditionalFormatting sqref="Q844">
    <cfRule type="containsText" dxfId="3526" priority="1589" operator="containsText" text="Cancelado">
      <formula>NOT(ISERROR(SEARCH("Cancelado",Q844)))</formula>
    </cfRule>
  </conditionalFormatting>
  <conditionalFormatting sqref="S844">
    <cfRule type="cellIs" dxfId="3525" priority="1586" operator="equal">
      <formula>"Tramitando"</formula>
    </cfRule>
    <cfRule type="cellIs" dxfId="3524" priority="1587" operator="equal">
      <formula>"Deferido"</formula>
    </cfRule>
    <cfRule type="cellIs" dxfId="3523" priority="1588" operator="equal">
      <formula>"Indeferido"</formula>
    </cfRule>
  </conditionalFormatting>
  <conditionalFormatting sqref="S844">
    <cfRule type="containsText" dxfId="3522" priority="1585" operator="containsText" text="Cancelado">
      <formula>NOT(ISERROR(SEARCH("Cancelado",S844)))</formula>
    </cfRule>
  </conditionalFormatting>
  <conditionalFormatting sqref="J845">
    <cfRule type="cellIs" dxfId="3521" priority="1581" operator="equal">
      <formula>"Tramitando"</formula>
    </cfRule>
    <cfRule type="cellIs" dxfId="3520" priority="1582" operator="equal">
      <formula>"Deferido"</formula>
    </cfRule>
    <cfRule type="cellIs" dxfId="3519" priority="1583" operator="equal">
      <formula>"Indeferido"</formula>
    </cfRule>
  </conditionalFormatting>
  <conditionalFormatting sqref="J845">
    <cfRule type="containsText" dxfId="3518" priority="1580" operator="containsText" text="Cancelado">
      <formula>NOT(ISERROR(SEARCH("Cancelado",J845)))</formula>
    </cfRule>
  </conditionalFormatting>
  <conditionalFormatting sqref="M845">
    <cfRule type="cellIs" dxfId="3517" priority="1577" operator="equal">
      <formula>"Tramitando"</formula>
    </cfRule>
    <cfRule type="cellIs" dxfId="3516" priority="1578" operator="equal">
      <formula>"Deferido"</formula>
    </cfRule>
    <cfRule type="cellIs" dxfId="3515" priority="1579" operator="equal">
      <formula>"Indeferido"</formula>
    </cfRule>
  </conditionalFormatting>
  <conditionalFormatting sqref="M845">
    <cfRule type="containsText" dxfId="3514" priority="1576" operator="containsText" text="Cancelado">
      <formula>NOT(ISERROR(SEARCH("Cancelado",M845)))</formula>
    </cfRule>
  </conditionalFormatting>
  <conditionalFormatting sqref="O845">
    <cfRule type="cellIs" dxfId="3513" priority="1573" operator="equal">
      <formula>"Tramitando"</formula>
    </cfRule>
    <cfRule type="cellIs" dxfId="3512" priority="1574" operator="equal">
      <formula>"Deferido"</formula>
    </cfRule>
    <cfRule type="cellIs" dxfId="3511" priority="1575" operator="equal">
      <formula>"Indeferido"</formula>
    </cfRule>
  </conditionalFormatting>
  <conditionalFormatting sqref="O845">
    <cfRule type="containsText" dxfId="3510" priority="1572" operator="containsText" text="Cancelado">
      <formula>NOT(ISERROR(SEARCH("Cancelado",O845)))</formula>
    </cfRule>
  </conditionalFormatting>
  <conditionalFormatting sqref="Q845">
    <cfRule type="cellIs" dxfId="3509" priority="1569" operator="equal">
      <formula>"Tramitando"</formula>
    </cfRule>
    <cfRule type="cellIs" dxfId="3508" priority="1570" operator="equal">
      <formula>"Deferido"</formula>
    </cfRule>
    <cfRule type="cellIs" dxfId="3507" priority="1571" operator="equal">
      <formula>"Indeferido"</formula>
    </cfRule>
  </conditionalFormatting>
  <conditionalFormatting sqref="Q845">
    <cfRule type="containsText" dxfId="3506" priority="1568" operator="containsText" text="Cancelado">
      <formula>NOT(ISERROR(SEARCH("Cancelado",Q845)))</formula>
    </cfRule>
  </conditionalFormatting>
  <conditionalFormatting sqref="S845">
    <cfRule type="cellIs" dxfId="3505" priority="1565" operator="equal">
      <formula>"Tramitando"</formula>
    </cfRule>
    <cfRule type="cellIs" dxfId="3504" priority="1566" operator="equal">
      <formula>"Deferido"</formula>
    </cfRule>
    <cfRule type="cellIs" dxfId="3503" priority="1567" operator="equal">
      <formula>"Indeferido"</formula>
    </cfRule>
  </conditionalFormatting>
  <conditionalFormatting sqref="S845">
    <cfRule type="containsText" dxfId="3502" priority="1564" operator="containsText" text="Cancelado">
      <formula>NOT(ISERROR(SEARCH("Cancelado",S845)))</formula>
    </cfRule>
  </conditionalFormatting>
  <conditionalFormatting sqref="J846">
    <cfRule type="cellIs" dxfId="3501" priority="1560" operator="equal">
      <formula>"Tramitando"</formula>
    </cfRule>
    <cfRule type="cellIs" dxfId="3500" priority="1561" operator="equal">
      <formula>"Deferido"</formula>
    </cfRule>
    <cfRule type="cellIs" dxfId="3499" priority="1562" operator="equal">
      <formula>"Indeferido"</formula>
    </cfRule>
  </conditionalFormatting>
  <conditionalFormatting sqref="J846">
    <cfRule type="containsText" dxfId="3498" priority="1559" operator="containsText" text="Cancelado">
      <formula>NOT(ISERROR(SEARCH("Cancelado",J846)))</formula>
    </cfRule>
  </conditionalFormatting>
  <conditionalFormatting sqref="M846">
    <cfRule type="cellIs" dxfId="3497" priority="1556" operator="equal">
      <formula>"Tramitando"</formula>
    </cfRule>
    <cfRule type="cellIs" dxfId="3496" priority="1557" operator="equal">
      <formula>"Deferido"</formula>
    </cfRule>
    <cfRule type="cellIs" dxfId="3495" priority="1558" operator="equal">
      <formula>"Indeferido"</formula>
    </cfRule>
  </conditionalFormatting>
  <conditionalFormatting sqref="M846">
    <cfRule type="containsText" dxfId="3494" priority="1555" operator="containsText" text="Cancelado">
      <formula>NOT(ISERROR(SEARCH("Cancelado",M846)))</formula>
    </cfRule>
  </conditionalFormatting>
  <conditionalFormatting sqref="O846">
    <cfRule type="cellIs" dxfId="3493" priority="1552" operator="equal">
      <formula>"Tramitando"</formula>
    </cfRule>
    <cfRule type="cellIs" dxfId="3492" priority="1553" operator="equal">
      <formula>"Deferido"</formula>
    </cfRule>
    <cfRule type="cellIs" dxfId="3491" priority="1554" operator="equal">
      <formula>"Indeferido"</formula>
    </cfRule>
  </conditionalFormatting>
  <conditionalFormatting sqref="O846">
    <cfRule type="containsText" dxfId="3490" priority="1551" operator="containsText" text="Cancelado">
      <formula>NOT(ISERROR(SEARCH("Cancelado",O846)))</formula>
    </cfRule>
  </conditionalFormatting>
  <conditionalFormatting sqref="Q846">
    <cfRule type="cellIs" dxfId="3489" priority="1548" operator="equal">
      <formula>"Tramitando"</formula>
    </cfRule>
    <cfRule type="cellIs" dxfId="3488" priority="1549" operator="equal">
      <formula>"Deferido"</formula>
    </cfRule>
    <cfRule type="cellIs" dxfId="3487" priority="1550" operator="equal">
      <formula>"Indeferido"</formula>
    </cfRule>
  </conditionalFormatting>
  <conditionalFormatting sqref="Q846">
    <cfRule type="containsText" dxfId="3486" priority="1547" operator="containsText" text="Cancelado">
      <formula>NOT(ISERROR(SEARCH("Cancelado",Q846)))</formula>
    </cfRule>
  </conditionalFormatting>
  <conditionalFormatting sqref="S846">
    <cfRule type="cellIs" dxfId="3485" priority="1544" operator="equal">
      <formula>"Tramitando"</formula>
    </cfRule>
    <cfRule type="cellIs" dxfId="3484" priority="1545" operator="equal">
      <formula>"Deferido"</formula>
    </cfRule>
    <cfRule type="cellIs" dxfId="3483" priority="1546" operator="equal">
      <formula>"Indeferido"</formula>
    </cfRule>
  </conditionalFormatting>
  <conditionalFormatting sqref="S846">
    <cfRule type="containsText" dxfId="3482" priority="1543" operator="containsText" text="Cancelado">
      <formula>NOT(ISERROR(SEARCH("Cancelado",S846)))</formula>
    </cfRule>
  </conditionalFormatting>
  <conditionalFormatting sqref="J847">
    <cfRule type="cellIs" dxfId="3481" priority="1539" operator="equal">
      <formula>"Tramitando"</formula>
    </cfRule>
    <cfRule type="cellIs" dxfId="3480" priority="1540" operator="equal">
      <formula>"Deferido"</formula>
    </cfRule>
    <cfRule type="cellIs" dxfId="3479" priority="1541" operator="equal">
      <formula>"Indeferido"</formula>
    </cfRule>
  </conditionalFormatting>
  <conditionalFormatting sqref="J847">
    <cfRule type="containsText" dxfId="3478" priority="1538" operator="containsText" text="Cancelado">
      <formula>NOT(ISERROR(SEARCH("Cancelado",J847)))</formula>
    </cfRule>
  </conditionalFormatting>
  <conditionalFormatting sqref="M847">
    <cfRule type="cellIs" dxfId="3477" priority="1535" operator="equal">
      <formula>"Tramitando"</formula>
    </cfRule>
    <cfRule type="cellIs" dxfId="3476" priority="1536" operator="equal">
      <formula>"Deferido"</formula>
    </cfRule>
    <cfRule type="cellIs" dxfId="3475" priority="1537" operator="equal">
      <formula>"Indeferido"</formula>
    </cfRule>
  </conditionalFormatting>
  <conditionalFormatting sqref="M847">
    <cfRule type="containsText" dxfId="3474" priority="1534" operator="containsText" text="Cancelado">
      <formula>NOT(ISERROR(SEARCH("Cancelado",M847)))</formula>
    </cfRule>
  </conditionalFormatting>
  <conditionalFormatting sqref="O847">
    <cfRule type="cellIs" dxfId="3473" priority="1531" operator="equal">
      <formula>"Tramitando"</formula>
    </cfRule>
    <cfRule type="cellIs" dxfId="3472" priority="1532" operator="equal">
      <formula>"Deferido"</formula>
    </cfRule>
    <cfRule type="cellIs" dxfId="3471" priority="1533" operator="equal">
      <formula>"Indeferido"</formula>
    </cfRule>
  </conditionalFormatting>
  <conditionalFormatting sqref="O847">
    <cfRule type="containsText" dxfId="3470" priority="1530" operator="containsText" text="Cancelado">
      <formula>NOT(ISERROR(SEARCH("Cancelado",O847)))</formula>
    </cfRule>
  </conditionalFormatting>
  <conditionalFormatting sqref="Q847">
    <cfRule type="cellIs" dxfId="3469" priority="1527" operator="equal">
      <formula>"Tramitando"</formula>
    </cfRule>
    <cfRule type="cellIs" dxfId="3468" priority="1528" operator="equal">
      <formula>"Deferido"</formula>
    </cfRule>
    <cfRule type="cellIs" dxfId="3467" priority="1529" operator="equal">
      <formula>"Indeferido"</formula>
    </cfRule>
  </conditionalFormatting>
  <conditionalFormatting sqref="Q847">
    <cfRule type="containsText" dxfId="3466" priority="1526" operator="containsText" text="Cancelado">
      <formula>NOT(ISERROR(SEARCH("Cancelado",Q847)))</formula>
    </cfRule>
  </conditionalFormatting>
  <conditionalFormatting sqref="S847">
    <cfRule type="cellIs" dxfId="3465" priority="1523" operator="equal">
      <formula>"Tramitando"</formula>
    </cfRule>
    <cfRule type="cellIs" dxfId="3464" priority="1524" operator="equal">
      <formula>"Deferido"</formula>
    </cfRule>
    <cfRule type="cellIs" dxfId="3463" priority="1525" operator="equal">
      <formula>"Indeferido"</formula>
    </cfRule>
  </conditionalFormatting>
  <conditionalFormatting sqref="S847">
    <cfRule type="containsText" dxfId="3462" priority="1522" operator="containsText" text="Cancelado">
      <formula>NOT(ISERROR(SEARCH("Cancelado",S847)))</formula>
    </cfRule>
  </conditionalFormatting>
  <conditionalFormatting sqref="J848">
    <cfRule type="cellIs" dxfId="3461" priority="1518" operator="equal">
      <formula>"Tramitando"</formula>
    </cfRule>
    <cfRule type="cellIs" dxfId="3460" priority="1519" operator="equal">
      <formula>"Deferido"</formula>
    </cfRule>
    <cfRule type="cellIs" dxfId="3459" priority="1520" operator="equal">
      <formula>"Indeferido"</formula>
    </cfRule>
  </conditionalFormatting>
  <conditionalFormatting sqref="J848">
    <cfRule type="containsText" dxfId="3458" priority="1517" operator="containsText" text="Cancelado">
      <formula>NOT(ISERROR(SEARCH("Cancelado",J848)))</formula>
    </cfRule>
  </conditionalFormatting>
  <conditionalFormatting sqref="M848">
    <cfRule type="cellIs" dxfId="3457" priority="1514" operator="equal">
      <formula>"Tramitando"</formula>
    </cfRule>
    <cfRule type="cellIs" dxfId="3456" priority="1515" operator="equal">
      <formula>"Deferido"</formula>
    </cfRule>
    <cfRule type="cellIs" dxfId="3455" priority="1516" operator="equal">
      <formula>"Indeferido"</formula>
    </cfRule>
  </conditionalFormatting>
  <conditionalFormatting sqref="M848">
    <cfRule type="containsText" dxfId="3454" priority="1513" operator="containsText" text="Cancelado">
      <formula>NOT(ISERROR(SEARCH("Cancelado",M848)))</formula>
    </cfRule>
  </conditionalFormatting>
  <conditionalFormatting sqref="O848">
    <cfRule type="cellIs" dxfId="3453" priority="1510" operator="equal">
      <formula>"Tramitando"</formula>
    </cfRule>
    <cfRule type="cellIs" dxfId="3452" priority="1511" operator="equal">
      <formula>"Deferido"</formula>
    </cfRule>
    <cfRule type="cellIs" dxfId="3451" priority="1512" operator="equal">
      <formula>"Indeferido"</formula>
    </cfRule>
  </conditionalFormatting>
  <conditionalFormatting sqref="O848">
    <cfRule type="containsText" dxfId="3450" priority="1509" operator="containsText" text="Cancelado">
      <formula>NOT(ISERROR(SEARCH("Cancelado",O848)))</formula>
    </cfRule>
  </conditionalFormatting>
  <conditionalFormatting sqref="Q848">
    <cfRule type="cellIs" dxfId="3449" priority="1506" operator="equal">
      <formula>"Tramitando"</formula>
    </cfRule>
    <cfRule type="cellIs" dxfId="3448" priority="1507" operator="equal">
      <formula>"Deferido"</formula>
    </cfRule>
    <cfRule type="cellIs" dxfId="3447" priority="1508" operator="equal">
      <formula>"Indeferido"</formula>
    </cfRule>
  </conditionalFormatting>
  <conditionalFormatting sqref="Q848">
    <cfRule type="containsText" dxfId="3446" priority="1505" operator="containsText" text="Cancelado">
      <formula>NOT(ISERROR(SEARCH("Cancelado",Q848)))</formula>
    </cfRule>
  </conditionalFormatting>
  <conditionalFormatting sqref="S848">
    <cfRule type="cellIs" dxfId="3445" priority="1502" operator="equal">
      <formula>"Tramitando"</formula>
    </cfRule>
    <cfRule type="cellIs" dxfId="3444" priority="1503" operator="equal">
      <formula>"Deferido"</formula>
    </cfRule>
    <cfRule type="cellIs" dxfId="3443" priority="1504" operator="equal">
      <formula>"Indeferido"</formula>
    </cfRule>
  </conditionalFormatting>
  <conditionalFormatting sqref="S848">
    <cfRule type="containsText" dxfId="3442" priority="1501" operator="containsText" text="Cancelado">
      <formula>NOT(ISERROR(SEARCH("Cancelado",S848)))</formula>
    </cfRule>
  </conditionalFormatting>
  <conditionalFormatting sqref="J849">
    <cfRule type="cellIs" dxfId="3441" priority="1497" operator="equal">
      <formula>"Tramitando"</formula>
    </cfRule>
    <cfRule type="cellIs" dxfId="3440" priority="1498" operator="equal">
      <formula>"Deferido"</formula>
    </cfRule>
    <cfRule type="cellIs" dxfId="3439" priority="1499" operator="equal">
      <formula>"Indeferido"</formula>
    </cfRule>
  </conditionalFormatting>
  <conditionalFormatting sqref="J849">
    <cfRule type="containsText" dxfId="3438" priority="1496" operator="containsText" text="Cancelado">
      <formula>NOT(ISERROR(SEARCH("Cancelado",J849)))</formula>
    </cfRule>
  </conditionalFormatting>
  <conditionalFormatting sqref="M849">
    <cfRule type="cellIs" dxfId="3437" priority="1493" operator="equal">
      <formula>"Tramitando"</formula>
    </cfRule>
    <cfRule type="cellIs" dxfId="3436" priority="1494" operator="equal">
      <formula>"Deferido"</formula>
    </cfRule>
    <cfRule type="cellIs" dxfId="3435" priority="1495" operator="equal">
      <formula>"Indeferido"</formula>
    </cfRule>
  </conditionalFormatting>
  <conditionalFormatting sqref="M849">
    <cfRule type="containsText" dxfId="3434" priority="1492" operator="containsText" text="Cancelado">
      <formula>NOT(ISERROR(SEARCH("Cancelado",M849)))</formula>
    </cfRule>
  </conditionalFormatting>
  <conditionalFormatting sqref="O849">
    <cfRule type="cellIs" dxfId="3433" priority="1489" operator="equal">
      <formula>"Tramitando"</formula>
    </cfRule>
    <cfRule type="cellIs" dxfId="3432" priority="1490" operator="equal">
      <formula>"Deferido"</formula>
    </cfRule>
    <cfRule type="cellIs" dxfId="3431" priority="1491" operator="equal">
      <formula>"Indeferido"</formula>
    </cfRule>
  </conditionalFormatting>
  <conditionalFormatting sqref="O849">
    <cfRule type="containsText" dxfId="3430" priority="1488" operator="containsText" text="Cancelado">
      <formula>NOT(ISERROR(SEARCH("Cancelado",O849)))</formula>
    </cfRule>
  </conditionalFormatting>
  <conditionalFormatting sqref="Q849">
    <cfRule type="cellIs" dxfId="3429" priority="1485" operator="equal">
      <formula>"Tramitando"</formula>
    </cfRule>
    <cfRule type="cellIs" dxfId="3428" priority="1486" operator="equal">
      <formula>"Deferido"</formula>
    </cfRule>
    <cfRule type="cellIs" dxfId="3427" priority="1487" operator="equal">
      <formula>"Indeferido"</formula>
    </cfRule>
  </conditionalFormatting>
  <conditionalFormatting sqref="Q849">
    <cfRule type="containsText" dxfId="3426" priority="1484" operator="containsText" text="Cancelado">
      <formula>NOT(ISERROR(SEARCH("Cancelado",Q849)))</formula>
    </cfRule>
  </conditionalFormatting>
  <conditionalFormatting sqref="S849">
    <cfRule type="cellIs" dxfId="3425" priority="1481" operator="equal">
      <formula>"Tramitando"</formula>
    </cfRule>
    <cfRule type="cellIs" dxfId="3424" priority="1482" operator="equal">
      <formula>"Deferido"</formula>
    </cfRule>
    <cfRule type="cellIs" dxfId="3423" priority="1483" operator="equal">
      <formula>"Indeferido"</formula>
    </cfRule>
  </conditionalFormatting>
  <conditionalFormatting sqref="S849">
    <cfRule type="containsText" dxfId="3422" priority="1480" operator="containsText" text="Cancelado">
      <formula>NOT(ISERROR(SEARCH("Cancelado",S849)))</formula>
    </cfRule>
  </conditionalFormatting>
  <conditionalFormatting sqref="J850">
    <cfRule type="cellIs" dxfId="3421" priority="1476" operator="equal">
      <formula>"Tramitando"</formula>
    </cfRule>
    <cfRule type="cellIs" dxfId="3420" priority="1477" operator="equal">
      <formula>"Deferido"</formula>
    </cfRule>
    <cfRule type="cellIs" dxfId="3419" priority="1478" operator="equal">
      <formula>"Indeferido"</formula>
    </cfRule>
  </conditionalFormatting>
  <conditionalFormatting sqref="J850">
    <cfRule type="containsText" dxfId="3418" priority="1475" operator="containsText" text="Cancelado">
      <formula>NOT(ISERROR(SEARCH("Cancelado",J850)))</formula>
    </cfRule>
  </conditionalFormatting>
  <conditionalFormatting sqref="M850">
    <cfRule type="cellIs" dxfId="3417" priority="1472" operator="equal">
      <formula>"Tramitando"</formula>
    </cfRule>
    <cfRule type="cellIs" dxfId="3416" priority="1473" operator="equal">
      <formula>"Deferido"</formula>
    </cfRule>
    <cfRule type="cellIs" dxfId="3415" priority="1474" operator="equal">
      <formula>"Indeferido"</formula>
    </cfRule>
  </conditionalFormatting>
  <conditionalFormatting sqref="M850">
    <cfRule type="containsText" dxfId="3414" priority="1471" operator="containsText" text="Cancelado">
      <formula>NOT(ISERROR(SEARCH("Cancelado",M850)))</formula>
    </cfRule>
  </conditionalFormatting>
  <conditionalFormatting sqref="O850">
    <cfRule type="cellIs" dxfId="3413" priority="1468" operator="equal">
      <formula>"Tramitando"</formula>
    </cfRule>
    <cfRule type="cellIs" dxfId="3412" priority="1469" operator="equal">
      <formula>"Deferido"</formula>
    </cfRule>
    <cfRule type="cellIs" dxfId="3411" priority="1470" operator="equal">
      <formula>"Indeferido"</formula>
    </cfRule>
  </conditionalFormatting>
  <conditionalFormatting sqref="O850">
    <cfRule type="containsText" dxfId="3410" priority="1467" operator="containsText" text="Cancelado">
      <formula>NOT(ISERROR(SEARCH("Cancelado",O850)))</formula>
    </cfRule>
  </conditionalFormatting>
  <conditionalFormatting sqref="Q850">
    <cfRule type="cellIs" dxfId="3409" priority="1464" operator="equal">
      <formula>"Tramitando"</formula>
    </cfRule>
    <cfRule type="cellIs" dxfId="3408" priority="1465" operator="equal">
      <formula>"Deferido"</formula>
    </cfRule>
    <cfRule type="cellIs" dxfId="3407" priority="1466" operator="equal">
      <formula>"Indeferido"</formula>
    </cfRule>
  </conditionalFormatting>
  <conditionalFormatting sqref="Q850">
    <cfRule type="containsText" dxfId="3406" priority="1463" operator="containsText" text="Cancelado">
      <formula>NOT(ISERROR(SEARCH("Cancelado",Q850)))</formula>
    </cfRule>
  </conditionalFormatting>
  <conditionalFormatting sqref="S850">
    <cfRule type="cellIs" dxfId="3405" priority="1460" operator="equal">
      <formula>"Tramitando"</formula>
    </cfRule>
    <cfRule type="cellIs" dxfId="3404" priority="1461" operator="equal">
      <formula>"Deferido"</formula>
    </cfRule>
    <cfRule type="cellIs" dxfId="3403" priority="1462" operator="equal">
      <formula>"Indeferido"</formula>
    </cfRule>
  </conditionalFormatting>
  <conditionalFormatting sqref="S850">
    <cfRule type="containsText" dxfId="3402" priority="1459" operator="containsText" text="Cancelado">
      <formula>NOT(ISERROR(SEARCH("Cancelado",S850)))</formula>
    </cfRule>
  </conditionalFormatting>
  <conditionalFormatting sqref="J851">
    <cfRule type="cellIs" dxfId="3401" priority="1455" operator="equal">
      <formula>"Tramitando"</formula>
    </cfRule>
    <cfRule type="cellIs" dxfId="3400" priority="1456" operator="equal">
      <formula>"Deferido"</formula>
    </cfRule>
    <cfRule type="cellIs" dxfId="3399" priority="1457" operator="equal">
      <formula>"Indeferido"</formula>
    </cfRule>
  </conditionalFormatting>
  <conditionalFormatting sqref="J851">
    <cfRule type="containsText" dxfId="3398" priority="1454" operator="containsText" text="Cancelado">
      <formula>NOT(ISERROR(SEARCH("Cancelado",J851)))</formula>
    </cfRule>
  </conditionalFormatting>
  <conditionalFormatting sqref="M851">
    <cfRule type="cellIs" dxfId="3397" priority="1451" operator="equal">
      <formula>"Tramitando"</formula>
    </cfRule>
    <cfRule type="cellIs" dxfId="3396" priority="1452" operator="equal">
      <formula>"Deferido"</formula>
    </cfRule>
    <cfRule type="cellIs" dxfId="3395" priority="1453" operator="equal">
      <formula>"Indeferido"</formula>
    </cfRule>
  </conditionalFormatting>
  <conditionalFormatting sqref="M851">
    <cfRule type="containsText" dxfId="3394" priority="1450" operator="containsText" text="Cancelado">
      <formula>NOT(ISERROR(SEARCH("Cancelado",M851)))</formula>
    </cfRule>
  </conditionalFormatting>
  <conditionalFormatting sqref="O851">
    <cfRule type="cellIs" dxfId="3393" priority="1447" operator="equal">
      <formula>"Tramitando"</formula>
    </cfRule>
    <cfRule type="cellIs" dxfId="3392" priority="1448" operator="equal">
      <formula>"Deferido"</formula>
    </cfRule>
    <cfRule type="cellIs" dxfId="3391" priority="1449" operator="equal">
      <formula>"Indeferido"</formula>
    </cfRule>
  </conditionalFormatting>
  <conditionalFormatting sqref="O851">
    <cfRule type="containsText" dxfId="3390" priority="1446" operator="containsText" text="Cancelado">
      <formula>NOT(ISERROR(SEARCH("Cancelado",O851)))</formula>
    </cfRule>
  </conditionalFormatting>
  <conditionalFormatting sqref="Q851">
    <cfRule type="cellIs" dxfId="3389" priority="1443" operator="equal">
      <formula>"Tramitando"</formula>
    </cfRule>
    <cfRule type="cellIs" dxfId="3388" priority="1444" operator="equal">
      <formula>"Deferido"</formula>
    </cfRule>
    <cfRule type="cellIs" dxfId="3387" priority="1445" operator="equal">
      <formula>"Indeferido"</formula>
    </cfRule>
  </conditionalFormatting>
  <conditionalFormatting sqref="Q851">
    <cfRule type="containsText" dxfId="3386" priority="1442" operator="containsText" text="Cancelado">
      <formula>NOT(ISERROR(SEARCH("Cancelado",Q851)))</formula>
    </cfRule>
  </conditionalFormatting>
  <conditionalFormatting sqref="S851">
    <cfRule type="cellIs" dxfId="3385" priority="1439" operator="equal">
      <formula>"Tramitando"</formula>
    </cfRule>
    <cfRule type="cellIs" dxfId="3384" priority="1440" operator="equal">
      <formula>"Deferido"</formula>
    </cfRule>
    <cfRule type="cellIs" dxfId="3383" priority="1441" operator="equal">
      <formula>"Indeferido"</formula>
    </cfRule>
  </conditionalFormatting>
  <conditionalFormatting sqref="S851">
    <cfRule type="containsText" dxfId="3382" priority="1438" operator="containsText" text="Cancelado">
      <formula>NOT(ISERROR(SEARCH("Cancelado",S851)))</formula>
    </cfRule>
  </conditionalFormatting>
  <conditionalFormatting sqref="J852">
    <cfRule type="cellIs" dxfId="3381" priority="1434" operator="equal">
      <formula>"Tramitando"</formula>
    </cfRule>
    <cfRule type="cellIs" dxfId="3380" priority="1435" operator="equal">
      <formula>"Deferido"</formula>
    </cfRule>
    <cfRule type="cellIs" dxfId="3379" priority="1436" operator="equal">
      <formula>"Indeferido"</formula>
    </cfRule>
  </conditionalFormatting>
  <conditionalFormatting sqref="J852">
    <cfRule type="containsText" dxfId="3378" priority="1433" operator="containsText" text="Cancelado">
      <formula>NOT(ISERROR(SEARCH("Cancelado",J852)))</formula>
    </cfRule>
  </conditionalFormatting>
  <conditionalFormatting sqref="M852">
    <cfRule type="cellIs" dxfId="3377" priority="1430" operator="equal">
      <formula>"Tramitando"</formula>
    </cfRule>
    <cfRule type="cellIs" dxfId="3376" priority="1431" operator="equal">
      <formula>"Deferido"</formula>
    </cfRule>
    <cfRule type="cellIs" dxfId="3375" priority="1432" operator="equal">
      <formula>"Indeferido"</formula>
    </cfRule>
  </conditionalFormatting>
  <conditionalFormatting sqref="M852">
    <cfRule type="containsText" dxfId="3374" priority="1429" operator="containsText" text="Cancelado">
      <formula>NOT(ISERROR(SEARCH("Cancelado",M852)))</formula>
    </cfRule>
  </conditionalFormatting>
  <conditionalFormatting sqref="O852">
    <cfRule type="cellIs" dxfId="3373" priority="1426" operator="equal">
      <formula>"Tramitando"</formula>
    </cfRule>
    <cfRule type="cellIs" dxfId="3372" priority="1427" operator="equal">
      <formula>"Deferido"</formula>
    </cfRule>
    <cfRule type="cellIs" dxfId="3371" priority="1428" operator="equal">
      <formula>"Indeferido"</formula>
    </cfRule>
  </conditionalFormatting>
  <conditionalFormatting sqref="O852">
    <cfRule type="containsText" dxfId="3370" priority="1425" operator="containsText" text="Cancelado">
      <formula>NOT(ISERROR(SEARCH("Cancelado",O852)))</formula>
    </cfRule>
  </conditionalFormatting>
  <conditionalFormatting sqref="Q852">
    <cfRule type="cellIs" dxfId="3369" priority="1422" operator="equal">
      <formula>"Tramitando"</formula>
    </cfRule>
    <cfRule type="cellIs" dxfId="3368" priority="1423" operator="equal">
      <formula>"Deferido"</formula>
    </cfRule>
    <cfRule type="cellIs" dxfId="3367" priority="1424" operator="equal">
      <formula>"Indeferido"</formula>
    </cfRule>
  </conditionalFormatting>
  <conditionalFormatting sqref="Q852">
    <cfRule type="containsText" dxfId="3366" priority="1421" operator="containsText" text="Cancelado">
      <formula>NOT(ISERROR(SEARCH("Cancelado",Q852)))</formula>
    </cfRule>
  </conditionalFormatting>
  <conditionalFormatting sqref="S852">
    <cfRule type="cellIs" dxfId="3365" priority="1418" operator="equal">
      <formula>"Tramitando"</formula>
    </cfRule>
    <cfRule type="cellIs" dxfId="3364" priority="1419" operator="equal">
      <formula>"Deferido"</formula>
    </cfRule>
    <cfRule type="cellIs" dxfId="3363" priority="1420" operator="equal">
      <formula>"Indeferido"</formula>
    </cfRule>
  </conditionalFormatting>
  <conditionalFormatting sqref="S852">
    <cfRule type="containsText" dxfId="3362" priority="1417" operator="containsText" text="Cancelado">
      <formula>NOT(ISERROR(SEARCH("Cancelado",S852)))</formula>
    </cfRule>
  </conditionalFormatting>
  <conditionalFormatting sqref="J853">
    <cfRule type="cellIs" dxfId="3361" priority="1413" operator="equal">
      <formula>"Tramitando"</formula>
    </cfRule>
    <cfRule type="cellIs" dxfId="3360" priority="1414" operator="equal">
      <formula>"Deferido"</formula>
    </cfRule>
    <cfRule type="cellIs" dxfId="3359" priority="1415" operator="equal">
      <formula>"Indeferido"</formula>
    </cfRule>
  </conditionalFormatting>
  <conditionalFormatting sqref="J853">
    <cfRule type="containsText" dxfId="3358" priority="1412" operator="containsText" text="Cancelado">
      <formula>NOT(ISERROR(SEARCH("Cancelado",J853)))</formula>
    </cfRule>
  </conditionalFormatting>
  <conditionalFormatting sqref="M853">
    <cfRule type="cellIs" dxfId="3357" priority="1409" operator="equal">
      <formula>"Tramitando"</formula>
    </cfRule>
    <cfRule type="cellIs" dxfId="3356" priority="1410" operator="equal">
      <formula>"Deferido"</formula>
    </cfRule>
    <cfRule type="cellIs" dxfId="3355" priority="1411" operator="equal">
      <formula>"Indeferido"</formula>
    </cfRule>
  </conditionalFormatting>
  <conditionalFormatting sqref="M853">
    <cfRule type="containsText" dxfId="3354" priority="1408" operator="containsText" text="Cancelado">
      <formula>NOT(ISERROR(SEARCH("Cancelado",M853)))</formula>
    </cfRule>
  </conditionalFormatting>
  <conditionalFormatting sqref="O853">
    <cfRule type="cellIs" dxfId="3353" priority="1405" operator="equal">
      <formula>"Tramitando"</formula>
    </cfRule>
    <cfRule type="cellIs" dxfId="3352" priority="1406" operator="equal">
      <formula>"Deferido"</formula>
    </cfRule>
    <cfRule type="cellIs" dxfId="3351" priority="1407" operator="equal">
      <formula>"Indeferido"</formula>
    </cfRule>
  </conditionalFormatting>
  <conditionalFormatting sqref="O853">
    <cfRule type="containsText" dxfId="3350" priority="1404" operator="containsText" text="Cancelado">
      <formula>NOT(ISERROR(SEARCH("Cancelado",O853)))</formula>
    </cfRule>
  </conditionalFormatting>
  <conditionalFormatting sqref="Q853">
    <cfRule type="cellIs" dxfId="3349" priority="1401" operator="equal">
      <formula>"Tramitando"</formula>
    </cfRule>
    <cfRule type="cellIs" dxfId="3348" priority="1402" operator="equal">
      <formula>"Deferido"</formula>
    </cfRule>
    <cfRule type="cellIs" dxfId="3347" priority="1403" operator="equal">
      <formula>"Indeferido"</formula>
    </cfRule>
  </conditionalFormatting>
  <conditionalFormatting sqref="Q853">
    <cfRule type="containsText" dxfId="3346" priority="1400" operator="containsText" text="Cancelado">
      <formula>NOT(ISERROR(SEARCH("Cancelado",Q853)))</formula>
    </cfRule>
  </conditionalFormatting>
  <conditionalFormatting sqref="S853">
    <cfRule type="cellIs" dxfId="3345" priority="1397" operator="equal">
      <formula>"Tramitando"</formula>
    </cfRule>
    <cfRule type="cellIs" dxfId="3344" priority="1398" operator="equal">
      <formula>"Deferido"</formula>
    </cfRule>
    <cfRule type="cellIs" dxfId="3343" priority="1399" operator="equal">
      <formula>"Indeferido"</formula>
    </cfRule>
  </conditionalFormatting>
  <conditionalFormatting sqref="S853">
    <cfRule type="containsText" dxfId="3342" priority="1396" operator="containsText" text="Cancelado">
      <formula>NOT(ISERROR(SEARCH("Cancelado",S853)))</formula>
    </cfRule>
  </conditionalFormatting>
  <conditionalFormatting sqref="J854:J855">
    <cfRule type="cellIs" dxfId="3341" priority="1392" operator="equal">
      <formula>"Tramitando"</formula>
    </cfRule>
    <cfRule type="cellIs" dxfId="3340" priority="1393" operator="equal">
      <formula>"Deferido"</formula>
    </cfRule>
    <cfRule type="cellIs" dxfId="3339" priority="1394" operator="equal">
      <formula>"Indeferido"</formula>
    </cfRule>
  </conditionalFormatting>
  <conditionalFormatting sqref="J854:J855">
    <cfRule type="containsText" dxfId="3338" priority="1391" operator="containsText" text="Cancelado">
      <formula>NOT(ISERROR(SEARCH("Cancelado",J854)))</formula>
    </cfRule>
  </conditionalFormatting>
  <conditionalFormatting sqref="M854:M855">
    <cfRule type="cellIs" dxfId="3337" priority="1388" operator="equal">
      <formula>"Tramitando"</formula>
    </cfRule>
    <cfRule type="cellIs" dxfId="3336" priority="1389" operator="equal">
      <formula>"Deferido"</formula>
    </cfRule>
    <cfRule type="cellIs" dxfId="3335" priority="1390" operator="equal">
      <formula>"Indeferido"</formula>
    </cfRule>
  </conditionalFormatting>
  <conditionalFormatting sqref="M854:M855">
    <cfRule type="containsText" dxfId="3334" priority="1387" operator="containsText" text="Cancelado">
      <formula>NOT(ISERROR(SEARCH("Cancelado",M854)))</formula>
    </cfRule>
  </conditionalFormatting>
  <conditionalFormatting sqref="O854:O855">
    <cfRule type="cellIs" dxfId="3333" priority="1384" operator="equal">
      <formula>"Tramitando"</formula>
    </cfRule>
    <cfRule type="cellIs" dxfId="3332" priority="1385" operator="equal">
      <formula>"Deferido"</formula>
    </cfRule>
    <cfRule type="cellIs" dxfId="3331" priority="1386" operator="equal">
      <formula>"Indeferido"</formula>
    </cfRule>
  </conditionalFormatting>
  <conditionalFormatting sqref="O854:O855">
    <cfRule type="containsText" dxfId="3330" priority="1383" operator="containsText" text="Cancelado">
      <formula>NOT(ISERROR(SEARCH("Cancelado",O854)))</formula>
    </cfRule>
  </conditionalFormatting>
  <conditionalFormatting sqref="Q854:Q855">
    <cfRule type="cellIs" dxfId="3329" priority="1380" operator="equal">
      <formula>"Tramitando"</formula>
    </cfRule>
    <cfRule type="cellIs" dxfId="3328" priority="1381" operator="equal">
      <formula>"Deferido"</formula>
    </cfRule>
    <cfRule type="cellIs" dxfId="3327" priority="1382" operator="equal">
      <formula>"Indeferido"</formula>
    </cfRule>
  </conditionalFormatting>
  <conditionalFormatting sqref="Q854:Q855">
    <cfRule type="containsText" dxfId="3326" priority="1379" operator="containsText" text="Cancelado">
      <formula>NOT(ISERROR(SEARCH("Cancelado",Q854)))</formula>
    </cfRule>
  </conditionalFormatting>
  <conditionalFormatting sqref="S854:S855">
    <cfRule type="cellIs" dxfId="3325" priority="1376" operator="equal">
      <formula>"Tramitando"</formula>
    </cfRule>
    <cfRule type="cellIs" dxfId="3324" priority="1377" operator="equal">
      <formula>"Deferido"</formula>
    </cfRule>
    <cfRule type="cellIs" dxfId="3323" priority="1378" operator="equal">
      <formula>"Indeferido"</formula>
    </cfRule>
  </conditionalFormatting>
  <conditionalFormatting sqref="S854:S855">
    <cfRule type="containsText" dxfId="3322" priority="1375" operator="containsText" text="Cancelado">
      <formula>NOT(ISERROR(SEARCH("Cancelado",S854)))</formula>
    </cfRule>
  </conditionalFormatting>
  <conditionalFormatting sqref="J856">
    <cfRule type="cellIs" dxfId="3321" priority="1371" operator="equal">
      <formula>"Tramitando"</formula>
    </cfRule>
    <cfRule type="cellIs" dxfId="3320" priority="1372" operator="equal">
      <formula>"Deferido"</formula>
    </cfRule>
    <cfRule type="cellIs" dxfId="3319" priority="1373" operator="equal">
      <formula>"Indeferido"</formula>
    </cfRule>
  </conditionalFormatting>
  <conditionalFormatting sqref="J856">
    <cfRule type="containsText" dxfId="3318" priority="1370" operator="containsText" text="Cancelado">
      <formula>NOT(ISERROR(SEARCH("Cancelado",J856)))</formula>
    </cfRule>
  </conditionalFormatting>
  <conditionalFormatting sqref="M856">
    <cfRule type="cellIs" dxfId="3317" priority="1367" operator="equal">
      <formula>"Tramitando"</formula>
    </cfRule>
    <cfRule type="cellIs" dxfId="3316" priority="1368" operator="equal">
      <formula>"Deferido"</formula>
    </cfRule>
    <cfRule type="cellIs" dxfId="3315" priority="1369" operator="equal">
      <formula>"Indeferido"</formula>
    </cfRule>
  </conditionalFormatting>
  <conditionalFormatting sqref="M856">
    <cfRule type="containsText" dxfId="3314" priority="1366" operator="containsText" text="Cancelado">
      <formula>NOT(ISERROR(SEARCH("Cancelado",M856)))</formula>
    </cfRule>
  </conditionalFormatting>
  <conditionalFormatting sqref="O856">
    <cfRule type="cellIs" dxfId="3313" priority="1363" operator="equal">
      <formula>"Tramitando"</formula>
    </cfRule>
    <cfRule type="cellIs" dxfId="3312" priority="1364" operator="equal">
      <formula>"Deferido"</formula>
    </cfRule>
    <cfRule type="cellIs" dxfId="3311" priority="1365" operator="equal">
      <formula>"Indeferido"</formula>
    </cfRule>
  </conditionalFormatting>
  <conditionalFormatting sqref="O856">
    <cfRule type="containsText" dxfId="3310" priority="1362" operator="containsText" text="Cancelado">
      <formula>NOT(ISERROR(SEARCH("Cancelado",O856)))</formula>
    </cfRule>
  </conditionalFormatting>
  <conditionalFormatting sqref="Q856">
    <cfRule type="cellIs" dxfId="3309" priority="1359" operator="equal">
      <formula>"Tramitando"</formula>
    </cfRule>
    <cfRule type="cellIs" dxfId="3308" priority="1360" operator="equal">
      <formula>"Deferido"</formula>
    </cfRule>
    <cfRule type="cellIs" dxfId="3307" priority="1361" operator="equal">
      <formula>"Indeferido"</formula>
    </cfRule>
  </conditionalFormatting>
  <conditionalFormatting sqref="Q856">
    <cfRule type="containsText" dxfId="3306" priority="1358" operator="containsText" text="Cancelado">
      <formula>NOT(ISERROR(SEARCH("Cancelado",Q856)))</formula>
    </cfRule>
  </conditionalFormatting>
  <conditionalFormatting sqref="S856">
    <cfRule type="cellIs" dxfId="3305" priority="1355" operator="equal">
      <formula>"Tramitando"</formula>
    </cfRule>
    <cfRule type="cellIs" dxfId="3304" priority="1356" operator="equal">
      <formula>"Deferido"</formula>
    </cfRule>
    <cfRule type="cellIs" dxfId="3303" priority="1357" operator="equal">
      <formula>"Indeferido"</formula>
    </cfRule>
  </conditionalFormatting>
  <conditionalFormatting sqref="S856">
    <cfRule type="containsText" dxfId="3302" priority="1354" operator="containsText" text="Cancelado">
      <formula>NOT(ISERROR(SEARCH("Cancelado",S856)))</formula>
    </cfRule>
  </conditionalFormatting>
  <conditionalFormatting sqref="J857">
    <cfRule type="cellIs" dxfId="3301" priority="1346" operator="equal">
      <formula>"Tramitando"</formula>
    </cfRule>
    <cfRule type="cellIs" dxfId="3300" priority="1347" operator="equal">
      <formula>"Deferido"</formula>
    </cfRule>
    <cfRule type="cellIs" dxfId="3299" priority="1348" operator="equal">
      <formula>"Indeferido"</formula>
    </cfRule>
  </conditionalFormatting>
  <conditionalFormatting sqref="J857">
    <cfRule type="containsText" dxfId="3298" priority="1345" operator="containsText" text="Cancelado">
      <formula>NOT(ISERROR(SEARCH("Cancelado",J857)))</formula>
    </cfRule>
  </conditionalFormatting>
  <conditionalFormatting sqref="M857">
    <cfRule type="cellIs" dxfId="3297" priority="1342" operator="equal">
      <formula>"Tramitando"</formula>
    </cfRule>
    <cfRule type="cellIs" dxfId="3296" priority="1343" operator="equal">
      <formula>"Deferido"</formula>
    </cfRule>
    <cfRule type="cellIs" dxfId="3295" priority="1344" operator="equal">
      <formula>"Indeferido"</formula>
    </cfRule>
  </conditionalFormatting>
  <conditionalFormatting sqref="M857">
    <cfRule type="containsText" dxfId="3294" priority="1341" operator="containsText" text="Cancelado">
      <formula>NOT(ISERROR(SEARCH("Cancelado",M857)))</formula>
    </cfRule>
  </conditionalFormatting>
  <conditionalFormatting sqref="O857">
    <cfRule type="cellIs" dxfId="3293" priority="1338" operator="equal">
      <formula>"Tramitando"</formula>
    </cfRule>
    <cfRule type="cellIs" dxfId="3292" priority="1339" operator="equal">
      <formula>"Deferido"</formula>
    </cfRule>
    <cfRule type="cellIs" dxfId="3291" priority="1340" operator="equal">
      <formula>"Indeferido"</formula>
    </cfRule>
  </conditionalFormatting>
  <conditionalFormatting sqref="O857">
    <cfRule type="containsText" dxfId="3290" priority="1337" operator="containsText" text="Cancelado">
      <formula>NOT(ISERROR(SEARCH("Cancelado",O857)))</formula>
    </cfRule>
  </conditionalFormatting>
  <conditionalFormatting sqref="Q857">
    <cfRule type="cellIs" dxfId="3289" priority="1334" operator="equal">
      <formula>"Tramitando"</formula>
    </cfRule>
    <cfRule type="cellIs" dxfId="3288" priority="1335" operator="equal">
      <formula>"Deferido"</formula>
    </cfRule>
    <cfRule type="cellIs" dxfId="3287" priority="1336" operator="equal">
      <formula>"Indeferido"</formula>
    </cfRule>
  </conditionalFormatting>
  <conditionalFormatting sqref="Q857">
    <cfRule type="containsText" dxfId="3286" priority="1333" operator="containsText" text="Cancelado">
      <formula>NOT(ISERROR(SEARCH("Cancelado",Q857)))</formula>
    </cfRule>
  </conditionalFormatting>
  <conditionalFormatting sqref="S857">
    <cfRule type="cellIs" dxfId="3285" priority="1330" operator="equal">
      <formula>"Tramitando"</formula>
    </cfRule>
    <cfRule type="cellIs" dxfId="3284" priority="1331" operator="equal">
      <formula>"Deferido"</formula>
    </cfRule>
    <cfRule type="cellIs" dxfId="3283" priority="1332" operator="equal">
      <formula>"Indeferido"</formula>
    </cfRule>
  </conditionalFormatting>
  <conditionalFormatting sqref="S857">
    <cfRule type="containsText" dxfId="3282" priority="1329" operator="containsText" text="Cancelado">
      <formula>NOT(ISERROR(SEARCH("Cancelado",S857)))</formula>
    </cfRule>
  </conditionalFormatting>
  <conditionalFormatting sqref="J858">
    <cfRule type="cellIs" dxfId="3281" priority="1325" operator="equal">
      <formula>"Tramitando"</formula>
    </cfRule>
    <cfRule type="cellIs" dxfId="3280" priority="1326" operator="equal">
      <formula>"Deferido"</formula>
    </cfRule>
    <cfRule type="cellIs" dxfId="3279" priority="1327" operator="equal">
      <formula>"Indeferido"</formula>
    </cfRule>
  </conditionalFormatting>
  <conditionalFormatting sqref="J858">
    <cfRule type="containsText" dxfId="3278" priority="1324" operator="containsText" text="Cancelado">
      <formula>NOT(ISERROR(SEARCH("Cancelado",J858)))</formula>
    </cfRule>
  </conditionalFormatting>
  <conditionalFormatting sqref="M858">
    <cfRule type="cellIs" dxfId="3277" priority="1321" operator="equal">
      <formula>"Tramitando"</formula>
    </cfRule>
    <cfRule type="cellIs" dxfId="3276" priority="1322" operator="equal">
      <formula>"Deferido"</formula>
    </cfRule>
    <cfRule type="cellIs" dxfId="3275" priority="1323" operator="equal">
      <formula>"Indeferido"</formula>
    </cfRule>
  </conditionalFormatting>
  <conditionalFormatting sqref="M858">
    <cfRule type="containsText" dxfId="3274" priority="1320" operator="containsText" text="Cancelado">
      <formula>NOT(ISERROR(SEARCH("Cancelado",M858)))</formula>
    </cfRule>
  </conditionalFormatting>
  <conditionalFormatting sqref="O858">
    <cfRule type="cellIs" dxfId="3273" priority="1317" operator="equal">
      <formula>"Tramitando"</formula>
    </cfRule>
    <cfRule type="cellIs" dxfId="3272" priority="1318" operator="equal">
      <formula>"Deferido"</formula>
    </cfRule>
    <cfRule type="cellIs" dxfId="3271" priority="1319" operator="equal">
      <formula>"Indeferido"</formula>
    </cfRule>
  </conditionalFormatting>
  <conditionalFormatting sqref="O858">
    <cfRule type="containsText" dxfId="3270" priority="1316" operator="containsText" text="Cancelado">
      <formula>NOT(ISERROR(SEARCH("Cancelado",O858)))</formula>
    </cfRule>
  </conditionalFormatting>
  <conditionalFormatting sqref="Q858">
    <cfRule type="cellIs" dxfId="3269" priority="1313" operator="equal">
      <formula>"Tramitando"</formula>
    </cfRule>
    <cfRule type="cellIs" dxfId="3268" priority="1314" operator="equal">
      <formula>"Deferido"</formula>
    </cfRule>
    <cfRule type="cellIs" dxfId="3267" priority="1315" operator="equal">
      <formula>"Indeferido"</formula>
    </cfRule>
  </conditionalFormatting>
  <conditionalFormatting sqref="Q858">
    <cfRule type="containsText" dxfId="3266" priority="1312" operator="containsText" text="Cancelado">
      <formula>NOT(ISERROR(SEARCH("Cancelado",Q858)))</formula>
    </cfRule>
  </conditionalFormatting>
  <conditionalFormatting sqref="S858">
    <cfRule type="cellIs" dxfId="3265" priority="1309" operator="equal">
      <formula>"Tramitando"</formula>
    </cfRule>
    <cfRule type="cellIs" dxfId="3264" priority="1310" operator="equal">
      <formula>"Deferido"</formula>
    </cfRule>
    <cfRule type="cellIs" dxfId="3263" priority="1311" operator="equal">
      <formula>"Indeferido"</formula>
    </cfRule>
  </conditionalFormatting>
  <conditionalFormatting sqref="S858">
    <cfRule type="containsText" dxfId="3262" priority="1308" operator="containsText" text="Cancelado">
      <formula>NOT(ISERROR(SEARCH("Cancelado",S858)))</formula>
    </cfRule>
  </conditionalFormatting>
  <conditionalFormatting sqref="J859:J861">
    <cfRule type="cellIs" dxfId="3261" priority="1304" operator="equal">
      <formula>"Tramitando"</formula>
    </cfRule>
    <cfRule type="cellIs" dxfId="3260" priority="1305" operator="equal">
      <formula>"Deferido"</formula>
    </cfRule>
    <cfRule type="cellIs" dxfId="3259" priority="1306" operator="equal">
      <formula>"Indeferido"</formula>
    </cfRule>
  </conditionalFormatting>
  <conditionalFormatting sqref="J859:J861">
    <cfRule type="containsText" dxfId="3258" priority="1303" operator="containsText" text="Cancelado">
      <formula>NOT(ISERROR(SEARCH("Cancelado",J859)))</formula>
    </cfRule>
  </conditionalFormatting>
  <conditionalFormatting sqref="M859:M861">
    <cfRule type="cellIs" dxfId="3257" priority="1300" operator="equal">
      <formula>"Tramitando"</formula>
    </cfRule>
    <cfRule type="cellIs" dxfId="3256" priority="1301" operator="equal">
      <formula>"Deferido"</formula>
    </cfRule>
    <cfRule type="cellIs" dxfId="3255" priority="1302" operator="equal">
      <formula>"Indeferido"</formula>
    </cfRule>
  </conditionalFormatting>
  <conditionalFormatting sqref="M859:M861">
    <cfRule type="containsText" dxfId="3254" priority="1299" operator="containsText" text="Cancelado">
      <formula>NOT(ISERROR(SEARCH("Cancelado",M859)))</formula>
    </cfRule>
  </conditionalFormatting>
  <conditionalFormatting sqref="O859:O861">
    <cfRule type="cellIs" dxfId="3253" priority="1296" operator="equal">
      <formula>"Tramitando"</formula>
    </cfRule>
    <cfRule type="cellIs" dxfId="3252" priority="1297" operator="equal">
      <formula>"Deferido"</formula>
    </cfRule>
    <cfRule type="cellIs" dxfId="3251" priority="1298" operator="equal">
      <formula>"Indeferido"</formula>
    </cfRule>
  </conditionalFormatting>
  <conditionalFormatting sqref="O859:O861">
    <cfRule type="containsText" dxfId="3250" priority="1295" operator="containsText" text="Cancelado">
      <formula>NOT(ISERROR(SEARCH("Cancelado",O859)))</formula>
    </cfRule>
  </conditionalFormatting>
  <conditionalFormatting sqref="Q859:Q861">
    <cfRule type="cellIs" dxfId="3249" priority="1292" operator="equal">
      <formula>"Tramitando"</formula>
    </cfRule>
    <cfRule type="cellIs" dxfId="3248" priority="1293" operator="equal">
      <formula>"Deferido"</formula>
    </cfRule>
    <cfRule type="cellIs" dxfId="3247" priority="1294" operator="equal">
      <formula>"Indeferido"</formula>
    </cfRule>
  </conditionalFormatting>
  <conditionalFormatting sqref="Q859:Q861">
    <cfRule type="containsText" dxfId="3246" priority="1291" operator="containsText" text="Cancelado">
      <formula>NOT(ISERROR(SEARCH("Cancelado",Q859)))</formula>
    </cfRule>
  </conditionalFormatting>
  <conditionalFormatting sqref="S859:S861">
    <cfRule type="cellIs" dxfId="3245" priority="1288" operator="equal">
      <formula>"Tramitando"</formula>
    </cfRule>
    <cfRule type="cellIs" dxfId="3244" priority="1289" operator="equal">
      <formula>"Deferido"</formula>
    </cfRule>
    <cfRule type="cellIs" dxfId="3243" priority="1290" operator="equal">
      <formula>"Indeferido"</formula>
    </cfRule>
  </conditionalFormatting>
  <conditionalFormatting sqref="S859:S861">
    <cfRule type="containsText" dxfId="3242" priority="1287" operator="containsText" text="Cancelado">
      <formula>NOT(ISERROR(SEARCH("Cancelado",S859)))</formula>
    </cfRule>
  </conditionalFormatting>
  <conditionalFormatting sqref="M862">
    <cfRule type="cellIs" dxfId="3241" priority="1279" operator="equal">
      <formula>"Tramitando"</formula>
    </cfRule>
    <cfRule type="cellIs" dxfId="3240" priority="1280" operator="equal">
      <formula>"Deferido"</formula>
    </cfRule>
    <cfRule type="cellIs" dxfId="3239" priority="1281" operator="equal">
      <formula>"Indeferido"</formula>
    </cfRule>
  </conditionalFormatting>
  <conditionalFormatting sqref="M862">
    <cfRule type="containsText" dxfId="3238" priority="1278" operator="containsText" text="Cancelado">
      <formula>NOT(ISERROR(SEARCH("Cancelado",M862)))</formula>
    </cfRule>
  </conditionalFormatting>
  <conditionalFormatting sqref="O862">
    <cfRule type="cellIs" dxfId="3237" priority="1275" operator="equal">
      <formula>"Tramitando"</formula>
    </cfRule>
    <cfRule type="cellIs" dxfId="3236" priority="1276" operator="equal">
      <formula>"Deferido"</formula>
    </cfRule>
    <cfRule type="cellIs" dxfId="3235" priority="1277" operator="equal">
      <formula>"Indeferido"</formula>
    </cfRule>
  </conditionalFormatting>
  <conditionalFormatting sqref="O862">
    <cfRule type="containsText" dxfId="3234" priority="1274" operator="containsText" text="Cancelado">
      <formula>NOT(ISERROR(SEARCH("Cancelado",O862)))</formula>
    </cfRule>
  </conditionalFormatting>
  <conditionalFormatting sqref="Q862">
    <cfRule type="cellIs" dxfId="3233" priority="1271" operator="equal">
      <formula>"Tramitando"</formula>
    </cfRule>
    <cfRule type="cellIs" dxfId="3232" priority="1272" operator="equal">
      <formula>"Deferido"</formula>
    </cfRule>
    <cfRule type="cellIs" dxfId="3231" priority="1273" operator="equal">
      <formula>"Indeferido"</formula>
    </cfRule>
  </conditionalFormatting>
  <conditionalFormatting sqref="Q862">
    <cfRule type="containsText" dxfId="3230" priority="1270" operator="containsText" text="Cancelado">
      <formula>NOT(ISERROR(SEARCH("Cancelado",Q862)))</formula>
    </cfRule>
  </conditionalFormatting>
  <conditionalFormatting sqref="S862">
    <cfRule type="cellIs" dxfId="3229" priority="1267" operator="equal">
      <formula>"Tramitando"</formula>
    </cfRule>
    <cfRule type="cellIs" dxfId="3228" priority="1268" operator="equal">
      <formula>"Deferido"</formula>
    </cfRule>
    <cfRule type="cellIs" dxfId="3227" priority="1269" operator="equal">
      <formula>"Indeferido"</formula>
    </cfRule>
  </conditionalFormatting>
  <conditionalFormatting sqref="S862">
    <cfRule type="containsText" dxfId="3226" priority="1266" operator="containsText" text="Cancelado">
      <formula>NOT(ISERROR(SEARCH("Cancelado",S862)))</formula>
    </cfRule>
  </conditionalFormatting>
  <conditionalFormatting sqref="J862">
    <cfRule type="cellIs" dxfId="3225" priority="1262" operator="equal">
      <formula>"Tramitando"</formula>
    </cfRule>
    <cfRule type="cellIs" dxfId="3224" priority="1263" operator="equal">
      <formula>"Deferido"</formula>
    </cfRule>
    <cfRule type="cellIs" dxfId="3223" priority="1264" operator="equal">
      <formula>"Indeferido"</formula>
    </cfRule>
  </conditionalFormatting>
  <conditionalFormatting sqref="J862">
    <cfRule type="containsText" dxfId="3222" priority="1261" operator="containsText" text="Cancelado">
      <formula>NOT(ISERROR(SEARCH("Cancelado",J862)))</formula>
    </cfRule>
  </conditionalFormatting>
  <conditionalFormatting sqref="J863">
    <cfRule type="cellIs" dxfId="3221" priority="1257" operator="equal">
      <formula>"Tramitando"</formula>
    </cfRule>
    <cfRule type="cellIs" dxfId="3220" priority="1258" operator="equal">
      <formula>"Deferido"</formula>
    </cfRule>
    <cfRule type="cellIs" dxfId="3219" priority="1259" operator="equal">
      <formula>"Indeferido"</formula>
    </cfRule>
  </conditionalFormatting>
  <conditionalFormatting sqref="J863">
    <cfRule type="containsText" dxfId="3218" priority="1256" operator="containsText" text="Cancelado">
      <formula>NOT(ISERROR(SEARCH("Cancelado",J863)))</formula>
    </cfRule>
  </conditionalFormatting>
  <conditionalFormatting sqref="M863">
    <cfRule type="cellIs" dxfId="3217" priority="1253" operator="equal">
      <formula>"Tramitando"</formula>
    </cfRule>
    <cfRule type="cellIs" dxfId="3216" priority="1254" operator="equal">
      <formula>"Deferido"</formula>
    </cfRule>
    <cfRule type="cellIs" dxfId="3215" priority="1255" operator="equal">
      <formula>"Indeferido"</formula>
    </cfRule>
  </conditionalFormatting>
  <conditionalFormatting sqref="M863">
    <cfRule type="containsText" dxfId="3214" priority="1252" operator="containsText" text="Cancelado">
      <formula>NOT(ISERROR(SEARCH("Cancelado",M863)))</formula>
    </cfRule>
  </conditionalFormatting>
  <conditionalFormatting sqref="O863">
    <cfRule type="cellIs" dxfId="3213" priority="1249" operator="equal">
      <formula>"Tramitando"</formula>
    </cfRule>
    <cfRule type="cellIs" dxfId="3212" priority="1250" operator="equal">
      <formula>"Deferido"</formula>
    </cfRule>
    <cfRule type="cellIs" dxfId="3211" priority="1251" operator="equal">
      <formula>"Indeferido"</formula>
    </cfRule>
  </conditionalFormatting>
  <conditionalFormatting sqref="O863">
    <cfRule type="containsText" dxfId="3210" priority="1248" operator="containsText" text="Cancelado">
      <formula>NOT(ISERROR(SEARCH("Cancelado",O863)))</formula>
    </cfRule>
  </conditionalFormatting>
  <conditionalFormatting sqref="Q863">
    <cfRule type="cellIs" dxfId="3209" priority="1245" operator="equal">
      <formula>"Tramitando"</formula>
    </cfRule>
    <cfRule type="cellIs" dxfId="3208" priority="1246" operator="equal">
      <formula>"Deferido"</formula>
    </cfRule>
    <cfRule type="cellIs" dxfId="3207" priority="1247" operator="equal">
      <formula>"Indeferido"</formula>
    </cfRule>
  </conditionalFormatting>
  <conditionalFormatting sqref="Q863">
    <cfRule type="containsText" dxfId="3206" priority="1244" operator="containsText" text="Cancelado">
      <formula>NOT(ISERROR(SEARCH("Cancelado",Q863)))</formula>
    </cfRule>
  </conditionalFormatting>
  <conditionalFormatting sqref="S863">
    <cfRule type="cellIs" dxfId="3205" priority="1241" operator="equal">
      <formula>"Tramitando"</formula>
    </cfRule>
    <cfRule type="cellIs" dxfId="3204" priority="1242" operator="equal">
      <formula>"Deferido"</formula>
    </cfRule>
    <cfRule type="cellIs" dxfId="3203" priority="1243" operator="equal">
      <formula>"Indeferido"</formula>
    </cfRule>
  </conditionalFormatting>
  <conditionalFormatting sqref="S863">
    <cfRule type="containsText" dxfId="3202" priority="1240" operator="containsText" text="Cancelado">
      <formula>NOT(ISERROR(SEARCH("Cancelado",S863)))</formula>
    </cfRule>
  </conditionalFormatting>
  <conditionalFormatting sqref="J864">
    <cfRule type="cellIs" dxfId="3201" priority="1236" operator="equal">
      <formula>"Tramitando"</formula>
    </cfRule>
    <cfRule type="cellIs" dxfId="3200" priority="1237" operator="equal">
      <formula>"Deferido"</formula>
    </cfRule>
    <cfRule type="cellIs" dxfId="3199" priority="1238" operator="equal">
      <formula>"Indeferido"</formula>
    </cfRule>
  </conditionalFormatting>
  <conditionalFormatting sqref="J864">
    <cfRule type="containsText" dxfId="3198" priority="1235" operator="containsText" text="Cancelado">
      <formula>NOT(ISERROR(SEARCH("Cancelado",J864)))</formula>
    </cfRule>
  </conditionalFormatting>
  <conditionalFormatting sqref="M864">
    <cfRule type="cellIs" dxfId="3197" priority="1232" operator="equal">
      <formula>"Tramitando"</formula>
    </cfRule>
    <cfRule type="cellIs" dxfId="3196" priority="1233" operator="equal">
      <formula>"Deferido"</formula>
    </cfRule>
    <cfRule type="cellIs" dxfId="3195" priority="1234" operator="equal">
      <formula>"Indeferido"</formula>
    </cfRule>
  </conditionalFormatting>
  <conditionalFormatting sqref="M864">
    <cfRule type="containsText" dxfId="3194" priority="1231" operator="containsText" text="Cancelado">
      <formula>NOT(ISERROR(SEARCH("Cancelado",M864)))</formula>
    </cfRule>
  </conditionalFormatting>
  <conditionalFormatting sqref="O864">
    <cfRule type="cellIs" dxfId="3193" priority="1228" operator="equal">
      <formula>"Tramitando"</formula>
    </cfRule>
    <cfRule type="cellIs" dxfId="3192" priority="1229" operator="equal">
      <formula>"Deferido"</formula>
    </cfRule>
    <cfRule type="cellIs" dxfId="3191" priority="1230" operator="equal">
      <formula>"Indeferido"</formula>
    </cfRule>
  </conditionalFormatting>
  <conditionalFormatting sqref="O864">
    <cfRule type="containsText" dxfId="3190" priority="1227" operator="containsText" text="Cancelado">
      <formula>NOT(ISERROR(SEARCH("Cancelado",O864)))</formula>
    </cfRule>
  </conditionalFormatting>
  <conditionalFormatting sqref="Q864">
    <cfRule type="cellIs" dxfId="3189" priority="1224" operator="equal">
      <formula>"Tramitando"</formula>
    </cfRule>
    <cfRule type="cellIs" dxfId="3188" priority="1225" operator="equal">
      <formula>"Deferido"</formula>
    </cfRule>
    <cfRule type="cellIs" dxfId="3187" priority="1226" operator="equal">
      <formula>"Indeferido"</formula>
    </cfRule>
  </conditionalFormatting>
  <conditionalFormatting sqref="Q864">
    <cfRule type="containsText" dxfId="3186" priority="1223" operator="containsText" text="Cancelado">
      <formula>NOT(ISERROR(SEARCH("Cancelado",Q864)))</formula>
    </cfRule>
  </conditionalFormatting>
  <conditionalFormatting sqref="S864">
    <cfRule type="cellIs" dxfId="3185" priority="1220" operator="equal">
      <formula>"Tramitando"</formula>
    </cfRule>
    <cfRule type="cellIs" dxfId="3184" priority="1221" operator="equal">
      <formula>"Deferido"</formula>
    </cfRule>
    <cfRule type="cellIs" dxfId="3183" priority="1222" operator="equal">
      <formula>"Indeferido"</formula>
    </cfRule>
  </conditionalFormatting>
  <conditionalFormatting sqref="S864">
    <cfRule type="containsText" dxfId="3182" priority="1219" operator="containsText" text="Cancelado">
      <formula>NOT(ISERROR(SEARCH("Cancelado",S864)))</formula>
    </cfRule>
  </conditionalFormatting>
  <conditionalFormatting sqref="J865">
    <cfRule type="cellIs" dxfId="3181" priority="1215" operator="equal">
      <formula>"Tramitando"</formula>
    </cfRule>
    <cfRule type="cellIs" dxfId="3180" priority="1216" operator="equal">
      <formula>"Deferido"</formula>
    </cfRule>
    <cfRule type="cellIs" dxfId="3179" priority="1217" operator="equal">
      <formula>"Indeferido"</formula>
    </cfRule>
  </conditionalFormatting>
  <conditionalFormatting sqref="J865">
    <cfRule type="containsText" dxfId="3178" priority="1214" operator="containsText" text="Cancelado">
      <formula>NOT(ISERROR(SEARCH("Cancelado",J865)))</formula>
    </cfRule>
  </conditionalFormatting>
  <conditionalFormatting sqref="M865">
    <cfRule type="cellIs" dxfId="3177" priority="1211" operator="equal">
      <formula>"Tramitando"</formula>
    </cfRule>
    <cfRule type="cellIs" dxfId="3176" priority="1212" operator="equal">
      <formula>"Deferido"</formula>
    </cfRule>
    <cfRule type="cellIs" dxfId="3175" priority="1213" operator="equal">
      <formula>"Indeferido"</formula>
    </cfRule>
  </conditionalFormatting>
  <conditionalFormatting sqref="M865">
    <cfRule type="containsText" dxfId="3174" priority="1210" operator="containsText" text="Cancelado">
      <formula>NOT(ISERROR(SEARCH("Cancelado",M865)))</formula>
    </cfRule>
  </conditionalFormatting>
  <conditionalFormatting sqref="O865">
    <cfRule type="cellIs" dxfId="3173" priority="1207" operator="equal">
      <formula>"Tramitando"</formula>
    </cfRule>
    <cfRule type="cellIs" dxfId="3172" priority="1208" operator="equal">
      <formula>"Deferido"</formula>
    </cfRule>
    <cfRule type="cellIs" dxfId="3171" priority="1209" operator="equal">
      <formula>"Indeferido"</formula>
    </cfRule>
  </conditionalFormatting>
  <conditionalFormatting sqref="O865">
    <cfRule type="containsText" dxfId="3170" priority="1206" operator="containsText" text="Cancelado">
      <formula>NOT(ISERROR(SEARCH("Cancelado",O865)))</formula>
    </cfRule>
  </conditionalFormatting>
  <conditionalFormatting sqref="Q865">
    <cfRule type="cellIs" dxfId="3169" priority="1203" operator="equal">
      <formula>"Tramitando"</formula>
    </cfRule>
    <cfRule type="cellIs" dxfId="3168" priority="1204" operator="equal">
      <formula>"Deferido"</formula>
    </cfRule>
    <cfRule type="cellIs" dxfId="3167" priority="1205" operator="equal">
      <formula>"Indeferido"</formula>
    </cfRule>
  </conditionalFormatting>
  <conditionalFormatting sqref="Q865">
    <cfRule type="containsText" dxfId="3166" priority="1202" operator="containsText" text="Cancelado">
      <formula>NOT(ISERROR(SEARCH("Cancelado",Q865)))</formula>
    </cfRule>
  </conditionalFormatting>
  <conditionalFormatting sqref="S865">
    <cfRule type="cellIs" dxfId="3165" priority="1199" operator="equal">
      <formula>"Tramitando"</formula>
    </cfRule>
    <cfRule type="cellIs" dxfId="3164" priority="1200" operator="equal">
      <formula>"Deferido"</formula>
    </cfRule>
    <cfRule type="cellIs" dxfId="3163" priority="1201" operator="equal">
      <formula>"Indeferido"</formula>
    </cfRule>
  </conditionalFormatting>
  <conditionalFormatting sqref="S865">
    <cfRule type="containsText" dxfId="3162" priority="1198" operator="containsText" text="Cancelado">
      <formula>NOT(ISERROR(SEARCH("Cancelado",S865)))</formula>
    </cfRule>
  </conditionalFormatting>
  <conditionalFormatting sqref="J866">
    <cfRule type="cellIs" dxfId="3161" priority="1194" operator="equal">
      <formula>"Tramitando"</formula>
    </cfRule>
    <cfRule type="cellIs" dxfId="3160" priority="1195" operator="equal">
      <formula>"Deferido"</formula>
    </cfRule>
    <cfRule type="cellIs" dxfId="3159" priority="1196" operator="equal">
      <formula>"Indeferido"</formula>
    </cfRule>
  </conditionalFormatting>
  <conditionalFormatting sqref="J866">
    <cfRule type="containsText" dxfId="3158" priority="1193" operator="containsText" text="Cancelado">
      <formula>NOT(ISERROR(SEARCH("Cancelado",J866)))</formula>
    </cfRule>
  </conditionalFormatting>
  <conditionalFormatting sqref="M866">
    <cfRule type="cellIs" dxfId="3157" priority="1190" operator="equal">
      <formula>"Tramitando"</formula>
    </cfRule>
    <cfRule type="cellIs" dxfId="3156" priority="1191" operator="equal">
      <formula>"Deferido"</formula>
    </cfRule>
    <cfRule type="cellIs" dxfId="3155" priority="1192" operator="equal">
      <formula>"Indeferido"</formula>
    </cfRule>
  </conditionalFormatting>
  <conditionalFormatting sqref="M866">
    <cfRule type="containsText" dxfId="3154" priority="1189" operator="containsText" text="Cancelado">
      <formula>NOT(ISERROR(SEARCH("Cancelado",M866)))</formula>
    </cfRule>
  </conditionalFormatting>
  <conditionalFormatting sqref="O866">
    <cfRule type="cellIs" dxfId="3153" priority="1186" operator="equal">
      <formula>"Tramitando"</formula>
    </cfRule>
    <cfRule type="cellIs" dxfId="3152" priority="1187" operator="equal">
      <formula>"Deferido"</formula>
    </cfRule>
    <cfRule type="cellIs" dxfId="3151" priority="1188" operator="equal">
      <formula>"Indeferido"</formula>
    </cfRule>
  </conditionalFormatting>
  <conditionalFormatting sqref="O866">
    <cfRule type="containsText" dxfId="3150" priority="1185" operator="containsText" text="Cancelado">
      <formula>NOT(ISERROR(SEARCH("Cancelado",O866)))</formula>
    </cfRule>
  </conditionalFormatting>
  <conditionalFormatting sqref="Q866">
    <cfRule type="cellIs" dxfId="3149" priority="1182" operator="equal">
      <formula>"Tramitando"</formula>
    </cfRule>
    <cfRule type="cellIs" dxfId="3148" priority="1183" operator="equal">
      <formula>"Deferido"</formula>
    </cfRule>
    <cfRule type="cellIs" dxfId="3147" priority="1184" operator="equal">
      <formula>"Indeferido"</formula>
    </cfRule>
  </conditionalFormatting>
  <conditionalFormatting sqref="Q866">
    <cfRule type="containsText" dxfId="3146" priority="1181" operator="containsText" text="Cancelado">
      <formula>NOT(ISERROR(SEARCH("Cancelado",Q866)))</formula>
    </cfRule>
  </conditionalFormatting>
  <conditionalFormatting sqref="S866">
    <cfRule type="cellIs" dxfId="3145" priority="1178" operator="equal">
      <formula>"Tramitando"</formula>
    </cfRule>
    <cfRule type="cellIs" dxfId="3144" priority="1179" operator="equal">
      <formula>"Deferido"</formula>
    </cfRule>
    <cfRule type="cellIs" dxfId="3143" priority="1180" operator="equal">
      <formula>"Indeferido"</formula>
    </cfRule>
  </conditionalFormatting>
  <conditionalFormatting sqref="S866">
    <cfRule type="containsText" dxfId="3142" priority="1177" operator="containsText" text="Cancelado">
      <formula>NOT(ISERROR(SEARCH("Cancelado",S866)))</formula>
    </cfRule>
  </conditionalFormatting>
  <conditionalFormatting sqref="J867:J868">
    <cfRule type="cellIs" dxfId="3141" priority="1173" operator="equal">
      <formula>"Tramitando"</formula>
    </cfRule>
    <cfRule type="cellIs" dxfId="3140" priority="1174" operator="equal">
      <formula>"Deferido"</formula>
    </cfRule>
    <cfRule type="cellIs" dxfId="3139" priority="1175" operator="equal">
      <formula>"Indeferido"</formula>
    </cfRule>
  </conditionalFormatting>
  <conditionalFormatting sqref="J867:J868">
    <cfRule type="containsText" dxfId="3138" priority="1172" operator="containsText" text="Cancelado">
      <formula>NOT(ISERROR(SEARCH("Cancelado",J867)))</formula>
    </cfRule>
  </conditionalFormatting>
  <conditionalFormatting sqref="M867:M868">
    <cfRule type="cellIs" dxfId="3137" priority="1169" operator="equal">
      <formula>"Tramitando"</formula>
    </cfRule>
    <cfRule type="cellIs" dxfId="3136" priority="1170" operator="equal">
      <formula>"Deferido"</formula>
    </cfRule>
    <cfRule type="cellIs" dxfId="3135" priority="1171" operator="equal">
      <formula>"Indeferido"</formula>
    </cfRule>
  </conditionalFormatting>
  <conditionalFormatting sqref="M867:M868">
    <cfRule type="containsText" dxfId="3134" priority="1168" operator="containsText" text="Cancelado">
      <formula>NOT(ISERROR(SEARCH("Cancelado",M867)))</formula>
    </cfRule>
  </conditionalFormatting>
  <conditionalFormatting sqref="O867:O868">
    <cfRule type="cellIs" dxfId="3133" priority="1165" operator="equal">
      <formula>"Tramitando"</formula>
    </cfRule>
    <cfRule type="cellIs" dxfId="3132" priority="1166" operator="equal">
      <formula>"Deferido"</formula>
    </cfRule>
    <cfRule type="cellIs" dxfId="3131" priority="1167" operator="equal">
      <formula>"Indeferido"</formula>
    </cfRule>
  </conditionalFormatting>
  <conditionalFormatting sqref="O867:O868">
    <cfRule type="containsText" dxfId="3130" priority="1164" operator="containsText" text="Cancelado">
      <formula>NOT(ISERROR(SEARCH("Cancelado",O867)))</formula>
    </cfRule>
  </conditionalFormatting>
  <conditionalFormatting sqref="Q867:Q868">
    <cfRule type="cellIs" dxfId="3129" priority="1161" operator="equal">
      <formula>"Tramitando"</formula>
    </cfRule>
    <cfRule type="cellIs" dxfId="3128" priority="1162" operator="equal">
      <formula>"Deferido"</formula>
    </cfRule>
    <cfRule type="cellIs" dxfId="3127" priority="1163" operator="equal">
      <formula>"Indeferido"</formula>
    </cfRule>
  </conditionalFormatting>
  <conditionalFormatting sqref="Q867:Q868">
    <cfRule type="containsText" dxfId="3126" priority="1160" operator="containsText" text="Cancelado">
      <formula>NOT(ISERROR(SEARCH("Cancelado",Q867)))</formula>
    </cfRule>
  </conditionalFormatting>
  <conditionalFormatting sqref="S867:S868">
    <cfRule type="cellIs" dxfId="3125" priority="1157" operator="equal">
      <formula>"Tramitando"</formula>
    </cfRule>
    <cfRule type="cellIs" dxfId="3124" priority="1158" operator="equal">
      <formula>"Deferido"</formula>
    </cfRule>
    <cfRule type="cellIs" dxfId="3123" priority="1159" operator="equal">
      <formula>"Indeferido"</formula>
    </cfRule>
  </conditionalFormatting>
  <conditionalFormatting sqref="S867:S868">
    <cfRule type="containsText" dxfId="3122" priority="1156" operator="containsText" text="Cancelado">
      <formula>NOT(ISERROR(SEARCH("Cancelado",S867)))</formula>
    </cfRule>
  </conditionalFormatting>
  <conditionalFormatting sqref="J869">
    <cfRule type="cellIs" dxfId="3121" priority="1152" operator="equal">
      <formula>"Tramitando"</formula>
    </cfRule>
    <cfRule type="cellIs" dxfId="3120" priority="1153" operator="equal">
      <formula>"Deferido"</formula>
    </cfRule>
    <cfRule type="cellIs" dxfId="3119" priority="1154" operator="equal">
      <formula>"Indeferido"</formula>
    </cfRule>
  </conditionalFormatting>
  <conditionalFormatting sqref="J869">
    <cfRule type="containsText" dxfId="3118" priority="1151" operator="containsText" text="Cancelado">
      <formula>NOT(ISERROR(SEARCH("Cancelado",J869)))</formula>
    </cfRule>
  </conditionalFormatting>
  <conditionalFormatting sqref="M869">
    <cfRule type="cellIs" dxfId="3117" priority="1148" operator="equal">
      <formula>"Tramitando"</formula>
    </cfRule>
    <cfRule type="cellIs" dxfId="3116" priority="1149" operator="equal">
      <formula>"Deferido"</formula>
    </cfRule>
    <cfRule type="cellIs" dxfId="3115" priority="1150" operator="equal">
      <formula>"Indeferido"</formula>
    </cfRule>
  </conditionalFormatting>
  <conditionalFormatting sqref="M869">
    <cfRule type="containsText" dxfId="3114" priority="1147" operator="containsText" text="Cancelado">
      <formula>NOT(ISERROR(SEARCH("Cancelado",M869)))</formula>
    </cfRule>
  </conditionalFormatting>
  <conditionalFormatting sqref="O869">
    <cfRule type="cellIs" dxfId="3113" priority="1144" operator="equal">
      <formula>"Tramitando"</formula>
    </cfRule>
    <cfRule type="cellIs" dxfId="3112" priority="1145" operator="equal">
      <formula>"Deferido"</formula>
    </cfRule>
    <cfRule type="cellIs" dxfId="3111" priority="1146" operator="equal">
      <formula>"Indeferido"</formula>
    </cfRule>
  </conditionalFormatting>
  <conditionalFormatting sqref="O869">
    <cfRule type="containsText" dxfId="3110" priority="1143" operator="containsText" text="Cancelado">
      <formula>NOT(ISERROR(SEARCH("Cancelado",O869)))</formula>
    </cfRule>
  </conditionalFormatting>
  <conditionalFormatting sqref="Q869">
    <cfRule type="cellIs" dxfId="3109" priority="1140" operator="equal">
      <formula>"Tramitando"</formula>
    </cfRule>
    <cfRule type="cellIs" dxfId="3108" priority="1141" operator="equal">
      <formula>"Deferido"</formula>
    </cfRule>
    <cfRule type="cellIs" dxfId="3107" priority="1142" operator="equal">
      <formula>"Indeferido"</formula>
    </cfRule>
  </conditionalFormatting>
  <conditionalFormatting sqref="Q869">
    <cfRule type="containsText" dxfId="3106" priority="1139" operator="containsText" text="Cancelado">
      <formula>NOT(ISERROR(SEARCH("Cancelado",Q869)))</formula>
    </cfRule>
  </conditionalFormatting>
  <conditionalFormatting sqref="S869">
    <cfRule type="cellIs" dxfId="3105" priority="1136" operator="equal">
      <formula>"Tramitando"</formula>
    </cfRule>
    <cfRule type="cellIs" dxfId="3104" priority="1137" operator="equal">
      <formula>"Deferido"</formula>
    </cfRule>
    <cfRule type="cellIs" dxfId="3103" priority="1138" operator="equal">
      <formula>"Indeferido"</formula>
    </cfRule>
  </conditionalFormatting>
  <conditionalFormatting sqref="S869">
    <cfRule type="containsText" dxfId="3102" priority="1135" operator="containsText" text="Cancelado">
      <formula>NOT(ISERROR(SEARCH("Cancelado",S869)))</formula>
    </cfRule>
  </conditionalFormatting>
  <conditionalFormatting sqref="J870">
    <cfRule type="cellIs" dxfId="3101" priority="1131" operator="equal">
      <formula>"Tramitando"</formula>
    </cfRule>
    <cfRule type="cellIs" dxfId="3100" priority="1132" operator="equal">
      <formula>"Deferido"</formula>
    </cfRule>
    <cfRule type="cellIs" dxfId="3099" priority="1133" operator="equal">
      <formula>"Indeferido"</formula>
    </cfRule>
  </conditionalFormatting>
  <conditionalFormatting sqref="J870">
    <cfRule type="containsText" dxfId="3098" priority="1130" operator="containsText" text="Cancelado">
      <formula>NOT(ISERROR(SEARCH("Cancelado",J870)))</formula>
    </cfRule>
  </conditionalFormatting>
  <conditionalFormatting sqref="M870">
    <cfRule type="cellIs" dxfId="3097" priority="1127" operator="equal">
      <formula>"Tramitando"</formula>
    </cfRule>
    <cfRule type="cellIs" dxfId="3096" priority="1128" operator="equal">
      <formula>"Deferido"</formula>
    </cfRule>
    <cfRule type="cellIs" dxfId="3095" priority="1129" operator="equal">
      <formula>"Indeferido"</formula>
    </cfRule>
  </conditionalFormatting>
  <conditionalFormatting sqref="M870">
    <cfRule type="containsText" dxfId="3094" priority="1126" operator="containsText" text="Cancelado">
      <formula>NOT(ISERROR(SEARCH("Cancelado",M870)))</formula>
    </cfRule>
  </conditionalFormatting>
  <conditionalFormatting sqref="O870">
    <cfRule type="cellIs" dxfId="3093" priority="1123" operator="equal">
      <formula>"Tramitando"</formula>
    </cfRule>
    <cfRule type="cellIs" dxfId="3092" priority="1124" operator="equal">
      <formula>"Deferido"</formula>
    </cfRule>
    <cfRule type="cellIs" dxfId="3091" priority="1125" operator="equal">
      <formula>"Indeferido"</formula>
    </cfRule>
  </conditionalFormatting>
  <conditionalFormatting sqref="O870">
    <cfRule type="containsText" dxfId="3090" priority="1122" operator="containsText" text="Cancelado">
      <formula>NOT(ISERROR(SEARCH("Cancelado",O870)))</formula>
    </cfRule>
  </conditionalFormatting>
  <conditionalFormatting sqref="Q870">
    <cfRule type="cellIs" dxfId="3089" priority="1119" operator="equal">
      <formula>"Tramitando"</formula>
    </cfRule>
    <cfRule type="cellIs" dxfId="3088" priority="1120" operator="equal">
      <formula>"Deferido"</formula>
    </cfRule>
    <cfRule type="cellIs" dxfId="3087" priority="1121" operator="equal">
      <formula>"Indeferido"</formula>
    </cfRule>
  </conditionalFormatting>
  <conditionalFormatting sqref="Q870">
    <cfRule type="containsText" dxfId="3086" priority="1118" operator="containsText" text="Cancelado">
      <formula>NOT(ISERROR(SEARCH("Cancelado",Q870)))</formula>
    </cfRule>
  </conditionalFormatting>
  <conditionalFormatting sqref="S870">
    <cfRule type="cellIs" dxfId="3085" priority="1115" operator="equal">
      <formula>"Tramitando"</formula>
    </cfRule>
    <cfRule type="cellIs" dxfId="3084" priority="1116" operator="equal">
      <formula>"Deferido"</formula>
    </cfRule>
    <cfRule type="cellIs" dxfId="3083" priority="1117" operator="equal">
      <formula>"Indeferido"</formula>
    </cfRule>
  </conditionalFormatting>
  <conditionalFormatting sqref="S870">
    <cfRule type="containsText" dxfId="3082" priority="1114" operator="containsText" text="Cancelado">
      <formula>NOT(ISERROR(SEARCH("Cancelado",S870)))</formula>
    </cfRule>
  </conditionalFormatting>
  <conditionalFormatting sqref="J871">
    <cfRule type="cellIs" dxfId="3081" priority="1110" operator="equal">
      <formula>"Tramitando"</formula>
    </cfRule>
    <cfRule type="cellIs" dxfId="3080" priority="1111" operator="equal">
      <formula>"Deferido"</formula>
    </cfRule>
    <cfRule type="cellIs" dxfId="3079" priority="1112" operator="equal">
      <formula>"Indeferido"</formula>
    </cfRule>
  </conditionalFormatting>
  <conditionalFormatting sqref="J871">
    <cfRule type="containsText" dxfId="3078" priority="1109" operator="containsText" text="Cancelado">
      <formula>NOT(ISERROR(SEARCH("Cancelado",J871)))</formula>
    </cfRule>
  </conditionalFormatting>
  <conditionalFormatting sqref="M871">
    <cfRule type="cellIs" dxfId="3077" priority="1106" operator="equal">
      <formula>"Tramitando"</formula>
    </cfRule>
    <cfRule type="cellIs" dxfId="3076" priority="1107" operator="equal">
      <formula>"Deferido"</formula>
    </cfRule>
    <cfRule type="cellIs" dxfId="3075" priority="1108" operator="equal">
      <formula>"Indeferido"</formula>
    </cfRule>
  </conditionalFormatting>
  <conditionalFormatting sqref="M871">
    <cfRule type="containsText" dxfId="3074" priority="1105" operator="containsText" text="Cancelado">
      <formula>NOT(ISERROR(SEARCH("Cancelado",M871)))</formula>
    </cfRule>
  </conditionalFormatting>
  <conditionalFormatting sqref="O871">
    <cfRule type="cellIs" dxfId="3073" priority="1102" operator="equal">
      <formula>"Tramitando"</formula>
    </cfRule>
    <cfRule type="cellIs" dxfId="3072" priority="1103" operator="equal">
      <formula>"Deferido"</formula>
    </cfRule>
    <cfRule type="cellIs" dxfId="3071" priority="1104" operator="equal">
      <formula>"Indeferido"</formula>
    </cfRule>
  </conditionalFormatting>
  <conditionalFormatting sqref="O871">
    <cfRule type="containsText" dxfId="3070" priority="1101" operator="containsText" text="Cancelado">
      <formula>NOT(ISERROR(SEARCH("Cancelado",O871)))</formula>
    </cfRule>
  </conditionalFormatting>
  <conditionalFormatting sqref="Q871">
    <cfRule type="cellIs" dxfId="3069" priority="1098" operator="equal">
      <formula>"Tramitando"</formula>
    </cfRule>
    <cfRule type="cellIs" dxfId="3068" priority="1099" operator="equal">
      <formula>"Deferido"</formula>
    </cfRule>
    <cfRule type="cellIs" dxfId="3067" priority="1100" operator="equal">
      <formula>"Indeferido"</formula>
    </cfRule>
  </conditionalFormatting>
  <conditionalFormatting sqref="Q871">
    <cfRule type="containsText" dxfId="3066" priority="1097" operator="containsText" text="Cancelado">
      <formula>NOT(ISERROR(SEARCH("Cancelado",Q871)))</formula>
    </cfRule>
  </conditionalFormatting>
  <conditionalFormatting sqref="S871">
    <cfRule type="cellIs" dxfId="3065" priority="1094" operator="equal">
      <formula>"Tramitando"</formula>
    </cfRule>
    <cfRule type="cellIs" dxfId="3064" priority="1095" operator="equal">
      <formula>"Deferido"</formula>
    </cfRule>
    <cfRule type="cellIs" dxfId="3063" priority="1096" operator="equal">
      <formula>"Indeferido"</formula>
    </cfRule>
  </conditionalFormatting>
  <conditionalFormatting sqref="S871">
    <cfRule type="containsText" dxfId="3062" priority="1093" operator="containsText" text="Cancelado">
      <formula>NOT(ISERROR(SEARCH("Cancelado",S871)))</formula>
    </cfRule>
  </conditionalFormatting>
  <conditionalFormatting sqref="J872">
    <cfRule type="cellIs" dxfId="3061" priority="1089" operator="equal">
      <formula>"Tramitando"</formula>
    </cfRule>
    <cfRule type="cellIs" dxfId="3060" priority="1090" operator="equal">
      <formula>"Deferido"</formula>
    </cfRule>
    <cfRule type="cellIs" dxfId="3059" priority="1091" operator="equal">
      <formula>"Indeferido"</formula>
    </cfRule>
  </conditionalFormatting>
  <conditionalFormatting sqref="J872">
    <cfRule type="containsText" dxfId="3058" priority="1088" operator="containsText" text="Cancelado">
      <formula>NOT(ISERROR(SEARCH("Cancelado",J872)))</formula>
    </cfRule>
  </conditionalFormatting>
  <conditionalFormatting sqref="M872">
    <cfRule type="cellIs" dxfId="3057" priority="1085" operator="equal">
      <formula>"Tramitando"</formula>
    </cfRule>
    <cfRule type="cellIs" dxfId="3056" priority="1086" operator="equal">
      <formula>"Deferido"</formula>
    </cfRule>
    <cfRule type="cellIs" dxfId="3055" priority="1087" operator="equal">
      <formula>"Indeferido"</formula>
    </cfRule>
  </conditionalFormatting>
  <conditionalFormatting sqref="M872">
    <cfRule type="containsText" dxfId="3054" priority="1084" operator="containsText" text="Cancelado">
      <formula>NOT(ISERROR(SEARCH("Cancelado",M872)))</formula>
    </cfRule>
  </conditionalFormatting>
  <conditionalFormatting sqref="O872">
    <cfRule type="cellIs" dxfId="3053" priority="1081" operator="equal">
      <formula>"Tramitando"</formula>
    </cfRule>
    <cfRule type="cellIs" dxfId="3052" priority="1082" operator="equal">
      <formula>"Deferido"</formula>
    </cfRule>
    <cfRule type="cellIs" dxfId="3051" priority="1083" operator="equal">
      <formula>"Indeferido"</formula>
    </cfRule>
  </conditionalFormatting>
  <conditionalFormatting sqref="O872">
    <cfRule type="containsText" dxfId="3050" priority="1080" operator="containsText" text="Cancelado">
      <formula>NOT(ISERROR(SEARCH("Cancelado",O872)))</formula>
    </cfRule>
  </conditionalFormatting>
  <conditionalFormatting sqref="Q872">
    <cfRule type="cellIs" dxfId="3049" priority="1077" operator="equal">
      <formula>"Tramitando"</formula>
    </cfRule>
    <cfRule type="cellIs" dxfId="3048" priority="1078" operator="equal">
      <formula>"Deferido"</formula>
    </cfRule>
    <cfRule type="cellIs" dxfId="3047" priority="1079" operator="equal">
      <formula>"Indeferido"</formula>
    </cfRule>
  </conditionalFormatting>
  <conditionalFormatting sqref="Q872">
    <cfRule type="containsText" dxfId="3046" priority="1076" operator="containsText" text="Cancelado">
      <formula>NOT(ISERROR(SEARCH("Cancelado",Q872)))</formula>
    </cfRule>
  </conditionalFormatting>
  <conditionalFormatting sqref="S872">
    <cfRule type="cellIs" dxfId="3045" priority="1073" operator="equal">
      <formula>"Tramitando"</formula>
    </cfRule>
    <cfRule type="cellIs" dxfId="3044" priority="1074" operator="equal">
      <formula>"Deferido"</formula>
    </cfRule>
    <cfRule type="cellIs" dxfId="3043" priority="1075" operator="equal">
      <formula>"Indeferido"</formula>
    </cfRule>
  </conditionalFormatting>
  <conditionalFormatting sqref="S872">
    <cfRule type="containsText" dxfId="3042" priority="1072" operator="containsText" text="Cancelado">
      <formula>NOT(ISERROR(SEARCH("Cancelado",S872)))</formula>
    </cfRule>
  </conditionalFormatting>
  <conditionalFormatting sqref="J873">
    <cfRule type="cellIs" dxfId="3041" priority="1068" operator="equal">
      <formula>"Tramitando"</formula>
    </cfRule>
    <cfRule type="cellIs" dxfId="3040" priority="1069" operator="equal">
      <formula>"Deferido"</formula>
    </cfRule>
    <cfRule type="cellIs" dxfId="3039" priority="1070" operator="equal">
      <formula>"Indeferido"</formula>
    </cfRule>
  </conditionalFormatting>
  <conditionalFormatting sqref="J873">
    <cfRule type="containsText" dxfId="3038" priority="1067" operator="containsText" text="Cancelado">
      <formula>NOT(ISERROR(SEARCH("Cancelado",J873)))</formula>
    </cfRule>
  </conditionalFormatting>
  <conditionalFormatting sqref="M873">
    <cfRule type="cellIs" dxfId="3037" priority="1064" operator="equal">
      <formula>"Tramitando"</formula>
    </cfRule>
    <cfRule type="cellIs" dxfId="3036" priority="1065" operator="equal">
      <formula>"Deferido"</formula>
    </cfRule>
    <cfRule type="cellIs" dxfId="3035" priority="1066" operator="equal">
      <formula>"Indeferido"</formula>
    </cfRule>
  </conditionalFormatting>
  <conditionalFormatting sqref="M873">
    <cfRule type="containsText" dxfId="3034" priority="1063" operator="containsText" text="Cancelado">
      <formula>NOT(ISERROR(SEARCH("Cancelado",M873)))</formula>
    </cfRule>
  </conditionalFormatting>
  <conditionalFormatting sqref="O873">
    <cfRule type="cellIs" dxfId="3033" priority="1060" operator="equal">
      <formula>"Tramitando"</formula>
    </cfRule>
    <cfRule type="cellIs" dxfId="3032" priority="1061" operator="equal">
      <formula>"Deferido"</formula>
    </cfRule>
    <cfRule type="cellIs" dxfId="3031" priority="1062" operator="equal">
      <formula>"Indeferido"</formula>
    </cfRule>
  </conditionalFormatting>
  <conditionalFormatting sqref="O873">
    <cfRule type="containsText" dxfId="3030" priority="1059" operator="containsText" text="Cancelado">
      <formula>NOT(ISERROR(SEARCH("Cancelado",O873)))</formula>
    </cfRule>
  </conditionalFormatting>
  <conditionalFormatting sqref="Q873">
    <cfRule type="cellIs" dxfId="3029" priority="1056" operator="equal">
      <formula>"Tramitando"</formula>
    </cfRule>
    <cfRule type="cellIs" dxfId="3028" priority="1057" operator="equal">
      <formula>"Deferido"</formula>
    </cfRule>
    <cfRule type="cellIs" dxfId="3027" priority="1058" operator="equal">
      <formula>"Indeferido"</formula>
    </cfRule>
  </conditionalFormatting>
  <conditionalFormatting sqref="Q873">
    <cfRule type="containsText" dxfId="3026" priority="1055" operator="containsText" text="Cancelado">
      <formula>NOT(ISERROR(SEARCH("Cancelado",Q873)))</formula>
    </cfRule>
  </conditionalFormatting>
  <conditionalFormatting sqref="S873">
    <cfRule type="cellIs" dxfId="3025" priority="1052" operator="equal">
      <formula>"Tramitando"</formula>
    </cfRule>
    <cfRule type="cellIs" dxfId="3024" priority="1053" operator="equal">
      <formula>"Deferido"</formula>
    </cfRule>
    <cfRule type="cellIs" dxfId="3023" priority="1054" operator="equal">
      <formula>"Indeferido"</formula>
    </cfRule>
  </conditionalFormatting>
  <conditionalFormatting sqref="S873">
    <cfRule type="containsText" dxfId="3022" priority="1051" operator="containsText" text="Cancelado">
      <formula>NOT(ISERROR(SEARCH("Cancelado",S873)))</formula>
    </cfRule>
  </conditionalFormatting>
  <conditionalFormatting sqref="J874">
    <cfRule type="cellIs" dxfId="3021" priority="1047" operator="equal">
      <formula>"Tramitando"</formula>
    </cfRule>
    <cfRule type="cellIs" dxfId="3020" priority="1048" operator="equal">
      <formula>"Deferido"</formula>
    </cfRule>
    <cfRule type="cellIs" dxfId="3019" priority="1049" operator="equal">
      <formula>"Indeferido"</formula>
    </cfRule>
  </conditionalFormatting>
  <conditionalFormatting sqref="J874">
    <cfRule type="containsText" dxfId="3018" priority="1046" operator="containsText" text="Cancelado">
      <formula>NOT(ISERROR(SEARCH("Cancelado",J874)))</formula>
    </cfRule>
  </conditionalFormatting>
  <conditionalFormatting sqref="M874">
    <cfRule type="cellIs" dxfId="3017" priority="1043" operator="equal">
      <formula>"Tramitando"</formula>
    </cfRule>
    <cfRule type="cellIs" dxfId="3016" priority="1044" operator="equal">
      <formula>"Deferido"</formula>
    </cfRule>
    <cfRule type="cellIs" dxfId="3015" priority="1045" operator="equal">
      <formula>"Indeferido"</formula>
    </cfRule>
  </conditionalFormatting>
  <conditionalFormatting sqref="M874">
    <cfRule type="containsText" dxfId="3014" priority="1042" operator="containsText" text="Cancelado">
      <formula>NOT(ISERROR(SEARCH("Cancelado",M874)))</formula>
    </cfRule>
  </conditionalFormatting>
  <conditionalFormatting sqref="O874">
    <cfRule type="cellIs" dxfId="3013" priority="1039" operator="equal">
      <formula>"Tramitando"</formula>
    </cfRule>
    <cfRule type="cellIs" dxfId="3012" priority="1040" operator="equal">
      <formula>"Deferido"</formula>
    </cfRule>
    <cfRule type="cellIs" dxfId="3011" priority="1041" operator="equal">
      <formula>"Indeferido"</formula>
    </cfRule>
  </conditionalFormatting>
  <conditionalFormatting sqref="O874">
    <cfRule type="containsText" dxfId="3010" priority="1038" operator="containsText" text="Cancelado">
      <formula>NOT(ISERROR(SEARCH("Cancelado",O874)))</formula>
    </cfRule>
  </conditionalFormatting>
  <conditionalFormatting sqref="Q874">
    <cfRule type="cellIs" dxfId="3009" priority="1035" operator="equal">
      <formula>"Tramitando"</formula>
    </cfRule>
    <cfRule type="cellIs" dxfId="3008" priority="1036" operator="equal">
      <formula>"Deferido"</formula>
    </cfRule>
    <cfRule type="cellIs" dxfId="3007" priority="1037" operator="equal">
      <formula>"Indeferido"</formula>
    </cfRule>
  </conditionalFormatting>
  <conditionalFormatting sqref="Q874">
    <cfRule type="containsText" dxfId="3006" priority="1034" operator="containsText" text="Cancelado">
      <formula>NOT(ISERROR(SEARCH("Cancelado",Q874)))</formula>
    </cfRule>
  </conditionalFormatting>
  <conditionalFormatting sqref="S874">
    <cfRule type="cellIs" dxfId="3005" priority="1031" operator="equal">
      <formula>"Tramitando"</formula>
    </cfRule>
    <cfRule type="cellIs" dxfId="3004" priority="1032" operator="equal">
      <formula>"Deferido"</formula>
    </cfRule>
    <cfRule type="cellIs" dxfId="3003" priority="1033" operator="equal">
      <formula>"Indeferido"</formula>
    </cfRule>
  </conditionalFormatting>
  <conditionalFormatting sqref="S874">
    <cfRule type="containsText" dxfId="3002" priority="1030" operator="containsText" text="Cancelado">
      <formula>NOT(ISERROR(SEARCH("Cancelado",S874)))</formula>
    </cfRule>
  </conditionalFormatting>
  <conditionalFormatting sqref="J875">
    <cfRule type="cellIs" dxfId="3001" priority="1026" operator="equal">
      <formula>"Tramitando"</formula>
    </cfRule>
    <cfRule type="cellIs" dxfId="3000" priority="1027" operator="equal">
      <formula>"Deferido"</formula>
    </cfRule>
    <cfRule type="cellIs" dxfId="2999" priority="1028" operator="equal">
      <formula>"Indeferido"</formula>
    </cfRule>
  </conditionalFormatting>
  <conditionalFormatting sqref="J875">
    <cfRule type="containsText" dxfId="2998" priority="1025" operator="containsText" text="Cancelado">
      <formula>NOT(ISERROR(SEARCH("Cancelado",J875)))</formula>
    </cfRule>
  </conditionalFormatting>
  <conditionalFormatting sqref="M875">
    <cfRule type="cellIs" dxfId="2997" priority="1022" operator="equal">
      <formula>"Tramitando"</formula>
    </cfRule>
    <cfRule type="cellIs" dxfId="2996" priority="1023" operator="equal">
      <formula>"Deferido"</formula>
    </cfRule>
    <cfRule type="cellIs" dxfId="2995" priority="1024" operator="equal">
      <formula>"Indeferido"</formula>
    </cfRule>
  </conditionalFormatting>
  <conditionalFormatting sqref="M875">
    <cfRule type="containsText" dxfId="2994" priority="1021" operator="containsText" text="Cancelado">
      <formula>NOT(ISERROR(SEARCH("Cancelado",M875)))</formula>
    </cfRule>
  </conditionalFormatting>
  <conditionalFormatting sqref="O875">
    <cfRule type="cellIs" dxfId="2993" priority="1018" operator="equal">
      <formula>"Tramitando"</formula>
    </cfRule>
    <cfRule type="cellIs" dxfId="2992" priority="1019" operator="equal">
      <formula>"Deferido"</formula>
    </cfRule>
    <cfRule type="cellIs" dxfId="2991" priority="1020" operator="equal">
      <formula>"Indeferido"</formula>
    </cfRule>
  </conditionalFormatting>
  <conditionalFormatting sqref="O875">
    <cfRule type="containsText" dxfId="2990" priority="1017" operator="containsText" text="Cancelado">
      <formula>NOT(ISERROR(SEARCH("Cancelado",O875)))</formula>
    </cfRule>
  </conditionalFormatting>
  <conditionalFormatting sqref="Q875">
    <cfRule type="cellIs" dxfId="2989" priority="1014" operator="equal">
      <formula>"Tramitando"</formula>
    </cfRule>
    <cfRule type="cellIs" dxfId="2988" priority="1015" operator="equal">
      <formula>"Deferido"</formula>
    </cfRule>
    <cfRule type="cellIs" dxfId="2987" priority="1016" operator="equal">
      <formula>"Indeferido"</formula>
    </cfRule>
  </conditionalFormatting>
  <conditionalFormatting sqref="Q875">
    <cfRule type="containsText" dxfId="2986" priority="1013" operator="containsText" text="Cancelado">
      <formula>NOT(ISERROR(SEARCH("Cancelado",Q875)))</formula>
    </cfRule>
  </conditionalFormatting>
  <conditionalFormatting sqref="S875">
    <cfRule type="cellIs" dxfId="2985" priority="1010" operator="equal">
      <formula>"Tramitando"</formula>
    </cfRule>
    <cfRule type="cellIs" dxfId="2984" priority="1011" operator="equal">
      <formula>"Deferido"</formula>
    </cfRule>
    <cfRule type="cellIs" dxfId="2983" priority="1012" operator="equal">
      <formula>"Indeferido"</formula>
    </cfRule>
  </conditionalFormatting>
  <conditionalFormatting sqref="S875">
    <cfRule type="containsText" dxfId="2982" priority="1009" operator="containsText" text="Cancelado">
      <formula>NOT(ISERROR(SEARCH("Cancelado",S875)))</formula>
    </cfRule>
  </conditionalFormatting>
  <conditionalFormatting sqref="J876">
    <cfRule type="cellIs" dxfId="2981" priority="1005" operator="equal">
      <formula>"Tramitando"</formula>
    </cfRule>
    <cfRule type="cellIs" dxfId="2980" priority="1006" operator="equal">
      <formula>"Deferido"</formula>
    </cfRule>
    <cfRule type="cellIs" dxfId="2979" priority="1007" operator="equal">
      <formula>"Indeferido"</formula>
    </cfRule>
  </conditionalFormatting>
  <conditionalFormatting sqref="J876">
    <cfRule type="containsText" dxfId="2978" priority="1004" operator="containsText" text="Cancelado">
      <formula>NOT(ISERROR(SEARCH("Cancelado",J876)))</formula>
    </cfRule>
  </conditionalFormatting>
  <conditionalFormatting sqref="M876">
    <cfRule type="cellIs" dxfId="2977" priority="1001" operator="equal">
      <formula>"Tramitando"</formula>
    </cfRule>
    <cfRule type="cellIs" dxfId="2976" priority="1002" operator="equal">
      <formula>"Deferido"</formula>
    </cfRule>
    <cfRule type="cellIs" dxfId="2975" priority="1003" operator="equal">
      <formula>"Indeferido"</formula>
    </cfRule>
  </conditionalFormatting>
  <conditionalFormatting sqref="M876">
    <cfRule type="containsText" dxfId="2974" priority="1000" operator="containsText" text="Cancelado">
      <formula>NOT(ISERROR(SEARCH("Cancelado",M876)))</formula>
    </cfRule>
  </conditionalFormatting>
  <conditionalFormatting sqref="O876">
    <cfRule type="cellIs" dxfId="2973" priority="997" operator="equal">
      <formula>"Tramitando"</formula>
    </cfRule>
    <cfRule type="cellIs" dxfId="2972" priority="998" operator="equal">
      <formula>"Deferido"</formula>
    </cfRule>
    <cfRule type="cellIs" dxfId="2971" priority="999" operator="equal">
      <formula>"Indeferido"</formula>
    </cfRule>
  </conditionalFormatting>
  <conditionalFormatting sqref="O876">
    <cfRule type="containsText" dxfId="2970" priority="996" operator="containsText" text="Cancelado">
      <formula>NOT(ISERROR(SEARCH("Cancelado",O876)))</formula>
    </cfRule>
  </conditionalFormatting>
  <conditionalFormatting sqref="Q876">
    <cfRule type="cellIs" dxfId="2969" priority="993" operator="equal">
      <formula>"Tramitando"</formula>
    </cfRule>
    <cfRule type="cellIs" dxfId="2968" priority="994" operator="equal">
      <formula>"Deferido"</formula>
    </cfRule>
    <cfRule type="cellIs" dxfId="2967" priority="995" operator="equal">
      <formula>"Indeferido"</formula>
    </cfRule>
  </conditionalFormatting>
  <conditionalFormatting sqref="Q876">
    <cfRule type="containsText" dxfId="2966" priority="992" operator="containsText" text="Cancelado">
      <formula>NOT(ISERROR(SEARCH("Cancelado",Q876)))</formula>
    </cfRule>
  </conditionalFormatting>
  <conditionalFormatting sqref="S876">
    <cfRule type="cellIs" dxfId="2965" priority="989" operator="equal">
      <formula>"Tramitando"</formula>
    </cfRule>
    <cfRule type="cellIs" dxfId="2964" priority="990" operator="equal">
      <formula>"Deferido"</formula>
    </cfRule>
    <cfRule type="cellIs" dxfId="2963" priority="991" operator="equal">
      <formula>"Indeferido"</formula>
    </cfRule>
  </conditionalFormatting>
  <conditionalFormatting sqref="S876">
    <cfRule type="containsText" dxfId="2962" priority="988" operator="containsText" text="Cancelado">
      <formula>NOT(ISERROR(SEARCH("Cancelado",S876)))</formula>
    </cfRule>
  </conditionalFormatting>
  <conditionalFormatting sqref="J877">
    <cfRule type="cellIs" dxfId="2961" priority="984" operator="equal">
      <formula>"Tramitando"</formula>
    </cfRule>
    <cfRule type="cellIs" dxfId="2960" priority="985" operator="equal">
      <formula>"Deferido"</formula>
    </cfRule>
    <cfRule type="cellIs" dxfId="2959" priority="986" operator="equal">
      <formula>"Indeferido"</formula>
    </cfRule>
  </conditionalFormatting>
  <conditionalFormatting sqref="J877">
    <cfRule type="containsText" dxfId="2958" priority="983" operator="containsText" text="Cancelado">
      <formula>NOT(ISERROR(SEARCH("Cancelado",J877)))</formula>
    </cfRule>
  </conditionalFormatting>
  <conditionalFormatting sqref="M877">
    <cfRule type="cellIs" dxfId="2957" priority="980" operator="equal">
      <formula>"Tramitando"</formula>
    </cfRule>
    <cfRule type="cellIs" dxfId="2956" priority="981" operator="equal">
      <formula>"Deferido"</formula>
    </cfRule>
    <cfRule type="cellIs" dxfId="2955" priority="982" operator="equal">
      <formula>"Indeferido"</formula>
    </cfRule>
  </conditionalFormatting>
  <conditionalFormatting sqref="M877">
    <cfRule type="containsText" dxfId="2954" priority="979" operator="containsText" text="Cancelado">
      <formula>NOT(ISERROR(SEARCH("Cancelado",M877)))</formula>
    </cfRule>
  </conditionalFormatting>
  <conditionalFormatting sqref="O877">
    <cfRule type="cellIs" dxfId="2953" priority="976" operator="equal">
      <formula>"Tramitando"</formula>
    </cfRule>
    <cfRule type="cellIs" dxfId="2952" priority="977" operator="equal">
      <formula>"Deferido"</formula>
    </cfRule>
    <cfRule type="cellIs" dxfId="2951" priority="978" operator="equal">
      <formula>"Indeferido"</formula>
    </cfRule>
  </conditionalFormatting>
  <conditionalFormatting sqref="O877">
    <cfRule type="containsText" dxfId="2950" priority="975" operator="containsText" text="Cancelado">
      <formula>NOT(ISERROR(SEARCH("Cancelado",O877)))</formula>
    </cfRule>
  </conditionalFormatting>
  <conditionalFormatting sqref="Q877">
    <cfRule type="cellIs" dxfId="2949" priority="972" operator="equal">
      <formula>"Tramitando"</formula>
    </cfRule>
    <cfRule type="cellIs" dxfId="2948" priority="973" operator="equal">
      <formula>"Deferido"</formula>
    </cfRule>
    <cfRule type="cellIs" dxfId="2947" priority="974" operator="equal">
      <formula>"Indeferido"</formula>
    </cfRule>
  </conditionalFormatting>
  <conditionalFormatting sqref="Q877">
    <cfRule type="containsText" dxfId="2946" priority="971" operator="containsText" text="Cancelado">
      <formula>NOT(ISERROR(SEARCH("Cancelado",Q877)))</formula>
    </cfRule>
  </conditionalFormatting>
  <conditionalFormatting sqref="S877">
    <cfRule type="cellIs" dxfId="2945" priority="968" operator="equal">
      <formula>"Tramitando"</formula>
    </cfRule>
    <cfRule type="cellIs" dxfId="2944" priority="969" operator="equal">
      <formula>"Deferido"</formula>
    </cfRule>
    <cfRule type="cellIs" dxfId="2943" priority="970" operator="equal">
      <formula>"Indeferido"</formula>
    </cfRule>
  </conditionalFormatting>
  <conditionalFormatting sqref="S877">
    <cfRule type="containsText" dxfId="2942" priority="967" operator="containsText" text="Cancelado">
      <formula>NOT(ISERROR(SEARCH("Cancelado",S877)))</formula>
    </cfRule>
  </conditionalFormatting>
  <conditionalFormatting sqref="J878">
    <cfRule type="cellIs" dxfId="2941" priority="963" operator="equal">
      <formula>"Tramitando"</formula>
    </cfRule>
    <cfRule type="cellIs" dxfId="2940" priority="964" operator="equal">
      <formula>"Deferido"</formula>
    </cfRule>
    <cfRule type="cellIs" dxfId="2939" priority="965" operator="equal">
      <formula>"Indeferido"</formula>
    </cfRule>
  </conditionalFormatting>
  <conditionalFormatting sqref="J878">
    <cfRule type="containsText" dxfId="2938" priority="962" operator="containsText" text="Cancelado">
      <formula>NOT(ISERROR(SEARCH("Cancelado",J878)))</formula>
    </cfRule>
  </conditionalFormatting>
  <conditionalFormatting sqref="M878">
    <cfRule type="cellIs" dxfId="2937" priority="959" operator="equal">
      <formula>"Tramitando"</formula>
    </cfRule>
    <cfRule type="cellIs" dxfId="2936" priority="960" operator="equal">
      <formula>"Deferido"</formula>
    </cfRule>
    <cfRule type="cellIs" dxfId="2935" priority="961" operator="equal">
      <formula>"Indeferido"</formula>
    </cfRule>
  </conditionalFormatting>
  <conditionalFormatting sqref="M878">
    <cfRule type="containsText" dxfId="2934" priority="958" operator="containsText" text="Cancelado">
      <formula>NOT(ISERROR(SEARCH("Cancelado",M878)))</formula>
    </cfRule>
  </conditionalFormatting>
  <conditionalFormatting sqref="O878">
    <cfRule type="cellIs" dxfId="2933" priority="955" operator="equal">
      <formula>"Tramitando"</formula>
    </cfRule>
    <cfRule type="cellIs" dxfId="2932" priority="956" operator="equal">
      <formula>"Deferido"</formula>
    </cfRule>
    <cfRule type="cellIs" dxfId="2931" priority="957" operator="equal">
      <formula>"Indeferido"</formula>
    </cfRule>
  </conditionalFormatting>
  <conditionalFormatting sqref="O878">
    <cfRule type="containsText" dxfId="2930" priority="954" operator="containsText" text="Cancelado">
      <formula>NOT(ISERROR(SEARCH("Cancelado",O878)))</formula>
    </cfRule>
  </conditionalFormatting>
  <conditionalFormatting sqref="Q878">
    <cfRule type="cellIs" dxfId="2929" priority="951" operator="equal">
      <formula>"Tramitando"</formula>
    </cfRule>
    <cfRule type="cellIs" dxfId="2928" priority="952" operator="equal">
      <formula>"Deferido"</formula>
    </cfRule>
    <cfRule type="cellIs" dxfId="2927" priority="953" operator="equal">
      <formula>"Indeferido"</formula>
    </cfRule>
  </conditionalFormatting>
  <conditionalFormatting sqref="Q878">
    <cfRule type="containsText" dxfId="2926" priority="950" operator="containsText" text="Cancelado">
      <formula>NOT(ISERROR(SEARCH("Cancelado",Q878)))</formula>
    </cfRule>
  </conditionalFormatting>
  <conditionalFormatting sqref="S878">
    <cfRule type="cellIs" dxfId="2925" priority="947" operator="equal">
      <formula>"Tramitando"</formula>
    </cfRule>
    <cfRule type="cellIs" dxfId="2924" priority="948" operator="equal">
      <formula>"Deferido"</formula>
    </cfRule>
    <cfRule type="cellIs" dxfId="2923" priority="949" operator="equal">
      <formula>"Indeferido"</formula>
    </cfRule>
  </conditionalFormatting>
  <conditionalFormatting sqref="S878">
    <cfRule type="containsText" dxfId="2922" priority="946" operator="containsText" text="Cancelado">
      <formula>NOT(ISERROR(SEARCH("Cancelado",S878)))</formula>
    </cfRule>
  </conditionalFormatting>
  <conditionalFormatting sqref="J879">
    <cfRule type="cellIs" dxfId="2921" priority="942" operator="equal">
      <formula>"Tramitando"</formula>
    </cfRule>
    <cfRule type="cellIs" dxfId="2920" priority="943" operator="equal">
      <formula>"Deferido"</formula>
    </cfRule>
    <cfRule type="cellIs" dxfId="2919" priority="944" operator="equal">
      <formula>"Indeferido"</formula>
    </cfRule>
  </conditionalFormatting>
  <conditionalFormatting sqref="J879">
    <cfRule type="containsText" dxfId="2918" priority="941" operator="containsText" text="Cancelado">
      <formula>NOT(ISERROR(SEARCH("Cancelado",J879)))</formula>
    </cfRule>
  </conditionalFormatting>
  <conditionalFormatting sqref="M879">
    <cfRule type="cellIs" dxfId="2917" priority="938" operator="equal">
      <formula>"Tramitando"</formula>
    </cfRule>
    <cfRule type="cellIs" dxfId="2916" priority="939" operator="equal">
      <formula>"Deferido"</formula>
    </cfRule>
    <cfRule type="cellIs" dxfId="2915" priority="940" operator="equal">
      <formula>"Indeferido"</formula>
    </cfRule>
  </conditionalFormatting>
  <conditionalFormatting sqref="M879">
    <cfRule type="containsText" dxfId="2914" priority="937" operator="containsText" text="Cancelado">
      <formula>NOT(ISERROR(SEARCH("Cancelado",M879)))</formula>
    </cfRule>
  </conditionalFormatting>
  <conditionalFormatting sqref="O879">
    <cfRule type="cellIs" dxfId="2913" priority="934" operator="equal">
      <formula>"Tramitando"</formula>
    </cfRule>
    <cfRule type="cellIs" dxfId="2912" priority="935" operator="equal">
      <formula>"Deferido"</formula>
    </cfRule>
    <cfRule type="cellIs" dxfId="2911" priority="936" operator="equal">
      <formula>"Indeferido"</formula>
    </cfRule>
  </conditionalFormatting>
  <conditionalFormatting sqref="O879">
    <cfRule type="containsText" dxfId="2910" priority="933" operator="containsText" text="Cancelado">
      <formula>NOT(ISERROR(SEARCH("Cancelado",O879)))</formula>
    </cfRule>
  </conditionalFormatting>
  <conditionalFormatting sqref="Q879">
    <cfRule type="cellIs" dxfId="2909" priority="930" operator="equal">
      <formula>"Tramitando"</formula>
    </cfRule>
    <cfRule type="cellIs" dxfId="2908" priority="931" operator="equal">
      <formula>"Deferido"</formula>
    </cfRule>
    <cfRule type="cellIs" dxfId="2907" priority="932" operator="equal">
      <formula>"Indeferido"</formula>
    </cfRule>
  </conditionalFormatting>
  <conditionalFormatting sqref="Q879">
    <cfRule type="containsText" dxfId="2906" priority="929" operator="containsText" text="Cancelado">
      <formula>NOT(ISERROR(SEARCH("Cancelado",Q879)))</formula>
    </cfRule>
  </conditionalFormatting>
  <conditionalFormatting sqref="S879">
    <cfRule type="cellIs" dxfId="2905" priority="926" operator="equal">
      <formula>"Tramitando"</formula>
    </cfRule>
    <cfRule type="cellIs" dxfId="2904" priority="927" operator="equal">
      <formula>"Deferido"</formula>
    </cfRule>
    <cfRule type="cellIs" dxfId="2903" priority="928" operator="equal">
      <formula>"Indeferido"</formula>
    </cfRule>
  </conditionalFormatting>
  <conditionalFormatting sqref="S879">
    <cfRule type="containsText" dxfId="2902" priority="925" operator="containsText" text="Cancelado">
      <formula>NOT(ISERROR(SEARCH("Cancelado",S879)))</formula>
    </cfRule>
  </conditionalFormatting>
  <conditionalFormatting sqref="J880">
    <cfRule type="cellIs" dxfId="2901" priority="921" operator="equal">
      <formula>"Tramitando"</formula>
    </cfRule>
    <cfRule type="cellIs" dxfId="2900" priority="922" operator="equal">
      <formula>"Deferido"</formula>
    </cfRule>
    <cfRule type="cellIs" dxfId="2899" priority="923" operator="equal">
      <formula>"Indeferido"</formula>
    </cfRule>
  </conditionalFormatting>
  <conditionalFormatting sqref="J880">
    <cfRule type="containsText" dxfId="2898" priority="920" operator="containsText" text="Cancelado">
      <formula>NOT(ISERROR(SEARCH("Cancelado",J880)))</formula>
    </cfRule>
  </conditionalFormatting>
  <conditionalFormatting sqref="M880">
    <cfRule type="cellIs" dxfId="2897" priority="917" operator="equal">
      <formula>"Tramitando"</formula>
    </cfRule>
    <cfRule type="cellIs" dxfId="2896" priority="918" operator="equal">
      <formula>"Deferido"</formula>
    </cfRule>
    <cfRule type="cellIs" dxfId="2895" priority="919" operator="equal">
      <formula>"Indeferido"</formula>
    </cfRule>
  </conditionalFormatting>
  <conditionalFormatting sqref="M880">
    <cfRule type="containsText" dxfId="2894" priority="916" operator="containsText" text="Cancelado">
      <formula>NOT(ISERROR(SEARCH("Cancelado",M880)))</formula>
    </cfRule>
  </conditionalFormatting>
  <conditionalFormatting sqref="O880">
    <cfRule type="cellIs" dxfId="2893" priority="913" operator="equal">
      <formula>"Tramitando"</formula>
    </cfRule>
    <cfRule type="cellIs" dxfId="2892" priority="914" operator="equal">
      <formula>"Deferido"</formula>
    </cfRule>
    <cfRule type="cellIs" dxfId="2891" priority="915" operator="equal">
      <formula>"Indeferido"</formula>
    </cfRule>
  </conditionalFormatting>
  <conditionalFormatting sqref="O880">
    <cfRule type="containsText" dxfId="2890" priority="912" operator="containsText" text="Cancelado">
      <formula>NOT(ISERROR(SEARCH("Cancelado",O880)))</formula>
    </cfRule>
  </conditionalFormatting>
  <conditionalFormatting sqref="Q880">
    <cfRule type="cellIs" dxfId="2889" priority="909" operator="equal">
      <formula>"Tramitando"</formula>
    </cfRule>
    <cfRule type="cellIs" dxfId="2888" priority="910" operator="equal">
      <formula>"Deferido"</formula>
    </cfRule>
    <cfRule type="cellIs" dxfId="2887" priority="911" operator="equal">
      <formula>"Indeferido"</formula>
    </cfRule>
  </conditionalFormatting>
  <conditionalFormatting sqref="Q880">
    <cfRule type="containsText" dxfId="2886" priority="908" operator="containsText" text="Cancelado">
      <formula>NOT(ISERROR(SEARCH("Cancelado",Q880)))</formula>
    </cfRule>
  </conditionalFormatting>
  <conditionalFormatting sqref="S880">
    <cfRule type="cellIs" dxfId="2885" priority="905" operator="equal">
      <formula>"Tramitando"</formula>
    </cfRule>
    <cfRule type="cellIs" dxfId="2884" priority="906" operator="equal">
      <formula>"Deferido"</formula>
    </cfRule>
    <cfRule type="cellIs" dxfId="2883" priority="907" operator="equal">
      <formula>"Indeferido"</formula>
    </cfRule>
  </conditionalFormatting>
  <conditionalFormatting sqref="S880">
    <cfRule type="containsText" dxfId="2882" priority="904" operator="containsText" text="Cancelado">
      <formula>NOT(ISERROR(SEARCH("Cancelado",S880)))</formula>
    </cfRule>
  </conditionalFormatting>
  <conditionalFormatting sqref="J881">
    <cfRule type="cellIs" dxfId="2881" priority="900" operator="equal">
      <formula>"Tramitando"</formula>
    </cfRule>
    <cfRule type="cellIs" dxfId="2880" priority="901" operator="equal">
      <formula>"Deferido"</formula>
    </cfRule>
    <cfRule type="cellIs" dxfId="2879" priority="902" operator="equal">
      <formula>"Indeferido"</formula>
    </cfRule>
  </conditionalFormatting>
  <conditionalFormatting sqref="J881">
    <cfRule type="containsText" dxfId="2878" priority="899" operator="containsText" text="Cancelado">
      <formula>NOT(ISERROR(SEARCH("Cancelado",J881)))</formula>
    </cfRule>
  </conditionalFormatting>
  <conditionalFormatting sqref="M881">
    <cfRule type="cellIs" dxfId="2877" priority="896" operator="equal">
      <formula>"Tramitando"</formula>
    </cfRule>
    <cfRule type="cellIs" dxfId="2876" priority="897" operator="equal">
      <formula>"Deferido"</formula>
    </cfRule>
    <cfRule type="cellIs" dxfId="2875" priority="898" operator="equal">
      <formula>"Indeferido"</formula>
    </cfRule>
  </conditionalFormatting>
  <conditionalFormatting sqref="M881">
    <cfRule type="containsText" dxfId="2874" priority="895" operator="containsText" text="Cancelado">
      <formula>NOT(ISERROR(SEARCH("Cancelado",M881)))</formula>
    </cfRule>
  </conditionalFormatting>
  <conditionalFormatting sqref="O881">
    <cfRule type="cellIs" dxfId="2873" priority="892" operator="equal">
      <formula>"Tramitando"</formula>
    </cfRule>
    <cfRule type="cellIs" dxfId="2872" priority="893" operator="equal">
      <formula>"Deferido"</formula>
    </cfRule>
    <cfRule type="cellIs" dxfId="2871" priority="894" operator="equal">
      <formula>"Indeferido"</formula>
    </cfRule>
  </conditionalFormatting>
  <conditionalFormatting sqref="O881">
    <cfRule type="containsText" dxfId="2870" priority="891" operator="containsText" text="Cancelado">
      <formula>NOT(ISERROR(SEARCH("Cancelado",O881)))</formula>
    </cfRule>
  </conditionalFormatting>
  <conditionalFormatting sqref="Q881">
    <cfRule type="cellIs" dxfId="2869" priority="888" operator="equal">
      <formula>"Tramitando"</formula>
    </cfRule>
    <cfRule type="cellIs" dxfId="2868" priority="889" operator="equal">
      <formula>"Deferido"</formula>
    </cfRule>
    <cfRule type="cellIs" dxfId="2867" priority="890" operator="equal">
      <formula>"Indeferido"</formula>
    </cfRule>
  </conditionalFormatting>
  <conditionalFormatting sqref="Q881">
    <cfRule type="containsText" dxfId="2866" priority="887" operator="containsText" text="Cancelado">
      <formula>NOT(ISERROR(SEARCH("Cancelado",Q881)))</formula>
    </cfRule>
  </conditionalFormatting>
  <conditionalFormatting sqref="S881">
    <cfRule type="cellIs" dxfId="2865" priority="884" operator="equal">
      <formula>"Tramitando"</formula>
    </cfRule>
    <cfRule type="cellIs" dxfId="2864" priority="885" operator="equal">
      <formula>"Deferido"</formula>
    </cfRule>
    <cfRule type="cellIs" dxfId="2863" priority="886" operator="equal">
      <formula>"Indeferido"</formula>
    </cfRule>
  </conditionalFormatting>
  <conditionalFormatting sqref="S881">
    <cfRule type="containsText" dxfId="2862" priority="883" operator="containsText" text="Cancelado">
      <formula>NOT(ISERROR(SEARCH("Cancelado",S881)))</formula>
    </cfRule>
  </conditionalFormatting>
  <conditionalFormatting sqref="J882">
    <cfRule type="cellIs" dxfId="2861" priority="879" operator="equal">
      <formula>"Tramitando"</formula>
    </cfRule>
    <cfRule type="cellIs" dxfId="2860" priority="880" operator="equal">
      <formula>"Deferido"</formula>
    </cfRule>
    <cfRule type="cellIs" dxfId="2859" priority="881" operator="equal">
      <formula>"Indeferido"</formula>
    </cfRule>
  </conditionalFormatting>
  <conditionalFormatting sqref="J882">
    <cfRule type="containsText" dxfId="2858" priority="878" operator="containsText" text="Cancelado">
      <formula>NOT(ISERROR(SEARCH("Cancelado",J882)))</formula>
    </cfRule>
  </conditionalFormatting>
  <conditionalFormatting sqref="M882">
    <cfRule type="cellIs" dxfId="2857" priority="875" operator="equal">
      <formula>"Tramitando"</formula>
    </cfRule>
    <cfRule type="cellIs" dxfId="2856" priority="876" operator="equal">
      <formula>"Deferido"</formula>
    </cfRule>
    <cfRule type="cellIs" dxfId="2855" priority="877" operator="equal">
      <formula>"Indeferido"</formula>
    </cfRule>
  </conditionalFormatting>
  <conditionalFormatting sqref="M882">
    <cfRule type="containsText" dxfId="2854" priority="874" operator="containsText" text="Cancelado">
      <formula>NOT(ISERROR(SEARCH("Cancelado",M882)))</formula>
    </cfRule>
  </conditionalFormatting>
  <conditionalFormatting sqref="O882">
    <cfRule type="cellIs" dxfId="2853" priority="871" operator="equal">
      <formula>"Tramitando"</formula>
    </cfRule>
    <cfRule type="cellIs" dxfId="2852" priority="872" operator="equal">
      <formula>"Deferido"</formula>
    </cfRule>
    <cfRule type="cellIs" dxfId="2851" priority="873" operator="equal">
      <formula>"Indeferido"</formula>
    </cfRule>
  </conditionalFormatting>
  <conditionalFormatting sqref="O882">
    <cfRule type="containsText" dxfId="2850" priority="870" operator="containsText" text="Cancelado">
      <formula>NOT(ISERROR(SEARCH("Cancelado",O882)))</formula>
    </cfRule>
  </conditionalFormatting>
  <conditionalFormatting sqref="Q882">
    <cfRule type="cellIs" dxfId="2849" priority="867" operator="equal">
      <formula>"Tramitando"</formula>
    </cfRule>
    <cfRule type="cellIs" dxfId="2848" priority="868" operator="equal">
      <formula>"Deferido"</formula>
    </cfRule>
    <cfRule type="cellIs" dxfId="2847" priority="869" operator="equal">
      <formula>"Indeferido"</formula>
    </cfRule>
  </conditionalFormatting>
  <conditionalFormatting sqref="Q882">
    <cfRule type="containsText" dxfId="2846" priority="866" operator="containsText" text="Cancelado">
      <formula>NOT(ISERROR(SEARCH("Cancelado",Q882)))</formula>
    </cfRule>
  </conditionalFormatting>
  <conditionalFormatting sqref="S882">
    <cfRule type="cellIs" dxfId="2845" priority="863" operator="equal">
      <formula>"Tramitando"</formula>
    </cfRule>
    <cfRule type="cellIs" dxfId="2844" priority="864" operator="equal">
      <formula>"Deferido"</formula>
    </cfRule>
    <cfRule type="cellIs" dxfId="2843" priority="865" operator="equal">
      <formula>"Indeferido"</formula>
    </cfRule>
  </conditionalFormatting>
  <conditionalFormatting sqref="S882">
    <cfRule type="containsText" dxfId="2842" priority="862" operator="containsText" text="Cancelado">
      <formula>NOT(ISERROR(SEARCH("Cancelado",S882)))</formula>
    </cfRule>
  </conditionalFormatting>
  <conditionalFormatting sqref="J883:J884">
    <cfRule type="cellIs" dxfId="2841" priority="858" operator="equal">
      <formula>"Tramitando"</formula>
    </cfRule>
    <cfRule type="cellIs" dxfId="2840" priority="859" operator="equal">
      <formula>"Deferido"</formula>
    </cfRule>
    <cfRule type="cellIs" dxfId="2839" priority="860" operator="equal">
      <formula>"Indeferido"</formula>
    </cfRule>
  </conditionalFormatting>
  <conditionalFormatting sqref="J883:J884">
    <cfRule type="containsText" dxfId="2838" priority="857" operator="containsText" text="Cancelado">
      <formula>NOT(ISERROR(SEARCH("Cancelado",J883)))</formula>
    </cfRule>
  </conditionalFormatting>
  <conditionalFormatting sqref="M883:M884">
    <cfRule type="cellIs" dxfId="2837" priority="854" operator="equal">
      <formula>"Tramitando"</formula>
    </cfRule>
    <cfRule type="cellIs" dxfId="2836" priority="855" operator="equal">
      <formula>"Deferido"</formula>
    </cfRule>
    <cfRule type="cellIs" dxfId="2835" priority="856" operator="equal">
      <formula>"Indeferido"</formula>
    </cfRule>
  </conditionalFormatting>
  <conditionalFormatting sqref="M883:M884">
    <cfRule type="containsText" dxfId="2834" priority="853" operator="containsText" text="Cancelado">
      <formula>NOT(ISERROR(SEARCH("Cancelado",M883)))</formula>
    </cfRule>
  </conditionalFormatting>
  <conditionalFormatting sqref="O883:O884">
    <cfRule type="cellIs" dxfId="2833" priority="850" operator="equal">
      <formula>"Tramitando"</formula>
    </cfRule>
    <cfRule type="cellIs" dxfId="2832" priority="851" operator="equal">
      <formula>"Deferido"</formula>
    </cfRule>
    <cfRule type="cellIs" dxfId="2831" priority="852" operator="equal">
      <formula>"Indeferido"</formula>
    </cfRule>
  </conditionalFormatting>
  <conditionalFormatting sqref="O883:O884">
    <cfRule type="containsText" dxfId="2830" priority="849" operator="containsText" text="Cancelado">
      <formula>NOT(ISERROR(SEARCH("Cancelado",O883)))</formula>
    </cfRule>
  </conditionalFormatting>
  <conditionalFormatting sqref="Q883:Q884">
    <cfRule type="cellIs" dxfId="2829" priority="846" operator="equal">
      <formula>"Tramitando"</formula>
    </cfRule>
    <cfRule type="cellIs" dxfId="2828" priority="847" operator="equal">
      <formula>"Deferido"</formula>
    </cfRule>
    <cfRule type="cellIs" dxfId="2827" priority="848" operator="equal">
      <formula>"Indeferido"</formula>
    </cfRule>
  </conditionalFormatting>
  <conditionalFormatting sqref="Q883:Q884">
    <cfRule type="containsText" dxfId="2826" priority="845" operator="containsText" text="Cancelado">
      <formula>NOT(ISERROR(SEARCH("Cancelado",Q883)))</formula>
    </cfRule>
  </conditionalFormatting>
  <conditionalFormatting sqref="S883:S884">
    <cfRule type="cellIs" dxfId="2825" priority="842" operator="equal">
      <formula>"Tramitando"</formula>
    </cfRule>
    <cfRule type="cellIs" dxfId="2824" priority="843" operator="equal">
      <formula>"Deferido"</formula>
    </cfRule>
    <cfRule type="cellIs" dxfId="2823" priority="844" operator="equal">
      <formula>"Indeferido"</formula>
    </cfRule>
  </conditionalFormatting>
  <conditionalFormatting sqref="S883:S884">
    <cfRule type="containsText" dxfId="2822" priority="841" operator="containsText" text="Cancelado">
      <formula>NOT(ISERROR(SEARCH("Cancelado",S883)))</formula>
    </cfRule>
  </conditionalFormatting>
  <conditionalFormatting sqref="J885:J886">
    <cfRule type="cellIs" dxfId="2821" priority="837" operator="equal">
      <formula>"Tramitando"</formula>
    </cfRule>
    <cfRule type="cellIs" dxfId="2820" priority="838" operator="equal">
      <formula>"Deferido"</formula>
    </cfRule>
    <cfRule type="cellIs" dxfId="2819" priority="839" operator="equal">
      <formula>"Indeferido"</formula>
    </cfRule>
  </conditionalFormatting>
  <conditionalFormatting sqref="J885:J886">
    <cfRule type="containsText" dxfId="2818" priority="836" operator="containsText" text="Cancelado">
      <formula>NOT(ISERROR(SEARCH("Cancelado",J885)))</formula>
    </cfRule>
  </conditionalFormatting>
  <conditionalFormatting sqref="M885:M886">
    <cfRule type="cellIs" dxfId="2817" priority="833" operator="equal">
      <formula>"Tramitando"</formula>
    </cfRule>
    <cfRule type="cellIs" dxfId="2816" priority="834" operator="equal">
      <formula>"Deferido"</formula>
    </cfRule>
    <cfRule type="cellIs" dxfId="2815" priority="835" operator="equal">
      <formula>"Indeferido"</formula>
    </cfRule>
  </conditionalFormatting>
  <conditionalFormatting sqref="M885:M886">
    <cfRule type="containsText" dxfId="2814" priority="832" operator="containsText" text="Cancelado">
      <formula>NOT(ISERROR(SEARCH("Cancelado",M885)))</formula>
    </cfRule>
  </conditionalFormatting>
  <conditionalFormatting sqref="O885:O886">
    <cfRule type="cellIs" dxfId="2813" priority="829" operator="equal">
      <formula>"Tramitando"</formula>
    </cfRule>
    <cfRule type="cellIs" dxfId="2812" priority="830" operator="equal">
      <formula>"Deferido"</formula>
    </cfRule>
    <cfRule type="cellIs" dxfId="2811" priority="831" operator="equal">
      <formula>"Indeferido"</formula>
    </cfRule>
  </conditionalFormatting>
  <conditionalFormatting sqref="O885:O886">
    <cfRule type="containsText" dxfId="2810" priority="828" operator="containsText" text="Cancelado">
      <formula>NOT(ISERROR(SEARCH("Cancelado",O885)))</formula>
    </cfRule>
  </conditionalFormatting>
  <conditionalFormatting sqref="Q885:Q886">
    <cfRule type="cellIs" dxfId="2809" priority="825" operator="equal">
      <formula>"Tramitando"</formula>
    </cfRule>
    <cfRule type="cellIs" dxfId="2808" priority="826" operator="equal">
      <formula>"Deferido"</formula>
    </cfRule>
    <cfRule type="cellIs" dxfId="2807" priority="827" operator="equal">
      <formula>"Indeferido"</formula>
    </cfRule>
  </conditionalFormatting>
  <conditionalFormatting sqref="Q885:Q886">
    <cfRule type="containsText" dxfId="2806" priority="824" operator="containsText" text="Cancelado">
      <formula>NOT(ISERROR(SEARCH("Cancelado",Q885)))</formula>
    </cfRule>
  </conditionalFormatting>
  <conditionalFormatting sqref="S885:S886">
    <cfRule type="cellIs" dxfId="2805" priority="821" operator="equal">
      <formula>"Tramitando"</formula>
    </cfRule>
    <cfRule type="cellIs" dxfId="2804" priority="822" operator="equal">
      <formula>"Deferido"</formula>
    </cfRule>
    <cfRule type="cellIs" dxfId="2803" priority="823" operator="equal">
      <formula>"Indeferido"</formula>
    </cfRule>
  </conditionalFormatting>
  <conditionalFormatting sqref="S885:S886">
    <cfRule type="containsText" dxfId="2802" priority="820" operator="containsText" text="Cancelado">
      <formula>NOT(ISERROR(SEARCH("Cancelado",S885)))</formula>
    </cfRule>
  </conditionalFormatting>
  <conditionalFormatting sqref="J887">
    <cfRule type="cellIs" dxfId="2801" priority="816" operator="equal">
      <formula>"Tramitando"</formula>
    </cfRule>
    <cfRule type="cellIs" dxfId="2800" priority="817" operator="equal">
      <formula>"Deferido"</formula>
    </cfRule>
    <cfRule type="cellIs" dxfId="2799" priority="818" operator="equal">
      <formula>"Indeferido"</formula>
    </cfRule>
  </conditionalFormatting>
  <conditionalFormatting sqref="J887">
    <cfRule type="containsText" dxfId="2798" priority="815" operator="containsText" text="Cancelado">
      <formula>NOT(ISERROR(SEARCH("Cancelado",J887)))</formula>
    </cfRule>
  </conditionalFormatting>
  <conditionalFormatting sqref="M887">
    <cfRule type="cellIs" dxfId="2797" priority="812" operator="equal">
      <formula>"Tramitando"</formula>
    </cfRule>
    <cfRule type="cellIs" dxfId="2796" priority="813" operator="equal">
      <formula>"Deferido"</formula>
    </cfRule>
    <cfRule type="cellIs" dxfId="2795" priority="814" operator="equal">
      <formula>"Indeferido"</formula>
    </cfRule>
  </conditionalFormatting>
  <conditionalFormatting sqref="M887">
    <cfRule type="containsText" dxfId="2794" priority="811" operator="containsText" text="Cancelado">
      <formula>NOT(ISERROR(SEARCH("Cancelado",M887)))</formula>
    </cfRule>
  </conditionalFormatting>
  <conditionalFormatting sqref="O887">
    <cfRule type="cellIs" dxfId="2793" priority="808" operator="equal">
      <formula>"Tramitando"</formula>
    </cfRule>
    <cfRule type="cellIs" dxfId="2792" priority="809" operator="equal">
      <formula>"Deferido"</formula>
    </cfRule>
    <cfRule type="cellIs" dxfId="2791" priority="810" operator="equal">
      <formula>"Indeferido"</formula>
    </cfRule>
  </conditionalFormatting>
  <conditionalFormatting sqref="O887">
    <cfRule type="containsText" dxfId="2790" priority="807" operator="containsText" text="Cancelado">
      <formula>NOT(ISERROR(SEARCH("Cancelado",O887)))</formula>
    </cfRule>
  </conditionalFormatting>
  <conditionalFormatting sqref="Q887">
    <cfRule type="cellIs" dxfId="2789" priority="804" operator="equal">
      <formula>"Tramitando"</formula>
    </cfRule>
    <cfRule type="cellIs" dxfId="2788" priority="805" operator="equal">
      <formula>"Deferido"</formula>
    </cfRule>
    <cfRule type="cellIs" dxfId="2787" priority="806" operator="equal">
      <formula>"Indeferido"</formula>
    </cfRule>
  </conditionalFormatting>
  <conditionalFormatting sqref="Q887">
    <cfRule type="containsText" dxfId="2786" priority="803" operator="containsText" text="Cancelado">
      <formula>NOT(ISERROR(SEARCH("Cancelado",Q887)))</formula>
    </cfRule>
  </conditionalFormatting>
  <conditionalFormatting sqref="S887">
    <cfRule type="cellIs" dxfId="2785" priority="800" operator="equal">
      <formula>"Tramitando"</formula>
    </cfRule>
    <cfRule type="cellIs" dxfId="2784" priority="801" operator="equal">
      <formula>"Deferido"</formula>
    </cfRule>
    <cfRule type="cellIs" dxfId="2783" priority="802" operator="equal">
      <formula>"Indeferido"</formula>
    </cfRule>
  </conditionalFormatting>
  <conditionalFormatting sqref="S887">
    <cfRule type="containsText" dxfId="2782" priority="799" operator="containsText" text="Cancelado">
      <formula>NOT(ISERROR(SEARCH("Cancelado",S887)))</formula>
    </cfRule>
  </conditionalFormatting>
  <conditionalFormatting sqref="J888:J889">
    <cfRule type="cellIs" dxfId="2781" priority="795" operator="equal">
      <formula>"Tramitando"</formula>
    </cfRule>
    <cfRule type="cellIs" dxfId="2780" priority="796" operator="equal">
      <formula>"Deferido"</formula>
    </cfRule>
    <cfRule type="cellIs" dxfId="2779" priority="797" operator="equal">
      <formula>"Indeferido"</formula>
    </cfRule>
  </conditionalFormatting>
  <conditionalFormatting sqref="J888:J889">
    <cfRule type="containsText" dxfId="2778" priority="794" operator="containsText" text="Cancelado">
      <formula>NOT(ISERROR(SEARCH("Cancelado",J888)))</formula>
    </cfRule>
  </conditionalFormatting>
  <conditionalFormatting sqref="M888:M889">
    <cfRule type="cellIs" dxfId="2777" priority="791" operator="equal">
      <formula>"Tramitando"</formula>
    </cfRule>
    <cfRule type="cellIs" dxfId="2776" priority="792" operator="equal">
      <formula>"Deferido"</formula>
    </cfRule>
    <cfRule type="cellIs" dxfId="2775" priority="793" operator="equal">
      <formula>"Indeferido"</formula>
    </cfRule>
  </conditionalFormatting>
  <conditionalFormatting sqref="M888:M889">
    <cfRule type="containsText" dxfId="2774" priority="790" operator="containsText" text="Cancelado">
      <formula>NOT(ISERROR(SEARCH("Cancelado",M888)))</formula>
    </cfRule>
  </conditionalFormatting>
  <conditionalFormatting sqref="O888:O889">
    <cfRule type="cellIs" dxfId="2773" priority="787" operator="equal">
      <formula>"Tramitando"</formula>
    </cfRule>
    <cfRule type="cellIs" dxfId="2772" priority="788" operator="equal">
      <formula>"Deferido"</formula>
    </cfRule>
    <cfRule type="cellIs" dxfId="2771" priority="789" operator="equal">
      <formula>"Indeferido"</formula>
    </cfRule>
  </conditionalFormatting>
  <conditionalFormatting sqref="O888:O889">
    <cfRule type="containsText" dxfId="2770" priority="786" operator="containsText" text="Cancelado">
      <formula>NOT(ISERROR(SEARCH("Cancelado",O888)))</formula>
    </cfRule>
  </conditionalFormatting>
  <conditionalFormatting sqref="Q888:Q889">
    <cfRule type="cellIs" dxfId="2769" priority="783" operator="equal">
      <formula>"Tramitando"</formula>
    </cfRule>
    <cfRule type="cellIs" dxfId="2768" priority="784" operator="equal">
      <formula>"Deferido"</formula>
    </cfRule>
    <cfRule type="cellIs" dxfId="2767" priority="785" operator="equal">
      <formula>"Indeferido"</formula>
    </cfRule>
  </conditionalFormatting>
  <conditionalFormatting sqref="Q888:Q889">
    <cfRule type="containsText" dxfId="2766" priority="782" operator="containsText" text="Cancelado">
      <formula>NOT(ISERROR(SEARCH("Cancelado",Q888)))</formula>
    </cfRule>
  </conditionalFormatting>
  <conditionalFormatting sqref="S888:S889">
    <cfRule type="cellIs" dxfId="2765" priority="779" operator="equal">
      <formula>"Tramitando"</formula>
    </cfRule>
    <cfRule type="cellIs" dxfId="2764" priority="780" operator="equal">
      <formula>"Deferido"</formula>
    </cfRule>
    <cfRule type="cellIs" dxfId="2763" priority="781" operator="equal">
      <formula>"Indeferido"</formula>
    </cfRule>
  </conditionalFormatting>
  <conditionalFormatting sqref="S888:S889">
    <cfRule type="containsText" dxfId="2762" priority="778" operator="containsText" text="Cancelado">
      <formula>NOT(ISERROR(SEARCH("Cancelado",S888)))</formula>
    </cfRule>
  </conditionalFormatting>
  <conditionalFormatting sqref="J890">
    <cfRule type="cellIs" dxfId="2761" priority="774" operator="equal">
      <formula>"Tramitando"</formula>
    </cfRule>
    <cfRule type="cellIs" dxfId="2760" priority="775" operator="equal">
      <formula>"Deferido"</formula>
    </cfRule>
    <cfRule type="cellIs" dxfId="2759" priority="776" operator="equal">
      <formula>"Indeferido"</formula>
    </cfRule>
  </conditionalFormatting>
  <conditionalFormatting sqref="J890">
    <cfRule type="containsText" dxfId="2758" priority="773" operator="containsText" text="Cancelado">
      <formula>NOT(ISERROR(SEARCH("Cancelado",J890)))</formula>
    </cfRule>
  </conditionalFormatting>
  <conditionalFormatting sqref="M890">
    <cfRule type="cellIs" dxfId="2757" priority="770" operator="equal">
      <formula>"Tramitando"</formula>
    </cfRule>
    <cfRule type="cellIs" dxfId="2756" priority="771" operator="equal">
      <formula>"Deferido"</formula>
    </cfRule>
    <cfRule type="cellIs" dxfId="2755" priority="772" operator="equal">
      <formula>"Indeferido"</formula>
    </cfRule>
  </conditionalFormatting>
  <conditionalFormatting sqref="M890">
    <cfRule type="containsText" dxfId="2754" priority="769" operator="containsText" text="Cancelado">
      <formula>NOT(ISERROR(SEARCH("Cancelado",M890)))</formula>
    </cfRule>
  </conditionalFormatting>
  <conditionalFormatting sqref="O890">
    <cfRule type="cellIs" dxfId="2753" priority="766" operator="equal">
      <formula>"Tramitando"</formula>
    </cfRule>
    <cfRule type="cellIs" dxfId="2752" priority="767" operator="equal">
      <formula>"Deferido"</formula>
    </cfRule>
    <cfRule type="cellIs" dxfId="2751" priority="768" operator="equal">
      <formula>"Indeferido"</formula>
    </cfRule>
  </conditionalFormatting>
  <conditionalFormatting sqref="O890">
    <cfRule type="containsText" dxfId="2750" priority="765" operator="containsText" text="Cancelado">
      <formula>NOT(ISERROR(SEARCH("Cancelado",O890)))</formula>
    </cfRule>
  </conditionalFormatting>
  <conditionalFormatting sqref="Q890">
    <cfRule type="cellIs" dxfId="2749" priority="762" operator="equal">
      <formula>"Tramitando"</formula>
    </cfRule>
    <cfRule type="cellIs" dxfId="2748" priority="763" operator="equal">
      <formula>"Deferido"</formula>
    </cfRule>
    <cfRule type="cellIs" dxfId="2747" priority="764" operator="equal">
      <formula>"Indeferido"</formula>
    </cfRule>
  </conditionalFormatting>
  <conditionalFormatting sqref="Q890">
    <cfRule type="containsText" dxfId="2746" priority="761" operator="containsText" text="Cancelado">
      <formula>NOT(ISERROR(SEARCH("Cancelado",Q890)))</formula>
    </cfRule>
  </conditionalFormatting>
  <conditionalFormatting sqref="S890">
    <cfRule type="cellIs" dxfId="2745" priority="758" operator="equal">
      <formula>"Tramitando"</formula>
    </cfRule>
    <cfRule type="cellIs" dxfId="2744" priority="759" operator="equal">
      <formula>"Deferido"</formula>
    </cfRule>
    <cfRule type="cellIs" dxfId="2743" priority="760" operator="equal">
      <formula>"Indeferido"</formula>
    </cfRule>
  </conditionalFormatting>
  <conditionalFormatting sqref="S890">
    <cfRule type="containsText" dxfId="2742" priority="757" operator="containsText" text="Cancelado">
      <formula>NOT(ISERROR(SEARCH("Cancelado",S890)))</formula>
    </cfRule>
  </conditionalFormatting>
  <conditionalFormatting sqref="J891:J892">
    <cfRule type="cellIs" dxfId="2741" priority="753" operator="equal">
      <formula>"Tramitando"</formula>
    </cfRule>
    <cfRule type="cellIs" dxfId="2740" priority="754" operator="equal">
      <formula>"Deferido"</formula>
    </cfRule>
    <cfRule type="cellIs" dxfId="2739" priority="755" operator="equal">
      <formula>"Indeferido"</formula>
    </cfRule>
  </conditionalFormatting>
  <conditionalFormatting sqref="J891:J892">
    <cfRule type="containsText" dxfId="2738" priority="752" operator="containsText" text="Cancelado">
      <formula>NOT(ISERROR(SEARCH("Cancelado",J891)))</formula>
    </cfRule>
  </conditionalFormatting>
  <conditionalFormatting sqref="M891:M892">
    <cfRule type="cellIs" dxfId="2737" priority="749" operator="equal">
      <formula>"Tramitando"</formula>
    </cfRule>
    <cfRule type="cellIs" dxfId="2736" priority="750" operator="equal">
      <formula>"Deferido"</formula>
    </cfRule>
    <cfRule type="cellIs" dxfId="2735" priority="751" operator="equal">
      <formula>"Indeferido"</formula>
    </cfRule>
  </conditionalFormatting>
  <conditionalFormatting sqref="M891:M892">
    <cfRule type="containsText" dxfId="2734" priority="748" operator="containsText" text="Cancelado">
      <formula>NOT(ISERROR(SEARCH("Cancelado",M891)))</formula>
    </cfRule>
  </conditionalFormatting>
  <conditionalFormatting sqref="O891:O892">
    <cfRule type="cellIs" dxfId="2733" priority="745" operator="equal">
      <formula>"Tramitando"</formula>
    </cfRule>
    <cfRule type="cellIs" dxfId="2732" priority="746" operator="equal">
      <formula>"Deferido"</formula>
    </cfRule>
    <cfRule type="cellIs" dxfId="2731" priority="747" operator="equal">
      <formula>"Indeferido"</formula>
    </cfRule>
  </conditionalFormatting>
  <conditionalFormatting sqref="O891:O892">
    <cfRule type="containsText" dxfId="2730" priority="744" operator="containsText" text="Cancelado">
      <formula>NOT(ISERROR(SEARCH("Cancelado",O891)))</formula>
    </cfRule>
  </conditionalFormatting>
  <conditionalFormatting sqref="Q891:Q892">
    <cfRule type="cellIs" dxfId="2729" priority="741" operator="equal">
      <formula>"Tramitando"</formula>
    </cfRule>
    <cfRule type="cellIs" dxfId="2728" priority="742" operator="equal">
      <formula>"Deferido"</formula>
    </cfRule>
    <cfRule type="cellIs" dxfId="2727" priority="743" operator="equal">
      <formula>"Indeferido"</formula>
    </cfRule>
  </conditionalFormatting>
  <conditionalFormatting sqref="Q891:Q892">
    <cfRule type="containsText" dxfId="2726" priority="740" operator="containsText" text="Cancelado">
      <formula>NOT(ISERROR(SEARCH("Cancelado",Q891)))</formula>
    </cfRule>
  </conditionalFormatting>
  <conditionalFormatting sqref="S891:S892">
    <cfRule type="cellIs" dxfId="2725" priority="737" operator="equal">
      <formula>"Tramitando"</formula>
    </cfRule>
    <cfRule type="cellIs" dxfId="2724" priority="738" operator="equal">
      <formula>"Deferido"</formula>
    </cfRule>
    <cfRule type="cellIs" dxfId="2723" priority="739" operator="equal">
      <formula>"Indeferido"</formula>
    </cfRule>
  </conditionalFormatting>
  <conditionalFormatting sqref="S891:S892">
    <cfRule type="containsText" dxfId="2722" priority="736" operator="containsText" text="Cancelado">
      <formula>NOT(ISERROR(SEARCH("Cancelado",S891)))</formula>
    </cfRule>
  </conditionalFormatting>
  <conditionalFormatting sqref="J893:J894">
    <cfRule type="cellIs" dxfId="2721" priority="732" operator="equal">
      <formula>"Tramitando"</formula>
    </cfRule>
    <cfRule type="cellIs" dxfId="2720" priority="733" operator="equal">
      <formula>"Deferido"</formula>
    </cfRule>
    <cfRule type="cellIs" dxfId="2719" priority="734" operator="equal">
      <formula>"Indeferido"</formula>
    </cfRule>
  </conditionalFormatting>
  <conditionalFormatting sqref="J893:J894">
    <cfRule type="containsText" dxfId="2718" priority="731" operator="containsText" text="Cancelado">
      <formula>NOT(ISERROR(SEARCH("Cancelado",J893)))</formula>
    </cfRule>
  </conditionalFormatting>
  <conditionalFormatting sqref="M893:M894">
    <cfRule type="cellIs" dxfId="2717" priority="728" operator="equal">
      <formula>"Tramitando"</formula>
    </cfRule>
    <cfRule type="cellIs" dxfId="2716" priority="729" operator="equal">
      <formula>"Deferido"</formula>
    </cfRule>
    <cfRule type="cellIs" dxfId="2715" priority="730" operator="equal">
      <formula>"Indeferido"</formula>
    </cfRule>
  </conditionalFormatting>
  <conditionalFormatting sqref="M893:M894">
    <cfRule type="containsText" dxfId="2714" priority="727" operator="containsText" text="Cancelado">
      <formula>NOT(ISERROR(SEARCH("Cancelado",M893)))</formula>
    </cfRule>
  </conditionalFormatting>
  <conditionalFormatting sqref="O893:O894">
    <cfRule type="cellIs" dxfId="2713" priority="724" operator="equal">
      <formula>"Tramitando"</formula>
    </cfRule>
    <cfRule type="cellIs" dxfId="2712" priority="725" operator="equal">
      <formula>"Deferido"</formula>
    </cfRule>
    <cfRule type="cellIs" dxfId="2711" priority="726" operator="equal">
      <formula>"Indeferido"</formula>
    </cfRule>
  </conditionalFormatting>
  <conditionalFormatting sqref="O893:O894">
    <cfRule type="containsText" dxfId="2710" priority="723" operator="containsText" text="Cancelado">
      <formula>NOT(ISERROR(SEARCH("Cancelado",O893)))</formula>
    </cfRule>
  </conditionalFormatting>
  <conditionalFormatting sqref="Q893:Q894">
    <cfRule type="cellIs" dxfId="2709" priority="720" operator="equal">
      <formula>"Tramitando"</formula>
    </cfRule>
    <cfRule type="cellIs" dxfId="2708" priority="721" operator="equal">
      <formula>"Deferido"</formula>
    </cfRule>
    <cfRule type="cellIs" dxfId="2707" priority="722" operator="equal">
      <formula>"Indeferido"</formula>
    </cfRule>
  </conditionalFormatting>
  <conditionalFormatting sqref="Q893:Q894">
    <cfRule type="containsText" dxfId="2706" priority="719" operator="containsText" text="Cancelado">
      <formula>NOT(ISERROR(SEARCH("Cancelado",Q893)))</formula>
    </cfRule>
  </conditionalFormatting>
  <conditionalFormatting sqref="S893:S894">
    <cfRule type="cellIs" dxfId="2705" priority="716" operator="equal">
      <formula>"Tramitando"</formula>
    </cfRule>
    <cfRule type="cellIs" dxfId="2704" priority="717" operator="equal">
      <formula>"Deferido"</formula>
    </cfRule>
    <cfRule type="cellIs" dxfId="2703" priority="718" operator="equal">
      <formula>"Indeferido"</formula>
    </cfRule>
  </conditionalFormatting>
  <conditionalFormatting sqref="S893:S894">
    <cfRule type="containsText" dxfId="2702" priority="715" operator="containsText" text="Cancelado">
      <formula>NOT(ISERROR(SEARCH("Cancelado",S893)))</formula>
    </cfRule>
  </conditionalFormatting>
  <conditionalFormatting sqref="J895:J896">
    <cfRule type="cellIs" dxfId="2701" priority="711" operator="equal">
      <formula>"Tramitando"</formula>
    </cfRule>
    <cfRule type="cellIs" dxfId="2700" priority="712" operator="equal">
      <formula>"Deferido"</formula>
    </cfRule>
    <cfRule type="cellIs" dxfId="2699" priority="713" operator="equal">
      <formula>"Indeferido"</formula>
    </cfRule>
  </conditionalFormatting>
  <conditionalFormatting sqref="J895:J896">
    <cfRule type="containsText" dxfId="2698" priority="710" operator="containsText" text="Cancelado">
      <formula>NOT(ISERROR(SEARCH("Cancelado",J895)))</formula>
    </cfRule>
  </conditionalFormatting>
  <conditionalFormatting sqref="M895:M896">
    <cfRule type="cellIs" dxfId="2697" priority="707" operator="equal">
      <formula>"Tramitando"</formula>
    </cfRule>
    <cfRule type="cellIs" dxfId="2696" priority="708" operator="equal">
      <formula>"Deferido"</formula>
    </cfRule>
    <cfRule type="cellIs" dxfId="2695" priority="709" operator="equal">
      <formula>"Indeferido"</formula>
    </cfRule>
  </conditionalFormatting>
  <conditionalFormatting sqref="M895:M896">
    <cfRule type="containsText" dxfId="2694" priority="706" operator="containsText" text="Cancelado">
      <formula>NOT(ISERROR(SEARCH("Cancelado",M895)))</formula>
    </cfRule>
  </conditionalFormatting>
  <conditionalFormatting sqref="O895:O896">
    <cfRule type="cellIs" dxfId="2693" priority="703" operator="equal">
      <formula>"Tramitando"</formula>
    </cfRule>
    <cfRule type="cellIs" dxfId="2692" priority="704" operator="equal">
      <formula>"Deferido"</formula>
    </cfRule>
    <cfRule type="cellIs" dxfId="2691" priority="705" operator="equal">
      <formula>"Indeferido"</formula>
    </cfRule>
  </conditionalFormatting>
  <conditionalFormatting sqref="O895:O896">
    <cfRule type="containsText" dxfId="2690" priority="702" operator="containsText" text="Cancelado">
      <formula>NOT(ISERROR(SEARCH("Cancelado",O895)))</formula>
    </cfRule>
  </conditionalFormatting>
  <conditionalFormatting sqref="Q895:Q896">
    <cfRule type="cellIs" dxfId="2689" priority="699" operator="equal">
      <formula>"Tramitando"</formula>
    </cfRule>
    <cfRule type="cellIs" dxfId="2688" priority="700" operator="equal">
      <formula>"Deferido"</formula>
    </cfRule>
    <cfRule type="cellIs" dxfId="2687" priority="701" operator="equal">
      <formula>"Indeferido"</formula>
    </cfRule>
  </conditionalFormatting>
  <conditionalFormatting sqref="Q895:Q896">
    <cfRule type="containsText" dxfId="2686" priority="698" operator="containsText" text="Cancelado">
      <formula>NOT(ISERROR(SEARCH("Cancelado",Q895)))</formula>
    </cfRule>
  </conditionalFormatting>
  <conditionalFormatting sqref="S895:S896">
    <cfRule type="cellIs" dxfId="2685" priority="695" operator="equal">
      <formula>"Tramitando"</formula>
    </cfRule>
    <cfRule type="cellIs" dxfId="2684" priority="696" operator="equal">
      <formula>"Deferido"</formula>
    </cfRule>
    <cfRule type="cellIs" dxfId="2683" priority="697" operator="equal">
      <formula>"Indeferido"</formula>
    </cfRule>
  </conditionalFormatting>
  <conditionalFormatting sqref="S895:S896">
    <cfRule type="containsText" dxfId="2682" priority="694" operator="containsText" text="Cancelado">
      <formula>NOT(ISERROR(SEARCH("Cancelado",S895)))</formula>
    </cfRule>
  </conditionalFormatting>
  <conditionalFormatting sqref="J897">
    <cfRule type="cellIs" dxfId="2681" priority="690" operator="equal">
      <formula>"Tramitando"</formula>
    </cfRule>
    <cfRule type="cellIs" dxfId="2680" priority="691" operator="equal">
      <formula>"Deferido"</formula>
    </cfRule>
    <cfRule type="cellIs" dxfId="2679" priority="692" operator="equal">
      <formula>"Indeferido"</formula>
    </cfRule>
  </conditionalFormatting>
  <conditionalFormatting sqref="J897">
    <cfRule type="containsText" dxfId="2678" priority="689" operator="containsText" text="Cancelado">
      <formula>NOT(ISERROR(SEARCH("Cancelado",J897)))</formula>
    </cfRule>
  </conditionalFormatting>
  <conditionalFormatting sqref="M897">
    <cfRule type="cellIs" dxfId="2677" priority="686" operator="equal">
      <formula>"Tramitando"</formula>
    </cfRule>
    <cfRule type="cellIs" dxfId="2676" priority="687" operator="equal">
      <formula>"Deferido"</formula>
    </cfRule>
    <cfRule type="cellIs" dxfId="2675" priority="688" operator="equal">
      <formula>"Indeferido"</formula>
    </cfRule>
  </conditionalFormatting>
  <conditionalFormatting sqref="M897">
    <cfRule type="containsText" dxfId="2674" priority="685" operator="containsText" text="Cancelado">
      <formula>NOT(ISERROR(SEARCH("Cancelado",M897)))</formula>
    </cfRule>
  </conditionalFormatting>
  <conditionalFormatting sqref="O897">
    <cfRule type="cellIs" dxfId="2673" priority="682" operator="equal">
      <formula>"Tramitando"</formula>
    </cfRule>
    <cfRule type="cellIs" dxfId="2672" priority="683" operator="equal">
      <formula>"Deferido"</formula>
    </cfRule>
    <cfRule type="cellIs" dxfId="2671" priority="684" operator="equal">
      <formula>"Indeferido"</formula>
    </cfRule>
  </conditionalFormatting>
  <conditionalFormatting sqref="O897">
    <cfRule type="containsText" dxfId="2670" priority="681" operator="containsText" text="Cancelado">
      <formula>NOT(ISERROR(SEARCH("Cancelado",O897)))</formula>
    </cfRule>
  </conditionalFormatting>
  <conditionalFormatting sqref="Q897">
    <cfRule type="cellIs" dxfId="2669" priority="678" operator="equal">
      <formula>"Tramitando"</formula>
    </cfRule>
    <cfRule type="cellIs" dxfId="2668" priority="679" operator="equal">
      <formula>"Deferido"</formula>
    </cfRule>
    <cfRule type="cellIs" dxfId="2667" priority="680" operator="equal">
      <formula>"Indeferido"</formula>
    </cfRule>
  </conditionalFormatting>
  <conditionalFormatting sqref="Q897">
    <cfRule type="containsText" dxfId="2666" priority="677" operator="containsText" text="Cancelado">
      <formula>NOT(ISERROR(SEARCH("Cancelado",Q897)))</formula>
    </cfRule>
  </conditionalFormatting>
  <conditionalFormatting sqref="S897">
    <cfRule type="cellIs" dxfId="2665" priority="674" operator="equal">
      <formula>"Tramitando"</formula>
    </cfRule>
    <cfRule type="cellIs" dxfId="2664" priority="675" operator="equal">
      <formula>"Deferido"</formula>
    </cfRule>
    <cfRule type="cellIs" dxfId="2663" priority="676" operator="equal">
      <formula>"Indeferido"</formula>
    </cfRule>
  </conditionalFormatting>
  <conditionalFormatting sqref="S897">
    <cfRule type="containsText" dxfId="2662" priority="673" operator="containsText" text="Cancelado">
      <formula>NOT(ISERROR(SEARCH("Cancelado",S897)))</formula>
    </cfRule>
  </conditionalFormatting>
  <conditionalFormatting sqref="J898">
    <cfRule type="cellIs" dxfId="2661" priority="669" operator="equal">
      <formula>"Tramitando"</formula>
    </cfRule>
    <cfRule type="cellIs" dxfId="2660" priority="670" operator="equal">
      <formula>"Deferido"</formula>
    </cfRule>
    <cfRule type="cellIs" dxfId="2659" priority="671" operator="equal">
      <formula>"Indeferido"</formula>
    </cfRule>
  </conditionalFormatting>
  <conditionalFormatting sqref="J898">
    <cfRule type="containsText" dxfId="2658" priority="668" operator="containsText" text="Cancelado">
      <formula>NOT(ISERROR(SEARCH("Cancelado",J898)))</formula>
    </cfRule>
  </conditionalFormatting>
  <conditionalFormatting sqref="M898">
    <cfRule type="cellIs" dxfId="2657" priority="665" operator="equal">
      <formula>"Tramitando"</formula>
    </cfRule>
    <cfRule type="cellIs" dxfId="2656" priority="666" operator="equal">
      <formula>"Deferido"</formula>
    </cfRule>
    <cfRule type="cellIs" dxfId="2655" priority="667" operator="equal">
      <formula>"Indeferido"</formula>
    </cfRule>
  </conditionalFormatting>
  <conditionalFormatting sqref="M898">
    <cfRule type="containsText" dxfId="2654" priority="664" operator="containsText" text="Cancelado">
      <formula>NOT(ISERROR(SEARCH("Cancelado",M898)))</formula>
    </cfRule>
  </conditionalFormatting>
  <conditionalFormatting sqref="O898">
    <cfRule type="cellIs" dxfId="2653" priority="661" operator="equal">
      <formula>"Tramitando"</formula>
    </cfRule>
    <cfRule type="cellIs" dxfId="2652" priority="662" operator="equal">
      <formula>"Deferido"</formula>
    </cfRule>
    <cfRule type="cellIs" dxfId="2651" priority="663" operator="equal">
      <formula>"Indeferido"</formula>
    </cfRule>
  </conditionalFormatting>
  <conditionalFormatting sqref="O898">
    <cfRule type="containsText" dxfId="2650" priority="660" operator="containsText" text="Cancelado">
      <formula>NOT(ISERROR(SEARCH("Cancelado",O898)))</formula>
    </cfRule>
  </conditionalFormatting>
  <conditionalFormatting sqref="Q898">
    <cfRule type="cellIs" dxfId="2649" priority="657" operator="equal">
      <formula>"Tramitando"</formula>
    </cfRule>
    <cfRule type="cellIs" dxfId="2648" priority="658" operator="equal">
      <formula>"Deferido"</formula>
    </cfRule>
    <cfRule type="cellIs" dxfId="2647" priority="659" operator="equal">
      <formula>"Indeferido"</formula>
    </cfRule>
  </conditionalFormatting>
  <conditionalFormatting sqref="Q898">
    <cfRule type="containsText" dxfId="2646" priority="656" operator="containsText" text="Cancelado">
      <formula>NOT(ISERROR(SEARCH("Cancelado",Q898)))</formula>
    </cfRule>
  </conditionalFormatting>
  <conditionalFormatting sqref="S898">
    <cfRule type="cellIs" dxfId="2645" priority="653" operator="equal">
      <formula>"Tramitando"</formula>
    </cfRule>
    <cfRule type="cellIs" dxfId="2644" priority="654" operator="equal">
      <formula>"Deferido"</formula>
    </cfRule>
    <cfRule type="cellIs" dxfId="2643" priority="655" operator="equal">
      <formula>"Indeferido"</formula>
    </cfRule>
  </conditionalFormatting>
  <conditionalFormatting sqref="S898">
    <cfRule type="containsText" dxfId="2642" priority="652" operator="containsText" text="Cancelado">
      <formula>NOT(ISERROR(SEARCH("Cancelado",S898)))</formula>
    </cfRule>
  </conditionalFormatting>
  <conditionalFormatting sqref="J899">
    <cfRule type="cellIs" dxfId="2641" priority="648" operator="equal">
      <formula>"Tramitando"</formula>
    </cfRule>
    <cfRule type="cellIs" dxfId="2640" priority="649" operator="equal">
      <formula>"Deferido"</formula>
    </cfRule>
    <cfRule type="cellIs" dxfId="2639" priority="650" operator="equal">
      <formula>"Indeferido"</formula>
    </cfRule>
  </conditionalFormatting>
  <conditionalFormatting sqref="J899">
    <cfRule type="containsText" dxfId="2638" priority="647" operator="containsText" text="Cancelado">
      <formula>NOT(ISERROR(SEARCH("Cancelado",J899)))</formula>
    </cfRule>
  </conditionalFormatting>
  <conditionalFormatting sqref="M899">
    <cfRule type="cellIs" dxfId="2637" priority="644" operator="equal">
      <formula>"Tramitando"</formula>
    </cfRule>
    <cfRule type="cellIs" dxfId="2636" priority="645" operator="equal">
      <formula>"Deferido"</formula>
    </cfRule>
    <cfRule type="cellIs" dxfId="2635" priority="646" operator="equal">
      <formula>"Indeferido"</formula>
    </cfRule>
  </conditionalFormatting>
  <conditionalFormatting sqref="M899">
    <cfRule type="containsText" dxfId="2634" priority="643" operator="containsText" text="Cancelado">
      <formula>NOT(ISERROR(SEARCH("Cancelado",M899)))</formula>
    </cfRule>
  </conditionalFormatting>
  <conditionalFormatting sqref="O899">
    <cfRule type="cellIs" dxfId="2633" priority="640" operator="equal">
      <formula>"Tramitando"</formula>
    </cfRule>
    <cfRule type="cellIs" dxfId="2632" priority="641" operator="equal">
      <formula>"Deferido"</formula>
    </cfRule>
    <cfRule type="cellIs" dxfId="2631" priority="642" operator="equal">
      <formula>"Indeferido"</formula>
    </cfRule>
  </conditionalFormatting>
  <conditionalFormatting sqref="O899">
    <cfRule type="containsText" dxfId="2630" priority="639" operator="containsText" text="Cancelado">
      <formula>NOT(ISERROR(SEARCH("Cancelado",O899)))</formula>
    </cfRule>
  </conditionalFormatting>
  <conditionalFormatting sqref="Q899">
    <cfRule type="cellIs" dxfId="2629" priority="636" operator="equal">
      <formula>"Tramitando"</formula>
    </cfRule>
    <cfRule type="cellIs" dxfId="2628" priority="637" operator="equal">
      <formula>"Deferido"</formula>
    </cfRule>
    <cfRule type="cellIs" dxfId="2627" priority="638" operator="equal">
      <formula>"Indeferido"</formula>
    </cfRule>
  </conditionalFormatting>
  <conditionalFormatting sqref="Q899">
    <cfRule type="containsText" dxfId="2626" priority="635" operator="containsText" text="Cancelado">
      <formula>NOT(ISERROR(SEARCH("Cancelado",Q899)))</formula>
    </cfRule>
  </conditionalFormatting>
  <conditionalFormatting sqref="S899">
    <cfRule type="cellIs" dxfId="2625" priority="632" operator="equal">
      <formula>"Tramitando"</formula>
    </cfRule>
    <cfRule type="cellIs" dxfId="2624" priority="633" operator="equal">
      <formula>"Deferido"</formula>
    </cfRule>
    <cfRule type="cellIs" dxfId="2623" priority="634" operator="equal">
      <formula>"Indeferido"</formula>
    </cfRule>
  </conditionalFormatting>
  <conditionalFormatting sqref="S899">
    <cfRule type="containsText" dxfId="2622" priority="631" operator="containsText" text="Cancelado">
      <formula>NOT(ISERROR(SEARCH("Cancelado",S899)))</formula>
    </cfRule>
  </conditionalFormatting>
  <conditionalFormatting sqref="J900">
    <cfRule type="cellIs" dxfId="2621" priority="627" operator="equal">
      <formula>"Tramitando"</formula>
    </cfRule>
    <cfRule type="cellIs" dxfId="2620" priority="628" operator="equal">
      <formula>"Deferido"</formula>
    </cfRule>
    <cfRule type="cellIs" dxfId="2619" priority="629" operator="equal">
      <formula>"Indeferido"</formula>
    </cfRule>
  </conditionalFormatting>
  <conditionalFormatting sqref="J900">
    <cfRule type="containsText" dxfId="2618" priority="626" operator="containsText" text="Cancelado">
      <formula>NOT(ISERROR(SEARCH("Cancelado",J900)))</formula>
    </cfRule>
  </conditionalFormatting>
  <conditionalFormatting sqref="M900">
    <cfRule type="cellIs" dxfId="2617" priority="623" operator="equal">
      <formula>"Tramitando"</formula>
    </cfRule>
    <cfRule type="cellIs" dxfId="2616" priority="624" operator="equal">
      <formula>"Deferido"</formula>
    </cfRule>
    <cfRule type="cellIs" dxfId="2615" priority="625" operator="equal">
      <formula>"Indeferido"</formula>
    </cfRule>
  </conditionalFormatting>
  <conditionalFormatting sqref="M900">
    <cfRule type="containsText" dxfId="2614" priority="622" operator="containsText" text="Cancelado">
      <formula>NOT(ISERROR(SEARCH("Cancelado",M900)))</formula>
    </cfRule>
  </conditionalFormatting>
  <conditionalFormatting sqref="O900">
    <cfRule type="cellIs" dxfId="2613" priority="619" operator="equal">
      <formula>"Tramitando"</formula>
    </cfRule>
    <cfRule type="cellIs" dxfId="2612" priority="620" operator="equal">
      <formula>"Deferido"</formula>
    </cfRule>
    <cfRule type="cellIs" dxfId="2611" priority="621" operator="equal">
      <formula>"Indeferido"</formula>
    </cfRule>
  </conditionalFormatting>
  <conditionalFormatting sqref="O900">
    <cfRule type="containsText" dxfId="2610" priority="618" operator="containsText" text="Cancelado">
      <formula>NOT(ISERROR(SEARCH("Cancelado",O900)))</formula>
    </cfRule>
  </conditionalFormatting>
  <conditionalFormatting sqref="Q900">
    <cfRule type="cellIs" dxfId="2609" priority="615" operator="equal">
      <formula>"Tramitando"</formula>
    </cfRule>
    <cfRule type="cellIs" dxfId="2608" priority="616" operator="equal">
      <formula>"Deferido"</formula>
    </cfRule>
    <cfRule type="cellIs" dxfId="2607" priority="617" operator="equal">
      <formula>"Indeferido"</formula>
    </cfRule>
  </conditionalFormatting>
  <conditionalFormatting sqref="Q900">
    <cfRule type="containsText" dxfId="2606" priority="614" operator="containsText" text="Cancelado">
      <formula>NOT(ISERROR(SEARCH("Cancelado",Q900)))</formula>
    </cfRule>
  </conditionalFormatting>
  <conditionalFormatting sqref="S900">
    <cfRule type="cellIs" dxfId="2605" priority="611" operator="equal">
      <formula>"Tramitando"</formula>
    </cfRule>
    <cfRule type="cellIs" dxfId="2604" priority="612" operator="equal">
      <formula>"Deferido"</formula>
    </cfRule>
    <cfRule type="cellIs" dxfId="2603" priority="613" operator="equal">
      <formula>"Indeferido"</formula>
    </cfRule>
  </conditionalFormatting>
  <conditionalFormatting sqref="S900">
    <cfRule type="containsText" dxfId="2602" priority="610" operator="containsText" text="Cancelado">
      <formula>NOT(ISERROR(SEARCH("Cancelado",S900)))</formula>
    </cfRule>
  </conditionalFormatting>
  <conditionalFormatting sqref="J901:J902">
    <cfRule type="cellIs" dxfId="2601" priority="606" operator="equal">
      <formula>"Tramitando"</formula>
    </cfRule>
    <cfRule type="cellIs" dxfId="2600" priority="607" operator="equal">
      <formula>"Deferido"</formula>
    </cfRule>
    <cfRule type="cellIs" dxfId="2599" priority="608" operator="equal">
      <formula>"Indeferido"</formula>
    </cfRule>
  </conditionalFormatting>
  <conditionalFormatting sqref="J901:J902">
    <cfRule type="containsText" dxfId="2598" priority="605" operator="containsText" text="Cancelado">
      <formula>NOT(ISERROR(SEARCH("Cancelado",J901)))</formula>
    </cfRule>
  </conditionalFormatting>
  <conditionalFormatting sqref="M901:M902">
    <cfRule type="cellIs" dxfId="2597" priority="602" operator="equal">
      <formula>"Tramitando"</formula>
    </cfRule>
    <cfRule type="cellIs" dxfId="2596" priority="603" operator="equal">
      <formula>"Deferido"</formula>
    </cfRule>
    <cfRule type="cellIs" dxfId="2595" priority="604" operator="equal">
      <formula>"Indeferido"</formula>
    </cfRule>
  </conditionalFormatting>
  <conditionalFormatting sqref="M901:M902">
    <cfRule type="containsText" dxfId="2594" priority="601" operator="containsText" text="Cancelado">
      <formula>NOT(ISERROR(SEARCH("Cancelado",M901)))</formula>
    </cfRule>
  </conditionalFormatting>
  <conditionalFormatting sqref="O901:O902">
    <cfRule type="cellIs" dxfId="2593" priority="598" operator="equal">
      <formula>"Tramitando"</formula>
    </cfRule>
    <cfRule type="cellIs" dxfId="2592" priority="599" operator="equal">
      <formula>"Deferido"</formula>
    </cfRule>
    <cfRule type="cellIs" dxfId="2591" priority="600" operator="equal">
      <formula>"Indeferido"</formula>
    </cfRule>
  </conditionalFormatting>
  <conditionalFormatting sqref="O901:O902">
    <cfRule type="containsText" dxfId="2590" priority="597" operator="containsText" text="Cancelado">
      <formula>NOT(ISERROR(SEARCH("Cancelado",O901)))</formula>
    </cfRule>
  </conditionalFormatting>
  <conditionalFormatting sqref="Q901:Q902">
    <cfRule type="cellIs" dxfId="2589" priority="594" operator="equal">
      <formula>"Tramitando"</formula>
    </cfRule>
    <cfRule type="cellIs" dxfId="2588" priority="595" operator="equal">
      <formula>"Deferido"</formula>
    </cfRule>
    <cfRule type="cellIs" dxfId="2587" priority="596" operator="equal">
      <formula>"Indeferido"</formula>
    </cfRule>
  </conditionalFormatting>
  <conditionalFormatting sqref="Q901:Q902">
    <cfRule type="containsText" dxfId="2586" priority="593" operator="containsText" text="Cancelado">
      <formula>NOT(ISERROR(SEARCH("Cancelado",Q901)))</formula>
    </cfRule>
  </conditionalFormatting>
  <conditionalFormatting sqref="S901:S902">
    <cfRule type="cellIs" dxfId="2585" priority="590" operator="equal">
      <formula>"Tramitando"</formula>
    </cfRule>
    <cfRule type="cellIs" dxfId="2584" priority="591" operator="equal">
      <formula>"Deferido"</formula>
    </cfRule>
    <cfRule type="cellIs" dxfId="2583" priority="592" operator="equal">
      <formula>"Indeferido"</formula>
    </cfRule>
  </conditionalFormatting>
  <conditionalFormatting sqref="S901:S902">
    <cfRule type="containsText" dxfId="2582" priority="589" operator="containsText" text="Cancelado">
      <formula>NOT(ISERROR(SEARCH("Cancelado",S901)))</formula>
    </cfRule>
  </conditionalFormatting>
  <conditionalFormatting sqref="J903">
    <cfRule type="cellIs" dxfId="2581" priority="585" operator="equal">
      <formula>"Tramitando"</formula>
    </cfRule>
    <cfRule type="cellIs" dxfId="2580" priority="586" operator="equal">
      <formula>"Deferido"</formula>
    </cfRule>
    <cfRule type="cellIs" dxfId="2579" priority="587" operator="equal">
      <formula>"Indeferido"</formula>
    </cfRule>
  </conditionalFormatting>
  <conditionalFormatting sqref="J903">
    <cfRule type="containsText" dxfId="2578" priority="584" operator="containsText" text="Cancelado">
      <formula>NOT(ISERROR(SEARCH("Cancelado",J903)))</formula>
    </cfRule>
  </conditionalFormatting>
  <conditionalFormatting sqref="M903">
    <cfRule type="cellIs" dxfId="2577" priority="581" operator="equal">
      <formula>"Tramitando"</formula>
    </cfRule>
    <cfRule type="cellIs" dxfId="2576" priority="582" operator="equal">
      <formula>"Deferido"</formula>
    </cfRule>
    <cfRule type="cellIs" dxfId="2575" priority="583" operator="equal">
      <formula>"Indeferido"</formula>
    </cfRule>
  </conditionalFormatting>
  <conditionalFormatting sqref="M903">
    <cfRule type="containsText" dxfId="2574" priority="580" operator="containsText" text="Cancelado">
      <formula>NOT(ISERROR(SEARCH("Cancelado",M903)))</formula>
    </cfRule>
  </conditionalFormatting>
  <conditionalFormatting sqref="O903">
    <cfRule type="cellIs" dxfId="2573" priority="577" operator="equal">
      <formula>"Tramitando"</formula>
    </cfRule>
    <cfRule type="cellIs" dxfId="2572" priority="578" operator="equal">
      <formula>"Deferido"</formula>
    </cfRule>
    <cfRule type="cellIs" dxfId="2571" priority="579" operator="equal">
      <formula>"Indeferido"</formula>
    </cfRule>
  </conditionalFormatting>
  <conditionalFormatting sqref="O903">
    <cfRule type="containsText" dxfId="2570" priority="576" operator="containsText" text="Cancelado">
      <formula>NOT(ISERROR(SEARCH("Cancelado",O903)))</formula>
    </cfRule>
  </conditionalFormatting>
  <conditionalFormatting sqref="Q903">
    <cfRule type="cellIs" dxfId="2569" priority="573" operator="equal">
      <formula>"Tramitando"</formula>
    </cfRule>
    <cfRule type="cellIs" dxfId="2568" priority="574" operator="equal">
      <formula>"Deferido"</formula>
    </cfRule>
    <cfRule type="cellIs" dxfId="2567" priority="575" operator="equal">
      <formula>"Indeferido"</formula>
    </cfRule>
  </conditionalFormatting>
  <conditionalFormatting sqref="Q903">
    <cfRule type="containsText" dxfId="2566" priority="572" operator="containsText" text="Cancelado">
      <formula>NOT(ISERROR(SEARCH("Cancelado",Q903)))</formula>
    </cfRule>
  </conditionalFormatting>
  <conditionalFormatting sqref="S903">
    <cfRule type="cellIs" dxfId="2565" priority="569" operator="equal">
      <formula>"Tramitando"</formula>
    </cfRule>
    <cfRule type="cellIs" dxfId="2564" priority="570" operator="equal">
      <formula>"Deferido"</formula>
    </cfRule>
    <cfRule type="cellIs" dxfId="2563" priority="571" operator="equal">
      <formula>"Indeferido"</formula>
    </cfRule>
  </conditionalFormatting>
  <conditionalFormatting sqref="S903">
    <cfRule type="containsText" dxfId="2562" priority="568" operator="containsText" text="Cancelado">
      <formula>NOT(ISERROR(SEARCH("Cancelado",S903)))</formula>
    </cfRule>
  </conditionalFormatting>
  <conditionalFormatting sqref="J904">
    <cfRule type="cellIs" dxfId="2561" priority="564" operator="equal">
      <formula>"Tramitando"</formula>
    </cfRule>
    <cfRule type="cellIs" dxfId="2560" priority="565" operator="equal">
      <formula>"Deferido"</formula>
    </cfRule>
    <cfRule type="cellIs" dxfId="2559" priority="566" operator="equal">
      <formula>"Indeferido"</formula>
    </cfRule>
  </conditionalFormatting>
  <conditionalFormatting sqref="J904">
    <cfRule type="containsText" dxfId="2558" priority="563" operator="containsText" text="Cancelado">
      <formula>NOT(ISERROR(SEARCH("Cancelado",J904)))</formula>
    </cfRule>
  </conditionalFormatting>
  <conditionalFormatting sqref="M904">
    <cfRule type="cellIs" dxfId="2557" priority="560" operator="equal">
      <formula>"Tramitando"</formula>
    </cfRule>
    <cfRule type="cellIs" dxfId="2556" priority="561" operator="equal">
      <formula>"Deferido"</formula>
    </cfRule>
    <cfRule type="cellIs" dxfId="2555" priority="562" operator="equal">
      <formula>"Indeferido"</formula>
    </cfRule>
  </conditionalFormatting>
  <conditionalFormatting sqref="M904">
    <cfRule type="containsText" dxfId="2554" priority="559" operator="containsText" text="Cancelado">
      <formula>NOT(ISERROR(SEARCH("Cancelado",M904)))</formula>
    </cfRule>
  </conditionalFormatting>
  <conditionalFormatting sqref="O904">
    <cfRule type="cellIs" dxfId="2553" priority="556" operator="equal">
      <formula>"Tramitando"</formula>
    </cfRule>
    <cfRule type="cellIs" dxfId="2552" priority="557" operator="equal">
      <formula>"Deferido"</formula>
    </cfRule>
    <cfRule type="cellIs" dxfId="2551" priority="558" operator="equal">
      <formula>"Indeferido"</formula>
    </cfRule>
  </conditionalFormatting>
  <conditionalFormatting sqref="O904">
    <cfRule type="containsText" dxfId="2550" priority="555" operator="containsText" text="Cancelado">
      <formula>NOT(ISERROR(SEARCH("Cancelado",O904)))</formula>
    </cfRule>
  </conditionalFormatting>
  <conditionalFormatting sqref="Q904">
    <cfRule type="cellIs" dxfId="2549" priority="552" operator="equal">
      <formula>"Tramitando"</formula>
    </cfRule>
    <cfRule type="cellIs" dxfId="2548" priority="553" operator="equal">
      <formula>"Deferido"</formula>
    </cfRule>
    <cfRule type="cellIs" dxfId="2547" priority="554" operator="equal">
      <formula>"Indeferido"</formula>
    </cfRule>
  </conditionalFormatting>
  <conditionalFormatting sqref="Q904">
    <cfRule type="containsText" dxfId="2546" priority="551" operator="containsText" text="Cancelado">
      <formula>NOT(ISERROR(SEARCH("Cancelado",Q904)))</formula>
    </cfRule>
  </conditionalFormatting>
  <conditionalFormatting sqref="S904">
    <cfRule type="cellIs" dxfId="2545" priority="548" operator="equal">
      <formula>"Tramitando"</formula>
    </cfRule>
    <cfRule type="cellIs" dxfId="2544" priority="549" operator="equal">
      <formula>"Deferido"</formula>
    </cfRule>
    <cfRule type="cellIs" dxfId="2543" priority="550" operator="equal">
      <formula>"Indeferido"</formula>
    </cfRule>
  </conditionalFormatting>
  <conditionalFormatting sqref="S904">
    <cfRule type="containsText" dxfId="2542" priority="547" operator="containsText" text="Cancelado">
      <formula>NOT(ISERROR(SEARCH("Cancelado",S904)))</formula>
    </cfRule>
  </conditionalFormatting>
  <conditionalFormatting sqref="J905">
    <cfRule type="cellIs" dxfId="2541" priority="543" operator="equal">
      <formula>"Tramitando"</formula>
    </cfRule>
    <cfRule type="cellIs" dxfId="2540" priority="544" operator="equal">
      <formula>"Deferido"</formula>
    </cfRule>
    <cfRule type="cellIs" dxfId="2539" priority="545" operator="equal">
      <formula>"Indeferido"</formula>
    </cfRule>
  </conditionalFormatting>
  <conditionalFormatting sqref="J905">
    <cfRule type="containsText" dxfId="2538" priority="542" operator="containsText" text="Cancelado">
      <formula>NOT(ISERROR(SEARCH("Cancelado",J905)))</formula>
    </cfRule>
  </conditionalFormatting>
  <conditionalFormatting sqref="M905">
    <cfRule type="cellIs" dxfId="2537" priority="539" operator="equal">
      <formula>"Tramitando"</formula>
    </cfRule>
    <cfRule type="cellIs" dxfId="2536" priority="540" operator="equal">
      <formula>"Deferido"</formula>
    </cfRule>
    <cfRule type="cellIs" dxfId="2535" priority="541" operator="equal">
      <formula>"Indeferido"</formula>
    </cfRule>
  </conditionalFormatting>
  <conditionalFormatting sqref="M905">
    <cfRule type="containsText" dxfId="2534" priority="538" operator="containsText" text="Cancelado">
      <formula>NOT(ISERROR(SEARCH("Cancelado",M905)))</formula>
    </cfRule>
  </conditionalFormatting>
  <conditionalFormatting sqref="O905">
    <cfRule type="cellIs" dxfId="2533" priority="535" operator="equal">
      <formula>"Tramitando"</formula>
    </cfRule>
    <cfRule type="cellIs" dxfId="2532" priority="536" operator="equal">
      <formula>"Deferido"</formula>
    </cfRule>
    <cfRule type="cellIs" dxfId="2531" priority="537" operator="equal">
      <formula>"Indeferido"</formula>
    </cfRule>
  </conditionalFormatting>
  <conditionalFormatting sqref="O905">
    <cfRule type="containsText" dxfId="2530" priority="534" operator="containsText" text="Cancelado">
      <formula>NOT(ISERROR(SEARCH("Cancelado",O905)))</formula>
    </cfRule>
  </conditionalFormatting>
  <conditionalFormatting sqref="Q905">
    <cfRule type="cellIs" dxfId="2529" priority="531" operator="equal">
      <formula>"Tramitando"</formula>
    </cfRule>
    <cfRule type="cellIs" dxfId="2528" priority="532" operator="equal">
      <formula>"Deferido"</formula>
    </cfRule>
    <cfRule type="cellIs" dxfId="2527" priority="533" operator="equal">
      <formula>"Indeferido"</formula>
    </cfRule>
  </conditionalFormatting>
  <conditionalFormatting sqref="Q905">
    <cfRule type="containsText" dxfId="2526" priority="530" operator="containsText" text="Cancelado">
      <formula>NOT(ISERROR(SEARCH("Cancelado",Q905)))</formula>
    </cfRule>
  </conditionalFormatting>
  <conditionalFormatting sqref="S905">
    <cfRule type="cellIs" dxfId="2525" priority="527" operator="equal">
      <formula>"Tramitando"</formula>
    </cfRule>
    <cfRule type="cellIs" dxfId="2524" priority="528" operator="equal">
      <formula>"Deferido"</formula>
    </cfRule>
    <cfRule type="cellIs" dxfId="2523" priority="529" operator="equal">
      <formula>"Indeferido"</formula>
    </cfRule>
  </conditionalFormatting>
  <conditionalFormatting sqref="S905">
    <cfRule type="containsText" dxfId="2522" priority="526" operator="containsText" text="Cancelado">
      <formula>NOT(ISERROR(SEARCH("Cancelado",S905)))</formula>
    </cfRule>
  </conditionalFormatting>
  <conditionalFormatting sqref="J906:J907">
    <cfRule type="cellIs" dxfId="2521" priority="522" operator="equal">
      <formula>"Tramitando"</formula>
    </cfRule>
    <cfRule type="cellIs" dxfId="2520" priority="523" operator="equal">
      <formula>"Deferido"</formula>
    </cfRule>
    <cfRule type="cellIs" dxfId="2519" priority="524" operator="equal">
      <formula>"Indeferido"</formula>
    </cfRule>
  </conditionalFormatting>
  <conditionalFormatting sqref="J906:J907">
    <cfRule type="containsText" dxfId="2518" priority="521" operator="containsText" text="Cancelado">
      <formula>NOT(ISERROR(SEARCH("Cancelado",J906)))</formula>
    </cfRule>
  </conditionalFormatting>
  <conditionalFormatting sqref="M906:M907">
    <cfRule type="cellIs" dxfId="2517" priority="518" operator="equal">
      <formula>"Tramitando"</formula>
    </cfRule>
    <cfRule type="cellIs" dxfId="2516" priority="519" operator="equal">
      <formula>"Deferido"</formula>
    </cfRule>
    <cfRule type="cellIs" dxfId="2515" priority="520" operator="equal">
      <formula>"Indeferido"</formula>
    </cfRule>
  </conditionalFormatting>
  <conditionalFormatting sqref="M906:M907">
    <cfRule type="containsText" dxfId="2514" priority="517" operator="containsText" text="Cancelado">
      <formula>NOT(ISERROR(SEARCH("Cancelado",M906)))</formula>
    </cfRule>
  </conditionalFormatting>
  <conditionalFormatting sqref="O906:O907">
    <cfRule type="cellIs" dxfId="2513" priority="514" operator="equal">
      <formula>"Tramitando"</formula>
    </cfRule>
    <cfRule type="cellIs" dxfId="2512" priority="515" operator="equal">
      <formula>"Deferido"</formula>
    </cfRule>
    <cfRule type="cellIs" dxfId="2511" priority="516" operator="equal">
      <formula>"Indeferido"</formula>
    </cfRule>
  </conditionalFormatting>
  <conditionalFormatting sqref="O906:O907">
    <cfRule type="containsText" dxfId="2510" priority="513" operator="containsText" text="Cancelado">
      <formula>NOT(ISERROR(SEARCH("Cancelado",O906)))</formula>
    </cfRule>
  </conditionalFormatting>
  <conditionalFormatting sqref="Q906:Q907">
    <cfRule type="cellIs" dxfId="2509" priority="510" operator="equal">
      <formula>"Tramitando"</formula>
    </cfRule>
    <cfRule type="cellIs" dxfId="2508" priority="511" operator="equal">
      <formula>"Deferido"</formula>
    </cfRule>
    <cfRule type="cellIs" dxfId="2507" priority="512" operator="equal">
      <formula>"Indeferido"</formula>
    </cfRule>
  </conditionalFormatting>
  <conditionalFormatting sqref="Q906:Q907">
    <cfRule type="containsText" dxfId="2506" priority="509" operator="containsText" text="Cancelado">
      <formula>NOT(ISERROR(SEARCH("Cancelado",Q906)))</formula>
    </cfRule>
  </conditionalFormatting>
  <conditionalFormatting sqref="S906:S907">
    <cfRule type="cellIs" dxfId="2505" priority="506" operator="equal">
      <formula>"Tramitando"</formula>
    </cfRule>
    <cfRule type="cellIs" dxfId="2504" priority="507" operator="equal">
      <formula>"Deferido"</formula>
    </cfRule>
    <cfRule type="cellIs" dxfId="2503" priority="508" operator="equal">
      <formula>"Indeferido"</formula>
    </cfRule>
  </conditionalFormatting>
  <conditionalFormatting sqref="S906:S907">
    <cfRule type="containsText" dxfId="2502" priority="505" operator="containsText" text="Cancelado">
      <formula>NOT(ISERROR(SEARCH("Cancelado",S906)))</formula>
    </cfRule>
  </conditionalFormatting>
  <conditionalFormatting sqref="J908:J909">
    <cfRule type="cellIs" dxfId="2501" priority="501" operator="equal">
      <formula>"Tramitando"</formula>
    </cfRule>
    <cfRule type="cellIs" dxfId="2500" priority="502" operator="equal">
      <formula>"Deferido"</formula>
    </cfRule>
    <cfRule type="cellIs" dxfId="2499" priority="503" operator="equal">
      <formula>"Indeferido"</formula>
    </cfRule>
  </conditionalFormatting>
  <conditionalFormatting sqref="J908:J909">
    <cfRule type="containsText" dxfId="2498" priority="500" operator="containsText" text="Cancelado">
      <formula>NOT(ISERROR(SEARCH("Cancelado",J908)))</formula>
    </cfRule>
  </conditionalFormatting>
  <conditionalFormatting sqref="M908:M909">
    <cfRule type="cellIs" dxfId="2497" priority="497" operator="equal">
      <formula>"Tramitando"</formula>
    </cfRule>
    <cfRule type="cellIs" dxfId="2496" priority="498" operator="equal">
      <formula>"Deferido"</formula>
    </cfRule>
    <cfRule type="cellIs" dxfId="2495" priority="499" operator="equal">
      <formula>"Indeferido"</formula>
    </cfRule>
  </conditionalFormatting>
  <conditionalFormatting sqref="M908:M909">
    <cfRule type="containsText" dxfId="2494" priority="496" operator="containsText" text="Cancelado">
      <formula>NOT(ISERROR(SEARCH("Cancelado",M908)))</formula>
    </cfRule>
  </conditionalFormatting>
  <conditionalFormatting sqref="O908:O909">
    <cfRule type="cellIs" dxfId="2493" priority="493" operator="equal">
      <formula>"Tramitando"</formula>
    </cfRule>
    <cfRule type="cellIs" dxfId="2492" priority="494" operator="equal">
      <formula>"Deferido"</formula>
    </cfRule>
    <cfRule type="cellIs" dxfId="2491" priority="495" operator="equal">
      <formula>"Indeferido"</formula>
    </cfRule>
  </conditionalFormatting>
  <conditionalFormatting sqref="O908:O909">
    <cfRule type="containsText" dxfId="2490" priority="492" operator="containsText" text="Cancelado">
      <formula>NOT(ISERROR(SEARCH("Cancelado",O908)))</formula>
    </cfRule>
  </conditionalFormatting>
  <conditionalFormatting sqref="Q908:Q909">
    <cfRule type="cellIs" dxfId="2489" priority="489" operator="equal">
      <formula>"Tramitando"</formula>
    </cfRule>
    <cfRule type="cellIs" dxfId="2488" priority="490" operator="equal">
      <formula>"Deferido"</formula>
    </cfRule>
    <cfRule type="cellIs" dxfId="2487" priority="491" operator="equal">
      <formula>"Indeferido"</formula>
    </cfRule>
  </conditionalFormatting>
  <conditionalFormatting sqref="Q908:Q909">
    <cfRule type="containsText" dxfId="2486" priority="488" operator="containsText" text="Cancelado">
      <formula>NOT(ISERROR(SEARCH("Cancelado",Q908)))</formula>
    </cfRule>
  </conditionalFormatting>
  <conditionalFormatting sqref="S908:S909">
    <cfRule type="cellIs" dxfId="2485" priority="485" operator="equal">
      <formula>"Tramitando"</formula>
    </cfRule>
    <cfRule type="cellIs" dxfId="2484" priority="486" operator="equal">
      <formula>"Deferido"</formula>
    </cfRule>
    <cfRule type="cellIs" dxfId="2483" priority="487" operator="equal">
      <formula>"Indeferido"</formula>
    </cfRule>
  </conditionalFormatting>
  <conditionalFormatting sqref="S908:S909">
    <cfRule type="containsText" dxfId="2482" priority="484" operator="containsText" text="Cancelado">
      <formula>NOT(ISERROR(SEARCH("Cancelado",S908)))</formula>
    </cfRule>
  </conditionalFormatting>
  <conditionalFormatting sqref="J910">
    <cfRule type="cellIs" dxfId="2481" priority="480" operator="equal">
      <formula>"Tramitando"</formula>
    </cfRule>
    <cfRule type="cellIs" dxfId="2480" priority="481" operator="equal">
      <formula>"Deferido"</formula>
    </cfRule>
    <cfRule type="cellIs" dxfId="2479" priority="482" operator="equal">
      <formula>"Indeferido"</formula>
    </cfRule>
  </conditionalFormatting>
  <conditionalFormatting sqref="J910">
    <cfRule type="containsText" dxfId="2478" priority="479" operator="containsText" text="Cancelado">
      <formula>NOT(ISERROR(SEARCH("Cancelado",J910)))</formula>
    </cfRule>
  </conditionalFormatting>
  <conditionalFormatting sqref="M910">
    <cfRule type="cellIs" dxfId="2477" priority="476" operator="equal">
      <formula>"Tramitando"</formula>
    </cfRule>
    <cfRule type="cellIs" dxfId="2476" priority="477" operator="equal">
      <formula>"Deferido"</formula>
    </cfRule>
    <cfRule type="cellIs" dxfId="2475" priority="478" operator="equal">
      <formula>"Indeferido"</formula>
    </cfRule>
  </conditionalFormatting>
  <conditionalFormatting sqref="M910">
    <cfRule type="containsText" dxfId="2474" priority="475" operator="containsText" text="Cancelado">
      <formula>NOT(ISERROR(SEARCH("Cancelado",M910)))</formula>
    </cfRule>
  </conditionalFormatting>
  <conditionalFormatting sqref="O910">
    <cfRule type="cellIs" dxfId="2473" priority="472" operator="equal">
      <formula>"Tramitando"</formula>
    </cfRule>
    <cfRule type="cellIs" dxfId="2472" priority="473" operator="equal">
      <formula>"Deferido"</formula>
    </cfRule>
    <cfRule type="cellIs" dxfId="2471" priority="474" operator="equal">
      <formula>"Indeferido"</formula>
    </cfRule>
  </conditionalFormatting>
  <conditionalFormatting sqref="O910">
    <cfRule type="containsText" dxfId="2470" priority="471" operator="containsText" text="Cancelado">
      <formula>NOT(ISERROR(SEARCH("Cancelado",O910)))</formula>
    </cfRule>
  </conditionalFormatting>
  <conditionalFormatting sqref="Q910">
    <cfRule type="cellIs" dxfId="2469" priority="468" operator="equal">
      <formula>"Tramitando"</formula>
    </cfRule>
    <cfRule type="cellIs" dxfId="2468" priority="469" operator="equal">
      <formula>"Deferido"</formula>
    </cfRule>
    <cfRule type="cellIs" dxfId="2467" priority="470" operator="equal">
      <formula>"Indeferido"</formula>
    </cfRule>
  </conditionalFormatting>
  <conditionalFormatting sqref="Q910">
    <cfRule type="containsText" dxfId="2466" priority="467" operator="containsText" text="Cancelado">
      <formula>NOT(ISERROR(SEARCH("Cancelado",Q910)))</formula>
    </cfRule>
  </conditionalFormatting>
  <conditionalFormatting sqref="S910">
    <cfRule type="cellIs" dxfId="2465" priority="464" operator="equal">
      <formula>"Tramitando"</formula>
    </cfRule>
    <cfRule type="cellIs" dxfId="2464" priority="465" operator="equal">
      <formula>"Deferido"</formula>
    </cfRule>
    <cfRule type="cellIs" dxfId="2463" priority="466" operator="equal">
      <formula>"Indeferido"</formula>
    </cfRule>
  </conditionalFormatting>
  <conditionalFormatting sqref="S910">
    <cfRule type="containsText" dxfId="2462" priority="463" operator="containsText" text="Cancelado">
      <formula>NOT(ISERROR(SEARCH("Cancelado",S910)))</formula>
    </cfRule>
  </conditionalFormatting>
  <conditionalFormatting sqref="J911">
    <cfRule type="cellIs" dxfId="2461" priority="459" operator="equal">
      <formula>"Tramitando"</formula>
    </cfRule>
    <cfRule type="cellIs" dxfId="2460" priority="460" operator="equal">
      <formula>"Deferido"</formula>
    </cfRule>
    <cfRule type="cellIs" dxfId="2459" priority="461" operator="equal">
      <formula>"Indeferido"</formula>
    </cfRule>
  </conditionalFormatting>
  <conditionalFormatting sqref="J911">
    <cfRule type="containsText" dxfId="2458" priority="458" operator="containsText" text="Cancelado">
      <formula>NOT(ISERROR(SEARCH("Cancelado",J911)))</formula>
    </cfRule>
  </conditionalFormatting>
  <conditionalFormatting sqref="M911">
    <cfRule type="cellIs" dxfId="2457" priority="455" operator="equal">
      <formula>"Tramitando"</formula>
    </cfRule>
    <cfRule type="cellIs" dxfId="2456" priority="456" operator="equal">
      <formula>"Deferido"</formula>
    </cfRule>
    <cfRule type="cellIs" dxfId="2455" priority="457" operator="equal">
      <formula>"Indeferido"</formula>
    </cfRule>
  </conditionalFormatting>
  <conditionalFormatting sqref="M911">
    <cfRule type="containsText" dxfId="2454" priority="454" operator="containsText" text="Cancelado">
      <formula>NOT(ISERROR(SEARCH("Cancelado",M911)))</formula>
    </cfRule>
  </conditionalFormatting>
  <conditionalFormatting sqref="O911">
    <cfRule type="cellIs" dxfId="2453" priority="451" operator="equal">
      <formula>"Tramitando"</formula>
    </cfRule>
    <cfRule type="cellIs" dxfId="2452" priority="452" operator="equal">
      <formula>"Deferido"</formula>
    </cfRule>
    <cfRule type="cellIs" dxfId="2451" priority="453" operator="equal">
      <formula>"Indeferido"</formula>
    </cfRule>
  </conditionalFormatting>
  <conditionalFormatting sqref="O911">
    <cfRule type="containsText" dxfId="2450" priority="450" operator="containsText" text="Cancelado">
      <formula>NOT(ISERROR(SEARCH("Cancelado",O911)))</formula>
    </cfRule>
  </conditionalFormatting>
  <conditionalFormatting sqref="Q911">
    <cfRule type="cellIs" dxfId="2449" priority="447" operator="equal">
      <formula>"Tramitando"</formula>
    </cfRule>
    <cfRule type="cellIs" dxfId="2448" priority="448" operator="equal">
      <formula>"Deferido"</formula>
    </cfRule>
    <cfRule type="cellIs" dxfId="2447" priority="449" operator="equal">
      <formula>"Indeferido"</formula>
    </cfRule>
  </conditionalFormatting>
  <conditionalFormatting sqref="Q911">
    <cfRule type="containsText" dxfId="2446" priority="446" operator="containsText" text="Cancelado">
      <formula>NOT(ISERROR(SEARCH("Cancelado",Q911)))</formula>
    </cfRule>
  </conditionalFormatting>
  <conditionalFormatting sqref="S911">
    <cfRule type="cellIs" dxfId="2445" priority="443" operator="equal">
      <formula>"Tramitando"</formula>
    </cfRule>
    <cfRule type="cellIs" dxfId="2444" priority="444" operator="equal">
      <formula>"Deferido"</formula>
    </cfRule>
    <cfRule type="cellIs" dxfId="2443" priority="445" operator="equal">
      <formula>"Indeferido"</formula>
    </cfRule>
  </conditionalFormatting>
  <conditionalFormatting sqref="S911">
    <cfRule type="containsText" dxfId="2442" priority="442" operator="containsText" text="Cancelado">
      <formula>NOT(ISERROR(SEARCH("Cancelado",S911)))</formula>
    </cfRule>
  </conditionalFormatting>
  <conditionalFormatting sqref="J912">
    <cfRule type="cellIs" dxfId="2441" priority="438" operator="equal">
      <formula>"Tramitando"</formula>
    </cfRule>
    <cfRule type="cellIs" dxfId="2440" priority="439" operator="equal">
      <formula>"Deferido"</formula>
    </cfRule>
    <cfRule type="cellIs" dxfId="2439" priority="440" operator="equal">
      <formula>"Indeferido"</formula>
    </cfRule>
  </conditionalFormatting>
  <conditionalFormatting sqref="J912">
    <cfRule type="containsText" dxfId="2438" priority="437" operator="containsText" text="Cancelado">
      <formula>NOT(ISERROR(SEARCH("Cancelado",J912)))</formula>
    </cfRule>
  </conditionalFormatting>
  <conditionalFormatting sqref="M912">
    <cfRule type="cellIs" dxfId="2437" priority="434" operator="equal">
      <formula>"Tramitando"</formula>
    </cfRule>
    <cfRule type="cellIs" dxfId="2436" priority="435" operator="equal">
      <formula>"Deferido"</formula>
    </cfRule>
    <cfRule type="cellIs" dxfId="2435" priority="436" operator="equal">
      <formula>"Indeferido"</formula>
    </cfRule>
  </conditionalFormatting>
  <conditionalFormatting sqref="M912">
    <cfRule type="containsText" dxfId="2434" priority="433" operator="containsText" text="Cancelado">
      <formula>NOT(ISERROR(SEARCH("Cancelado",M912)))</formula>
    </cfRule>
  </conditionalFormatting>
  <conditionalFormatting sqref="O912">
    <cfRule type="cellIs" dxfId="2433" priority="430" operator="equal">
      <formula>"Tramitando"</formula>
    </cfRule>
    <cfRule type="cellIs" dxfId="2432" priority="431" operator="equal">
      <formula>"Deferido"</formula>
    </cfRule>
    <cfRule type="cellIs" dxfId="2431" priority="432" operator="equal">
      <formula>"Indeferido"</formula>
    </cfRule>
  </conditionalFormatting>
  <conditionalFormatting sqref="O912">
    <cfRule type="containsText" dxfId="2430" priority="429" operator="containsText" text="Cancelado">
      <formula>NOT(ISERROR(SEARCH("Cancelado",O912)))</formula>
    </cfRule>
  </conditionalFormatting>
  <conditionalFormatting sqref="Q912">
    <cfRule type="cellIs" dxfId="2429" priority="426" operator="equal">
      <formula>"Tramitando"</formula>
    </cfRule>
    <cfRule type="cellIs" dxfId="2428" priority="427" operator="equal">
      <formula>"Deferido"</formula>
    </cfRule>
    <cfRule type="cellIs" dxfId="2427" priority="428" operator="equal">
      <formula>"Indeferido"</formula>
    </cfRule>
  </conditionalFormatting>
  <conditionalFormatting sqref="Q912">
    <cfRule type="containsText" dxfId="2426" priority="425" operator="containsText" text="Cancelado">
      <formula>NOT(ISERROR(SEARCH("Cancelado",Q912)))</formula>
    </cfRule>
  </conditionalFormatting>
  <conditionalFormatting sqref="S912">
    <cfRule type="cellIs" dxfId="2425" priority="422" operator="equal">
      <formula>"Tramitando"</formula>
    </cfRule>
    <cfRule type="cellIs" dxfId="2424" priority="423" operator="equal">
      <formula>"Deferido"</formula>
    </cfRule>
    <cfRule type="cellIs" dxfId="2423" priority="424" operator="equal">
      <formula>"Indeferido"</formula>
    </cfRule>
  </conditionalFormatting>
  <conditionalFormatting sqref="S912">
    <cfRule type="containsText" dxfId="2422" priority="421" operator="containsText" text="Cancelado">
      <formula>NOT(ISERROR(SEARCH("Cancelado",S912)))</formula>
    </cfRule>
  </conditionalFormatting>
  <conditionalFormatting sqref="J913">
    <cfRule type="cellIs" dxfId="2421" priority="417" operator="equal">
      <formula>"Tramitando"</formula>
    </cfRule>
    <cfRule type="cellIs" dxfId="2420" priority="418" operator="equal">
      <formula>"Deferido"</formula>
    </cfRule>
    <cfRule type="cellIs" dxfId="2419" priority="419" operator="equal">
      <formula>"Indeferido"</formula>
    </cfRule>
  </conditionalFormatting>
  <conditionalFormatting sqref="J913">
    <cfRule type="containsText" dxfId="2418" priority="416" operator="containsText" text="Cancelado">
      <formula>NOT(ISERROR(SEARCH("Cancelado",J913)))</formula>
    </cfRule>
  </conditionalFormatting>
  <conditionalFormatting sqref="M913">
    <cfRule type="cellIs" dxfId="2417" priority="413" operator="equal">
      <formula>"Tramitando"</formula>
    </cfRule>
    <cfRule type="cellIs" dxfId="2416" priority="414" operator="equal">
      <formula>"Deferido"</formula>
    </cfRule>
    <cfRule type="cellIs" dxfId="2415" priority="415" operator="equal">
      <formula>"Indeferido"</formula>
    </cfRule>
  </conditionalFormatting>
  <conditionalFormatting sqref="M913">
    <cfRule type="containsText" dxfId="2414" priority="412" operator="containsText" text="Cancelado">
      <formula>NOT(ISERROR(SEARCH("Cancelado",M913)))</formula>
    </cfRule>
  </conditionalFormatting>
  <conditionalFormatting sqref="O913">
    <cfRule type="cellIs" dxfId="2413" priority="409" operator="equal">
      <formula>"Tramitando"</formula>
    </cfRule>
    <cfRule type="cellIs" dxfId="2412" priority="410" operator="equal">
      <formula>"Deferido"</formula>
    </cfRule>
    <cfRule type="cellIs" dxfId="2411" priority="411" operator="equal">
      <formula>"Indeferido"</formula>
    </cfRule>
  </conditionalFormatting>
  <conditionalFormatting sqref="O913">
    <cfRule type="containsText" dxfId="2410" priority="408" operator="containsText" text="Cancelado">
      <formula>NOT(ISERROR(SEARCH("Cancelado",O913)))</formula>
    </cfRule>
  </conditionalFormatting>
  <conditionalFormatting sqref="Q913">
    <cfRule type="cellIs" dxfId="2409" priority="405" operator="equal">
      <formula>"Tramitando"</formula>
    </cfRule>
    <cfRule type="cellIs" dxfId="2408" priority="406" operator="equal">
      <formula>"Deferido"</formula>
    </cfRule>
    <cfRule type="cellIs" dxfId="2407" priority="407" operator="equal">
      <formula>"Indeferido"</formula>
    </cfRule>
  </conditionalFormatting>
  <conditionalFormatting sqref="Q913">
    <cfRule type="containsText" dxfId="2406" priority="404" operator="containsText" text="Cancelado">
      <formula>NOT(ISERROR(SEARCH("Cancelado",Q913)))</formula>
    </cfRule>
  </conditionalFormatting>
  <conditionalFormatting sqref="S913">
    <cfRule type="cellIs" dxfId="2405" priority="401" operator="equal">
      <formula>"Tramitando"</formula>
    </cfRule>
    <cfRule type="cellIs" dxfId="2404" priority="402" operator="equal">
      <formula>"Deferido"</formula>
    </cfRule>
    <cfRule type="cellIs" dxfId="2403" priority="403" operator="equal">
      <formula>"Indeferido"</formula>
    </cfRule>
  </conditionalFormatting>
  <conditionalFormatting sqref="S913">
    <cfRule type="containsText" dxfId="2402" priority="400" operator="containsText" text="Cancelado">
      <formula>NOT(ISERROR(SEARCH("Cancelado",S913)))</formula>
    </cfRule>
  </conditionalFormatting>
  <conditionalFormatting sqref="J914">
    <cfRule type="cellIs" dxfId="2401" priority="396" operator="equal">
      <formula>"Tramitando"</formula>
    </cfRule>
    <cfRule type="cellIs" dxfId="2400" priority="397" operator="equal">
      <formula>"Deferido"</formula>
    </cfRule>
    <cfRule type="cellIs" dxfId="2399" priority="398" operator="equal">
      <formula>"Indeferido"</formula>
    </cfRule>
  </conditionalFormatting>
  <conditionalFormatting sqref="J914">
    <cfRule type="containsText" dxfId="2398" priority="395" operator="containsText" text="Cancelado">
      <formula>NOT(ISERROR(SEARCH("Cancelado",J914)))</formula>
    </cfRule>
  </conditionalFormatting>
  <conditionalFormatting sqref="M914">
    <cfRule type="cellIs" dxfId="2397" priority="392" operator="equal">
      <formula>"Tramitando"</formula>
    </cfRule>
    <cfRule type="cellIs" dxfId="2396" priority="393" operator="equal">
      <formula>"Deferido"</formula>
    </cfRule>
    <cfRule type="cellIs" dxfId="2395" priority="394" operator="equal">
      <formula>"Indeferido"</formula>
    </cfRule>
  </conditionalFormatting>
  <conditionalFormatting sqref="M914">
    <cfRule type="containsText" dxfId="2394" priority="391" operator="containsText" text="Cancelado">
      <formula>NOT(ISERROR(SEARCH("Cancelado",M914)))</formula>
    </cfRule>
  </conditionalFormatting>
  <conditionalFormatting sqref="O914">
    <cfRule type="cellIs" dxfId="2393" priority="388" operator="equal">
      <formula>"Tramitando"</formula>
    </cfRule>
    <cfRule type="cellIs" dxfId="2392" priority="389" operator="equal">
      <formula>"Deferido"</formula>
    </cfRule>
    <cfRule type="cellIs" dxfId="2391" priority="390" operator="equal">
      <formula>"Indeferido"</formula>
    </cfRule>
  </conditionalFormatting>
  <conditionalFormatting sqref="O914">
    <cfRule type="containsText" dxfId="2390" priority="387" operator="containsText" text="Cancelado">
      <formula>NOT(ISERROR(SEARCH("Cancelado",O914)))</formula>
    </cfRule>
  </conditionalFormatting>
  <conditionalFormatting sqref="Q914">
    <cfRule type="cellIs" dxfId="2389" priority="384" operator="equal">
      <formula>"Tramitando"</formula>
    </cfRule>
    <cfRule type="cellIs" dxfId="2388" priority="385" operator="equal">
      <formula>"Deferido"</formula>
    </cfRule>
    <cfRule type="cellIs" dxfId="2387" priority="386" operator="equal">
      <formula>"Indeferido"</formula>
    </cfRule>
  </conditionalFormatting>
  <conditionalFormatting sqref="Q914">
    <cfRule type="containsText" dxfId="2386" priority="383" operator="containsText" text="Cancelado">
      <formula>NOT(ISERROR(SEARCH("Cancelado",Q914)))</formula>
    </cfRule>
  </conditionalFormatting>
  <conditionalFormatting sqref="S914">
    <cfRule type="cellIs" dxfId="2385" priority="380" operator="equal">
      <formula>"Tramitando"</formula>
    </cfRule>
    <cfRule type="cellIs" dxfId="2384" priority="381" operator="equal">
      <formula>"Deferido"</formula>
    </cfRule>
    <cfRule type="cellIs" dxfId="2383" priority="382" operator="equal">
      <formula>"Indeferido"</formula>
    </cfRule>
  </conditionalFormatting>
  <conditionalFormatting sqref="S914">
    <cfRule type="containsText" dxfId="2382" priority="379" operator="containsText" text="Cancelado">
      <formula>NOT(ISERROR(SEARCH("Cancelado",S914)))</formula>
    </cfRule>
  </conditionalFormatting>
  <conditionalFormatting sqref="J915">
    <cfRule type="cellIs" dxfId="2381" priority="375" operator="equal">
      <formula>"Tramitando"</formula>
    </cfRule>
    <cfRule type="cellIs" dxfId="2380" priority="376" operator="equal">
      <formula>"Deferido"</formula>
    </cfRule>
    <cfRule type="cellIs" dxfId="2379" priority="377" operator="equal">
      <formula>"Indeferido"</formula>
    </cfRule>
  </conditionalFormatting>
  <conditionalFormatting sqref="J915">
    <cfRule type="containsText" dxfId="2378" priority="374" operator="containsText" text="Cancelado">
      <formula>NOT(ISERROR(SEARCH("Cancelado",J915)))</formula>
    </cfRule>
  </conditionalFormatting>
  <conditionalFormatting sqref="M915">
    <cfRule type="cellIs" dxfId="2377" priority="371" operator="equal">
      <formula>"Tramitando"</formula>
    </cfRule>
    <cfRule type="cellIs" dxfId="2376" priority="372" operator="equal">
      <formula>"Deferido"</formula>
    </cfRule>
    <cfRule type="cellIs" dxfId="2375" priority="373" operator="equal">
      <formula>"Indeferido"</formula>
    </cfRule>
  </conditionalFormatting>
  <conditionalFormatting sqref="M915">
    <cfRule type="containsText" dxfId="2374" priority="370" operator="containsText" text="Cancelado">
      <formula>NOT(ISERROR(SEARCH("Cancelado",M915)))</formula>
    </cfRule>
  </conditionalFormatting>
  <conditionalFormatting sqref="O915">
    <cfRule type="cellIs" dxfId="2373" priority="367" operator="equal">
      <formula>"Tramitando"</formula>
    </cfRule>
    <cfRule type="cellIs" dxfId="2372" priority="368" operator="equal">
      <formula>"Deferido"</formula>
    </cfRule>
    <cfRule type="cellIs" dxfId="2371" priority="369" operator="equal">
      <formula>"Indeferido"</formula>
    </cfRule>
  </conditionalFormatting>
  <conditionalFormatting sqref="O915">
    <cfRule type="containsText" dxfId="2370" priority="366" operator="containsText" text="Cancelado">
      <formula>NOT(ISERROR(SEARCH("Cancelado",O915)))</formula>
    </cfRule>
  </conditionalFormatting>
  <conditionalFormatting sqref="Q915">
    <cfRule type="cellIs" dxfId="2369" priority="363" operator="equal">
      <formula>"Tramitando"</formula>
    </cfRule>
    <cfRule type="cellIs" dxfId="2368" priority="364" operator="equal">
      <formula>"Deferido"</formula>
    </cfRule>
    <cfRule type="cellIs" dxfId="2367" priority="365" operator="equal">
      <formula>"Indeferido"</formula>
    </cfRule>
  </conditionalFormatting>
  <conditionalFormatting sqref="Q915">
    <cfRule type="containsText" dxfId="2366" priority="362" operator="containsText" text="Cancelado">
      <formula>NOT(ISERROR(SEARCH("Cancelado",Q915)))</formula>
    </cfRule>
  </conditionalFormatting>
  <conditionalFormatting sqref="S915">
    <cfRule type="cellIs" dxfId="2365" priority="359" operator="equal">
      <formula>"Tramitando"</formula>
    </cfRule>
    <cfRule type="cellIs" dxfId="2364" priority="360" operator="equal">
      <formula>"Deferido"</formula>
    </cfRule>
    <cfRule type="cellIs" dxfId="2363" priority="361" operator="equal">
      <formula>"Indeferido"</formula>
    </cfRule>
  </conditionalFormatting>
  <conditionalFormatting sqref="S915">
    <cfRule type="containsText" dxfId="2362" priority="358" operator="containsText" text="Cancelado">
      <formula>NOT(ISERROR(SEARCH("Cancelado",S915)))</formula>
    </cfRule>
  </conditionalFormatting>
  <conditionalFormatting sqref="J916:J917">
    <cfRule type="cellIs" dxfId="2361" priority="354" operator="equal">
      <formula>"Tramitando"</formula>
    </cfRule>
    <cfRule type="cellIs" dxfId="2360" priority="355" operator="equal">
      <formula>"Deferido"</formula>
    </cfRule>
    <cfRule type="cellIs" dxfId="2359" priority="356" operator="equal">
      <formula>"Indeferido"</formula>
    </cfRule>
  </conditionalFormatting>
  <conditionalFormatting sqref="J916:J917">
    <cfRule type="containsText" dxfId="2358" priority="353" operator="containsText" text="Cancelado">
      <formula>NOT(ISERROR(SEARCH("Cancelado",J916)))</formula>
    </cfRule>
  </conditionalFormatting>
  <conditionalFormatting sqref="M916:M917">
    <cfRule type="cellIs" dxfId="2357" priority="350" operator="equal">
      <formula>"Tramitando"</formula>
    </cfRule>
    <cfRule type="cellIs" dxfId="2356" priority="351" operator="equal">
      <formula>"Deferido"</formula>
    </cfRule>
    <cfRule type="cellIs" dxfId="2355" priority="352" operator="equal">
      <formula>"Indeferido"</formula>
    </cfRule>
  </conditionalFormatting>
  <conditionalFormatting sqref="M916:M917">
    <cfRule type="containsText" dxfId="2354" priority="349" operator="containsText" text="Cancelado">
      <formula>NOT(ISERROR(SEARCH("Cancelado",M916)))</formula>
    </cfRule>
  </conditionalFormatting>
  <conditionalFormatting sqref="O916:O917">
    <cfRule type="cellIs" dxfId="2353" priority="346" operator="equal">
      <formula>"Tramitando"</formula>
    </cfRule>
    <cfRule type="cellIs" dxfId="2352" priority="347" operator="equal">
      <formula>"Deferido"</formula>
    </cfRule>
    <cfRule type="cellIs" dxfId="2351" priority="348" operator="equal">
      <formula>"Indeferido"</formula>
    </cfRule>
  </conditionalFormatting>
  <conditionalFormatting sqref="O916:O917">
    <cfRule type="containsText" dxfId="2350" priority="345" operator="containsText" text="Cancelado">
      <formula>NOT(ISERROR(SEARCH("Cancelado",O916)))</formula>
    </cfRule>
  </conditionalFormatting>
  <conditionalFormatting sqref="Q916:Q917">
    <cfRule type="cellIs" dxfId="2349" priority="342" operator="equal">
      <formula>"Tramitando"</formula>
    </cfRule>
    <cfRule type="cellIs" dxfId="2348" priority="343" operator="equal">
      <formula>"Deferido"</formula>
    </cfRule>
    <cfRule type="cellIs" dxfId="2347" priority="344" operator="equal">
      <formula>"Indeferido"</formula>
    </cfRule>
  </conditionalFormatting>
  <conditionalFormatting sqref="Q916:Q917">
    <cfRule type="containsText" dxfId="2346" priority="341" operator="containsText" text="Cancelado">
      <formula>NOT(ISERROR(SEARCH("Cancelado",Q916)))</formula>
    </cfRule>
  </conditionalFormatting>
  <conditionalFormatting sqref="S916:S917">
    <cfRule type="cellIs" dxfId="2345" priority="338" operator="equal">
      <formula>"Tramitando"</formula>
    </cfRule>
    <cfRule type="cellIs" dxfId="2344" priority="339" operator="equal">
      <formula>"Deferido"</formula>
    </cfRule>
    <cfRule type="cellIs" dxfId="2343" priority="340" operator="equal">
      <formula>"Indeferido"</formula>
    </cfRule>
  </conditionalFormatting>
  <conditionalFormatting sqref="S916:S917">
    <cfRule type="containsText" dxfId="2342" priority="337" operator="containsText" text="Cancelado">
      <formula>NOT(ISERROR(SEARCH("Cancelado",S916)))</formula>
    </cfRule>
  </conditionalFormatting>
  <conditionalFormatting sqref="J918">
    <cfRule type="cellIs" dxfId="2341" priority="333" operator="equal">
      <formula>"Tramitando"</formula>
    </cfRule>
    <cfRule type="cellIs" dxfId="2340" priority="334" operator="equal">
      <formula>"Deferido"</formula>
    </cfRule>
    <cfRule type="cellIs" dxfId="2339" priority="335" operator="equal">
      <formula>"Indeferido"</formula>
    </cfRule>
  </conditionalFormatting>
  <conditionalFormatting sqref="J918">
    <cfRule type="containsText" dxfId="2338" priority="332" operator="containsText" text="Cancelado">
      <formula>NOT(ISERROR(SEARCH("Cancelado",J918)))</formula>
    </cfRule>
  </conditionalFormatting>
  <conditionalFormatting sqref="M918">
    <cfRule type="cellIs" dxfId="2337" priority="329" operator="equal">
      <formula>"Tramitando"</formula>
    </cfRule>
    <cfRule type="cellIs" dxfId="2336" priority="330" operator="equal">
      <formula>"Deferido"</formula>
    </cfRule>
    <cfRule type="cellIs" dxfId="2335" priority="331" operator="equal">
      <formula>"Indeferido"</formula>
    </cfRule>
  </conditionalFormatting>
  <conditionalFormatting sqref="M918">
    <cfRule type="containsText" dxfId="2334" priority="328" operator="containsText" text="Cancelado">
      <formula>NOT(ISERROR(SEARCH("Cancelado",M918)))</formula>
    </cfRule>
  </conditionalFormatting>
  <conditionalFormatting sqref="O918">
    <cfRule type="cellIs" dxfId="2333" priority="325" operator="equal">
      <formula>"Tramitando"</formula>
    </cfRule>
    <cfRule type="cellIs" dxfId="2332" priority="326" operator="equal">
      <formula>"Deferido"</formula>
    </cfRule>
    <cfRule type="cellIs" dxfId="2331" priority="327" operator="equal">
      <formula>"Indeferido"</formula>
    </cfRule>
  </conditionalFormatting>
  <conditionalFormatting sqref="O918">
    <cfRule type="containsText" dxfId="2330" priority="324" operator="containsText" text="Cancelado">
      <formula>NOT(ISERROR(SEARCH("Cancelado",O918)))</formula>
    </cfRule>
  </conditionalFormatting>
  <conditionalFormatting sqref="Q918">
    <cfRule type="cellIs" dxfId="2329" priority="321" operator="equal">
      <formula>"Tramitando"</formula>
    </cfRule>
    <cfRule type="cellIs" dxfId="2328" priority="322" operator="equal">
      <formula>"Deferido"</formula>
    </cfRule>
    <cfRule type="cellIs" dxfId="2327" priority="323" operator="equal">
      <formula>"Indeferido"</formula>
    </cfRule>
  </conditionalFormatting>
  <conditionalFormatting sqref="Q918">
    <cfRule type="containsText" dxfId="2326" priority="320" operator="containsText" text="Cancelado">
      <formula>NOT(ISERROR(SEARCH("Cancelado",Q918)))</formula>
    </cfRule>
  </conditionalFormatting>
  <conditionalFormatting sqref="S918">
    <cfRule type="cellIs" dxfId="2325" priority="317" operator="equal">
      <formula>"Tramitando"</formula>
    </cfRule>
    <cfRule type="cellIs" dxfId="2324" priority="318" operator="equal">
      <formula>"Deferido"</formula>
    </cfRule>
    <cfRule type="cellIs" dxfId="2323" priority="319" operator="equal">
      <formula>"Indeferido"</formula>
    </cfRule>
  </conditionalFormatting>
  <conditionalFormatting sqref="S918">
    <cfRule type="containsText" dxfId="2322" priority="316" operator="containsText" text="Cancelado">
      <formula>NOT(ISERROR(SEARCH("Cancelado",S918)))</formula>
    </cfRule>
  </conditionalFormatting>
  <conditionalFormatting sqref="J919">
    <cfRule type="cellIs" dxfId="2321" priority="312" operator="equal">
      <formula>"Tramitando"</formula>
    </cfRule>
    <cfRule type="cellIs" dxfId="2320" priority="313" operator="equal">
      <formula>"Deferido"</formula>
    </cfRule>
    <cfRule type="cellIs" dxfId="2319" priority="314" operator="equal">
      <formula>"Indeferido"</formula>
    </cfRule>
  </conditionalFormatting>
  <conditionalFormatting sqref="J919">
    <cfRule type="containsText" dxfId="2318" priority="311" operator="containsText" text="Cancelado">
      <formula>NOT(ISERROR(SEARCH("Cancelado",J919)))</formula>
    </cfRule>
  </conditionalFormatting>
  <conditionalFormatting sqref="M919">
    <cfRule type="cellIs" dxfId="2317" priority="308" operator="equal">
      <formula>"Tramitando"</formula>
    </cfRule>
    <cfRule type="cellIs" dxfId="2316" priority="309" operator="equal">
      <formula>"Deferido"</formula>
    </cfRule>
    <cfRule type="cellIs" dxfId="2315" priority="310" operator="equal">
      <formula>"Indeferido"</formula>
    </cfRule>
  </conditionalFormatting>
  <conditionalFormatting sqref="M919">
    <cfRule type="containsText" dxfId="2314" priority="307" operator="containsText" text="Cancelado">
      <formula>NOT(ISERROR(SEARCH("Cancelado",M919)))</formula>
    </cfRule>
  </conditionalFormatting>
  <conditionalFormatting sqref="O919">
    <cfRule type="cellIs" dxfId="2313" priority="304" operator="equal">
      <formula>"Tramitando"</formula>
    </cfRule>
    <cfRule type="cellIs" dxfId="2312" priority="305" operator="equal">
      <formula>"Deferido"</formula>
    </cfRule>
    <cfRule type="cellIs" dxfId="2311" priority="306" operator="equal">
      <formula>"Indeferido"</formula>
    </cfRule>
  </conditionalFormatting>
  <conditionalFormatting sqref="O919">
    <cfRule type="containsText" dxfId="2310" priority="303" operator="containsText" text="Cancelado">
      <formula>NOT(ISERROR(SEARCH("Cancelado",O919)))</formula>
    </cfRule>
  </conditionalFormatting>
  <conditionalFormatting sqref="Q919">
    <cfRule type="cellIs" dxfId="2309" priority="300" operator="equal">
      <formula>"Tramitando"</formula>
    </cfRule>
    <cfRule type="cellIs" dxfId="2308" priority="301" operator="equal">
      <formula>"Deferido"</formula>
    </cfRule>
    <cfRule type="cellIs" dxfId="2307" priority="302" operator="equal">
      <formula>"Indeferido"</formula>
    </cfRule>
  </conditionalFormatting>
  <conditionalFormatting sqref="Q919">
    <cfRule type="containsText" dxfId="2306" priority="299" operator="containsText" text="Cancelado">
      <formula>NOT(ISERROR(SEARCH("Cancelado",Q919)))</formula>
    </cfRule>
  </conditionalFormatting>
  <conditionalFormatting sqref="S919">
    <cfRule type="cellIs" dxfId="2305" priority="296" operator="equal">
      <formula>"Tramitando"</formula>
    </cfRule>
    <cfRule type="cellIs" dxfId="2304" priority="297" operator="equal">
      <formula>"Deferido"</formula>
    </cfRule>
    <cfRule type="cellIs" dxfId="2303" priority="298" operator="equal">
      <formula>"Indeferido"</formula>
    </cfRule>
  </conditionalFormatting>
  <conditionalFormatting sqref="S919">
    <cfRule type="containsText" dxfId="2302" priority="295" operator="containsText" text="Cancelado">
      <formula>NOT(ISERROR(SEARCH("Cancelado",S919)))</formula>
    </cfRule>
  </conditionalFormatting>
  <conditionalFormatting sqref="J920">
    <cfRule type="cellIs" dxfId="2301" priority="291" operator="equal">
      <formula>"Tramitando"</formula>
    </cfRule>
    <cfRule type="cellIs" dxfId="2300" priority="292" operator="equal">
      <formula>"Deferido"</formula>
    </cfRule>
    <cfRule type="cellIs" dxfId="2299" priority="293" operator="equal">
      <formula>"Indeferido"</formula>
    </cfRule>
  </conditionalFormatting>
  <conditionalFormatting sqref="J920">
    <cfRule type="containsText" dxfId="2298" priority="290" operator="containsText" text="Cancelado">
      <formula>NOT(ISERROR(SEARCH("Cancelado",J920)))</formula>
    </cfRule>
  </conditionalFormatting>
  <conditionalFormatting sqref="M920">
    <cfRule type="cellIs" dxfId="2297" priority="287" operator="equal">
      <formula>"Tramitando"</formula>
    </cfRule>
    <cfRule type="cellIs" dxfId="2296" priority="288" operator="equal">
      <formula>"Deferido"</formula>
    </cfRule>
    <cfRule type="cellIs" dxfId="2295" priority="289" operator="equal">
      <formula>"Indeferido"</formula>
    </cfRule>
  </conditionalFormatting>
  <conditionalFormatting sqref="M920">
    <cfRule type="containsText" dxfId="2294" priority="286" operator="containsText" text="Cancelado">
      <formula>NOT(ISERROR(SEARCH("Cancelado",M920)))</formula>
    </cfRule>
  </conditionalFormatting>
  <conditionalFormatting sqref="O920">
    <cfRule type="cellIs" dxfId="2293" priority="283" operator="equal">
      <formula>"Tramitando"</formula>
    </cfRule>
    <cfRule type="cellIs" dxfId="2292" priority="284" operator="equal">
      <formula>"Deferido"</formula>
    </cfRule>
    <cfRule type="cellIs" dxfId="2291" priority="285" operator="equal">
      <formula>"Indeferido"</formula>
    </cfRule>
  </conditionalFormatting>
  <conditionalFormatting sqref="O920">
    <cfRule type="containsText" dxfId="2290" priority="282" operator="containsText" text="Cancelado">
      <formula>NOT(ISERROR(SEARCH("Cancelado",O920)))</formula>
    </cfRule>
  </conditionalFormatting>
  <conditionalFormatting sqref="Q920">
    <cfRule type="cellIs" dxfId="2289" priority="279" operator="equal">
      <formula>"Tramitando"</formula>
    </cfRule>
    <cfRule type="cellIs" dxfId="2288" priority="280" operator="equal">
      <formula>"Deferido"</formula>
    </cfRule>
    <cfRule type="cellIs" dxfId="2287" priority="281" operator="equal">
      <formula>"Indeferido"</formula>
    </cfRule>
  </conditionalFormatting>
  <conditionalFormatting sqref="Q920">
    <cfRule type="containsText" dxfId="2286" priority="278" operator="containsText" text="Cancelado">
      <formula>NOT(ISERROR(SEARCH("Cancelado",Q920)))</formula>
    </cfRule>
  </conditionalFormatting>
  <conditionalFormatting sqref="S920">
    <cfRule type="cellIs" dxfId="2285" priority="275" operator="equal">
      <formula>"Tramitando"</formula>
    </cfRule>
    <cfRule type="cellIs" dxfId="2284" priority="276" operator="equal">
      <formula>"Deferido"</formula>
    </cfRule>
    <cfRule type="cellIs" dxfId="2283" priority="277" operator="equal">
      <formula>"Indeferido"</formula>
    </cfRule>
  </conditionalFormatting>
  <conditionalFormatting sqref="S920">
    <cfRule type="containsText" dxfId="2282" priority="274" operator="containsText" text="Cancelado">
      <formula>NOT(ISERROR(SEARCH("Cancelado",S920)))</formula>
    </cfRule>
  </conditionalFormatting>
  <conditionalFormatting sqref="J921">
    <cfRule type="cellIs" dxfId="2281" priority="270" operator="equal">
      <formula>"Tramitando"</formula>
    </cfRule>
    <cfRule type="cellIs" dxfId="2280" priority="271" operator="equal">
      <formula>"Deferido"</formula>
    </cfRule>
    <cfRule type="cellIs" dxfId="2279" priority="272" operator="equal">
      <formula>"Indeferido"</formula>
    </cfRule>
  </conditionalFormatting>
  <conditionalFormatting sqref="J921">
    <cfRule type="containsText" dxfId="2278" priority="269" operator="containsText" text="Cancelado">
      <formula>NOT(ISERROR(SEARCH("Cancelado",J921)))</formula>
    </cfRule>
  </conditionalFormatting>
  <conditionalFormatting sqref="M921">
    <cfRule type="cellIs" dxfId="2277" priority="266" operator="equal">
      <formula>"Tramitando"</formula>
    </cfRule>
    <cfRule type="cellIs" dxfId="2276" priority="267" operator="equal">
      <formula>"Deferido"</formula>
    </cfRule>
    <cfRule type="cellIs" dxfId="2275" priority="268" operator="equal">
      <formula>"Indeferido"</formula>
    </cfRule>
  </conditionalFormatting>
  <conditionalFormatting sqref="M921">
    <cfRule type="containsText" dxfId="2274" priority="265" operator="containsText" text="Cancelado">
      <formula>NOT(ISERROR(SEARCH("Cancelado",M921)))</formula>
    </cfRule>
  </conditionalFormatting>
  <conditionalFormatting sqref="O921">
    <cfRule type="cellIs" dxfId="2273" priority="262" operator="equal">
      <formula>"Tramitando"</formula>
    </cfRule>
    <cfRule type="cellIs" dxfId="2272" priority="263" operator="equal">
      <formula>"Deferido"</formula>
    </cfRule>
    <cfRule type="cellIs" dxfId="2271" priority="264" operator="equal">
      <formula>"Indeferido"</formula>
    </cfRule>
  </conditionalFormatting>
  <conditionalFormatting sqref="O921">
    <cfRule type="containsText" dxfId="2270" priority="261" operator="containsText" text="Cancelado">
      <formula>NOT(ISERROR(SEARCH("Cancelado",O921)))</formula>
    </cfRule>
  </conditionalFormatting>
  <conditionalFormatting sqref="Q921">
    <cfRule type="cellIs" dxfId="2269" priority="258" operator="equal">
      <formula>"Tramitando"</formula>
    </cfRule>
    <cfRule type="cellIs" dxfId="2268" priority="259" operator="equal">
      <formula>"Deferido"</formula>
    </cfRule>
    <cfRule type="cellIs" dxfId="2267" priority="260" operator="equal">
      <formula>"Indeferido"</formula>
    </cfRule>
  </conditionalFormatting>
  <conditionalFormatting sqref="Q921">
    <cfRule type="containsText" dxfId="2266" priority="257" operator="containsText" text="Cancelado">
      <formula>NOT(ISERROR(SEARCH("Cancelado",Q921)))</formula>
    </cfRule>
  </conditionalFormatting>
  <conditionalFormatting sqref="S921">
    <cfRule type="cellIs" dxfId="2265" priority="254" operator="equal">
      <formula>"Tramitando"</formula>
    </cfRule>
    <cfRule type="cellIs" dxfId="2264" priority="255" operator="equal">
      <formula>"Deferido"</formula>
    </cfRule>
    <cfRule type="cellIs" dxfId="2263" priority="256" operator="equal">
      <formula>"Indeferido"</formula>
    </cfRule>
  </conditionalFormatting>
  <conditionalFormatting sqref="S921">
    <cfRule type="containsText" dxfId="2262" priority="253" operator="containsText" text="Cancelado">
      <formula>NOT(ISERROR(SEARCH("Cancelado",S921)))</formula>
    </cfRule>
  </conditionalFormatting>
  <conditionalFormatting sqref="J922">
    <cfRule type="cellIs" dxfId="2261" priority="249" operator="equal">
      <formula>"Tramitando"</formula>
    </cfRule>
    <cfRule type="cellIs" dxfId="2260" priority="250" operator="equal">
      <formula>"Deferido"</formula>
    </cfRule>
    <cfRule type="cellIs" dxfId="2259" priority="251" operator="equal">
      <formula>"Indeferido"</formula>
    </cfRule>
  </conditionalFormatting>
  <conditionalFormatting sqref="J922">
    <cfRule type="containsText" dxfId="2258" priority="248" operator="containsText" text="Cancelado">
      <formula>NOT(ISERROR(SEARCH("Cancelado",J922)))</formula>
    </cfRule>
  </conditionalFormatting>
  <conditionalFormatting sqref="M922">
    <cfRule type="cellIs" dxfId="2257" priority="245" operator="equal">
      <formula>"Tramitando"</formula>
    </cfRule>
    <cfRule type="cellIs" dxfId="2256" priority="246" operator="equal">
      <formula>"Deferido"</formula>
    </cfRule>
    <cfRule type="cellIs" dxfId="2255" priority="247" operator="equal">
      <formula>"Indeferido"</formula>
    </cfRule>
  </conditionalFormatting>
  <conditionalFormatting sqref="M922">
    <cfRule type="containsText" dxfId="2254" priority="244" operator="containsText" text="Cancelado">
      <formula>NOT(ISERROR(SEARCH("Cancelado",M922)))</formula>
    </cfRule>
  </conditionalFormatting>
  <conditionalFormatting sqref="O922">
    <cfRule type="cellIs" dxfId="2253" priority="241" operator="equal">
      <formula>"Tramitando"</formula>
    </cfRule>
    <cfRule type="cellIs" dxfId="2252" priority="242" operator="equal">
      <formula>"Deferido"</formula>
    </cfRule>
    <cfRule type="cellIs" dxfId="2251" priority="243" operator="equal">
      <formula>"Indeferido"</formula>
    </cfRule>
  </conditionalFormatting>
  <conditionalFormatting sqref="O922">
    <cfRule type="containsText" dxfId="2250" priority="240" operator="containsText" text="Cancelado">
      <formula>NOT(ISERROR(SEARCH("Cancelado",O922)))</formula>
    </cfRule>
  </conditionalFormatting>
  <conditionalFormatting sqref="Q922">
    <cfRule type="cellIs" dxfId="2249" priority="237" operator="equal">
      <formula>"Tramitando"</formula>
    </cfRule>
    <cfRule type="cellIs" dxfId="2248" priority="238" operator="equal">
      <formula>"Deferido"</formula>
    </cfRule>
    <cfRule type="cellIs" dxfId="2247" priority="239" operator="equal">
      <formula>"Indeferido"</formula>
    </cfRule>
  </conditionalFormatting>
  <conditionalFormatting sqref="Q922">
    <cfRule type="containsText" dxfId="2246" priority="236" operator="containsText" text="Cancelado">
      <formula>NOT(ISERROR(SEARCH("Cancelado",Q922)))</formula>
    </cfRule>
  </conditionalFormatting>
  <conditionalFormatting sqref="S922">
    <cfRule type="cellIs" dxfId="2245" priority="233" operator="equal">
      <formula>"Tramitando"</formula>
    </cfRule>
    <cfRule type="cellIs" dxfId="2244" priority="234" operator="equal">
      <formula>"Deferido"</formula>
    </cfRule>
    <cfRule type="cellIs" dxfId="2243" priority="235" operator="equal">
      <formula>"Indeferido"</formula>
    </cfRule>
  </conditionalFormatting>
  <conditionalFormatting sqref="S922">
    <cfRule type="containsText" dxfId="2242" priority="232" operator="containsText" text="Cancelado">
      <formula>NOT(ISERROR(SEARCH("Cancelado",S922)))</formula>
    </cfRule>
  </conditionalFormatting>
  <conditionalFormatting sqref="J923">
    <cfRule type="cellIs" dxfId="2241" priority="228" operator="equal">
      <formula>"Tramitando"</formula>
    </cfRule>
    <cfRule type="cellIs" dxfId="2240" priority="229" operator="equal">
      <formula>"Deferido"</formula>
    </cfRule>
    <cfRule type="cellIs" dxfId="2239" priority="230" operator="equal">
      <formula>"Indeferido"</formula>
    </cfRule>
  </conditionalFormatting>
  <conditionalFormatting sqref="J923">
    <cfRule type="containsText" dxfId="2238" priority="227" operator="containsText" text="Cancelado">
      <formula>NOT(ISERROR(SEARCH("Cancelado",J923)))</formula>
    </cfRule>
  </conditionalFormatting>
  <conditionalFormatting sqref="M923">
    <cfRule type="cellIs" dxfId="2237" priority="224" operator="equal">
      <formula>"Tramitando"</formula>
    </cfRule>
    <cfRule type="cellIs" dxfId="2236" priority="225" operator="equal">
      <formula>"Deferido"</formula>
    </cfRule>
    <cfRule type="cellIs" dxfId="2235" priority="226" operator="equal">
      <formula>"Indeferido"</formula>
    </cfRule>
  </conditionalFormatting>
  <conditionalFormatting sqref="M923">
    <cfRule type="containsText" dxfId="2234" priority="223" operator="containsText" text="Cancelado">
      <formula>NOT(ISERROR(SEARCH("Cancelado",M923)))</formula>
    </cfRule>
  </conditionalFormatting>
  <conditionalFormatting sqref="O923">
    <cfRule type="cellIs" dxfId="2233" priority="220" operator="equal">
      <formula>"Tramitando"</formula>
    </cfRule>
    <cfRule type="cellIs" dxfId="2232" priority="221" operator="equal">
      <formula>"Deferido"</formula>
    </cfRule>
    <cfRule type="cellIs" dxfId="2231" priority="222" operator="equal">
      <formula>"Indeferido"</formula>
    </cfRule>
  </conditionalFormatting>
  <conditionalFormatting sqref="O923">
    <cfRule type="containsText" dxfId="2230" priority="219" operator="containsText" text="Cancelado">
      <formula>NOT(ISERROR(SEARCH("Cancelado",O923)))</formula>
    </cfRule>
  </conditionalFormatting>
  <conditionalFormatting sqref="Q923">
    <cfRule type="cellIs" dxfId="2229" priority="216" operator="equal">
      <formula>"Tramitando"</formula>
    </cfRule>
    <cfRule type="cellIs" dxfId="2228" priority="217" operator="equal">
      <formula>"Deferido"</formula>
    </cfRule>
    <cfRule type="cellIs" dxfId="2227" priority="218" operator="equal">
      <formula>"Indeferido"</formula>
    </cfRule>
  </conditionalFormatting>
  <conditionalFormatting sqref="Q923">
    <cfRule type="containsText" dxfId="2226" priority="215" operator="containsText" text="Cancelado">
      <formula>NOT(ISERROR(SEARCH("Cancelado",Q923)))</formula>
    </cfRule>
  </conditionalFormatting>
  <conditionalFormatting sqref="S923">
    <cfRule type="cellIs" dxfId="2225" priority="212" operator="equal">
      <formula>"Tramitando"</formula>
    </cfRule>
    <cfRule type="cellIs" dxfId="2224" priority="213" operator="equal">
      <formula>"Deferido"</formula>
    </cfRule>
    <cfRule type="cellIs" dxfId="2223" priority="214" operator="equal">
      <formula>"Indeferido"</formula>
    </cfRule>
  </conditionalFormatting>
  <conditionalFormatting sqref="S923">
    <cfRule type="containsText" dxfId="2222" priority="211" operator="containsText" text="Cancelado">
      <formula>NOT(ISERROR(SEARCH("Cancelado",S923)))</formula>
    </cfRule>
  </conditionalFormatting>
  <conditionalFormatting sqref="J924">
    <cfRule type="cellIs" dxfId="2221" priority="207" operator="equal">
      <formula>"Tramitando"</formula>
    </cfRule>
    <cfRule type="cellIs" dxfId="2220" priority="208" operator="equal">
      <formula>"Deferido"</formula>
    </cfRule>
    <cfRule type="cellIs" dxfId="2219" priority="209" operator="equal">
      <formula>"Indeferido"</formula>
    </cfRule>
  </conditionalFormatting>
  <conditionalFormatting sqref="J924">
    <cfRule type="containsText" dxfId="2218" priority="206" operator="containsText" text="Cancelado">
      <formula>NOT(ISERROR(SEARCH("Cancelado",J924)))</formula>
    </cfRule>
  </conditionalFormatting>
  <conditionalFormatting sqref="M924">
    <cfRule type="cellIs" dxfId="2217" priority="203" operator="equal">
      <formula>"Tramitando"</formula>
    </cfRule>
    <cfRule type="cellIs" dxfId="2216" priority="204" operator="equal">
      <formula>"Deferido"</formula>
    </cfRule>
    <cfRule type="cellIs" dxfId="2215" priority="205" operator="equal">
      <formula>"Indeferido"</formula>
    </cfRule>
  </conditionalFormatting>
  <conditionalFormatting sqref="M924">
    <cfRule type="containsText" dxfId="2214" priority="202" operator="containsText" text="Cancelado">
      <formula>NOT(ISERROR(SEARCH("Cancelado",M924)))</formula>
    </cfRule>
  </conditionalFormatting>
  <conditionalFormatting sqref="O924">
    <cfRule type="cellIs" dxfId="2213" priority="199" operator="equal">
      <formula>"Tramitando"</formula>
    </cfRule>
    <cfRule type="cellIs" dxfId="2212" priority="200" operator="equal">
      <formula>"Deferido"</formula>
    </cfRule>
    <cfRule type="cellIs" dxfId="2211" priority="201" operator="equal">
      <formula>"Indeferido"</formula>
    </cfRule>
  </conditionalFormatting>
  <conditionalFormatting sqref="O924">
    <cfRule type="containsText" dxfId="2210" priority="198" operator="containsText" text="Cancelado">
      <formula>NOT(ISERROR(SEARCH("Cancelado",O924)))</formula>
    </cfRule>
  </conditionalFormatting>
  <conditionalFormatting sqref="Q924">
    <cfRule type="cellIs" dxfId="2209" priority="195" operator="equal">
      <formula>"Tramitando"</formula>
    </cfRule>
    <cfRule type="cellIs" dxfId="2208" priority="196" operator="equal">
      <formula>"Deferido"</formula>
    </cfRule>
    <cfRule type="cellIs" dxfId="2207" priority="197" operator="equal">
      <formula>"Indeferido"</formula>
    </cfRule>
  </conditionalFormatting>
  <conditionalFormatting sqref="Q924">
    <cfRule type="containsText" dxfId="2206" priority="194" operator="containsText" text="Cancelado">
      <formula>NOT(ISERROR(SEARCH("Cancelado",Q924)))</formula>
    </cfRule>
  </conditionalFormatting>
  <conditionalFormatting sqref="S924">
    <cfRule type="cellIs" dxfId="2205" priority="191" operator="equal">
      <formula>"Tramitando"</formula>
    </cfRule>
    <cfRule type="cellIs" dxfId="2204" priority="192" operator="equal">
      <formula>"Deferido"</formula>
    </cfRule>
    <cfRule type="cellIs" dxfId="2203" priority="193" operator="equal">
      <formula>"Indeferido"</formula>
    </cfRule>
  </conditionalFormatting>
  <conditionalFormatting sqref="S924">
    <cfRule type="containsText" dxfId="2202" priority="190" operator="containsText" text="Cancelado">
      <formula>NOT(ISERROR(SEARCH("Cancelado",S924)))</formula>
    </cfRule>
  </conditionalFormatting>
  <conditionalFormatting sqref="J925">
    <cfRule type="cellIs" dxfId="2201" priority="186" operator="equal">
      <formula>"Tramitando"</formula>
    </cfRule>
    <cfRule type="cellIs" dxfId="2200" priority="187" operator="equal">
      <formula>"Deferido"</formula>
    </cfRule>
    <cfRule type="cellIs" dxfId="2199" priority="188" operator="equal">
      <formula>"Indeferido"</formula>
    </cfRule>
  </conditionalFormatting>
  <conditionalFormatting sqref="J925">
    <cfRule type="containsText" dxfId="2198" priority="185" operator="containsText" text="Cancelado">
      <formula>NOT(ISERROR(SEARCH("Cancelado",J925)))</formula>
    </cfRule>
  </conditionalFormatting>
  <conditionalFormatting sqref="M925">
    <cfRule type="cellIs" dxfId="2197" priority="182" operator="equal">
      <formula>"Tramitando"</formula>
    </cfRule>
    <cfRule type="cellIs" dxfId="2196" priority="183" operator="equal">
      <formula>"Deferido"</formula>
    </cfRule>
    <cfRule type="cellIs" dxfId="2195" priority="184" operator="equal">
      <formula>"Indeferido"</formula>
    </cfRule>
  </conditionalFormatting>
  <conditionalFormatting sqref="M925">
    <cfRule type="containsText" dxfId="2194" priority="181" operator="containsText" text="Cancelado">
      <formula>NOT(ISERROR(SEARCH("Cancelado",M925)))</formula>
    </cfRule>
  </conditionalFormatting>
  <conditionalFormatting sqref="O925">
    <cfRule type="cellIs" dxfId="2193" priority="178" operator="equal">
      <formula>"Tramitando"</formula>
    </cfRule>
    <cfRule type="cellIs" dxfId="2192" priority="179" operator="equal">
      <formula>"Deferido"</formula>
    </cfRule>
    <cfRule type="cellIs" dxfId="2191" priority="180" operator="equal">
      <formula>"Indeferido"</formula>
    </cfRule>
  </conditionalFormatting>
  <conditionalFormatting sqref="O925">
    <cfRule type="containsText" dxfId="2190" priority="177" operator="containsText" text="Cancelado">
      <formula>NOT(ISERROR(SEARCH("Cancelado",O925)))</formula>
    </cfRule>
  </conditionalFormatting>
  <conditionalFormatting sqref="Q925">
    <cfRule type="cellIs" dxfId="2189" priority="174" operator="equal">
      <formula>"Tramitando"</formula>
    </cfRule>
    <cfRule type="cellIs" dxfId="2188" priority="175" operator="equal">
      <formula>"Deferido"</formula>
    </cfRule>
    <cfRule type="cellIs" dxfId="2187" priority="176" operator="equal">
      <formula>"Indeferido"</formula>
    </cfRule>
  </conditionalFormatting>
  <conditionalFormatting sqref="Q925">
    <cfRule type="containsText" dxfId="2186" priority="173" operator="containsText" text="Cancelado">
      <formula>NOT(ISERROR(SEARCH("Cancelado",Q925)))</formula>
    </cfRule>
  </conditionalFormatting>
  <conditionalFormatting sqref="S925">
    <cfRule type="cellIs" dxfId="2185" priority="170" operator="equal">
      <formula>"Tramitando"</formula>
    </cfRule>
    <cfRule type="cellIs" dxfId="2184" priority="171" operator="equal">
      <formula>"Deferido"</formula>
    </cfRule>
    <cfRule type="cellIs" dxfId="2183" priority="172" operator="equal">
      <formula>"Indeferido"</formula>
    </cfRule>
  </conditionalFormatting>
  <conditionalFormatting sqref="S925">
    <cfRule type="containsText" dxfId="2182" priority="169" operator="containsText" text="Cancelado">
      <formula>NOT(ISERROR(SEARCH("Cancelado",S925)))</formula>
    </cfRule>
  </conditionalFormatting>
  <conditionalFormatting sqref="J926:J927">
    <cfRule type="cellIs" dxfId="2181" priority="165" operator="equal">
      <formula>"Tramitando"</formula>
    </cfRule>
    <cfRule type="cellIs" dxfId="2180" priority="166" operator="equal">
      <formula>"Deferido"</formula>
    </cfRule>
    <cfRule type="cellIs" dxfId="2179" priority="167" operator="equal">
      <formula>"Indeferido"</formula>
    </cfRule>
  </conditionalFormatting>
  <conditionalFormatting sqref="J926:J927">
    <cfRule type="containsText" dxfId="2178" priority="164" operator="containsText" text="Cancelado">
      <formula>NOT(ISERROR(SEARCH("Cancelado",J926)))</formula>
    </cfRule>
  </conditionalFormatting>
  <conditionalFormatting sqref="M926:M927">
    <cfRule type="cellIs" dxfId="2177" priority="161" operator="equal">
      <formula>"Tramitando"</formula>
    </cfRule>
    <cfRule type="cellIs" dxfId="2176" priority="162" operator="equal">
      <formula>"Deferido"</formula>
    </cfRule>
    <cfRule type="cellIs" dxfId="2175" priority="163" operator="equal">
      <formula>"Indeferido"</formula>
    </cfRule>
  </conditionalFormatting>
  <conditionalFormatting sqref="M926:M927">
    <cfRule type="containsText" dxfId="2174" priority="160" operator="containsText" text="Cancelado">
      <formula>NOT(ISERROR(SEARCH("Cancelado",M926)))</formula>
    </cfRule>
  </conditionalFormatting>
  <conditionalFormatting sqref="O926:O927">
    <cfRule type="cellIs" dxfId="2173" priority="157" operator="equal">
      <formula>"Tramitando"</formula>
    </cfRule>
    <cfRule type="cellIs" dxfId="2172" priority="158" operator="equal">
      <formula>"Deferido"</formula>
    </cfRule>
    <cfRule type="cellIs" dxfId="2171" priority="159" operator="equal">
      <formula>"Indeferido"</formula>
    </cfRule>
  </conditionalFormatting>
  <conditionalFormatting sqref="O926:O927">
    <cfRule type="containsText" dxfId="2170" priority="156" operator="containsText" text="Cancelado">
      <formula>NOT(ISERROR(SEARCH("Cancelado",O926)))</formula>
    </cfRule>
  </conditionalFormatting>
  <conditionalFormatting sqref="Q926:Q927">
    <cfRule type="cellIs" dxfId="2169" priority="153" operator="equal">
      <formula>"Tramitando"</formula>
    </cfRule>
    <cfRule type="cellIs" dxfId="2168" priority="154" operator="equal">
      <formula>"Deferido"</formula>
    </cfRule>
    <cfRule type="cellIs" dxfId="2167" priority="155" operator="equal">
      <formula>"Indeferido"</formula>
    </cfRule>
  </conditionalFormatting>
  <conditionalFormatting sqref="Q926:Q927">
    <cfRule type="containsText" dxfId="2166" priority="152" operator="containsText" text="Cancelado">
      <formula>NOT(ISERROR(SEARCH("Cancelado",Q926)))</formula>
    </cfRule>
  </conditionalFormatting>
  <conditionalFormatting sqref="S926:S927">
    <cfRule type="cellIs" dxfId="2165" priority="149" operator="equal">
      <formula>"Tramitando"</formula>
    </cfRule>
    <cfRule type="cellIs" dxfId="2164" priority="150" operator="equal">
      <formula>"Deferido"</formula>
    </cfRule>
    <cfRule type="cellIs" dxfId="2163" priority="151" operator="equal">
      <formula>"Indeferido"</formula>
    </cfRule>
  </conditionalFormatting>
  <conditionalFormatting sqref="S926:S927">
    <cfRule type="containsText" dxfId="2162" priority="148" operator="containsText" text="Cancelado">
      <formula>NOT(ISERROR(SEARCH("Cancelado",S926)))</formula>
    </cfRule>
  </conditionalFormatting>
  <conditionalFormatting sqref="J928">
    <cfRule type="cellIs" dxfId="2161" priority="144" operator="equal">
      <formula>"Tramitando"</formula>
    </cfRule>
    <cfRule type="cellIs" dxfId="2160" priority="145" operator="equal">
      <formula>"Deferido"</formula>
    </cfRule>
    <cfRule type="cellIs" dxfId="2159" priority="146" operator="equal">
      <formula>"Indeferido"</formula>
    </cfRule>
  </conditionalFormatting>
  <conditionalFormatting sqref="J928">
    <cfRule type="containsText" dxfId="2158" priority="143" operator="containsText" text="Cancelado">
      <formula>NOT(ISERROR(SEARCH("Cancelado",J928)))</formula>
    </cfRule>
  </conditionalFormatting>
  <conditionalFormatting sqref="M928">
    <cfRule type="cellIs" dxfId="2157" priority="140" operator="equal">
      <formula>"Tramitando"</formula>
    </cfRule>
    <cfRule type="cellIs" dxfId="2156" priority="141" operator="equal">
      <formula>"Deferido"</formula>
    </cfRule>
    <cfRule type="cellIs" dxfId="2155" priority="142" operator="equal">
      <formula>"Indeferido"</formula>
    </cfRule>
  </conditionalFormatting>
  <conditionalFormatting sqref="M928">
    <cfRule type="containsText" dxfId="2154" priority="139" operator="containsText" text="Cancelado">
      <formula>NOT(ISERROR(SEARCH("Cancelado",M928)))</formula>
    </cfRule>
  </conditionalFormatting>
  <conditionalFormatting sqref="O928">
    <cfRule type="cellIs" dxfId="2153" priority="136" operator="equal">
      <formula>"Tramitando"</formula>
    </cfRule>
    <cfRule type="cellIs" dxfId="2152" priority="137" operator="equal">
      <formula>"Deferido"</formula>
    </cfRule>
    <cfRule type="cellIs" dxfId="2151" priority="138" operator="equal">
      <formula>"Indeferido"</formula>
    </cfRule>
  </conditionalFormatting>
  <conditionalFormatting sqref="O928">
    <cfRule type="containsText" dxfId="2150" priority="135" operator="containsText" text="Cancelado">
      <formula>NOT(ISERROR(SEARCH("Cancelado",O928)))</formula>
    </cfRule>
  </conditionalFormatting>
  <conditionalFormatting sqref="Q928">
    <cfRule type="cellIs" dxfId="2149" priority="132" operator="equal">
      <formula>"Tramitando"</formula>
    </cfRule>
    <cfRule type="cellIs" dxfId="2148" priority="133" operator="equal">
      <formula>"Deferido"</formula>
    </cfRule>
    <cfRule type="cellIs" dxfId="2147" priority="134" operator="equal">
      <formula>"Indeferido"</formula>
    </cfRule>
  </conditionalFormatting>
  <conditionalFormatting sqref="Q928">
    <cfRule type="containsText" dxfId="2146" priority="131" operator="containsText" text="Cancelado">
      <formula>NOT(ISERROR(SEARCH("Cancelado",Q928)))</formula>
    </cfRule>
  </conditionalFormatting>
  <conditionalFormatting sqref="S928">
    <cfRule type="cellIs" dxfId="2145" priority="128" operator="equal">
      <formula>"Tramitando"</formula>
    </cfRule>
    <cfRule type="cellIs" dxfId="2144" priority="129" operator="equal">
      <formula>"Deferido"</formula>
    </cfRule>
    <cfRule type="cellIs" dxfId="2143" priority="130" operator="equal">
      <formula>"Indeferido"</formula>
    </cfRule>
  </conditionalFormatting>
  <conditionalFormatting sqref="S928">
    <cfRule type="containsText" dxfId="2142" priority="127" operator="containsText" text="Cancelado">
      <formula>NOT(ISERROR(SEARCH("Cancelado",S928)))</formula>
    </cfRule>
  </conditionalFormatting>
  <conditionalFormatting sqref="J929:J930">
    <cfRule type="cellIs" dxfId="2141" priority="123" operator="equal">
      <formula>"Tramitando"</formula>
    </cfRule>
    <cfRule type="cellIs" dxfId="2140" priority="124" operator="equal">
      <formula>"Deferido"</formula>
    </cfRule>
    <cfRule type="cellIs" dxfId="2139" priority="125" operator="equal">
      <formula>"Indeferido"</formula>
    </cfRule>
  </conditionalFormatting>
  <conditionalFormatting sqref="J929:J930">
    <cfRule type="containsText" dxfId="2138" priority="122" operator="containsText" text="Cancelado">
      <formula>NOT(ISERROR(SEARCH("Cancelado",J929)))</formula>
    </cfRule>
  </conditionalFormatting>
  <conditionalFormatting sqref="M929:M930">
    <cfRule type="cellIs" dxfId="2137" priority="119" operator="equal">
      <formula>"Tramitando"</formula>
    </cfRule>
    <cfRule type="cellIs" dxfId="2136" priority="120" operator="equal">
      <formula>"Deferido"</formula>
    </cfRule>
    <cfRule type="cellIs" dxfId="2135" priority="121" operator="equal">
      <formula>"Indeferido"</formula>
    </cfRule>
  </conditionalFormatting>
  <conditionalFormatting sqref="M929:M930">
    <cfRule type="containsText" dxfId="2134" priority="118" operator="containsText" text="Cancelado">
      <formula>NOT(ISERROR(SEARCH("Cancelado",M929)))</formula>
    </cfRule>
  </conditionalFormatting>
  <conditionalFormatting sqref="O929:O930">
    <cfRule type="cellIs" dxfId="2133" priority="115" operator="equal">
      <formula>"Tramitando"</formula>
    </cfRule>
    <cfRule type="cellIs" dxfId="2132" priority="116" operator="equal">
      <formula>"Deferido"</formula>
    </cfRule>
    <cfRule type="cellIs" dxfId="2131" priority="117" operator="equal">
      <formula>"Indeferido"</formula>
    </cfRule>
  </conditionalFormatting>
  <conditionalFormatting sqref="O929:O930">
    <cfRule type="containsText" dxfId="2130" priority="114" operator="containsText" text="Cancelado">
      <formula>NOT(ISERROR(SEARCH("Cancelado",O929)))</formula>
    </cfRule>
  </conditionalFormatting>
  <conditionalFormatting sqref="Q929:Q930">
    <cfRule type="cellIs" dxfId="2129" priority="111" operator="equal">
      <formula>"Tramitando"</formula>
    </cfRule>
    <cfRule type="cellIs" dxfId="2128" priority="112" operator="equal">
      <formula>"Deferido"</formula>
    </cfRule>
    <cfRule type="cellIs" dxfId="2127" priority="113" operator="equal">
      <formula>"Indeferido"</formula>
    </cfRule>
  </conditionalFormatting>
  <conditionalFormatting sqref="Q929:Q930">
    <cfRule type="containsText" dxfId="2126" priority="110" operator="containsText" text="Cancelado">
      <formula>NOT(ISERROR(SEARCH("Cancelado",Q929)))</formula>
    </cfRule>
  </conditionalFormatting>
  <conditionalFormatting sqref="S929:S930">
    <cfRule type="cellIs" dxfId="2125" priority="107" operator="equal">
      <formula>"Tramitando"</formula>
    </cfRule>
    <cfRule type="cellIs" dxfId="2124" priority="108" operator="equal">
      <formula>"Deferido"</formula>
    </cfRule>
    <cfRule type="cellIs" dxfId="2123" priority="109" operator="equal">
      <formula>"Indeferido"</formula>
    </cfRule>
  </conditionalFormatting>
  <conditionalFormatting sqref="S929:S930">
    <cfRule type="containsText" dxfId="2122" priority="106" operator="containsText" text="Cancelado">
      <formula>NOT(ISERROR(SEARCH("Cancelado",S929)))</formula>
    </cfRule>
  </conditionalFormatting>
  <conditionalFormatting sqref="J931">
    <cfRule type="cellIs" dxfId="2121" priority="102" operator="equal">
      <formula>"Tramitando"</formula>
    </cfRule>
    <cfRule type="cellIs" dxfId="2120" priority="103" operator="equal">
      <formula>"Deferido"</formula>
    </cfRule>
    <cfRule type="cellIs" dxfId="2119" priority="104" operator="equal">
      <formula>"Indeferido"</formula>
    </cfRule>
  </conditionalFormatting>
  <conditionalFormatting sqref="J931">
    <cfRule type="containsText" dxfId="2118" priority="101" operator="containsText" text="Cancelado">
      <formula>NOT(ISERROR(SEARCH("Cancelado",J931)))</formula>
    </cfRule>
  </conditionalFormatting>
  <conditionalFormatting sqref="M931">
    <cfRule type="cellIs" dxfId="2117" priority="98" operator="equal">
      <formula>"Tramitando"</formula>
    </cfRule>
    <cfRule type="cellIs" dxfId="2116" priority="99" operator="equal">
      <formula>"Deferido"</formula>
    </cfRule>
    <cfRule type="cellIs" dxfId="2115" priority="100" operator="equal">
      <formula>"Indeferido"</formula>
    </cfRule>
  </conditionalFormatting>
  <conditionalFormatting sqref="M931">
    <cfRule type="containsText" dxfId="2114" priority="97" operator="containsText" text="Cancelado">
      <formula>NOT(ISERROR(SEARCH("Cancelado",M931)))</formula>
    </cfRule>
  </conditionalFormatting>
  <conditionalFormatting sqref="O931">
    <cfRule type="cellIs" dxfId="2113" priority="94" operator="equal">
      <formula>"Tramitando"</formula>
    </cfRule>
    <cfRule type="cellIs" dxfId="2112" priority="95" operator="equal">
      <formula>"Deferido"</formula>
    </cfRule>
    <cfRule type="cellIs" dxfId="2111" priority="96" operator="equal">
      <formula>"Indeferido"</formula>
    </cfRule>
  </conditionalFormatting>
  <conditionalFormatting sqref="O931">
    <cfRule type="containsText" dxfId="2110" priority="93" operator="containsText" text="Cancelado">
      <formula>NOT(ISERROR(SEARCH("Cancelado",O931)))</formula>
    </cfRule>
  </conditionalFormatting>
  <conditionalFormatting sqref="Q931">
    <cfRule type="cellIs" dxfId="2109" priority="90" operator="equal">
      <formula>"Tramitando"</formula>
    </cfRule>
    <cfRule type="cellIs" dxfId="2108" priority="91" operator="equal">
      <formula>"Deferido"</formula>
    </cfRule>
    <cfRule type="cellIs" dxfId="2107" priority="92" operator="equal">
      <formula>"Indeferido"</formula>
    </cfRule>
  </conditionalFormatting>
  <conditionalFormatting sqref="Q931">
    <cfRule type="containsText" dxfId="2106" priority="89" operator="containsText" text="Cancelado">
      <formula>NOT(ISERROR(SEARCH("Cancelado",Q931)))</formula>
    </cfRule>
  </conditionalFormatting>
  <conditionalFormatting sqref="S931">
    <cfRule type="cellIs" dxfId="2105" priority="86" operator="equal">
      <formula>"Tramitando"</formula>
    </cfRule>
    <cfRule type="cellIs" dxfId="2104" priority="87" operator="equal">
      <formula>"Deferido"</formula>
    </cfRule>
    <cfRule type="cellIs" dxfId="2103" priority="88" operator="equal">
      <formula>"Indeferido"</formula>
    </cfRule>
  </conditionalFormatting>
  <conditionalFormatting sqref="S931">
    <cfRule type="containsText" dxfId="2102" priority="85" operator="containsText" text="Cancelado">
      <formula>NOT(ISERROR(SEARCH("Cancelado",S931)))</formula>
    </cfRule>
  </conditionalFormatting>
  <conditionalFormatting sqref="J932">
    <cfRule type="cellIs" dxfId="2101" priority="81" operator="equal">
      <formula>"Tramitando"</formula>
    </cfRule>
    <cfRule type="cellIs" dxfId="2100" priority="82" operator="equal">
      <formula>"Deferido"</formula>
    </cfRule>
    <cfRule type="cellIs" dxfId="2099" priority="83" operator="equal">
      <formula>"Indeferido"</formula>
    </cfRule>
  </conditionalFormatting>
  <conditionalFormatting sqref="J932">
    <cfRule type="containsText" dxfId="2098" priority="80" operator="containsText" text="Cancelado">
      <formula>NOT(ISERROR(SEARCH("Cancelado",J932)))</formula>
    </cfRule>
  </conditionalFormatting>
  <conditionalFormatting sqref="M932">
    <cfRule type="cellIs" dxfId="2097" priority="77" operator="equal">
      <formula>"Tramitando"</formula>
    </cfRule>
    <cfRule type="cellIs" dxfId="2096" priority="78" operator="equal">
      <formula>"Deferido"</formula>
    </cfRule>
    <cfRule type="cellIs" dxfId="2095" priority="79" operator="equal">
      <formula>"Indeferido"</formula>
    </cfRule>
  </conditionalFormatting>
  <conditionalFormatting sqref="M932">
    <cfRule type="containsText" dxfId="2094" priority="76" operator="containsText" text="Cancelado">
      <formula>NOT(ISERROR(SEARCH("Cancelado",M932)))</formula>
    </cfRule>
  </conditionalFormatting>
  <conditionalFormatting sqref="O932">
    <cfRule type="cellIs" dxfId="2093" priority="73" operator="equal">
      <formula>"Tramitando"</formula>
    </cfRule>
    <cfRule type="cellIs" dxfId="2092" priority="74" operator="equal">
      <formula>"Deferido"</formula>
    </cfRule>
    <cfRule type="cellIs" dxfId="2091" priority="75" operator="equal">
      <formula>"Indeferido"</formula>
    </cfRule>
  </conditionalFormatting>
  <conditionalFormatting sqref="O932">
    <cfRule type="containsText" dxfId="2090" priority="72" operator="containsText" text="Cancelado">
      <formula>NOT(ISERROR(SEARCH("Cancelado",O932)))</formula>
    </cfRule>
  </conditionalFormatting>
  <conditionalFormatting sqref="Q932">
    <cfRule type="cellIs" dxfId="2089" priority="69" operator="equal">
      <formula>"Tramitando"</formula>
    </cfRule>
    <cfRule type="cellIs" dxfId="2088" priority="70" operator="equal">
      <formula>"Deferido"</formula>
    </cfRule>
    <cfRule type="cellIs" dxfId="2087" priority="71" operator="equal">
      <formula>"Indeferido"</formula>
    </cfRule>
  </conditionalFormatting>
  <conditionalFormatting sqref="Q932">
    <cfRule type="containsText" dxfId="2086" priority="68" operator="containsText" text="Cancelado">
      <formula>NOT(ISERROR(SEARCH("Cancelado",Q932)))</formula>
    </cfRule>
  </conditionalFormatting>
  <conditionalFormatting sqref="S932">
    <cfRule type="cellIs" dxfId="2085" priority="65" operator="equal">
      <formula>"Tramitando"</formula>
    </cfRule>
    <cfRule type="cellIs" dxfId="2084" priority="66" operator="equal">
      <formula>"Deferido"</formula>
    </cfRule>
    <cfRule type="cellIs" dxfId="2083" priority="67" operator="equal">
      <formula>"Indeferido"</formula>
    </cfRule>
  </conditionalFormatting>
  <conditionalFormatting sqref="S932">
    <cfRule type="containsText" dxfId="2082" priority="64" operator="containsText" text="Cancelado">
      <formula>NOT(ISERROR(SEARCH("Cancelado",S932)))</formula>
    </cfRule>
  </conditionalFormatting>
  <conditionalFormatting sqref="J933">
    <cfRule type="cellIs" dxfId="2081" priority="60" operator="equal">
      <formula>"Tramitando"</formula>
    </cfRule>
    <cfRule type="cellIs" dxfId="2080" priority="61" operator="equal">
      <formula>"Deferido"</formula>
    </cfRule>
    <cfRule type="cellIs" dxfId="2079" priority="62" operator="equal">
      <formula>"Indeferido"</formula>
    </cfRule>
  </conditionalFormatting>
  <conditionalFormatting sqref="J933">
    <cfRule type="containsText" dxfId="2078" priority="59" operator="containsText" text="Cancelado">
      <formula>NOT(ISERROR(SEARCH("Cancelado",J933)))</formula>
    </cfRule>
  </conditionalFormatting>
  <conditionalFormatting sqref="M933">
    <cfRule type="cellIs" dxfId="2077" priority="56" operator="equal">
      <formula>"Tramitando"</formula>
    </cfRule>
    <cfRule type="cellIs" dxfId="2076" priority="57" operator="equal">
      <formula>"Deferido"</formula>
    </cfRule>
    <cfRule type="cellIs" dxfId="2075" priority="58" operator="equal">
      <formula>"Indeferido"</formula>
    </cfRule>
  </conditionalFormatting>
  <conditionalFormatting sqref="M933">
    <cfRule type="containsText" dxfId="2074" priority="55" operator="containsText" text="Cancelado">
      <formula>NOT(ISERROR(SEARCH("Cancelado",M933)))</formula>
    </cfRule>
  </conditionalFormatting>
  <conditionalFormatting sqref="O933">
    <cfRule type="cellIs" dxfId="2073" priority="52" operator="equal">
      <formula>"Tramitando"</formula>
    </cfRule>
    <cfRule type="cellIs" dxfId="2072" priority="53" operator="equal">
      <formula>"Deferido"</formula>
    </cfRule>
    <cfRule type="cellIs" dxfId="2071" priority="54" operator="equal">
      <formula>"Indeferido"</formula>
    </cfRule>
  </conditionalFormatting>
  <conditionalFormatting sqref="O933">
    <cfRule type="containsText" dxfId="2070" priority="51" operator="containsText" text="Cancelado">
      <formula>NOT(ISERROR(SEARCH("Cancelado",O933)))</formula>
    </cfRule>
  </conditionalFormatting>
  <conditionalFormatting sqref="Q933">
    <cfRule type="cellIs" dxfId="2069" priority="48" operator="equal">
      <formula>"Tramitando"</formula>
    </cfRule>
    <cfRule type="cellIs" dxfId="2068" priority="49" operator="equal">
      <formula>"Deferido"</formula>
    </cfRule>
    <cfRule type="cellIs" dxfId="2067" priority="50" operator="equal">
      <formula>"Indeferido"</formula>
    </cfRule>
  </conditionalFormatting>
  <conditionalFormatting sqref="Q933">
    <cfRule type="containsText" dxfId="2066" priority="47" operator="containsText" text="Cancelado">
      <formula>NOT(ISERROR(SEARCH("Cancelado",Q933)))</formula>
    </cfRule>
  </conditionalFormatting>
  <conditionalFormatting sqref="S933">
    <cfRule type="cellIs" dxfId="2065" priority="44" operator="equal">
      <formula>"Tramitando"</formula>
    </cfRule>
    <cfRule type="cellIs" dxfId="2064" priority="45" operator="equal">
      <formula>"Deferido"</formula>
    </cfRule>
    <cfRule type="cellIs" dxfId="2063" priority="46" operator="equal">
      <formula>"Indeferido"</formula>
    </cfRule>
  </conditionalFormatting>
  <conditionalFormatting sqref="S933">
    <cfRule type="containsText" dxfId="2062" priority="43" operator="containsText" text="Cancelado">
      <formula>NOT(ISERROR(SEARCH("Cancelado",S933)))</formula>
    </cfRule>
  </conditionalFormatting>
  <conditionalFormatting sqref="J934">
    <cfRule type="cellIs" dxfId="2061" priority="39" operator="equal">
      <formula>"Tramitando"</formula>
    </cfRule>
    <cfRule type="cellIs" dxfId="2060" priority="40" operator="equal">
      <formula>"Deferido"</formula>
    </cfRule>
    <cfRule type="cellIs" dxfId="2059" priority="41" operator="equal">
      <formula>"Indeferido"</formula>
    </cfRule>
  </conditionalFormatting>
  <conditionalFormatting sqref="J934">
    <cfRule type="containsText" dxfId="2058" priority="38" operator="containsText" text="Cancelado">
      <formula>NOT(ISERROR(SEARCH("Cancelado",J934)))</formula>
    </cfRule>
  </conditionalFormatting>
  <conditionalFormatting sqref="M934">
    <cfRule type="cellIs" dxfId="2057" priority="35" operator="equal">
      <formula>"Tramitando"</formula>
    </cfRule>
    <cfRule type="cellIs" dxfId="2056" priority="36" operator="equal">
      <formula>"Deferido"</formula>
    </cfRule>
    <cfRule type="cellIs" dxfId="2055" priority="37" operator="equal">
      <formula>"Indeferido"</formula>
    </cfRule>
  </conditionalFormatting>
  <conditionalFormatting sqref="M934">
    <cfRule type="containsText" dxfId="2054" priority="34" operator="containsText" text="Cancelado">
      <formula>NOT(ISERROR(SEARCH("Cancelado",M934)))</formula>
    </cfRule>
  </conditionalFormatting>
  <conditionalFormatting sqref="O934">
    <cfRule type="cellIs" dxfId="2053" priority="31" operator="equal">
      <formula>"Tramitando"</formula>
    </cfRule>
    <cfRule type="cellIs" dxfId="2052" priority="32" operator="equal">
      <formula>"Deferido"</formula>
    </cfRule>
    <cfRule type="cellIs" dxfId="2051" priority="33" operator="equal">
      <formula>"Indeferido"</formula>
    </cfRule>
  </conditionalFormatting>
  <conditionalFormatting sqref="O934">
    <cfRule type="containsText" dxfId="2050" priority="30" operator="containsText" text="Cancelado">
      <formula>NOT(ISERROR(SEARCH("Cancelado",O934)))</formula>
    </cfRule>
  </conditionalFormatting>
  <conditionalFormatting sqref="Q934">
    <cfRule type="cellIs" dxfId="2049" priority="27" operator="equal">
      <formula>"Tramitando"</formula>
    </cfRule>
    <cfRule type="cellIs" dxfId="2048" priority="28" operator="equal">
      <formula>"Deferido"</formula>
    </cfRule>
    <cfRule type="cellIs" dxfId="2047" priority="29" operator="equal">
      <formula>"Indeferido"</formula>
    </cfRule>
  </conditionalFormatting>
  <conditionalFormatting sqref="Q934">
    <cfRule type="containsText" dxfId="2046" priority="26" operator="containsText" text="Cancelado">
      <formula>NOT(ISERROR(SEARCH("Cancelado",Q934)))</formula>
    </cfRule>
  </conditionalFormatting>
  <conditionalFormatting sqref="S934">
    <cfRule type="cellIs" dxfId="2045" priority="23" operator="equal">
      <formula>"Tramitando"</formula>
    </cfRule>
    <cfRule type="cellIs" dxfId="2044" priority="24" operator="equal">
      <formula>"Deferido"</formula>
    </cfRule>
    <cfRule type="cellIs" dxfId="2043" priority="25" operator="equal">
      <formula>"Indeferido"</formula>
    </cfRule>
  </conditionalFormatting>
  <conditionalFormatting sqref="S934">
    <cfRule type="containsText" dxfId="2042" priority="22" operator="containsText" text="Cancelado">
      <formula>NOT(ISERROR(SEARCH("Cancelado",S934)))</formula>
    </cfRule>
  </conditionalFormatting>
  <conditionalFormatting sqref="J935">
    <cfRule type="cellIs" dxfId="2041" priority="18" operator="equal">
      <formula>"Tramitando"</formula>
    </cfRule>
    <cfRule type="cellIs" dxfId="2040" priority="19" operator="equal">
      <formula>"Deferido"</formula>
    </cfRule>
    <cfRule type="cellIs" dxfId="2039" priority="20" operator="equal">
      <formula>"Indeferido"</formula>
    </cfRule>
  </conditionalFormatting>
  <conditionalFormatting sqref="J935">
    <cfRule type="containsText" dxfId="2038" priority="17" operator="containsText" text="Cancelado">
      <formula>NOT(ISERROR(SEARCH("Cancelado",J935)))</formula>
    </cfRule>
  </conditionalFormatting>
  <conditionalFormatting sqref="M935">
    <cfRule type="cellIs" dxfId="2037" priority="14" operator="equal">
      <formula>"Tramitando"</formula>
    </cfRule>
    <cfRule type="cellIs" dxfId="2036" priority="15" operator="equal">
      <formula>"Deferido"</formula>
    </cfRule>
    <cfRule type="cellIs" dxfId="2035" priority="16" operator="equal">
      <formula>"Indeferido"</formula>
    </cfRule>
  </conditionalFormatting>
  <conditionalFormatting sqref="M935">
    <cfRule type="containsText" dxfId="2034" priority="13" operator="containsText" text="Cancelado">
      <formula>NOT(ISERROR(SEARCH("Cancelado",M935)))</formula>
    </cfRule>
  </conditionalFormatting>
  <conditionalFormatting sqref="O935">
    <cfRule type="cellIs" dxfId="2033" priority="10" operator="equal">
      <formula>"Tramitando"</formula>
    </cfRule>
    <cfRule type="cellIs" dxfId="2032" priority="11" operator="equal">
      <formula>"Deferido"</formula>
    </cfRule>
    <cfRule type="cellIs" dxfId="2031" priority="12" operator="equal">
      <formula>"Indeferido"</formula>
    </cfRule>
  </conditionalFormatting>
  <conditionalFormatting sqref="O935">
    <cfRule type="containsText" dxfId="2030" priority="9" operator="containsText" text="Cancelado">
      <formula>NOT(ISERROR(SEARCH("Cancelado",O935)))</formula>
    </cfRule>
  </conditionalFormatting>
  <conditionalFormatting sqref="Q935">
    <cfRule type="cellIs" dxfId="2029" priority="6" operator="equal">
      <formula>"Tramitando"</formula>
    </cfRule>
    <cfRule type="cellIs" dxfId="2028" priority="7" operator="equal">
      <formula>"Deferido"</formula>
    </cfRule>
    <cfRule type="cellIs" dxfId="2027" priority="8" operator="equal">
      <formula>"Indeferido"</formula>
    </cfRule>
  </conditionalFormatting>
  <conditionalFormatting sqref="Q935">
    <cfRule type="containsText" dxfId="2026" priority="5" operator="containsText" text="Cancelado">
      <formula>NOT(ISERROR(SEARCH("Cancelado",Q935)))</formula>
    </cfRule>
  </conditionalFormatting>
  <conditionalFormatting sqref="S935">
    <cfRule type="cellIs" dxfId="2025" priority="2" operator="equal">
      <formula>"Tramitando"</formula>
    </cfRule>
    <cfRule type="cellIs" dxfId="2024" priority="3" operator="equal">
      <formula>"Deferido"</formula>
    </cfRule>
    <cfRule type="cellIs" dxfId="2023" priority="4" operator="equal">
      <formula>"Indeferido"</formula>
    </cfRule>
  </conditionalFormatting>
  <conditionalFormatting sqref="S935">
    <cfRule type="containsText" dxfId="2022" priority="1" operator="containsText" text="Cancelado">
      <formula>NOT(ISERROR(SEARCH("Cancelado",S935)))</formula>
    </cfRule>
  </conditionalFormatting>
  <dataValidations count="5">
    <dataValidation type="list" allowBlank="1" showInputMessage="1" showErrorMessage="1" sqref="B936:D1048576">
      <formula1>Cliente</formula1>
    </dataValidation>
    <dataValidation type="list" allowBlank="1" showInputMessage="1" showErrorMessage="1" sqref="H182:H205 H4:H180 H212:H213 H209 H215:H216 H228:H233 H236:H238 H218:H226 H287:H297 H279:H285 H300:H334 H241:H277 H340 H342:H363 H336:H338 H365:H398 H401:H403 H407:H408 H410:H417 H437:H448 H422 H424:H433 H435 H456 H450:H451 H453:H454 H461 H463:H479 H458:H459 H496 H498:H500 H481:H494 H502:H511 H542:H562 H637:H639 H527:H540 H564:H580 H582:H602 H513:H524 H604:H618 H656:H935 H620:H634 H641:H654 H936:I1048576">
      <formula1>Atendente</formula1>
    </dataValidation>
    <dataValidation type="list" allowBlank="1" showInputMessage="1" showErrorMessage="1" sqref="M4:M935 O4:O935 S4:S935 Q4:Q935 J4:J1048576">
      <formula1>Situacao</formula1>
    </dataValidation>
    <dataValidation type="list" allowBlank="1" showInputMessage="1" showErrorMessage="1" sqref="G627">
      <formula1>#REF!</formula1>
    </dataValidation>
    <dataValidation type="list" allowBlank="1" showInputMessage="1" showErrorMessage="1" sqref="E4:E691 E693:E1048576">
      <formula1>Motivo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32713" operator="between" id="{9715D937-2E0D-4848-B765-B122558554E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L4:S4</xm:sqref>
        </x14:conditionalFormatting>
        <x14:conditionalFormatting xmlns:xm="http://schemas.microsoft.com/office/excel/2006/main">
          <x14:cfRule type="cellIs" priority="17082" operator="between" id="{7AD7A7B6-8FCC-419D-AA8B-2C6492791C7A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L5:S5</xm:sqref>
        </x14:conditionalFormatting>
        <x14:conditionalFormatting xmlns:xm="http://schemas.microsoft.com/office/excel/2006/main">
          <x14:cfRule type="cellIs" priority="17061" operator="between" id="{D1F00BEC-0860-44AD-84A1-B5A65D52AED6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L6:S7</xm:sqref>
        </x14:conditionalFormatting>
        <x14:conditionalFormatting xmlns:xm="http://schemas.microsoft.com/office/excel/2006/main">
          <x14:cfRule type="cellIs" priority="16998" operator="between" id="{EDC60776-8FF1-4D84-9E88-3288F483C815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L8:S8</xm:sqref>
        </x14:conditionalFormatting>
        <x14:conditionalFormatting xmlns:xm="http://schemas.microsoft.com/office/excel/2006/main">
          <x14:cfRule type="cellIs" priority="16977" operator="between" id="{73224FCA-83A0-4D2B-8654-FD579B7BC78E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L9:S10</xm:sqref>
        </x14:conditionalFormatting>
        <x14:conditionalFormatting xmlns:xm="http://schemas.microsoft.com/office/excel/2006/main">
          <x14:cfRule type="cellIs" priority="16956" operator="between" id="{492B250B-F71A-444A-B199-AF3BDF746AD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L11:S11</xm:sqref>
        </x14:conditionalFormatting>
        <x14:conditionalFormatting xmlns:xm="http://schemas.microsoft.com/office/excel/2006/main">
          <x14:cfRule type="cellIs" priority="16935" operator="between" id="{4D18B137-9842-44A8-989B-7B3D5C9EF3DF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L12:S14</xm:sqref>
        </x14:conditionalFormatting>
        <x14:conditionalFormatting xmlns:xm="http://schemas.microsoft.com/office/excel/2006/main">
          <x14:cfRule type="cellIs" priority="16914" operator="between" id="{A23A89F4-94AA-4514-8F31-6C09C4300BE5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L15:S15</xm:sqref>
        </x14:conditionalFormatting>
        <x14:conditionalFormatting xmlns:xm="http://schemas.microsoft.com/office/excel/2006/main">
          <x14:cfRule type="cellIs" priority="16893" operator="between" id="{9E281435-2048-482B-B7CE-EB7BC272851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L16:S16</xm:sqref>
        </x14:conditionalFormatting>
        <x14:conditionalFormatting xmlns:xm="http://schemas.microsoft.com/office/excel/2006/main">
          <x14:cfRule type="cellIs" priority="16872" operator="between" id="{60ED62A1-6AD4-49CB-9D05-39160E5860A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L17:S17</xm:sqref>
        </x14:conditionalFormatting>
        <x14:conditionalFormatting xmlns:xm="http://schemas.microsoft.com/office/excel/2006/main">
          <x14:cfRule type="cellIs" priority="16851" operator="between" id="{35EB3170-4DE8-4588-8A1C-4E18D768D3C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L18:S18</xm:sqref>
        </x14:conditionalFormatting>
        <x14:conditionalFormatting xmlns:xm="http://schemas.microsoft.com/office/excel/2006/main">
          <x14:cfRule type="cellIs" priority="16830" operator="between" id="{B06F14C0-268D-4453-8744-AAF6B5584DD3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L19:S19</xm:sqref>
        </x14:conditionalFormatting>
        <x14:conditionalFormatting xmlns:xm="http://schemas.microsoft.com/office/excel/2006/main">
          <x14:cfRule type="cellIs" priority="16809" operator="between" id="{E506057B-9536-4C42-AD4C-8136DFBC4BB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L20:S20</xm:sqref>
        </x14:conditionalFormatting>
        <x14:conditionalFormatting xmlns:xm="http://schemas.microsoft.com/office/excel/2006/main">
          <x14:cfRule type="cellIs" priority="16788" operator="between" id="{AFAF4CB5-C96A-4CB2-8777-EE60862D1E0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L21:S21</xm:sqref>
        </x14:conditionalFormatting>
        <x14:conditionalFormatting xmlns:xm="http://schemas.microsoft.com/office/excel/2006/main">
          <x14:cfRule type="cellIs" priority="16767" operator="between" id="{47DEA280-A041-4782-ACBF-19560767B49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L22:S22</xm:sqref>
        </x14:conditionalFormatting>
        <x14:conditionalFormatting xmlns:xm="http://schemas.microsoft.com/office/excel/2006/main">
          <x14:cfRule type="cellIs" priority="16746" operator="between" id="{2D088EAD-2C99-46D4-91F7-CB8E05B6B50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L23:S23</xm:sqref>
        </x14:conditionalFormatting>
        <x14:conditionalFormatting xmlns:xm="http://schemas.microsoft.com/office/excel/2006/main">
          <x14:cfRule type="cellIs" priority="16725" operator="between" id="{45882834-69CD-40F4-A617-23171B1F0B3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L24:S24</xm:sqref>
        </x14:conditionalFormatting>
        <x14:conditionalFormatting xmlns:xm="http://schemas.microsoft.com/office/excel/2006/main">
          <x14:cfRule type="cellIs" priority="16704" operator="between" id="{CC3070F0-0A15-4E85-BA38-0A538CEABD4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L25:S25</xm:sqref>
        </x14:conditionalFormatting>
        <x14:conditionalFormatting xmlns:xm="http://schemas.microsoft.com/office/excel/2006/main">
          <x14:cfRule type="cellIs" priority="16683" operator="between" id="{DB15B8ED-448E-4C57-8E61-F1C309179466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L26:S26</xm:sqref>
        </x14:conditionalFormatting>
        <x14:conditionalFormatting xmlns:xm="http://schemas.microsoft.com/office/excel/2006/main">
          <x14:cfRule type="cellIs" priority="16662" operator="between" id="{2C7122FA-C45E-48EC-90AB-110CCC68F42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L27:S27</xm:sqref>
        </x14:conditionalFormatting>
        <x14:conditionalFormatting xmlns:xm="http://schemas.microsoft.com/office/excel/2006/main">
          <x14:cfRule type="cellIs" priority="16641" operator="between" id="{E5663A01-EF85-41C2-B791-57EFAC7E893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L28:S28</xm:sqref>
        </x14:conditionalFormatting>
        <x14:conditionalFormatting xmlns:xm="http://schemas.microsoft.com/office/excel/2006/main">
          <x14:cfRule type="cellIs" priority="16620" operator="between" id="{BACCDB89-F0C0-48A6-852E-925EB6030DF7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L29:S29</xm:sqref>
        </x14:conditionalFormatting>
        <x14:conditionalFormatting xmlns:xm="http://schemas.microsoft.com/office/excel/2006/main">
          <x14:cfRule type="cellIs" priority="16599" operator="between" id="{19DF9532-51DF-4869-99E5-D9D6084DE163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L30:S30</xm:sqref>
        </x14:conditionalFormatting>
        <x14:conditionalFormatting xmlns:xm="http://schemas.microsoft.com/office/excel/2006/main">
          <x14:cfRule type="cellIs" priority="16578" operator="between" id="{AFF3A7B8-C049-4666-9F17-57928792286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L31:S32</xm:sqref>
        </x14:conditionalFormatting>
        <x14:conditionalFormatting xmlns:xm="http://schemas.microsoft.com/office/excel/2006/main">
          <x14:cfRule type="cellIs" priority="16557" operator="between" id="{620A2728-9E83-4B9F-8834-AD20E2E460FE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L33:S34</xm:sqref>
        </x14:conditionalFormatting>
        <x14:conditionalFormatting xmlns:xm="http://schemas.microsoft.com/office/excel/2006/main">
          <x14:cfRule type="cellIs" priority="16536" operator="between" id="{2C3FE815-B1D7-4B07-BB22-4B1606DCBED3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L35:S35</xm:sqref>
        </x14:conditionalFormatting>
        <x14:conditionalFormatting xmlns:xm="http://schemas.microsoft.com/office/excel/2006/main">
          <x14:cfRule type="cellIs" priority="16515" operator="between" id="{4EA87AF2-A999-4A5D-B1C9-FD74E07EEC60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L36:S36</xm:sqref>
        </x14:conditionalFormatting>
        <x14:conditionalFormatting xmlns:xm="http://schemas.microsoft.com/office/excel/2006/main">
          <x14:cfRule type="cellIs" priority="16494" operator="between" id="{02A02A74-EC2D-44B3-8F7C-0F7764AB7548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L37:S37</xm:sqref>
        </x14:conditionalFormatting>
        <x14:conditionalFormatting xmlns:xm="http://schemas.microsoft.com/office/excel/2006/main">
          <x14:cfRule type="cellIs" priority="16473" operator="between" id="{D2D6F02C-B159-454E-AEEB-51DBB1FDE058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L38:S38</xm:sqref>
        </x14:conditionalFormatting>
        <x14:conditionalFormatting xmlns:xm="http://schemas.microsoft.com/office/excel/2006/main">
          <x14:cfRule type="cellIs" priority="16452" operator="between" id="{B9C65115-F045-4FA6-B792-31AC8456B5E7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L39:S39</xm:sqref>
        </x14:conditionalFormatting>
        <x14:conditionalFormatting xmlns:xm="http://schemas.microsoft.com/office/excel/2006/main">
          <x14:cfRule type="cellIs" priority="16431" operator="between" id="{A3B436E7-9E37-4F3C-8022-0B4BE61720B5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L40:S40</xm:sqref>
        </x14:conditionalFormatting>
        <x14:conditionalFormatting xmlns:xm="http://schemas.microsoft.com/office/excel/2006/main">
          <x14:cfRule type="cellIs" priority="16410" operator="between" id="{B0B7199C-8BF9-4373-B5E2-DFE2FE84B557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L41:S42</xm:sqref>
        </x14:conditionalFormatting>
        <x14:conditionalFormatting xmlns:xm="http://schemas.microsoft.com/office/excel/2006/main">
          <x14:cfRule type="cellIs" priority="16389" operator="between" id="{B7166BA3-0878-4A27-A972-6983A0645EB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L43:S44</xm:sqref>
        </x14:conditionalFormatting>
        <x14:conditionalFormatting xmlns:xm="http://schemas.microsoft.com/office/excel/2006/main">
          <x14:cfRule type="cellIs" priority="16368" operator="between" id="{F37E8F25-375C-4C1B-9997-21A47A514AC7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L45:S45</xm:sqref>
        </x14:conditionalFormatting>
        <x14:conditionalFormatting xmlns:xm="http://schemas.microsoft.com/office/excel/2006/main">
          <x14:cfRule type="cellIs" priority="16347" operator="between" id="{DFC6FDD4-E634-47B7-986B-6E2F1C65190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L46:S46</xm:sqref>
        </x14:conditionalFormatting>
        <x14:conditionalFormatting xmlns:xm="http://schemas.microsoft.com/office/excel/2006/main">
          <x14:cfRule type="cellIs" priority="16326" operator="between" id="{8AADE466-980D-4FFE-ABCB-6D71C900EB6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L47:S47</xm:sqref>
        </x14:conditionalFormatting>
        <x14:conditionalFormatting xmlns:xm="http://schemas.microsoft.com/office/excel/2006/main">
          <x14:cfRule type="cellIs" priority="16305" operator="between" id="{4C793A28-2C6C-4868-85EF-7C626D4822E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L48:S48</xm:sqref>
        </x14:conditionalFormatting>
        <x14:conditionalFormatting xmlns:xm="http://schemas.microsoft.com/office/excel/2006/main">
          <x14:cfRule type="cellIs" priority="16284" operator="between" id="{13C535D3-2C0F-4A35-89DC-1F7C6E843875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L49:S49</xm:sqref>
        </x14:conditionalFormatting>
        <x14:conditionalFormatting xmlns:xm="http://schemas.microsoft.com/office/excel/2006/main">
          <x14:cfRule type="cellIs" priority="16263" operator="between" id="{637838B1-EB66-419C-B87F-EEB9EF6672C5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L50:S50</xm:sqref>
        </x14:conditionalFormatting>
        <x14:conditionalFormatting xmlns:xm="http://schemas.microsoft.com/office/excel/2006/main">
          <x14:cfRule type="cellIs" priority="16242" operator="between" id="{369A3EE9-E576-4142-BA61-F234FE516BD3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L51:S51</xm:sqref>
        </x14:conditionalFormatting>
        <x14:conditionalFormatting xmlns:xm="http://schemas.microsoft.com/office/excel/2006/main">
          <x14:cfRule type="cellIs" priority="16221" operator="between" id="{54D75155-C46A-490D-8BF5-72CDE2F60B1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L52:S53</xm:sqref>
        </x14:conditionalFormatting>
        <x14:conditionalFormatting xmlns:xm="http://schemas.microsoft.com/office/excel/2006/main">
          <x14:cfRule type="cellIs" priority="16200" operator="between" id="{8E9ECDA4-13B0-4E4D-A528-0612879F2C0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L54:S54</xm:sqref>
        </x14:conditionalFormatting>
        <x14:conditionalFormatting xmlns:xm="http://schemas.microsoft.com/office/excel/2006/main">
          <x14:cfRule type="cellIs" priority="16179" operator="between" id="{BAD9EEFA-5B27-47D9-A711-E598176E672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L55:S55</xm:sqref>
        </x14:conditionalFormatting>
        <x14:conditionalFormatting xmlns:xm="http://schemas.microsoft.com/office/excel/2006/main">
          <x14:cfRule type="cellIs" priority="16158" operator="between" id="{9F536885-E79B-43CE-AE38-703F27A0184E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L56:S56</xm:sqref>
        </x14:conditionalFormatting>
        <x14:conditionalFormatting xmlns:xm="http://schemas.microsoft.com/office/excel/2006/main">
          <x14:cfRule type="cellIs" priority="16137" operator="between" id="{8DD020EE-8269-49D4-AD78-FD745B5A4EA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L57:S57</xm:sqref>
        </x14:conditionalFormatting>
        <x14:conditionalFormatting xmlns:xm="http://schemas.microsoft.com/office/excel/2006/main">
          <x14:cfRule type="cellIs" priority="16116" operator="between" id="{AFBAEDFA-D304-4225-97FD-C5EF1F05133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L58:S58</xm:sqref>
        </x14:conditionalFormatting>
        <x14:conditionalFormatting xmlns:xm="http://schemas.microsoft.com/office/excel/2006/main">
          <x14:cfRule type="cellIs" priority="16095" operator="between" id="{01DAF43A-85C2-4439-8776-7FE3ED0B9298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L59:S59</xm:sqref>
        </x14:conditionalFormatting>
        <x14:conditionalFormatting xmlns:xm="http://schemas.microsoft.com/office/excel/2006/main">
          <x14:cfRule type="cellIs" priority="16074" operator="between" id="{DC44B07D-9EB8-42C3-BE48-22C9A24228C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L60:S60</xm:sqref>
        </x14:conditionalFormatting>
        <x14:conditionalFormatting xmlns:xm="http://schemas.microsoft.com/office/excel/2006/main">
          <x14:cfRule type="cellIs" priority="16053" operator="between" id="{6230F869-3F89-4BD3-8329-719285F71BE5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L61:S61</xm:sqref>
        </x14:conditionalFormatting>
        <x14:conditionalFormatting xmlns:xm="http://schemas.microsoft.com/office/excel/2006/main">
          <x14:cfRule type="cellIs" priority="16032" operator="between" id="{47124618-46F5-4AEB-89F1-748CDBEEFDF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L62:S62</xm:sqref>
        </x14:conditionalFormatting>
        <x14:conditionalFormatting xmlns:xm="http://schemas.microsoft.com/office/excel/2006/main">
          <x14:cfRule type="cellIs" priority="16011" operator="between" id="{7049FE42-FB74-455B-A674-D7AE4DF1000E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L63:S63</xm:sqref>
        </x14:conditionalFormatting>
        <x14:conditionalFormatting xmlns:xm="http://schemas.microsoft.com/office/excel/2006/main">
          <x14:cfRule type="cellIs" priority="15990" operator="between" id="{F4D66AB3-F4A8-4608-A904-5A58755F400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L64:S64</xm:sqref>
        </x14:conditionalFormatting>
        <x14:conditionalFormatting xmlns:xm="http://schemas.microsoft.com/office/excel/2006/main">
          <x14:cfRule type="cellIs" priority="15969" operator="between" id="{648EF3FE-3D26-43E2-986E-B22E902A2715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L65:S65</xm:sqref>
        </x14:conditionalFormatting>
        <x14:conditionalFormatting xmlns:xm="http://schemas.microsoft.com/office/excel/2006/main">
          <x14:cfRule type="cellIs" priority="15948" operator="between" id="{CBFE87D2-88B3-4D3E-9FC6-A2E7BAD124C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L66:S66</xm:sqref>
        </x14:conditionalFormatting>
        <x14:conditionalFormatting xmlns:xm="http://schemas.microsoft.com/office/excel/2006/main">
          <x14:cfRule type="cellIs" priority="15927" operator="between" id="{DB6A0E35-0200-41D0-BB5C-FC8826FAC8F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L67:S67</xm:sqref>
        </x14:conditionalFormatting>
        <x14:conditionalFormatting xmlns:xm="http://schemas.microsoft.com/office/excel/2006/main">
          <x14:cfRule type="cellIs" priority="15906" operator="between" id="{62D6535F-ECD6-4DEE-8B94-44516FC93A33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L68:S68</xm:sqref>
        </x14:conditionalFormatting>
        <x14:conditionalFormatting xmlns:xm="http://schemas.microsoft.com/office/excel/2006/main">
          <x14:cfRule type="cellIs" priority="15885" operator="between" id="{2204ADF9-78F1-47EA-BD17-EC460642E2D5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L69:S69</xm:sqref>
        </x14:conditionalFormatting>
        <x14:conditionalFormatting xmlns:xm="http://schemas.microsoft.com/office/excel/2006/main">
          <x14:cfRule type="cellIs" priority="15864" operator="between" id="{B3FF2055-B4DF-47A4-A87A-281106D2045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L70:S70</xm:sqref>
        </x14:conditionalFormatting>
        <x14:conditionalFormatting xmlns:xm="http://schemas.microsoft.com/office/excel/2006/main">
          <x14:cfRule type="cellIs" priority="15843" operator="between" id="{9430E0B0-5D92-412F-A14E-8847DCD5E04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L71:S71</xm:sqref>
        </x14:conditionalFormatting>
        <x14:conditionalFormatting xmlns:xm="http://schemas.microsoft.com/office/excel/2006/main">
          <x14:cfRule type="cellIs" priority="15822" operator="between" id="{51BF2C5B-71FA-4E1A-AEA2-1F933CA21AB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L72:S72</xm:sqref>
        </x14:conditionalFormatting>
        <x14:conditionalFormatting xmlns:xm="http://schemas.microsoft.com/office/excel/2006/main">
          <x14:cfRule type="cellIs" priority="15801" operator="between" id="{DA6AB302-5F06-4D3F-A6C5-33D3CB6551C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L73:S73</xm:sqref>
        </x14:conditionalFormatting>
        <x14:conditionalFormatting xmlns:xm="http://schemas.microsoft.com/office/excel/2006/main">
          <x14:cfRule type="cellIs" priority="15780" operator="between" id="{C66A7266-EEFC-459D-91BD-73D544A57D1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L74:S74</xm:sqref>
        </x14:conditionalFormatting>
        <x14:conditionalFormatting xmlns:xm="http://schemas.microsoft.com/office/excel/2006/main">
          <x14:cfRule type="cellIs" priority="15759" operator="between" id="{53A3D78C-958D-4190-A729-5FD8F9B0CEC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L75:S76</xm:sqref>
        </x14:conditionalFormatting>
        <x14:conditionalFormatting xmlns:xm="http://schemas.microsoft.com/office/excel/2006/main">
          <x14:cfRule type="cellIs" priority="15738" operator="between" id="{39D17CA8-7B64-4E4D-95D4-37ADF44A20B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L77:S78</xm:sqref>
        </x14:conditionalFormatting>
        <x14:conditionalFormatting xmlns:xm="http://schemas.microsoft.com/office/excel/2006/main">
          <x14:cfRule type="cellIs" priority="15717" operator="between" id="{50099332-F9D4-4182-899E-0D7E009726C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L79:S79</xm:sqref>
        </x14:conditionalFormatting>
        <x14:conditionalFormatting xmlns:xm="http://schemas.microsoft.com/office/excel/2006/main">
          <x14:cfRule type="cellIs" priority="15696" operator="between" id="{301455D6-D75E-4CBC-962A-98A92870BC0F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L80:S80</xm:sqref>
        </x14:conditionalFormatting>
        <x14:conditionalFormatting xmlns:xm="http://schemas.microsoft.com/office/excel/2006/main">
          <x14:cfRule type="cellIs" priority="15675" operator="between" id="{94348822-98B1-4BBB-8DDE-3DEB5AF5F0A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L81:S81</xm:sqref>
        </x14:conditionalFormatting>
        <x14:conditionalFormatting xmlns:xm="http://schemas.microsoft.com/office/excel/2006/main">
          <x14:cfRule type="cellIs" priority="15654" operator="between" id="{E76C17DF-3BA3-42C8-BEAD-EB63A13A6D1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L82:S82</xm:sqref>
        </x14:conditionalFormatting>
        <x14:conditionalFormatting xmlns:xm="http://schemas.microsoft.com/office/excel/2006/main">
          <x14:cfRule type="cellIs" priority="15633" operator="between" id="{0BF695C3-DBC6-4CB9-AB76-669ED84715C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L83:S83</xm:sqref>
        </x14:conditionalFormatting>
        <x14:conditionalFormatting xmlns:xm="http://schemas.microsoft.com/office/excel/2006/main">
          <x14:cfRule type="cellIs" priority="15612" operator="between" id="{1F70215C-EDCD-41BC-B4E2-76514A65F76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L84:S84</xm:sqref>
        </x14:conditionalFormatting>
        <x14:conditionalFormatting xmlns:xm="http://schemas.microsoft.com/office/excel/2006/main">
          <x14:cfRule type="cellIs" priority="15591" operator="between" id="{A6AA1EB6-C3A9-4C76-9781-910A59F663D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L85:S85</xm:sqref>
        </x14:conditionalFormatting>
        <x14:conditionalFormatting xmlns:xm="http://schemas.microsoft.com/office/excel/2006/main">
          <x14:cfRule type="cellIs" priority="15570" operator="between" id="{59AD448E-2048-4C20-9089-FB62AC56113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L86:S86</xm:sqref>
        </x14:conditionalFormatting>
        <x14:conditionalFormatting xmlns:xm="http://schemas.microsoft.com/office/excel/2006/main">
          <x14:cfRule type="cellIs" priority="15549" operator="between" id="{99F74EE0-0D26-4DDB-84CE-FC914C7E36A7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L87:S87</xm:sqref>
        </x14:conditionalFormatting>
        <x14:conditionalFormatting xmlns:xm="http://schemas.microsoft.com/office/excel/2006/main">
          <x14:cfRule type="cellIs" priority="15528" operator="between" id="{BA6263B1-0EB9-40E6-97F9-29C882C8B68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L88:S88</xm:sqref>
        </x14:conditionalFormatting>
        <x14:conditionalFormatting xmlns:xm="http://schemas.microsoft.com/office/excel/2006/main">
          <x14:cfRule type="cellIs" priority="15507" operator="between" id="{D2C9D31D-06AC-4E9B-A54E-46BEB19FB57A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L89:S89</xm:sqref>
        </x14:conditionalFormatting>
        <x14:conditionalFormatting xmlns:xm="http://schemas.microsoft.com/office/excel/2006/main">
          <x14:cfRule type="cellIs" priority="15486" operator="between" id="{21CC1E53-780B-459A-AF02-026E329A580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L90:S90</xm:sqref>
        </x14:conditionalFormatting>
        <x14:conditionalFormatting xmlns:xm="http://schemas.microsoft.com/office/excel/2006/main">
          <x14:cfRule type="cellIs" priority="15465" operator="between" id="{D408D0A6-2CE7-4A09-97CB-883C8EAE396A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L91:S91</xm:sqref>
        </x14:conditionalFormatting>
        <x14:conditionalFormatting xmlns:xm="http://schemas.microsoft.com/office/excel/2006/main">
          <x14:cfRule type="cellIs" priority="15444" operator="between" id="{592047B6-53EE-4B66-9809-08D6CBFE331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L92:S93</xm:sqref>
        </x14:conditionalFormatting>
        <x14:conditionalFormatting xmlns:xm="http://schemas.microsoft.com/office/excel/2006/main">
          <x14:cfRule type="cellIs" priority="15423" operator="between" id="{785DD5BF-D910-4AEF-BC10-C5A9AEED247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L94:S94</xm:sqref>
        </x14:conditionalFormatting>
        <x14:conditionalFormatting xmlns:xm="http://schemas.microsoft.com/office/excel/2006/main">
          <x14:cfRule type="cellIs" priority="15402" operator="between" id="{84853869-7669-4EE5-A1D1-D0CBD22E83B5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L95:S95</xm:sqref>
        </x14:conditionalFormatting>
        <x14:conditionalFormatting xmlns:xm="http://schemas.microsoft.com/office/excel/2006/main">
          <x14:cfRule type="cellIs" priority="15381" operator="between" id="{392ED16B-239D-49B4-9849-22E0B99935FF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L96:S96</xm:sqref>
        </x14:conditionalFormatting>
        <x14:conditionalFormatting xmlns:xm="http://schemas.microsoft.com/office/excel/2006/main">
          <x14:cfRule type="cellIs" priority="15360" operator="between" id="{CD1C8AC4-2DE7-43FB-B53A-7856BB964AAA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M97:S97</xm:sqref>
        </x14:conditionalFormatting>
        <x14:conditionalFormatting xmlns:xm="http://schemas.microsoft.com/office/excel/2006/main">
          <x14:cfRule type="cellIs" priority="15339" operator="between" id="{C124FE8B-4EFE-4455-B693-023DD86770D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M98:S98</xm:sqref>
        </x14:conditionalFormatting>
        <x14:conditionalFormatting xmlns:xm="http://schemas.microsoft.com/office/excel/2006/main">
          <x14:cfRule type="cellIs" priority="15318" operator="between" id="{B5042758-04D5-4CE3-9088-31CF9314067A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L98</xm:sqref>
        </x14:conditionalFormatting>
        <x14:conditionalFormatting xmlns:xm="http://schemas.microsoft.com/office/excel/2006/main">
          <x14:cfRule type="cellIs" priority="15317" operator="between" id="{D363E253-D99D-44CD-A285-93768C0FB01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L97</xm:sqref>
        </x14:conditionalFormatting>
        <x14:conditionalFormatting xmlns:xm="http://schemas.microsoft.com/office/excel/2006/main">
          <x14:cfRule type="cellIs" priority="15316" operator="between" id="{BE72B843-D9ED-4568-8165-C881E3ABBCE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L99:S99</xm:sqref>
        </x14:conditionalFormatting>
        <x14:conditionalFormatting xmlns:xm="http://schemas.microsoft.com/office/excel/2006/main">
          <x14:cfRule type="cellIs" priority="15295" operator="between" id="{E42E505A-2784-4110-8D63-EB63159211D0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L100:S100</xm:sqref>
        </x14:conditionalFormatting>
        <x14:conditionalFormatting xmlns:xm="http://schemas.microsoft.com/office/excel/2006/main">
          <x14:cfRule type="cellIs" priority="15274" operator="between" id="{5E8F6429-B045-40EA-B3E5-ACED001A7746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L101:S101</xm:sqref>
        </x14:conditionalFormatting>
        <x14:conditionalFormatting xmlns:xm="http://schemas.microsoft.com/office/excel/2006/main">
          <x14:cfRule type="cellIs" priority="15253" operator="between" id="{79A97E6A-873A-48B1-BCB3-7B63C03EE0D8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L102:S102</xm:sqref>
        </x14:conditionalFormatting>
        <x14:conditionalFormatting xmlns:xm="http://schemas.microsoft.com/office/excel/2006/main">
          <x14:cfRule type="cellIs" priority="15232" operator="between" id="{8F972EC8-ECDC-446C-ABCE-A1F5E0B232C6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L103:S104</xm:sqref>
        </x14:conditionalFormatting>
        <x14:conditionalFormatting xmlns:xm="http://schemas.microsoft.com/office/excel/2006/main">
          <x14:cfRule type="cellIs" priority="15211" operator="between" id="{E7A80D00-A309-4A88-A293-6917ED2188CE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L105:S105</xm:sqref>
        </x14:conditionalFormatting>
        <x14:conditionalFormatting xmlns:xm="http://schemas.microsoft.com/office/excel/2006/main">
          <x14:cfRule type="cellIs" priority="15190" operator="between" id="{53B5BCA6-91F7-4F57-A077-B13A6ED7BEF0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L106:S106</xm:sqref>
        </x14:conditionalFormatting>
        <x14:conditionalFormatting xmlns:xm="http://schemas.microsoft.com/office/excel/2006/main">
          <x14:cfRule type="cellIs" priority="15169" operator="between" id="{1D7FC0D5-3B12-4A13-89C1-2D5C924EBA95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L107:S107</xm:sqref>
        </x14:conditionalFormatting>
        <x14:conditionalFormatting xmlns:xm="http://schemas.microsoft.com/office/excel/2006/main">
          <x14:cfRule type="cellIs" priority="15148" operator="between" id="{3CC21423-56B7-4799-97FD-06B8523D84EF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L108:S108</xm:sqref>
        </x14:conditionalFormatting>
        <x14:conditionalFormatting xmlns:xm="http://schemas.microsoft.com/office/excel/2006/main">
          <x14:cfRule type="cellIs" priority="15127" operator="between" id="{1E5530F5-922F-44EB-BF99-D7D5F202A29F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L109:S109</xm:sqref>
        </x14:conditionalFormatting>
        <x14:conditionalFormatting xmlns:xm="http://schemas.microsoft.com/office/excel/2006/main">
          <x14:cfRule type="cellIs" priority="15106" operator="between" id="{0827EA39-BC32-425F-B503-DE98DB27AAC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L110:S110</xm:sqref>
        </x14:conditionalFormatting>
        <x14:conditionalFormatting xmlns:xm="http://schemas.microsoft.com/office/excel/2006/main">
          <x14:cfRule type="cellIs" priority="15085" operator="between" id="{A545FCD0-71D6-41E8-8EB8-7198D549961A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L111:S111</xm:sqref>
        </x14:conditionalFormatting>
        <x14:conditionalFormatting xmlns:xm="http://schemas.microsoft.com/office/excel/2006/main">
          <x14:cfRule type="cellIs" priority="15064" operator="between" id="{3265B196-DF18-436D-A1F9-4D50903ADC7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L112:S112</xm:sqref>
        </x14:conditionalFormatting>
        <x14:conditionalFormatting xmlns:xm="http://schemas.microsoft.com/office/excel/2006/main">
          <x14:cfRule type="cellIs" priority="15043" operator="between" id="{48BFDE9A-CC9D-407E-8425-EEF5DB6C7D27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L113:S113</xm:sqref>
        </x14:conditionalFormatting>
        <x14:conditionalFormatting xmlns:xm="http://schemas.microsoft.com/office/excel/2006/main">
          <x14:cfRule type="cellIs" priority="15022" operator="between" id="{940D1F31-3D15-44F2-A671-DB0F8AE830D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L114:S114</xm:sqref>
        </x14:conditionalFormatting>
        <x14:conditionalFormatting xmlns:xm="http://schemas.microsoft.com/office/excel/2006/main">
          <x14:cfRule type="cellIs" priority="15001" operator="between" id="{69BDD041-5CC0-429C-8B52-99188FE3DFBA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L115:S115</xm:sqref>
        </x14:conditionalFormatting>
        <x14:conditionalFormatting xmlns:xm="http://schemas.microsoft.com/office/excel/2006/main">
          <x14:cfRule type="cellIs" priority="14980" operator="between" id="{5D17DCCF-674B-40D3-865D-3EFFFDE314FF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M116 O116:S116</xm:sqref>
        </x14:conditionalFormatting>
        <x14:conditionalFormatting xmlns:xm="http://schemas.microsoft.com/office/excel/2006/main">
          <x14:cfRule type="cellIs" priority="14959" operator="between" id="{57B9A540-A183-49EA-980E-2292008DC275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L117:S117</xm:sqref>
        </x14:conditionalFormatting>
        <x14:conditionalFormatting xmlns:xm="http://schemas.microsoft.com/office/excel/2006/main">
          <x14:cfRule type="cellIs" priority="14938" operator="between" id="{87A9C3DA-7282-44BC-ACC8-E6D1E1C2FEE6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L118:S118</xm:sqref>
        </x14:conditionalFormatting>
        <x14:conditionalFormatting xmlns:xm="http://schemas.microsoft.com/office/excel/2006/main">
          <x14:cfRule type="cellIs" priority="14917" operator="between" id="{DDBF59C4-0EF4-4BC1-801C-02ACAF1CB07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L119:S119</xm:sqref>
        </x14:conditionalFormatting>
        <x14:conditionalFormatting xmlns:xm="http://schemas.microsoft.com/office/excel/2006/main">
          <x14:cfRule type="cellIs" priority="14896" operator="between" id="{36E9F2D4-DC04-4A03-818A-14EA549E3FD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L120:S120</xm:sqref>
        </x14:conditionalFormatting>
        <x14:conditionalFormatting xmlns:xm="http://schemas.microsoft.com/office/excel/2006/main">
          <x14:cfRule type="cellIs" priority="14875" operator="between" id="{DD2CC996-9FE9-4FA2-88E3-6E938F9CADD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L121:S121</xm:sqref>
        </x14:conditionalFormatting>
        <x14:conditionalFormatting xmlns:xm="http://schemas.microsoft.com/office/excel/2006/main">
          <x14:cfRule type="cellIs" priority="14854" operator="between" id="{02A1C34B-172D-4251-8078-2C08CC56123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L122:S122</xm:sqref>
        </x14:conditionalFormatting>
        <x14:conditionalFormatting xmlns:xm="http://schemas.microsoft.com/office/excel/2006/main">
          <x14:cfRule type="cellIs" priority="14833" operator="between" id="{ED629F12-A653-4A0A-9CD2-2BFDB9B44C9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L123:S123</xm:sqref>
        </x14:conditionalFormatting>
        <x14:conditionalFormatting xmlns:xm="http://schemas.microsoft.com/office/excel/2006/main">
          <x14:cfRule type="cellIs" priority="14812" operator="between" id="{27A3C852-D8CA-4EC1-A41B-BD8830324D08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L124:S124</xm:sqref>
        </x14:conditionalFormatting>
        <x14:conditionalFormatting xmlns:xm="http://schemas.microsoft.com/office/excel/2006/main">
          <x14:cfRule type="cellIs" priority="14791" operator="between" id="{22866388-9468-47BB-9280-5688FD86AC3F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L125:S125</xm:sqref>
        </x14:conditionalFormatting>
        <x14:conditionalFormatting xmlns:xm="http://schemas.microsoft.com/office/excel/2006/main">
          <x14:cfRule type="cellIs" priority="14770" operator="between" id="{70F78C02-4149-4108-B83C-88CF35A685F6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L126:S126</xm:sqref>
        </x14:conditionalFormatting>
        <x14:conditionalFormatting xmlns:xm="http://schemas.microsoft.com/office/excel/2006/main">
          <x14:cfRule type="cellIs" priority="14749" operator="between" id="{7EFA1F60-0355-4965-84AB-AA16EDBFBE78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L127:S127</xm:sqref>
        </x14:conditionalFormatting>
        <x14:conditionalFormatting xmlns:xm="http://schemas.microsoft.com/office/excel/2006/main">
          <x14:cfRule type="cellIs" priority="14728" operator="between" id="{EEF9ABA0-451A-4F56-91D1-4A72917CBAC7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L128:S128</xm:sqref>
        </x14:conditionalFormatting>
        <x14:conditionalFormatting xmlns:xm="http://schemas.microsoft.com/office/excel/2006/main">
          <x14:cfRule type="cellIs" priority="14707" operator="between" id="{237A2168-1205-4364-A65A-765A9F91A63A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L129:S129</xm:sqref>
        </x14:conditionalFormatting>
        <x14:conditionalFormatting xmlns:xm="http://schemas.microsoft.com/office/excel/2006/main">
          <x14:cfRule type="cellIs" priority="14686" operator="between" id="{295054EE-4D80-4177-9104-241A0D3E29A3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L130:S130</xm:sqref>
        </x14:conditionalFormatting>
        <x14:conditionalFormatting xmlns:xm="http://schemas.microsoft.com/office/excel/2006/main">
          <x14:cfRule type="cellIs" priority="14665" operator="between" id="{6FBBA11B-26DF-4530-B0FB-460B8BE2AD06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L131:S131</xm:sqref>
        </x14:conditionalFormatting>
        <x14:conditionalFormatting xmlns:xm="http://schemas.microsoft.com/office/excel/2006/main">
          <x14:cfRule type="cellIs" priority="14644" operator="between" id="{24F82FEB-F08F-4B8D-BF16-8E409FB3484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L132:S132</xm:sqref>
        </x14:conditionalFormatting>
        <x14:conditionalFormatting xmlns:xm="http://schemas.microsoft.com/office/excel/2006/main">
          <x14:cfRule type="cellIs" priority="14623" operator="between" id="{110E71D5-07F4-41E2-94C6-DC896B66CBDF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L133:S133</xm:sqref>
        </x14:conditionalFormatting>
        <x14:conditionalFormatting xmlns:xm="http://schemas.microsoft.com/office/excel/2006/main">
          <x14:cfRule type="cellIs" priority="14602" operator="between" id="{88106380-F631-4580-86F0-9FBD0EDC1057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L134:S134</xm:sqref>
        </x14:conditionalFormatting>
        <x14:conditionalFormatting xmlns:xm="http://schemas.microsoft.com/office/excel/2006/main">
          <x14:cfRule type="cellIs" priority="14581" operator="between" id="{08116413-6657-45AA-8518-E91B82FE551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L135:M135 O135:S135</xm:sqref>
        </x14:conditionalFormatting>
        <x14:conditionalFormatting xmlns:xm="http://schemas.microsoft.com/office/excel/2006/main">
          <x14:cfRule type="cellIs" priority="14560" operator="between" id="{33F588B3-93F4-4E34-835C-3F75744B6DCA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L136:S136</xm:sqref>
        </x14:conditionalFormatting>
        <x14:conditionalFormatting xmlns:xm="http://schemas.microsoft.com/office/excel/2006/main">
          <x14:cfRule type="cellIs" priority="14539" operator="between" id="{F250D332-2124-448B-9B19-4B40235620E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L137:S137</xm:sqref>
        </x14:conditionalFormatting>
        <x14:conditionalFormatting xmlns:xm="http://schemas.microsoft.com/office/excel/2006/main">
          <x14:cfRule type="cellIs" priority="14518" operator="between" id="{3D2B42C6-0707-46EC-8346-1EBA37A19CA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L138:S138</xm:sqref>
        </x14:conditionalFormatting>
        <x14:conditionalFormatting xmlns:xm="http://schemas.microsoft.com/office/excel/2006/main">
          <x14:cfRule type="cellIs" priority="14497" operator="between" id="{0DA6F6FA-85DD-4104-93A4-9837A5880DE3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L139:S139</xm:sqref>
        </x14:conditionalFormatting>
        <x14:conditionalFormatting xmlns:xm="http://schemas.microsoft.com/office/excel/2006/main">
          <x14:cfRule type="cellIs" priority="14476" operator="between" id="{AB9BD6EE-B876-4EE3-AEF4-A85B82D9DD3E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L140:S140</xm:sqref>
        </x14:conditionalFormatting>
        <x14:conditionalFormatting xmlns:xm="http://schemas.microsoft.com/office/excel/2006/main">
          <x14:cfRule type="cellIs" priority="14455" operator="between" id="{87B2722E-CE8E-46FF-B795-9E431FFC4CF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L141:S141</xm:sqref>
        </x14:conditionalFormatting>
        <x14:conditionalFormatting xmlns:xm="http://schemas.microsoft.com/office/excel/2006/main">
          <x14:cfRule type="cellIs" priority="14434" operator="between" id="{F5398F9C-044C-4FBF-A8A8-60E9E8E532D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L116</xm:sqref>
        </x14:conditionalFormatting>
        <x14:conditionalFormatting xmlns:xm="http://schemas.microsoft.com/office/excel/2006/main">
          <x14:cfRule type="cellIs" priority="14433" operator="between" id="{39DC067E-6527-4CD2-BEF5-93AAC1A2A31F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N116</xm:sqref>
        </x14:conditionalFormatting>
        <x14:conditionalFormatting xmlns:xm="http://schemas.microsoft.com/office/excel/2006/main">
          <x14:cfRule type="cellIs" priority="14432" operator="between" id="{4B52AED2-140E-4E85-8BC3-5B30BE0D83E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L142:S142</xm:sqref>
        </x14:conditionalFormatting>
        <x14:conditionalFormatting xmlns:xm="http://schemas.microsoft.com/office/excel/2006/main">
          <x14:cfRule type="cellIs" priority="14411" operator="between" id="{78472E06-A41E-46EB-BE20-F00ABF582705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L143:S143</xm:sqref>
        </x14:conditionalFormatting>
        <x14:conditionalFormatting xmlns:xm="http://schemas.microsoft.com/office/excel/2006/main">
          <x14:cfRule type="cellIs" priority="14390" operator="between" id="{20478D6F-B996-436E-A5DD-F27FCFA48250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L144:S145</xm:sqref>
        </x14:conditionalFormatting>
        <x14:conditionalFormatting xmlns:xm="http://schemas.microsoft.com/office/excel/2006/main">
          <x14:cfRule type="cellIs" priority="14369" operator="between" id="{D7668349-6DFA-4475-900E-BE79F4F88AC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L146:S146</xm:sqref>
        </x14:conditionalFormatting>
        <x14:conditionalFormatting xmlns:xm="http://schemas.microsoft.com/office/excel/2006/main">
          <x14:cfRule type="cellIs" priority="14348" operator="between" id="{E90D32E7-C430-4154-B449-87A4BC05A0E5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L147:S147</xm:sqref>
        </x14:conditionalFormatting>
        <x14:conditionalFormatting xmlns:xm="http://schemas.microsoft.com/office/excel/2006/main">
          <x14:cfRule type="cellIs" priority="14327" operator="between" id="{1B702E68-1F21-456D-95D0-6A5B575F435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L148:S148</xm:sqref>
        </x14:conditionalFormatting>
        <x14:conditionalFormatting xmlns:xm="http://schemas.microsoft.com/office/excel/2006/main">
          <x14:cfRule type="cellIs" priority="14306" operator="between" id="{D7C3AD34-9F84-49AB-A3D3-3F44E9D3495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L149:S149</xm:sqref>
        </x14:conditionalFormatting>
        <x14:conditionalFormatting xmlns:xm="http://schemas.microsoft.com/office/excel/2006/main">
          <x14:cfRule type="cellIs" priority="14285" operator="between" id="{CC290006-61FB-4A20-9501-9FF8C0CBF7F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L150:S154</xm:sqref>
        </x14:conditionalFormatting>
        <x14:conditionalFormatting xmlns:xm="http://schemas.microsoft.com/office/excel/2006/main">
          <x14:cfRule type="cellIs" priority="14264" operator="between" id="{86ACFE5D-3D2F-45B6-8CF5-E7F5886B988E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L155:S155</xm:sqref>
        </x14:conditionalFormatting>
        <x14:conditionalFormatting xmlns:xm="http://schemas.microsoft.com/office/excel/2006/main">
          <x14:cfRule type="cellIs" priority="14243" operator="between" id="{673CCC44-9334-4474-9B26-07FEC4E842C6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M156:S156</xm:sqref>
        </x14:conditionalFormatting>
        <x14:conditionalFormatting xmlns:xm="http://schemas.microsoft.com/office/excel/2006/main">
          <x14:cfRule type="cellIs" priority="14222" operator="between" id="{B167D591-82F1-4B63-9066-90B8A661741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L157:S157</xm:sqref>
        </x14:conditionalFormatting>
        <x14:conditionalFormatting xmlns:xm="http://schemas.microsoft.com/office/excel/2006/main">
          <x14:cfRule type="cellIs" priority="14201" operator="between" id="{E32AFBFB-2C7C-402A-AEAA-BD3A6099EF90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L158:S158</xm:sqref>
        </x14:conditionalFormatting>
        <x14:conditionalFormatting xmlns:xm="http://schemas.microsoft.com/office/excel/2006/main">
          <x14:cfRule type="cellIs" priority="14180" operator="between" id="{AC662090-3F9A-45E6-8BF0-9C42C59BADCE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L159:S159</xm:sqref>
        </x14:conditionalFormatting>
        <x14:conditionalFormatting xmlns:xm="http://schemas.microsoft.com/office/excel/2006/main">
          <x14:cfRule type="cellIs" priority="14159" operator="between" id="{2B8C39EA-94EC-4D54-B8CE-7C7FAC35063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L160:S160</xm:sqref>
        </x14:conditionalFormatting>
        <x14:conditionalFormatting xmlns:xm="http://schemas.microsoft.com/office/excel/2006/main">
          <x14:cfRule type="cellIs" priority="14138" operator="between" id="{DF93B86A-D0B5-492F-A38D-0A9C260B267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L161:S161</xm:sqref>
        </x14:conditionalFormatting>
        <x14:conditionalFormatting xmlns:xm="http://schemas.microsoft.com/office/excel/2006/main">
          <x14:cfRule type="cellIs" priority="14117" operator="between" id="{B7F4D35F-F0AE-4386-BC63-F63D6EF275E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L162:S162</xm:sqref>
        </x14:conditionalFormatting>
        <x14:conditionalFormatting xmlns:xm="http://schemas.microsoft.com/office/excel/2006/main">
          <x14:cfRule type="cellIs" priority="14096" operator="between" id="{30B3F0E1-9EBD-4995-BBB7-E4D9D248B25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L163:S163</xm:sqref>
        </x14:conditionalFormatting>
        <x14:conditionalFormatting xmlns:xm="http://schemas.microsoft.com/office/excel/2006/main">
          <x14:cfRule type="cellIs" priority="14075" operator="between" id="{5116BBBA-73E7-4035-A5EF-604A1102E74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L156</xm:sqref>
        </x14:conditionalFormatting>
        <x14:conditionalFormatting xmlns:xm="http://schemas.microsoft.com/office/excel/2006/main">
          <x14:cfRule type="cellIs" priority="14074" operator="between" id="{90DBC473-F106-4C3E-A761-AD556C29B8A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L164:S164</xm:sqref>
        </x14:conditionalFormatting>
        <x14:conditionalFormatting xmlns:xm="http://schemas.microsoft.com/office/excel/2006/main">
          <x14:cfRule type="cellIs" priority="14053" operator="between" id="{8B9E4147-B62E-49BF-B2CD-936E3EC8F85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L165:S165</xm:sqref>
        </x14:conditionalFormatting>
        <x14:conditionalFormatting xmlns:xm="http://schemas.microsoft.com/office/excel/2006/main">
          <x14:cfRule type="cellIs" priority="14032" operator="between" id="{3DF88EE3-87CA-4A46-AB5A-E96995DE36C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L166:S166</xm:sqref>
        </x14:conditionalFormatting>
        <x14:conditionalFormatting xmlns:xm="http://schemas.microsoft.com/office/excel/2006/main">
          <x14:cfRule type="cellIs" priority="14011" operator="between" id="{660D1CB9-D949-4D76-96CA-D821FC2DB2A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L167:S167</xm:sqref>
        </x14:conditionalFormatting>
        <x14:conditionalFormatting xmlns:xm="http://schemas.microsoft.com/office/excel/2006/main">
          <x14:cfRule type="cellIs" priority="13990" operator="between" id="{C1D08009-337C-4B79-9358-1F986E454CB8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L168:S168</xm:sqref>
        </x14:conditionalFormatting>
        <x14:conditionalFormatting xmlns:xm="http://schemas.microsoft.com/office/excel/2006/main">
          <x14:cfRule type="cellIs" priority="13969" operator="between" id="{22179DEB-3D13-49D0-813B-FE89AD7A961E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M169:S169</xm:sqref>
        </x14:conditionalFormatting>
        <x14:conditionalFormatting xmlns:xm="http://schemas.microsoft.com/office/excel/2006/main">
          <x14:cfRule type="cellIs" priority="13948" operator="between" id="{CF0553EF-9D12-402D-8B73-C289998ED25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L170:S170</xm:sqref>
        </x14:conditionalFormatting>
        <x14:conditionalFormatting xmlns:xm="http://schemas.microsoft.com/office/excel/2006/main">
          <x14:cfRule type="cellIs" priority="13927" operator="between" id="{7FDF9E40-76BA-4DC9-9AA2-113E9ABFAD96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L171:S171</xm:sqref>
        </x14:conditionalFormatting>
        <x14:conditionalFormatting xmlns:xm="http://schemas.microsoft.com/office/excel/2006/main">
          <x14:cfRule type="cellIs" priority="13906" operator="between" id="{3D39A327-44F9-4528-86BE-1F31C98BC646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L172:S172</xm:sqref>
        </x14:conditionalFormatting>
        <x14:conditionalFormatting xmlns:xm="http://schemas.microsoft.com/office/excel/2006/main">
          <x14:cfRule type="cellIs" priority="13885" operator="between" id="{335786A4-A819-49C1-A358-409E56585E6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L173:S173</xm:sqref>
        </x14:conditionalFormatting>
        <x14:conditionalFormatting xmlns:xm="http://schemas.microsoft.com/office/excel/2006/main">
          <x14:cfRule type="cellIs" priority="13864" operator="between" id="{1D71BA8B-08C4-4542-8749-668566AFFFA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L174:S174</xm:sqref>
        </x14:conditionalFormatting>
        <x14:conditionalFormatting xmlns:xm="http://schemas.microsoft.com/office/excel/2006/main">
          <x14:cfRule type="cellIs" priority="13843" operator="between" id="{F28092E4-DF4C-4BF4-9ADC-D0636A34C633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L175:S175</xm:sqref>
        </x14:conditionalFormatting>
        <x14:conditionalFormatting xmlns:xm="http://schemas.microsoft.com/office/excel/2006/main">
          <x14:cfRule type="cellIs" priority="13822" operator="between" id="{AAC9DC3D-01A6-43A4-B932-B4317580153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L176:S176</xm:sqref>
        </x14:conditionalFormatting>
        <x14:conditionalFormatting xmlns:xm="http://schemas.microsoft.com/office/excel/2006/main">
          <x14:cfRule type="cellIs" priority="13801" operator="between" id="{AEFAD7F9-A197-459B-95C0-A79995E34D88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L177:S177</xm:sqref>
        </x14:conditionalFormatting>
        <x14:conditionalFormatting xmlns:xm="http://schemas.microsoft.com/office/excel/2006/main">
          <x14:cfRule type="cellIs" priority="13780" operator="between" id="{07B6B507-8FEA-4EA4-8FEE-A32FA3085F96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L178:S178</xm:sqref>
        </x14:conditionalFormatting>
        <x14:conditionalFormatting xmlns:xm="http://schemas.microsoft.com/office/excel/2006/main">
          <x14:cfRule type="cellIs" priority="13759" operator="between" id="{FD180303-ACF7-46CC-8797-A3C41306F04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L179:S179</xm:sqref>
        </x14:conditionalFormatting>
        <x14:conditionalFormatting xmlns:xm="http://schemas.microsoft.com/office/excel/2006/main">
          <x14:cfRule type="cellIs" priority="13738" operator="between" id="{0F25542A-D3DA-4775-B29E-2943F3C2429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L180:S180</xm:sqref>
        </x14:conditionalFormatting>
        <x14:conditionalFormatting xmlns:xm="http://schemas.microsoft.com/office/excel/2006/main">
          <x14:cfRule type="cellIs" priority="13717" operator="between" id="{466FAC57-FB0C-4190-BD99-FACC4C8285FA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L181:S181</xm:sqref>
        </x14:conditionalFormatting>
        <x14:conditionalFormatting xmlns:xm="http://schemas.microsoft.com/office/excel/2006/main">
          <x14:cfRule type="cellIs" priority="13696" operator="between" id="{AE25BD76-0BD9-4E01-A514-1BE01AD3124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L182:S182</xm:sqref>
        </x14:conditionalFormatting>
        <x14:conditionalFormatting xmlns:xm="http://schemas.microsoft.com/office/excel/2006/main">
          <x14:cfRule type="cellIs" priority="13675" operator="between" id="{CDBE9DEB-8A33-4F40-BED6-292ECE8AAAB3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L183:S183 L184:O184 Q184:S184</xm:sqref>
        </x14:conditionalFormatting>
        <x14:conditionalFormatting xmlns:xm="http://schemas.microsoft.com/office/excel/2006/main">
          <x14:cfRule type="cellIs" priority="13654" operator="between" id="{40A169D7-3C8E-4D95-9D1C-D7EBAB31460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M185:S185</xm:sqref>
        </x14:conditionalFormatting>
        <x14:conditionalFormatting xmlns:xm="http://schemas.microsoft.com/office/excel/2006/main">
          <x14:cfRule type="cellIs" priority="13633" operator="between" id="{D8B27D69-09BE-4AB3-9F86-006AC031DCFA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L186:S186</xm:sqref>
        </x14:conditionalFormatting>
        <x14:conditionalFormatting xmlns:xm="http://schemas.microsoft.com/office/excel/2006/main">
          <x14:cfRule type="cellIs" priority="13612" operator="between" id="{D696F828-BC8E-46A8-9A14-F106F6B82F8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L187:S187</xm:sqref>
        </x14:conditionalFormatting>
        <x14:conditionalFormatting xmlns:xm="http://schemas.microsoft.com/office/excel/2006/main">
          <x14:cfRule type="cellIs" priority="13591" operator="between" id="{4C88D52F-8535-433F-A21E-844456074C3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L188:S188</xm:sqref>
        </x14:conditionalFormatting>
        <x14:conditionalFormatting xmlns:xm="http://schemas.microsoft.com/office/excel/2006/main">
          <x14:cfRule type="cellIs" priority="13570" operator="between" id="{BFAD12A1-7A35-4D8C-B266-E57EAE5F4C66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L189:S189</xm:sqref>
        </x14:conditionalFormatting>
        <x14:conditionalFormatting xmlns:xm="http://schemas.microsoft.com/office/excel/2006/main">
          <x14:cfRule type="cellIs" priority="13549" operator="between" id="{986FDBDB-5B8C-4F46-A047-AE91452C42EA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L190:S190</xm:sqref>
        </x14:conditionalFormatting>
        <x14:conditionalFormatting xmlns:xm="http://schemas.microsoft.com/office/excel/2006/main">
          <x14:cfRule type="cellIs" priority="13528" operator="between" id="{AD97E4B4-019D-46A3-BA6C-7599FE10D30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M191:S192</xm:sqref>
        </x14:conditionalFormatting>
        <x14:conditionalFormatting xmlns:xm="http://schemas.microsoft.com/office/excel/2006/main">
          <x14:cfRule type="cellIs" priority="13507" operator="between" id="{908BE8BA-DFA7-43F4-8715-787EF9EB5B7F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L193:S194</xm:sqref>
        </x14:conditionalFormatting>
        <x14:conditionalFormatting xmlns:xm="http://schemas.microsoft.com/office/excel/2006/main">
          <x14:cfRule type="cellIs" priority="13486" operator="between" id="{7D8DEE99-63F0-46B4-A775-282162BC2468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L195:S195</xm:sqref>
        </x14:conditionalFormatting>
        <x14:conditionalFormatting xmlns:xm="http://schemas.microsoft.com/office/excel/2006/main">
          <x14:cfRule type="cellIs" priority="13465" operator="between" id="{6AE79D93-7BCF-4469-BC07-E3998ECA7CD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L196:M196 O196:S196</xm:sqref>
        </x14:conditionalFormatting>
        <x14:conditionalFormatting xmlns:xm="http://schemas.microsoft.com/office/excel/2006/main">
          <x14:cfRule type="cellIs" priority="13444" operator="between" id="{9513139C-872E-4A49-8DAE-71276F12F30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M197:S197</xm:sqref>
        </x14:conditionalFormatting>
        <x14:conditionalFormatting xmlns:xm="http://schemas.microsoft.com/office/excel/2006/main">
          <x14:cfRule type="cellIs" priority="13423" operator="between" id="{BCE89B11-3D60-4AB7-AFBD-EDDBA94B223E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L197</xm:sqref>
        </x14:conditionalFormatting>
        <x14:conditionalFormatting xmlns:xm="http://schemas.microsoft.com/office/excel/2006/main">
          <x14:cfRule type="cellIs" priority="13422" operator="between" id="{1FFAE845-DD47-460C-AACF-AABE3309B99A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L198:S198</xm:sqref>
        </x14:conditionalFormatting>
        <x14:conditionalFormatting xmlns:xm="http://schemas.microsoft.com/office/excel/2006/main">
          <x14:cfRule type="cellIs" priority="13401" operator="between" id="{147899C6-AF67-491E-BC3D-00555195B42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L199:S199</xm:sqref>
        </x14:conditionalFormatting>
        <x14:conditionalFormatting xmlns:xm="http://schemas.microsoft.com/office/excel/2006/main">
          <x14:cfRule type="cellIs" priority="13380" operator="between" id="{82D88E87-74B0-4AA5-B556-EDB14B58BFE6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L200:S200</xm:sqref>
        </x14:conditionalFormatting>
        <x14:conditionalFormatting xmlns:xm="http://schemas.microsoft.com/office/excel/2006/main">
          <x14:cfRule type="cellIs" priority="13359" operator="between" id="{75C21ED1-6D8F-4BDA-9FF6-C4899FA5A84A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M201:S201</xm:sqref>
        </x14:conditionalFormatting>
        <x14:conditionalFormatting xmlns:xm="http://schemas.microsoft.com/office/excel/2006/main">
          <x14:cfRule type="cellIs" priority="13338" operator="between" id="{73B9E6C1-DD69-4B86-B01A-BAE9CB26885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L202:S202</xm:sqref>
        </x14:conditionalFormatting>
        <x14:conditionalFormatting xmlns:xm="http://schemas.microsoft.com/office/excel/2006/main">
          <x14:cfRule type="cellIs" priority="13317" operator="between" id="{60A3F263-62F9-487D-9BA5-D516B1F8456E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L201</xm:sqref>
        </x14:conditionalFormatting>
        <x14:conditionalFormatting xmlns:xm="http://schemas.microsoft.com/office/excel/2006/main">
          <x14:cfRule type="cellIs" priority="13316" operator="between" id="{E425B333-9B1E-46CA-B6B8-A188EC4FA140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L203:S204</xm:sqref>
        </x14:conditionalFormatting>
        <x14:conditionalFormatting xmlns:xm="http://schemas.microsoft.com/office/excel/2006/main">
          <x14:cfRule type="cellIs" priority="13295" operator="between" id="{C373CFB4-DA0A-4172-BA04-AD2C6E711653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L205:S206</xm:sqref>
        </x14:conditionalFormatting>
        <x14:conditionalFormatting xmlns:xm="http://schemas.microsoft.com/office/excel/2006/main">
          <x14:cfRule type="cellIs" priority="13274" operator="between" id="{9F2892A7-17E3-4ED8-B4C0-6F9C25B39AC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L207:S208</xm:sqref>
        </x14:conditionalFormatting>
        <x14:conditionalFormatting xmlns:xm="http://schemas.microsoft.com/office/excel/2006/main">
          <x14:cfRule type="cellIs" priority="13253" operator="between" id="{6510F5F2-7014-4ADA-B216-6C80D9F93B8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M209:S210</xm:sqref>
        </x14:conditionalFormatting>
        <x14:conditionalFormatting xmlns:xm="http://schemas.microsoft.com/office/excel/2006/main">
          <x14:cfRule type="cellIs" priority="13232" operator="between" id="{E853F08E-EE73-4B4B-806B-54C33CAAE97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M211:S211</xm:sqref>
        </x14:conditionalFormatting>
        <x14:conditionalFormatting xmlns:xm="http://schemas.microsoft.com/office/excel/2006/main">
          <x14:cfRule type="cellIs" priority="13211" operator="between" id="{F0C34815-EA27-4897-8819-2FA3C6A015F3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L212:S213</xm:sqref>
        </x14:conditionalFormatting>
        <x14:conditionalFormatting xmlns:xm="http://schemas.microsoft.com/office/excel/2006/main">
          <x14:cfRule type="cellIs" priority="13190" operator="between" id="{D9ED483B-5DDA-4458-9278-596E4698C6A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L214:S214</xm:sqref>
        </x14:conditionalFormatting>
        <x14:conditionalFormatting xmlns:xm="http://schemas.microsoft.com/office/excel/2006/main">
          <x14:cfRule type="cellIs" priority="13169" operator="between" id="{A672C92F-64C1-4E8F-8EF3-19D7D241FB56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L209:L210</xm:sqref>
        </x14:conditionalFormatting>
        <x14:conditionalFormatting xmlns:xm="http://schemas.microsoft.com/office/excel/2006/main">
          <x14:cfRule type="cellIs" priority="13168" operator="between" id="{3D591255-30E8-4CEF-9A86-BB4C61C6AEE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L211</xm:sqref>
        </x14:conditionalFormatting>
        <x14:conditionalFormatting xmlns:xm="http://schemas.microsoft.com/office/excel/2006/main">
          <x14:cfRule type="cellIs" priority="13167" operator="between" id="{4CA4C721-7200-4FAD-830F-6F1477D4F3AE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M215:S215</xm:sqref>
        </x14:conditionalFormatting>
        <x14:conditionalFormatting xmlns:xm="http://schemas.microsoft.com/office/excel/2006/main">
          <x14:cfRule type="cellIs" priority="13146" operator="between" id="{C362E790-6584-4553-9496-651A8777078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L215</xm:sqref>
        </x14:conditionalFormatting>
        <x14:conditionalFormatting xmlns:xm="http://schemas.microsoft.com/office/excel/2006/main">
          <x14:cfRule type="cellIs" priority="13145" operator="between" id="{AAB31870-7357-4BE2-AFF6-CE06759654B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L216:S216</xm:sqref>
        </x14:conditionalFormatting>
        <x14:conditionalFormatting xmlns:xm="http://schemas.microsoft.com/office/excel/2006/main">
          <x14:cfRule type="cellIs" priority="13124" operator="between" id="{724F1ACA-334B-4D23-BE74-573EDDC4663A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L217:S217</xm:sqref>
        </x14:conditionalFormatting>
        <x14:conditionalFormatting xmlns:xm="http://schemas.microsoft.com/office/excel/2006/main">
          <x14:cfRule type="cellIs" priority="13103" operator="between" id="{72B4B7EA-653E-4C15-AB67-A1266260A33F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M218:S218</xm:sqref>
        </x14:conditionalFormatting>
        <x14:conditionalFormatting xmlns:xm="http://schemas.microsoft.com/office/excel/2006/main">
          <x14:cfRule type="cellIs" priority="13082" operator="between" id="{50215D8E-CCD5-4419-BDC0-2A0765383A28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L218</xm:sqref>
        </x14:conditionalFormatting>
        <x14:conditionalFormatting xmlns:xm="http://schemas.microsoft.com/office/excel/2006/main">
          <x14:cfRule type="cellIs" priority="13081" operator="between" id="{7934A184-81EF-40A7-A0E8-8FB0EC7BE13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L219:S219</xm:sqref>
        </x14:conditionalFormatting>
        <x14:conditionalFormatting xmlns:xm="http://schemas.microsoft.com/office/excel/2006/main">
          <x14:cfRule type="cellIs" priority="13060" operator="between" id="{D2882E98-2D33-432D-BF3B-E2C62281430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L220:S220</xm:sqref>
        </x14:conditionalFormatting>
        <x14:conditionalFormatting xmlns:xm="http://schemas.microsoft.com/office/excel/2006/main">
          <x14:cfRule type="cellIs" priority="13039" operator="between" id="{23B12E77-627F-4CC8-B5A0-15021BB98968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L221:S221</xm:sqref>
        </x14:conditionalFormatting>
        <x14:conditionalFormatting xmlns:xm="http://schemas.microsoft.com/office/excel/2006/main">
          <x14:cfRule type="cellIs" priority="13018" operator="between" id="{B9F925B8-1F31-4FD8-B24E-B0DCEDE742E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L222:S222</xm:sqref>
        </x14:conditionalFormatting>
        <x14:conditionalFormatting xmlns:xm="http://schemas.microsoft.com/office/excel/2006/main">
          <x14:cfRule type="cellIs" priority="12997" operator="between" id="{608161E2-598D-447A-BCF7-0ACB34C00B1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L223:S224</xm:sqref>
        </x14:conditionalFormatting>
        <x14:conditionalFormatting xmlns:xm="http://schemas.microsoft.com/office/excel/2006/main">
          <x14:cfRule type="cellIs" priority="12976" operator="between" id="{61CABAAB-2B3F-4E80-A5A0-A909CEEC12B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L225:S225</xm:sqref>
        </x14:conditionalFormatting>
        <x14:conditionalFormatting xmlns:xm="http://schemas.microsoft.com/office/excel/2006/main">
          <x14:cfRule type="cellIs" priority="12955" operator="between" id="{385321E8-F73E-4433-9F95-E2F1AF00B65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L226:S226</xm:sqref>
        </x14:conditionalFormatting>
        <x14:conditionalFormatting xmlns:xm="http://schemas.microsoft.com/office/excel/2006/main">
          <x14:cfRule type="cellIs" priority="12934" operator="between" id="{B55CFD2E-EBE5-46A2-8BC6-47615CA1479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L227:S227</xm:sqref>
        </x14:conditionalFormatting>
        <x14:conditionalFormatting xmlns:xm="http://schemas.microsoft.com/office/excel/2006/main">
          <x14:cfRule type="cellIs" priority="12913" operator="between" id="{820AD6BF-0DD9-4ED7-B27D-41F70432780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L228:S228</xm:sqref>
        </x14:conditionalFormatting>
        <x14:conditionalFormatting xmlns:xm="http://schemas.microsoft.com/office/excel/2006/main">
          <x14:cfRule type="cellIs" priority="12892" operator="between" id="{C8ED25BE-7ECE-439E-B9C2-E9E37715DE60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L229:S229</xm:sqref>
        </x14:conditionalFormatting>
        <x14:conditionalFormatting xmlns:xm="http://schemas.microsoft.com/office/excel/2006/main">
          <x14:cfRule type="cellIs" priority="12871" operator="between" id="{816CC24E-660C-4CAB-9A17-0D7D9966B220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L230:S230</xm:sqref>
        </x14:conditionalFormatting>
        <x14:conditionalFormatting xmlns:xm="http://schemas.microsoft.com/office/excel/2006/main">
          <x14:cfRule type="cellIs" priority="12850" operator="between" id="{C38580C5-C329-4AA3-91E6-0F72F1BB6CC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L231:S231</xm:sqref>
        </x14:conditionalFormatting>
        <x14:conditionalFormatting xmlns:xm="http://schemas.microsoft.com/office/excel/2006/main">
          <x14:cfRule type="cellIs" priority="12829" operator="between" id="{B97F1E60-D467-42A1-B552-8C016CB9E1C5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L232:S232</xm:sqref>
        </x14:conditionalFormatting>
        <x14:conditionalFormatting xmlns:xm="http://schemas.microsoft.com/office/excel/2006/main">
          <x14:cfRule type="cellIs" priority="12808" operator="between" id="{B8FE7D70-1C8D-4D15-8127-0A780592CD8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L233:S233</xm:sqref>
        </x14:conditionalFormatting>
        <x14:conditionalFormatting xmlns:xm="http://schemas.microsoft.com/office/excel/2006/main">
          <x14:cfRule type="cellIs" priority="12787" operator="between" id="{FEC1EB6F-732D-41F5-A387-24E29A8EEEB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L234:S235</xm:sqref>
        </x14:conditionalFormatting>
        <x14:conditionalFormatting xmlns:xm="http://schemas.microsoft.com/office/excel/2006/main">
          <x14:cfRule type="cellIs" priority="12766" operator="between" id="{732C8A56-9F89-4A77-874A-602EC7854A05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L236:S236</xm:sqref>
        </x14:conditionalFormatting>
        <x14:conditionalFormatting xmlns:xm="http://schemas.microsoft.com/office/excel/2006/main">
          <x14:cfRule type="cellIs" priority="12745" operator="between" id="{71639C66-C42E-43D4-B304-BCBC8E39A9B0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L237:S237</xm:sqref>
        </x14:conditionalFormatting>
        <x14:conditionalFormatting xmlns:xm="http://schemas.microsoft.com/office/excel/2006/main">
          <x14:cfRule type="cellIs" priority="12724" operator="between" id="{94B557AB-F39D-4A6F-9C85-50E3A97A3FE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L238:S238</xm:sqref>
        </x14:conditionalFormatting>
        <x14:conditionalFormatting xmlns:xm="http://schemas.microsoft.com/office/excel/2006/main">
          <x14:cfRule type="cellIs" priority="12703" operator="between" id="{0E90A506-E966-4ACC-A003-054A35A30B15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L239:S240</xm:sqref>
        </x14:conditionalFormatting>
        <x14:conditionalFormatting xmlns:xm="http://schemas.microsoft.com/office/excel/2006/main">
          <x14:cfRule type="cellIs" priority="12682" operator="between" id="{927F19D1-2C5F-4532-84A9-1BF5AD64D533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L241:S241</xm:sqref>
        </x14:conditionalFormatting>
        <x14:conditionalFormatting xmlns:xm="http://schemas.microsoft.com/office/excel/2006/main">
          <x14:cfRule type="cellIs" priority="12661" operator="between" id="{3EF25A09-3011-474D-837D-7E7EFC8A8B7F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L242:S242</xm:sqref>
        </x14:conditionalFormatting>
        <x14:conditionalFormatting xmlns:xm="http://schemas.microsoft.com/office/excel/2006/main">
          <x14:cfRule type="cellIs" priority="12640" operator="between" id="{EFD0D3CF-6E5A-4750-88E4-9F34BEA65827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L243:S243</xm:sqref>
        </x14:conditionalFormatting>
        <x14:conditionalFormatting xmlns:xm="http://schemas.microsoft.com/office/excel/2006/main">
          <x14:cfRule type="cellIs" priority="12619" operator="between" id="{68AD0876-5A8B-4D69-B1F2-2CB948DBF9C6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L244:S244</xm:sqref>
        </x14:conditionalFormatting>
        <x14:conditionalFormatting xmlns:xm="http://schemas.microsoft.com/office/excel/2006/main">
          <x14:cfRule type="cellIs" priority="12598" operator="between" id="{83493259-B5C4-4636-81CD-43D949F8AE00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L245:S245</xm:sqref>
        </x14:conditionalFormatting>
        <x14:conditionalFormatting xmlns:xm="http://schemas.microsoft.com/office/excel/2006/main">
          <x14:cfRule type="cellIs" priority="12577" operator="between" id="{F20ECE2D-CFF6-462D-8240-5356920C711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L246:S246</xm:sqref>
        </x14:conditionalFormatting>
        <x14:conditionalFormatting xmlns:xm="http://schemas.microsoft.com/office/excel/2006/main">
          <x14:cfRule type="cellIs" priority="12556" operator="between" id="{1FA6092F-8695-4432-B4B4-F36C00BC60BE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L247:S247</xm:sqref>
        </x14:conditionalFormatting>
        <x14:conditionalFormatting xmlns:xm="http://schemas.microsoft.com/office/excel/2006/main">
          <x14:cfRule type="cellIs" priority="12535" operator="between" id="{42BA41D4-B4FF-4EB9-8DE2-8086D4A162C6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L248:S248</xm:sqref>
        </x14:conditionalFormatting>
        <x14:conditionalFormatting xmlns:xm="http://schemas.microsoft.com/office/excel/2006/main">
          <x14:cfRule type="cellIs" priority="12514" operator="between" id="{88F35CCD-16CF-47C3-A2E7-6683FE136E08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L249:S249</xm:sqref>
        </x14:conditionalFormatting>
        <x14:conditionalFormatting xmlns:xm="http://schemas.microsoft.com/office/excel/2006/main">
          <x14:cfRule type="cellIs" priority="12493" operator="between" id="{8EDBC979-3785-45A5-B9D1-1930D4B0EC4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L250:S250</xm:sqref>
        </x14:conditionalFormatting>
        <x14:conditionalFormatting xmlns:xm="http://schemas.microsoft.com/office/excel/2006/main">
          <x14:cfRule type="cellIs" priority="12472" operator="between" id="{3D48EEE7-D403-495A-BBCF-1130275CE40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L251:S251</xm:sqref>
        </x14:conditionalFormatting>
        <x14:conditionalFormatting xmlns:xm="http://schemas.microsoft.com/office/excel/2006/main">
          <x14:cfRule type="cellIs" priority="12451" operator="between" id="{34470978-B776-40AB-8D52-E6ABCF3A29E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L252:S252</xm:sqref>
        </x14:conditionalFormatting>
        <x14:conditionalFormatting xmlns:xm="http://schemas.microsoft.com/office/excel/2006/main">
          <x14:cfRule type="cellIs" priority="12430" operator="between" id="{2DA869A2-3951-4F36-8426-375AA8037F8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L253:S253</xm:sqref>
        </x14:conditionalFormatting>
        <x14:conditionalFormatting xmlns:xm="http://schemas.microsoft.com/office/excel/2006/main">
          <x14:cfRule type="cellIs" priority="12409" operator="between" id="{8E6E59FC-E3B1-4562-BAD0-9431FAAC8726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L254:S254</xm:sqref>
        </x14:conditionalFormatting>
        <x14:conditionalFormatting xmlns:xm="http://schemas.microsoft.com/office/excel/2006/main">
          <x14:cfRule type="cellIs" priority="12388" operator="between" id="{D24F6ED7-5269-4485-9D1F-AD173BBF85C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L255:S255</xm:sqref>
        </x14:conditionalFormatting>
        <x14:conditionalFormatting xmlns:xm="http://schemas.microsoft.com/office/excel/2006/main">
          <x14:cfRule type="cellIs" priority="12367" operator="between" id="{73720755-8778-483F-B27F-BC9FC5E1302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L256:S256</xm:sqref>
        </x14:conditionalFormatting>
        <x14:conditionalFormatting xmlns:xm="http://schemas.microsoft.com/office/excel/2006/main">
          <x14:cfRule type="cellIs" priority="12346" operator="between" id="{4FDE9943-C783-4D75-B938-34C450AA365A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L257:S257</xm:sqref>
        </x14:conditionalFormatting>
        <x14:conditionalFormatting xmlns:xm="http://schemas.microsoft.com/office/excel/2006/main">
          <x14:cfRule type="cellIs" priority="12325" operator="between" id="{C26C710A-FFE3-4028-BCDC-DDFC5EEAD7A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M258:S258</xm:sqref>
        </x14:conditionalFormatting>
        <x14:conditionalFormatting xmlns:xm="http://schemas.microsoft.com/office/excel/2006/main">
          <x14:cfRule type="cellIs" priority="12304" operator="between" id="{157F349D-2B23-4A93-A7FB-2B4B70E00886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L259:S259</xm:sqref>
        </x14:conditionalFormatting>
        <x14:conditionalFormatting xmlns:xm="http://schemas.microsoft.com/office/excel/2006/main">
          <x14:cfRule type="cellIs" priority="12283" operator="between" id="{1FD370AB-E122-4D08-94B0-1AA0399F331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M260:S260</xm:sqref>
        </x14:conditionalFormatting>
        <x14:conditionalFormatting xmlns:xm="http://schemas.microsoft.com/office/excel/2006/main">
          <x14:cfRule type="cellIs" priority="12262" operator="between" id="{956AD217-848D-4500-9306-CFED8965E707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L261:S261</xm:sqref>
        </x14:conditionalFormatting>
        <x14:conditionalFormatting xmlns:xm="http://schemas.microsoft.com/office/excel/2006/main">
          <x14:cfRule type="cellIs" priority="12241" operator="between" id="{329690C0-A913-466D-B6E2-3418EBC2977F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L262:S262</xm:sqref>
        </x14:conditionalFormatting>
        <x14:conditionalFormatting xmlns:xm="http://schemas.microsoft.com/office/excel/2006/main">
          <x14:cfRule type="cellIs" priority="12220" operator="between" id="{8E9CF785-583E-4A8A-90A7-13453C1237B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M263:S263</xm:sqref>
        </x14:conditionalFormatting>
        <x14:conditionalFormatting xmlns:xm="http://schemas.microsoft.com/office/excel/2006/main">
          <x14:cfRule type="cellIs" priority="12199" operator="between" id="{7057796D-8A68-42FC-9FB3-8D1D36CB7E8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L263</xm:sqref>
        </x14:conditionalFormatting>
        <x14:conditionalFormatting xmlns:xm="http://schemas.microsoft.com/office/excel/2006/main">
          <x14:cfRule type="cellIs" priority="12198" operator="between" id="{7F24D1B0-757E-4090-98F1-56AB407A58D3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M264:S264</xm:sqref>
        </x14:conditionalFormatting>
        <x14:conditionalFormatting xmlns:xm="http://schemas.microsoft.com/office/excel/2006/main">
          <x14:cfRule type="cellIs" priority="12177" operator="between" id="{65ADF18C-80B6-48F2-8212-B732DBEF57C7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L264</xm:sqref>
        </x14:conditionalFormatting>
        <x14:conditionalFormatting xmlns:xm="http://schemas.microsoft.com/office/excel/2006/main">
          <x14:cfRule type="cellIs" priority="12176" operator="between" id="{E229AC36-36A5-4E96-90FE-DF1FD8C419A7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L265:S266</xm:sqref>
        </x14:conditionalFormatting>
        <x14:conditionalFormatting xmlns:xm="http://schemas.microsoft.com/office/excel/2006/main">
          <x14:cfRule type="cellIs" priority="12155" operator="between" id="{817AB12E-2764-42D6-A79D-A9C9BD63433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L267:S267</xm:sqref>
        </x14:conditionalFormatting>
        <x14:conditionalFormatting xmlns:xm="http://schemas.microsoft.com/office/excel/2006/main">
          <x14:cfRule type="cellIs" priority="12134" operator="between" id="{AE65DE5E-DC99-46D1-8CB5-DB040850A08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L268:S268</xm:sqref>
        </x14:conditionalFormatting>
        <x14:conditionalFormatting xmlns:xm="http://schemas.microsoft.com/office/excel/2006/main">
          <x14:cfRule type="cellIs" priority="12113" operator="between" id="{A5861E29-AA50-4361-9505-0A13B286ED0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L258</xm:sqref>
        </x14:conditionalFormatting>
        <x14:conditionalFormatting xmlns:xm="http://schemas.microsoft.com/office/excel/2006/main">
          <x14:cfRule type="cellIs" priority="12112" operator="between" id="{7C350759-9168-4591-95A0-04FE8631350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L260</xm:sqref>
        </x14:conditionalFormatting>
        <x14:conditionalFormatting xmlns:xm="http://schemas.microsoft.com/office/excel/2006/main">
          <x14:cfRule type="cellIs" priority="12111" operator="between" id="{D10D0F43-4AF8-4F77-B258-B187A06B5E60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L269:S269</xm:sqref>
        </x14:conditionalFormatting>
        <x14:conditionalFormatting xmlns:xm="http://schemas.microsoft.com/office/excel/2006/main">
          <x14:cfRule type="cellIs" priority="12090" operator="between" id="{0F11CA35-1279-41A9-905A-DE77EC14820F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L270:S270</xm:sqref>
        </x14:conditionalFormatting>
        <x14:conditionalFormatting xmlns:xm="http://schemas.microsoft.com/office/excel/2006/main">
          <x14:cfRule type="cellIs" priority="12069" operator="between" id="{1CBFDA47-B569-4EF9-B35E-AABA3956196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M271:S271</xm:sqref>
        </x14:conditionalFormatting>
        <x14:conditionalFormatting xmlns:xm="http://schemas.microsoft.com/office/excel/2006/main">
          <x14:cfRule type="cellIs" priority="12048" operator="between" id="{2E903C3C-1AFF-4B9E-8FAD-0F0545007038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L272:S272</xm:sqref>
        </x14:conditionalFormatting>
        <x14:conditionalFormatting xmlns:xm="http://schemas.microsoft.com/office/excel/2006/main">
          <x14:cfRule type="cellIs" priority="12027" operator="between" id="{4B97A483-F29A-42BB-81AF-0D331F15EE3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L273:S273</xm:sqref>
        </x14:conditionalFormatting>
        <x14:conditionalFormatting xmlns:xm="http://schemas.microsoft.com/office/excel/2006/main">
          <x14:cfRule type="cellIs" priority="12006" operator="between" id="{3CD9421C-C8E6-48F3-BB20-BEFA0F4DE4AF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L274:S274</xm:sqref>
        </x14:conditionalFormatting>
        <x14:conditionalFormatting xmlns:xm="http://schemas.microsoft.com/office/excel/2006/main">
          <x14:cfRule type="cellIs" priority="11985" operator="between" id="{613237F6-913D-4041-932C-F7BE4C117ED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L275:S275</xm:sqref>
        </x14:conditionalFormatting>
        <x14:conditionalFormatting xmlns:xm="http://schemas.microsoft.com/office/excel/2006/main">
          <x14:cfRule type="cellIs" priority="11964" operator="between" id="{87209EA2-6ADA-4637-9BFE-9DE5EE29974F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L276:S277</xm:sqref>
        </x14:conditionalFormatting>
        <x14:conditionalFormatting xmlns:xm="http://schemas.microsoft.com/office/excel/2006/main">
          <x14:cfRule type="cellIs" priority="11943" operator="between" id="{D32BE57C-6552-4314-8EC4-96DFAD7E673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L278:S278</xm:sqref>
        </x14:conditionalFormatting>
        <x14:conditionalFormatting xmlns:xm="http://schemas.microsoft.com/office/excel/2006/main">
          <x14:cfRule type="cellIs" priority="11922" operator="between" id="{2D5F9FFD-6371-4D62-B808-4D1311484845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L279:S279</xm:sqref>
        </x14:conditionalFormatting>
        <x14:conditionalFormatting xmlns:xm="http://schemas.microsoft.com/office/excel/2006/main">
          <x14:cfRule type="cellIs" priority="11901" operator="between" id="{7E69F048-F502-4BC2-8BAE-7ADD0240C1F5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L280:Q280 S280</xm:sqref>
        </x14:conditionalFormatting>
        <x14:conditionalFormatting xmlns:xm="http://schemas.microsoft.com/office/excel/2006/main">
          <x14:cfRule type="cellIs" priority="11880" operator="between" id="{29A06530-67DB-460C-8570-98BA83D9AB9F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L281:S282</xm:sqref>
        </x14:conditionalFormatting>
        <x14:conditionalFormatting xmlns:xm="http://schemas.microsoft.com/office/excel/2006/main">
          <x14:cfRule type="cellIs" priority="11859" operator="between" id="{81A9E6F1-83AD-49ED-A92F-FB7D113E5065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L283:S283</xm:sqref>
        </x14:conditionalFormatting>
        <x14:conditionalFormatting xmlns:xm="http://schemas.microsoft.com/office/excel/2006/main">
          <x14:cfRule type="cellIs" priority="11838" operator="between" id="{E9C82E1F-338A-4A1E-8342-3310FCA962F8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L284:S284</xm:sqref>
        </x14:conditionalFormatting>
        <x14:conditionalFormatting xmlns:xm="http://schemas.microsoft.com/office/excel/2006/main">
          <x14:cfRule type="cellIs" priority="11817" operator="between" id="{ABFA3E6F-5705-4815-9DF4-4D0E9EF4F3A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L285:S285</xm:sqref>
        </x14:conditionalFormatting>
        <x14:conditionalFormatting xmlns:xm="http://schemas.microsoft.com/office/excel/2006/main">
          <x14:cfRule type="cellIs" priority="11796" operator="between" id="{07BBE9EA-1CCB-4A02-BC37-4450E30E1A03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M286:S286</xm:sqref>
        </x14:conditionalFormatting>
        <x14:conditionalFormatting xmlns:xm="http://schemas.microsoft.com/office/excel/2006/main">
          <x14:cfRule type="cellIs" priority="11775" operator="between" id="{71E76816-865B-46AB-AE7D-6F5C5C2EA9C8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L287:S287</xm:sqref>
        </x14:conditionalFormatting>
        <x14:conditionalFormatting xmlns:xm="http://schemas.microsoft.com/office/excel/2006/main">
          <x14:cfRule type="cellIs" priority="11754" operator="between" id="{A284A24B-0B5A-4C1D-BF62-1DBD6E305107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L288:S288</xm:sqref>
        </x14:conditionalFormatting>
        <x14:conditionalFormatting xmlns:xm="http://schemas.microsoft.com/office/excel/2006/main">
          <x14:cfRule type="cellIs" priority="11733" operator="between" id="{4028C7D5-C822-497E-9CBE-6C9591D914F8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L286</xm:sqref>
        </x14:conditionalFormatting>
        <x14:conditionalFormatting xmlns:xm="http://schemas.microsoft.com/office/excel/2006/main">
          <x14:cfRule type="cellIs" priority="11732" operator="between" id="{25BCE152-A97D-4017-8298-FD8C2DED461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L289:S289</xm:sqref>
        </x14:conditionalFormatting>
        <x14:conditionalFormatting xmlns:xm="http://schemas.microsoft.com/office/excel/2006/main">
          <x14:cfRule type="cellIs" priority="11711" operator="between" id="{CD2241EB-AB84-4A28-A6F0-53C6D93892C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L290:S290</xm:sqref>
        </x14:conditionalFormatting>
        <x14:conditionalFormatting xmlns:xm="http://schemas.microsoft.com/office/excel/2006/main">
          <x14:cfRule type="cellIs" priority="11690" operator="between" id="{2B95D83A-0638-48C2-BFAA-3E469614BBEE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L291:S291</xm:sqref>
        </x14:conditionalFormatting>
        <x14:conditionalFormatting xmlns:xm="http://schemas.microsoft.com/office/excel/2006/main">
          <x14:cfRule type="cellIs" priority="11669" operator="between" id="{33E4F90F-A451-41D6-95B3-80FBADF6BA3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L292:S292</xm:sqref>
        </x14:conditionalFormatting>
        <x14:conditionalFormatting xmlns:xm="http://schemas.microsoft.com/office/excel/2006/main">
          <x14:cfRule type="cellIs" priority="11648" operator="between" id="{C78F641D-CADD-4136-BAF6-D4FE50703CF3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L293:S293</xm:sqref>
        </x14:conditionalFormatting>
        <x14:conditionalFormatting xmlns:xm="http://schemas.microsoft.com/office/excel/2006/main">
          <x14:cfRule type="cellIs" priority="11627" operator="between" id="{21BBF359-D4D6-4017-B3DC-35ECE65375B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L294:S294</xm:sqref>
        </x14:conditionalFormatting>
        <x14:conditionalFormatting xmlns:xm="http://schemas.microsoft.com/office/excel/2006/main">
          <x14:cfRule type="cellIs" priority="11606" operator="between" id="{0B8F8F86-BF97-4024-87E1-3AE1464A3CA3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L295:S295</xm:sqref>
        </x14:conditionalFormatting>
        <x14:conditionalFormatting xmlns:xm="http://schemas.microsoft.com/office/excel/2006/main">
          <x14:cfRule type="cellIs" priority="11585" operator="between" id="{B2D83C9C-A045-4972-8262-5A312372157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L296:M296 O296:S297 M297</xm:sqref>
        </x14:conditionalFormatting>
        <x14:conditionalFormatting xmlns:xm="http://schemas.microsoft.com/office/excel/2006/main">
          <x14:cfRule type="cellIs" priority="11564" operator="between" id="{B4FF2945-677A-4FC3-B10E-E87D342B6D37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N296:N297</xm:sqref>
        </x14:conditionalFormatting>
        <x14:conditionalFormatting xmlns:xm="http://schemas.microsoft.com/office/excel/2006/main">
          <x14:cfRule type="cellIs" priority="11563" operator="between" id="{0A7C91DC-F1AC-4778-816B-A77ED746A94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L298:S298</xm:sqref>
        </x14:conditionalFormatting>
        <x14:conditionalFormatting xmlns:xm="http://schemas.microsoft.com/office/excel/2006/main">
          <x14:cfRule type="cellIs" priority="11542" operator="between" id="{29E9B30C-226C-4ECA-9111-5CF7B2A9792A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L299:S299</xm:sqref>
        </x14:conditionalFormatting>
        <x14:conditionalFormatting xmlns:xm="http://schemas.microsoft.com/office/excel/2006/main">
          <x14:cfRule type="cellIs" priority="11521" operator="between" id="{79006138-6219-4360-9C22-5A2414BCE45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L300:S301</xm:sqref>
        </x14:conditionalFormatting>
        <x14:conditionalFormatting xmlns:xm="http://schemas.microsoft.com/office/excel/2006/main">
          <x14:cfRule type="cellIs" priority="11500" operator="between" id="{5DC74630-B3B2-462F-AA99-9DED38ED7CD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L302:S302</xm:sqref>
        </x14:conditionalFormatting>
        <x14:conditionalFormatting xmlns:xm="http://schemas.microsoft.com/office/excel/2006/main">
          <x14:cfRule type="cellIs" priority="11479" operator="between" id="{BF073531-4286-4E75-8334-72E5F8AADDE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L303:S303</xm:sqref>
        </x14:conditionalFormatting>
        <x14:conditionalFormatting xmlns:xm="http://schemas.microsoft.com/office/excel/2006/main">
          <x14:cfRule type="cellIs" priority="11458" operator="between" id="{7BC2A5EE-76F9-4DEF-966C-22E575EF556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M304:S304</xm:sqref>
        </x14:conditionalFormatting>
        <x14:conditionalFormatting xmlns:xm="http://schemas.microsoft.com/office/excel/2006/main">
          <x14:cfRule type="cellIs" priority="11437" operator="between" id="{E6EB158F-0B4B-48A0-A868-9787F29C68A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L305:S305</xm:sqref>
        </x14:conditionalFormatting>
        <x14:conditionalFormatting xmlns:xm="http://schemas.microsoft.com/office/excel/2006/main">
          <x14:cfRule type="cellIs" priority="11416" operator="between" id="{8CAF87A6-6121-4241-8C6A-BF5B0A4A87BA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L306:S306</xm:sqref>
        </x14:conditionalFormatting>
        <x14:conditionalFormatting xmlns:xm="http://schemas.microsoft.com/office/excel/2006/main">
          <x14:cfRule type="cellIs" priority="11395" operator="between" id="{966A9B75-01D8-4C67-BBF9-85AE2870DE2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L304</xm:sqref>
        </x14:conditionalFormatting>
        <x14:conditionalFormatting xmlns:xm="http://schemas.microsoft.com/office/excel/2006/main">
          <x14:cfRule type="cellIs" priority="11394" operator="between" id="{8374882C-65A3-4BF9-99C3-AB95BCD4A92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M307:S307</xm:sqref>
        </x14:conditionalFormatting>
        <x14:conditionalFormatting xmlns:xm="http://schemas.microsoft.com/office/excel/2006/main">
          <x14:cfRule type="cellIs" priority="11373" operator="between" id="{219BE746-B8C9-417D-8A0C-23AA084AE928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M308:S308</xm:sqref>
        </x14:conditionalFormatting>
        <x14:conditionalFormatting xmlns:xm="http://schemas.microsoft.com/office/excel/2006/main">
          <x14:cfRule type="cellIs" priority="11352" operator="between" id="{CDC98BF3-33E9-4346-AE82-7A369D72C50E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L308</xm:sqref>
        </x14:conditionalFormatting>
        <x14:conditionalFormatting xmlns:xm="http://schemas.microsoft.com/office/excel/2006/main">
          <x14:cfRule type="cellIs" priority="11351" operator="between" id="{BB1B211D-2E08-4316-85C2-1739DF3A609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L307</xm:sqref>
        </x14:conditionalFormatting>
        <x14:conditionalFormatting xmlns:xm="http://schemas.microsoft.com/office/excel/2006/main">
          <x14:cfRule type="cellIs" priority="11350" operator="between" id="{F6EF8525-877C-4464-B97B-274060A61BCA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M309:S309</xm:sqref>
        </x14:conditionalFormatting>
        <x14:conditionalFormatting xmlns:xm="http://schemas.microsoft.com/office/excel/2006/main">
          <x14:cfRule type="cellIs" priority="11329" operator="between" id="{E69F6D73-A8C0-424D-B40B-0E37F2AEEF85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L309</xm:sqref>
        </x14:conditionalFormatting>
        <x14:conditionalFormatting xmlns:xm="http://schemas.microsoft.com/office/excel/2006/main">
          <x14:cfRule type="cellIs" priority="11328" operator="between" id="{55431B70-61B9-4376-B508-1F98FD17774F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L310:S310</xm:sqref>
        </x14:conditionalFormatting>
        <x14:conditionalFormatting xmlns:xm="http://schemas.microsoft.com/office/excel/2006/main">
          <x14:cfRule type="cellIs" priority="11307" operator="between" id="{51FA6C2A-5BA3-4655-B6E5-88B359ECFF7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M311:S311</xm:sqref>
        </x14:conditionalFormatting>
        <x14:conditionalFormatting xmlns:xm="http://schemas.microsoft.com/office/excel/2006/main">
          <x14:cfRule type="cellIs" priority="11286" operator="between" id="{2486C6E4-643C-43CF-91FF-3111C85A6D20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M312:S312</xm:sqref>
        </x14:conditionalFormatting>
        <x14:conditionalFormatting xmlns:xm="http://schemas.microsoft.com/office/excel/2006/main">
          <x14:cfRule type="cellIs" priority="11265" operator="between" id="{99F9E297-0EEC-4EDA-B26B-6A55AB3CDB0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L312</xm:sqref>
        </x14:conditionalFormatting>
        <x14:conditionalFormatting xmlns:xm="http://schemas.microsoft.com/office/excel/2006/main">
          <x14:cfRule type="cellIs" priority="11264" operator="between" id="{EB183ADB-3FD0-4E3D-BFC5-BD90372D6DF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L313:S313</xm:sqref>
        </x14:conditionalFormatting>
        <x14:conditionalFormatting xmlns:xm="http://schemas.microsoft.com/office/excel/2006/main">
          <x14:cfRule type="cellIs" priority="11243" operator="between" id="{2E27C12C-95EF-4A84-B13F-E078BC253FB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L314:S314</xm:sqref>
        </x14:conditionalFormatting>
        <x14:conditionalFormatting xmlns:xm="http://schemas.microsoft.com/office/excel/2006/main">
          <x14:cfRule type="cellIs" priority="11222" operator="between" id="{077597B0-2C41-42D9-84C2-643118D65018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M315:S315</xm:sqref>
        </x14:conditionalFormatting>
        <x14:conditionalFormatting xmlns:xm="http://schemas.microsoft.com/office/excel/2006/main">
          <x14:cfRule type="cellIs" priority="11201" operator="between" id="{AE59660F-33C8-4D4B-B98F-38C01C2CCE8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L315</xm:sqref>
        </x14:conditionalFormatting>
        <x14:conditionalFormatting xmlns:xm="http://schemas.microsoft.com/office/excel/2006/main">
          <x14:cfRule type="cellIs" priority="11200" operator="between" id="{F047AD03-12AD-475B-BEA6-5EA6A099A3CA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L316:S316</xm:sqref>
        </x14:conditionalFormatting>
        <x14:conditionalFormatting xmlns:xm="http://schemas.microsoft.com/office/excel/2006/main">
          <x14:cfRule type="cellIs" priority="11179" operator="between" id="{FF3C0C6B-7D5A-4E77-A451-B339D39659A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L317:S317</xm:sqref>
        </x14:conditionalFormatting>
        <x14:conditionalFormatting xmlns:xm="http://schemas.microsoft.com/office/excel/2006/main">
          <x14:cfRule type="cellIs" priority="11158" operator="between" id="{1EAF9BDC-F88C-4A23-883D-6781DFBF90F6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L318:S318</xm:sqref>
        </x14:conditionalFormatting>
        <x14:conditionalFormatting xmlns:xm="http://schemas.microsoft.com/office/excel/2006/main">
          <x14:cfRule type="cellIs" priority="11137" operator="between" id="{7AABA392-6EF0-4394-B84E-A6739BADD65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L319:S319</xm:sqref>
        </x14:conditionalFormatting>
        <x14:conditionalFormatting xmlns:xm="http://schemas.microsoft.com/office/excel/2006/main">
          <x14:cfRule type="cellIs" priority="11116" operator="between" id="{D55A9B5E-688C-40DF-9E64-8F4980EE18D8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L320:S320</xm:sqref>
        </x14:conditionalFormatting>
        <x14:conditionalFormatting xmlns:xm="http://schemas.microsoft.com/office/excel/2006/main">
          <x14:cfRule type="cellIs" priority="11095" operator="between" id="{347C64EF-DB22-4DDC-B006-DFDF85E3832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L321:S321</xm:sqref>
        </x14:conditionalFormatting>
        <x14:conditionalFormatting xmlns:xm="http://schemas.microsoft.com/office/excel/2006/main">
          <x14:cfRule type="cellIs" priority="11074" operator="between" id="{0D9B6824-DC1D-43D4-B0DB-BA783326F15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L322:S322</xm:sqref>
        </x14:conditionalFormatting>
        <x14:conditionalFormatting xmlns:xm="http://schemas.microsoft.com/office/excel/2006/main">
          <x14:cfRule type="cellIs" priority="11053" operator="between" id="{F00A9945-F516-4418-917D-9764469114EA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L323:S323</xm:sqref>
        </x14:conditionalFormatting>
        <x14:conditionalFormatting xmlns:xm="http://schemas.microsoft.com/office/excel/2006/main">
          <x14:cfRule type="cellIs" priority="11032" operator="between" id="{E01FE30D-C641-4F88-A171-5DF7E6174717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L324:S324</xm:sqref>
        </x14:conditionalFormatting>
        <x14:conditionalFormatting xmlns:xm="http://schemas.microsoft.com/office/excel/2006/main">
          <x14:cfRule type="cellIs" priority="11011" operator="between" id="{3D7684B3-A229-4F37-A0A9-C33E96D15656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L325:S325</xm:sqref>
        </x14:conditionalFormatting>
        <x14:conditionalFormatting xmlns:xm="http://schemas.microsoft.com/office/excel/2006/main">
          <x14:cfRule type="cellIs" priority="10990" operator="between" id="{BC8FAEDB-3F07-4D5B-8F23-1731AF64A5CA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M326:S326</xm:sqref>
        </x14:conditionalFormatting>
        <x14:conditionalFormatting xmlns:xm="http://schemas.microsoft.com/office/excel/2006/main">
          <x14:cfRule type="cellIs" priority="10969" operator="between" id="{90F41590-0049-428C-994A-877702E9F3A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L327:S334</xm:sqref>
        </x14:conditionalFormatting>
        <x14:conditionalFormatting xmlns:xm="http://schemas.microsoft.com/office/excel/2006/main">
          <x14:cfRule type="cellIs" priority="10948" operator="between" id="{D0E2F2E3-CC96-4603-AEFE-584C5AA9DDE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L326</xm:sqref>
        </x14:conditionalFormatting>
        <x14:conditionalFormatting xmlns:xm="http://schemas.microsoft.com/office/excel/2006/main">
          <x14:cfRule type="cellIs" priority="10943" operator="between" id="{470BD630-F809-4566-9069-693F3B15774E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L335:S336</xm:sqref>
        </x14:conditionalFormatting>
        <x14:conditionalFormatting xmlns:xm="http://schemas.microsoft.com/office/excel/2006/main">
          <x14:cfRule type="cellIs" priority="10922" operator="between" id="{4F02656D-4E76-4116-9597-B0514F8CEC73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L337:S337</xm:sqref>
        </x14:conditionalFormatting>
        <x14:conditionalFormatting xmlns:xm="http://schemas.microsoft.com/office/excel/2006/main">
          <x14:cfRule type="cellIs" priority="10901" operator="between" id="{22CC9EBC-FAE8-4BCD-850B-4D7EB7341C18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L338:S338</xm:sqref>
        </x14:conditionalFormatting>
        <x14:conditionalFormatting xmlns:xm="http://schemas.microsoft.com/office/excel/2006/main">
          <x14:cfRule type="cellIs" priority="10880" operator="between" id="{301C22E7-D3AB-47BF-A62B-817951EB174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L339:S339</xm:sqref>
        </x14:conditionalFormatting>
        <x14:conditionalFormatting xmlns:xm="http://schemas.microsoft.com/office/excel/2006/main">
          <x14:cfRule type="cellIs" priority="10859" operator="between" id="{54B8E8ED-2E01-447C-B6B7-EE2D3604A22E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L340:S340 M341:S341</xm:sqref>
        </x14:conditionalFormatting>
        <x14:conditionalFormatting xmlns:xm="http://schemas.microsoft.com/office/excel/2006/main">
          <x14:cfRule type="cellIs" priority="10838" operator="between" id="{09D0639C-5F10-4E23-B0D6-15C281D2A0D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L342:S342</xm:sqref>
        </x14:conditionalFormatting>
        <x14:conditionalFormatting xmlns:xm="http://schemas.microsoft.com/office/excel/2006/main">
          <x14:cfRule type="cellIs" priority="10817" operator="between" id="{4E83A812-D64B-4E55-855D-85A65F649606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L343:S343</xm:sqref>
        </x14:conditionalFormatting>
        <x14:conditionalFormatting xmlns:xm="http://schemas.microsoft.com/office/excel/2006/main">
          <x14:cfRule type="cellIs" priority="10796" operator="between" id="{4E319CB6-913D-4BAE-9D81-7FD4D497DE10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M344:S344</xm:sqref>
        </x14:conditionalFormatting>
        <x14:conditionalFormatting xmlns:xm="http://schemas.microsoft.com/office/excel/2006/main">
          <x14:cfRule type="cellIs" priority="10775" operator="between" id="{C144252C-9EA4-43BA-AB9D-B02433867AA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L344</xm:sqref>
        </x14:conditionalFormatting>
        <x14:conditionalFormatting xmlns:xm="http://schemas.microsoft.com/office/excel/2006/main">
          <x14:cfRule type="cellIs" priority="10774" operator="between" id="{0FBDE919-3AA9-460C-8599-C072CEB637B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L345:S345</xm:sqref>
        </x14:conditionalFormatting>
        <x14:conditionalFormatting xmlns:xm="http://schemas.microsoft.com/office/excel/2006/main">
          <x14:cfRule type="cellIs" priority="10753" operator="between" id="{C8EBAFA1-03F9-4480-B08F-446E38E2399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L346:S346</xm:sqref>
        </x14:conditionalFormatting>
        <x14:conditionalFormatting xmlns:xm="http://schemas.microsoft.com/office/excel/2006/main">
          <x14:cfRule type="cellIs" priority="10724" operator="between" id="{9BC2B0F4-145F-4D10-ACEF-EF4E42EF9B7A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L347:S348</xm:sqref>
        </x14:conditionalFormatting>
        <x14:conditionalFormatting xmlns:xm="http://schemas.microsoft.com/office/excel/2006/main">
          <x14:cfRule type="cellIs" priority="10703" operator="between" id="{CF5B63E3-960F-41A7-80D2-7F4EF89EF1D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M349:S349</xm:sqref>
        </x14:conditionalFormatting>
        <x14:conditionalFormatting xmlns:xm="http://schemas.microsoft.com/office/excel/2006/main">
          <x14:cfRule type="cellIs" priority="10682" operator="between" id="{BFE01286-79C9-4908-B9C3-BC0E931B15E7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L350:S350</xm:sqref>
        </x14:conditionalFormatting>
        <x14:conditionalFormatting xmlns:xm="http://schemas.microsoft.com/office/excel/2006/main">
          <x14:cfRule type="cellIs" priority="10661" operator="between" id="{7A20BD01-CE28-45D7-BD1D-4CA8BFB1F49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L349</xm:sqref>
        </x14:conditionalFormatting>
        <x14:conditionalFormatting xmlns:xm="http://schemas.microsoft.com/office/excel/2006/main">
          <x14:cfRule type="cellIs" priority="10660" operator="between" id="{7074B953-F922-4458-BDC5-40512B10F3FF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L351:S351</xm:sqref>
        </x14:conditionalFormatting>
        <x14:conditionalFormatting xmlns:xm="http://schemas.microsoft.com/office/excel/2006/main">
          <x14:cfRule type="cellIs" priority="10639" operator="between" id="{A3EA3A3D-9B57-4124-9E29-60672DFADDC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L352:S353</xm:sqref>
        </x14:conditionalFormatting>
        <x14:conditionalFormatting xmlns:xm="http://schemas.microsoft.com/office/excel/2006/main">
          <x14:cfRule type="cellIs" priority="10618" operator="between" id="{696B454F-01EE-44E8-B04E-ED589C6BFD43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L354:S355</xm:sqref>
        </x14:conditionalFormatting>
        <x14:conditionalFormatting xmlns:xm="http://schemas.microsoft.com/office/excel/2006/main">
          <x14:cfRule type="cellIs" priority="10597" operator="between" id="{E534B695-4080-45A5-85AD-24B5FB0859E7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L356:S357</xm:sqref>
        </x14:conditionalFormatting>
        <x14:conditionalFormatting xmlns:xm="http://schemas.microsoft.com/office/excel/2006/main">
          <x14:cfRule type="cellIs" priority="10576" operator="between" id="{878F2A8C-096E-4F4B-95C1-B10DC1442967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L358:S358</xm:sqref>
        </x14:conditionalFormatting>
        <x14:conditionalFormatting xmlns:xm="http://schemas.microsoft.com/office/excel/2006/main">
          <x14:cfRule type="cellIs" priority="10555" operator="between" id="{B8D3E5BD-0AE2-4735-906F-9BAF5EA1F9C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L359:S359</xm:sqref>
        </x14:conditionalFormatting>
        <x14:conditionalFormatting xmlns:xm="http://schemas.microsoft.com/office/excel/2006/main">
          <x14:cfRule type="cellIs" priority="10534" operator="between" id="{AF59913A-FD59-42F2-9928-480099AA587E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L360:S360</xm:sqref>
        </x14:conditionalFormatting>
        <x14:conditionalFormatting xmlns:xm="http://schemas.microsoft.com/office/excel/2006/main">
          <x14:cfRule type="cellIs" priority="10513" operator="between" id="{40A610C8-9821-486E-84F3-242E31BF5B8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M361:S361</xm:sqref>
        </x14:conditionalFormatting>
        <x14:conditionalFormatting xmlns:xm="http://schemas.microsoft.com/office/excel/2006/main">
          <x14:cfRule type="cellIs" priority="10492" operator="between" id="{1F6D8728-5BFA-49AA-B78C-BB15516C5A5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L362:S362</xm:sqref>
        </x14:conditionalFormatting>
        <x14:conditionalFormatting xmlns:xm="http://schemas.microsoft.com/office/excel/2006/main">
          <x14:cfRule type="cellIs" priority="10471" operator="between" id="{A436C207-CD95-4BE1-AD25-F0195EFA5A00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M363:S363</xm:sqref>
        </x14:conditionalFormatting>
        <x14:conditionalFormatting xmlns:xm="http://schemas.microsoft.com/office/excel/2006/main">
          <x14:cfRule type="cellIs" priority="10450" operator="between" id="{3864CC1E-A648-4017-ABFA-EA386B358EA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L364:S364 M365:S365</xm:sqref>
        </x14:conditionalFormatting>
        <x14:conditionalFormatting xmlns:xm="http://schemas.microsoft.com/office/excel/2006/main">
          <x14:cfRule type="cellIs" priority="10429" operator="between" id="{DE4D5E56-ACFB-4AD7-BBC3-7BF4BDD3E13F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L363</xm:sqref>
        </x14:conditionalFormatting>
        <x14:conditionalFormatting xmlns:xm="http://schemas.microsoft.com/office/excel/2006/main">
          <x14:cfRule type="cellIs" priority="10428" operator="between" id="{6343A3AE-CA4C-4B72-87DF-E1F8954778A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L366:S366</xm:sqref>
        </x14:conditionalFormatting>
        <x14:conditionalFormatting xmlns:xm="http://schemas.microsoft.com/office/excel/2006/main">
          <x14:cfRule type="cellIs" priority="10407" operator="between" id="{D7FE240A-3C7C-4006-BC40-F2127B35FFB6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M367:S367</xm:sqref>
        </x14:conditionalFormatting>
        <x14:conditionalFormatting xmlns:xm="http://schemas.microsoft.com/office/excel/2006/main">
          <x14:cfRule type="cellIs" priority="10386" operator="between" id="{D5C54F5C-515A-4B3D-9701-C7531B5F4A3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M368:S368</xm:sqref>
        </x14:conditionalFormatting>
        <x14:conditionalFormatting xmlns:xm="http://schemas.microsoft.com/office/excel/2006/main">
          <x14:cfRule type="cellIs" priority="10365" operator="between" id="{B992CA4C-A79F-4B55-A161-360F9134691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M369:S369</xm:sqref>
        </x14:conditionalFormatting>
        <x14:conditionalFormatting xmlns:xm="http://schemas.microsoft.com/office/excel/2006/main">
          <x14:cfRule type="cellIs" priority="10344" operator="between" id="{169EF898-0B56-47A9-A421-A8CF0CB32BE5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L370:S371</xm:sqref>
        </x14:conditionalFormatting>
        <x14:conditionalFormatting xmlns:xm="http://schemas.microsoft.com/office/excel/2006/main">
          <x14:cfRule type="cellIs" priority="10323" operator="between" id="{F1CA9BA1-9B03-4CE2-A2FC-04626F34A89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L369</xm:sqref>
        </x14:conditionalFormatting>
        <x14:conditionalFormatting xmlns:xm="http://schemas.microsoft.com/office/excel/2006/main">
          <x14:cfRule type="cellIs" priority="10322" operator="between" id="{10577A88-3F1A-40DF-AEF2-E337BC1686DF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L368</xm:sqref>
        </x14:conditionalFormatting>
        <x14:conditionalFormatting xmlns:xm="http://schemas.microsoft.com/office/excel/2006/main">
          <x14:cfRule type="cellIs" priority="10321" operator="between" id="{C3A38FFF-BEC0-4717-9A87-F0EA31BB3D4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L367</xm:sqref>
        </x14:conditionalFormatting>
        <x14:conditionalFormatting xmlns:xm="http://schemas.microsoft.com/office/excel/2006/main">
          <x14:cfRule type="cellIs" priority="10320" operator="between" id="{9231CEB4-77A0-4D0D-A848-53C889BD7DE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M372:S373</xm:sqref>
        </x14:conditionalFormatting>
        <x14:conditionalFormatting xmlns:xm="http://schemas.microsoft.com/office/excel/2006/main">
          <x14:cfRule type="cellIs" priority="10299" operator="between" id="{2FC7001F-BE0B-424C-8B95-9F42BD9C3BC7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L374:S374</xm:sqref>
        </x14:conditionalFormatting>
        <x14:conditionalFormatting xmlns:xm="http://schemas.microsoft.com/office/excel/2006/main">
          <x14:cfRule type="cellIs" priority="10278" operator="between" id="{A21BD89F-7D5C-43FC-AC31-AE96831F1D75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L372:L373</xm:sqref>
        </x14:conditionalFormatting>
        <x14:conditionalFormatting xmlns:xm="http://schemas.microsoft.com/office/excel/2006/main">
          <x14:cfRule type="cellIs" priority="10277" operator="between" id="{F30F28C2-533C-4D32-880D-7F569CCD093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L375:S375</xm:sqref>
        </x14:conditionalFormatting>
        <x14:conditionalFormatting xmlns:xm="http://schemas.microsoft.com/office/excel/2006/main">
          <x14:cfRule type="cellIs" priority="10256" operator="between" id="{F3066799-E279-4D58-BF69-5B0C7C1639E0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M376:S376</xm:sqref>
        </x14:conditionalFormatting>
        <x14:conditionalFormatting xmlns:xm="http://schemas.microsoft.com/office/excel/2006/main">
          <x14:cfRule type="cellIs" priority="10235" operator="between" id="{B7780612-5022-4B42-9666-2D2B5CB6D2E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L377:S377</xm:sqref>
        </x14:conditionalFormatting>
        <x14:conditionalFormatting xmlns:xm="http://schemas.microsoft.com/office/excel/2006/main">
          <x14:cfRule type="cellIs" priority="10214" operator="between" id="{4A4C0D99-6723-4FC8-84EB-41F56F756026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L378:S378</xm:sqref>
        </x14:conditionalFormatting>
        <x14:conditionalFormatting xmlns:xm="http://schemas.microsoft.com/office/excel/2006/main">
          <x14:cfRule type="cellIs" priority="10193" operator="between" id="{DC2B5811-96C2-4428-867C-2E7EA79DD96A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L379:S379</xm:sqref>
        </x14:conditionalFormatting>
        <x14:conditionalFormatting xmlns:xm="http://schemas.microsoft.com/office/excel/2006/main">
          <x14:cfRule type="cellIs" priority="10172" operator="between" id="{98D35A73-2151-438D-B6DD-42ECA145EF6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L380:S380</xm:sqref>
        </x14:conditionalFormatting>
        <x14:conditionalFormatting xmlns:xm="http://schemas.microsoft.com/office/excel/2006/main">
          <x14:cfRule type="cellIs" priority="10151" operator="between" id="{5A599D2A-F12A-4899-B67B-5C8D378470FA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L365</xm:sqref>
        </x14:conditionalFormatting>
        <x14:conditionalFormatting xmlns:xm="http://schemas.microsoft.com/office/excel/2006/main">
          <x14:cfRule type="cellIs" priority="10150" operator="between" id="{9AE51991-7B97-4546-A364-F0A3C4DAF07A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L376</xm:sqref>
        </x14:conditionalFormatting>
        <x14:conditionalFormatting xmlns:xm="http://schemas.microsoft.com/office/excel/2006/main">
          <x14:cfRule type="cellIs" priority="10149" operator="between" id="{D20DF1A4-5C3B-40E6-8F4B-7878C070AB63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L381:S381</xm:sqref>
        </x14:conditionalFormatting>
        <x14:conditionalFormatting xmlns:xm="http://schemas.microsoft.com/office/excel/2006/main">
          <x14:cfRule type="cellIs" priority="10128" operator="between" id="{40905F5B-8389-449E-BA2D-19C777EB065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L382:S382</xm:sqref>
        </x14:conditionalFormatting>
        <x14:conditionalFormatting xmlns:xm="http://schemas.microsoft.com/office/excel/2006/main">
          <x14:cfRule type="cellIs" priority="10107" operator="between" id="{070D26C6-F98B-43CF-AB60-F09ACE6F825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L383:S383</xm:sqref>
        </x14:conditionalFormatting>
        <x14:conditionalFormatting xmlns:xm="http://schemas.microsoft.com/office/excel/2006/main">
          <x14:cfRule type="cellIs" priority="10086" operator="between" id="{CF44CE4E-671C-41C4-BF2C-244951A936F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L384:S384</xm:sqref>
        </x14:conditionalFormatting>
        <x14:conditionalFormatting xmlns:xm="http://schemas.microsoft.com/office/excel/2006/main">
          <x14:cfRule type="cellIs" priority="10065" operator="between" id="{E3452BE4-1E24-4A44-8D35-625A2D3E8617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L385:S385</xm:sqref>
        </x14:conditionalFormatting>
        <x14:conditionalFormatting xmlns:xm="http://schemas.microsoft.com/office/excel/2006/main">
          <x14:cfRule type="cellIs" priority="10044" operator="between" id="{52D581EB-FD95-4D94-9865-154D41AEBE13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L386:S386</xm:sqref>
        </x14:conditionalFormatting>
        <x14:conditionalFormatting xmlns:xm="http://schemas.microsoft.com/office/excel/2006/main">
          <x14:cfRule type="cellIs" priority="10023" operator="between" id="{BE207C74-A779-4F2C-BA9D-F78A39E476A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L387:S387</xm:sqref>
        </x14:conditionalFormatting>
        <x14:conditionalFormatting xmlns:xm="http://schemas.microsoft.com/office/excel/2006/main">
          <x14:cfRule type="cellIs" priority="10002" operator="between" id="{3804CAD1-368F-4907-9E13-B545539BDC1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L388:S388</xm:sqref>
        </x14:conditionalFormatting>
        <x14:conditionalFormatting xmlns:xm="http://schemas.microsoft.com/office/excel/2006/main">
          <x14:cfRule type="cellIs" priority="9981" operator="between" id="{B316EEFD-F9E3-43DB-86B4-A3B89203FF95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L389:S389</xm:sqref>
        </x14:conditionalFormatting>
        <x14:conditionalFormatting xmlns:xm="http://schemas.microsoft.com/office/excel/2006/main">
          <x14:cfRule type="cellIs" priority="9960" operator="between" id="{CF147770-E5BA-4652-A14B-EAEC0C47E7B7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L390:S391</xm:sqref>
        </x14:conditionalFormatting>
        <x14:conditionalFormatting xmlns:xm="http://schemas.microsoft.com/office/excel/2006/main">
          <x14:cfRule type="cellIs" priority="9939" operator="between" id="{5037090D-7959-47C9-874E-AF57E46F9EDE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L392:S392</xm:sqref>
        </x14:conditionalFormatting>
        <x14:conditionalFormatting xmlns:xm="http://schemas.microsoft.com/office/excel/2006/main">
          <x14:cfRule type="cellIs" priority="9918" operator="between" id="{F77652FB-7CAE-4CA6-8B8E-035864DE23FE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L393:S393</xm:sqref>
        </x14:conditionalFormatting>
        <x14:conditionalFormatting xmlns:xm="http://schemas.microsoft.com/office/excel/2006/main">
          <x14:cfRule type="cellIs" priority="9897" operator="between" id="{0A2B2F0D-E35E-4104-954A-6843B48B487A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M394:S394</xm:sqref>
        </x14:conditionalFormatting>
        <x14:conditionalFormatting xmlns:xm="http://schemas.microsoft.com/office/excel/2006/main">
          <x14:cfRule type="cellIs" priority="9876" operator="between" id="{DC979B6F-1DB7-40CC-A201-CE57117EA277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L395:S395</xm:sqref>
        </x14:conditionalFormatting>
        <x14:conditionalFormatting xmlns:xm="http://schemas.microsoft.com/office/excel/2006/main">
          <x14:cfRule type="cellIs" priority="9855" operator="between" id="{4313D4A1-DA29-48CF-B09E-78060997122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L396:S396</xm:sqref>
        </x14:conditionalFormatting>
        <x14:conditionalFormatting xmlns:xm="http://schemas.microsoft.com/office/excel/2006/main">
          <x14:cfRule type="cellIs" priority="9834" operator="between" id="{758122B8-E9A2-431F-8DC6-4F0FE4B50D8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L397:S397</xm:sqref>
        </x14:conditionalFormatting>
        <x14:conditionalFormatting xmlns:xm="http://schemas.microsoft.com/office/excel/2006/main">
          <x14:cfRule type="cellIs" priority="9813" operator="between" id="{A57BF41D-D8C1-4593-BB37-DD3076F92B6A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L398:S398</xm:sqref>
        </x14:conditionalFormatting>
        <x14:conditionalFormatting xmlns:xm="http://schemas.microsoft.com/office/excel/2006/main">
          <x14:cfRule type="cellIs" priority="9792" operator="between" id="{A781CD5D-3CCE-4CE6-97E8-51805F78FD1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L399:S399</xm:sqref>
        </x14:conditionalFormatting>
        <x14:conditionalFormatting xmlns:xm="http://schemas.microsoft.com/office/excel/2006/main">
          <x14:cfRule type="cellIs" priority="9771" operator="between" id="{357ADAB5-BF42-497E-A6EF-8654A84B2723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L400:S400</xm:sqref>
        </x14:conditionalFormatting>
        <x14:conditionalFormatting xmlns:xm="http://schemas.microsoft.com/office/excel/2006/main">
          <x14:cfRule type="cellIs" priority="9750" operator="between" id="{26C30398-12FB-43E4-8B1B-0BAC9E47654E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M401:S401</xm:sqref>
        </x14:conditionalFormatting>
        <x14:conditionalFormatting xmlns:xm="http://schemas.microsoft.com/office/excel/2006/main">
          <x14:cfRule type="cellIs" priority="9729" operator="between" id="{590F64C6-4B0B-48AB-8C23-95E8211131A3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L402:S402</xm:sqref>
        </x14:conditionalFormatting>
        <x14:conditionalFormatting xmlns:xm="http://schemas.microsoft.com/office/excel/2006/main">
          <x14:cfRule type="cellIs" priority="9708" operator="between" id="{E04DF527-57E9-4118-9FA6-206F72D2E7D6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L403:S404</xm:sqref>
        </x14:conditionalFormatting>
        <x14:conditionalFormatting xmlns:xm="http://schemas.microsoft.com/office/excel/2006/main">
          <x14:cfRule type="cellIs" priority="9687" operator="between" id="{E3CE724C-C3FC-4BB4-9303-5E39ABF4C24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M405:S405</xm:sqref>
        </x14:conditionalFormatting>
        <x14:conditionalFormatting xmlns:xm="http://schemas.microsoft.com/office/excel/2006/main">
          <x14:cfRule type="cellIs" priority="9666" operator="between" id="{B598CC6E-A35D-45BB-9266-0430DA80D1EF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L406:S406</xm:sqref>
        </x14:conditionalFormatting>
        <x14:conditionalFormatting xmlns:xm="http://schemas.microsoft.com/office/excel/2006/main">
          <x14:cfRule type="cellIs" priority="9645" operator="between" id="{79E36E19-5C33-447B-82DE-CE7F3CC99688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M407:S407</xm:sqref>
        </x14:conditionalFormatting>
        <x14:conditionalFormatting xmlns:xm="http://schemas.microsoft.com/office/excel/2006/main">
          <x14:cfRule type="cellIs" priority="9624" operator="between" id="{A7188CD0-24E8-4D43-94B4-1B70D96C3707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L408:S408</xm:sqref>
        </x14:conditionalFormatting>
        <x14:conditionalFormatting xmlns:xm="http://schemas.microsoft.com/office/excel/2006/main">
          <x14:cfRule type="cellIs" priority="9603" operator="between" id="{9B07DECC-5247-480E-BAF3-CC2083F202B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L407</xm:sqref>
        </x14:conditionalFormatting>
        <x14:conditionalFormatting xmlns:xm="http://schemas.microsoft.com/office/excel/2006/main">
          <x14:cfRule type="cellIs" priority="9602" operator="between" id="{A61F9587-9E79-407F-9174-AD364B37E0F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L394</xm:sqref>
        </x14:conditionalFormatting>
        <x14:conditionalFormatting xmlns:xm="http://schemas.microsoft.com/office/excel/2006/main">
          <x14:cfRule type="cellIs" priority="9601" operator="between" id="{9CAE7847-265F-435B-ABF8-97FE066F17F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L401</xm:sqref>
        </x14:conditionalFormatting>
        <x14:conditionalFormatting xmlns:xm="http://schemas.microsoft.com/office/excel/2006/main">
          <x14:cfRule type="cellIs" priority="9600" operator="between" id="{E4E501FE-BAA9-420D-8EC2-F5984FCF23C8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L405</xm:sqref>
        </x14:conditionalFormatting>
        <x14:conditionalFormatting xmlns:xm="http://schemas.microsoft.com/office/excel/2006/main">
          <x14:cfRule type="cellIs" priority="9599" operator="between" id="{28AA8D8B-02F2-4110-B3C2-F9D9CFF56405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M409:S409</xm:sqref>
        </x14:conditionalFormatting>
        <x14:conditionalFormatting xmlns:xm="http://schemas.microsoft.com/office/excel/2006/main">
          <x14:cfRule type="cellIs" priority="9578" operator="between" id="{C53C90CC-0F97-49D7-A889-ADCC39D9B84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L409</xm:sqref>
        </x14:conditionalFormatting>
        <x14:conditionalFormatting xmlns:xm="http://schemas.microsoft.com/office/excel/2006/main">
          <x14:cfRule type="cellIs" priority="9577" operator="between" id="{BC772B45-BE4F-4C04-8DA2-045C7BF4AA1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M410:S410</xm:sqref>
        </x14:conditionalFormatting>
        <x14:conditionalFormatting xmlns:xm="http://schemas.microsoft.com/office/excel/2006/main">
          <x14:cfRule type="cellIs" priority="9556" operator="between" id="{24B857BB-63F6-43D9-8E95-EA474A3313E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L410</xm:sqref>
        </x14:conditionalFormatting>
        <x14:conditionalFormatting xmlns:xm="http://schemas.microsoft.com/office/excel/2006/main">
          <x14:cfRule type="cellIs" priority="9555" operator="between" id="{54771492-118D-4EF0-BDAC-DABE8AD96396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L411:S412</xm:sqref>
        </x14:conditionalFormatting>
        <x14:conditionalFormatting xmlns:xm="http://schemas.microsoft.com/office/excel/2006/main">
          <x14:cfRule type="cellIs" priority="9534" operator="between" id="{5AD8F6AC-8C11-4F2D-8530-B434DF9531DF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L413:S413</xm:sqref>
        </x14:conditionalFormatting>
        <x14:conditionalFormatting xmlns:xm="http://schemas.microsoft.com/office/excel/2006/main">
          <x14:cfRule type="cellIs" priority="9513" operator="between" id="{B800E477-AFFD-4E61-B0FD-D1406C55DC7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L414:S414</xm:sqref>
        </x14:conditionalFormatting>
        <x14:conditionalFormatting xmlns:xm="http://schemas.microsoft.com/office/excel/2006/main">
          <x14:cfRule type="cellIs" priority="9492" operator="between" id="{3225BF9A-02FA-4A52-92A2-9537E684EF7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L415:S415</xm:sqref>
        </x14:conditionalFormatting>
        <x14:conditionalFormatting xmlns:xm="http://schemas.microsoft.com/office/excel/2006/main">
          <x14:cfRule type="cellIs" priority="9471" operator="between" id="{5FDBB78D-6780-43DF-A407-6D69556B411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L416:S416</xm:sqref>
        </x14:conditionalFormatting>
        <x14:conditionalFormatting xmlns:xm="http://schemas.microsoft.com/office/excel/2006/main">
          <x14:cfRule type="cellIs" priority="9450" operator="between" id="{7374B2C7-6ABC-4348-883F-31045B2F22B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L417:S417</xm:sqref>
        </x14:conditionalFormatting>
        <x14:conditionalFormatting xmlns:xm="http://schemas.microsoft.com/office/excel/2006/main">
          <x14:cfRule type="cellIs" priority="9429" operator="between" id="{247EB60C-827F-4390-A0DD-C4D07F4AD217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L418:S418</xm:sqref>
        </x14:conditionalFormatting>
        <x14:conditionalFormatting xmlns:xm="http://schemas.microsoft.com/office/excel/2006/main">
          <x14:cfRule type="cellIs" priority="9408" operator="between" id="{D4322A72-85EC-45A2-B0F0-EA94B236CA2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M419:S419</xm:sqref>
        </x14:conditionalFormatting>
        <x14:conditionalFormatting xmlns:xm="http://schemas.microsoft.com/office/excel/2006/main">
          <x14:cfRule type="cellIs" priority="9387" operator="between" id="{FC2EFFEF-9CBA-4E70-BBA0-1D5760443BC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M420:S420</xm:sqref>
        </x14:conditionalFormatting>
        <x14:conditionalFormatting xmlns:xm="http://schemas.microsoft.com/office/excel/2006/main">
          <x14:cfRule type="cellIs" priority="9366" operator="between" id="{505AEA82-4CC5-4A7A-BA65-7B64C4A5289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M421:S421</xm:sqref>
        </x14:conditionalFormatting>
        <x14:conditionalFormatting xmlns:xm="http://schemas.microsoft.com/office/excel/2006/main">
          <x14:cfRule type="cellIs" priority="9345" operator="between" id="{B16ED115-6026-4D1D-994B-804284439B68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L422:S422</xm:sqref>
        </x14:conditionalFormatting>
        <x14:conditionalFormatting xmlns:xm="http://schemas.microsoft.com/office/excel/2006/main">
          <x14:cfRule type="cellIs" priority="9324" operator="between" id="{AF6889AA-A8C8-4344-964A-D1E3A58F44A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M423:S423</xm:sqref>
        </x14:conditionalFormatting>
        <x14:conditionalFormatting xmlns:xm="http://schemas.microsoft.com/office/excel/2006/main">
          <x14:cfRule type="cellIs" priority="9303" operator="between" id="{2B9D49EF-326E-4049-AA6D-6E165A1DF8D3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L424:S424</xm:sqref>
        </x14:conditionalFormatting>
        <x14:conditionalFormatting xmlns:xm="http://schemas.microsoft.com/office/excel/2006/main">
          <x14:cfRule type="cellIs" priority="9282" operator="between" id="{A672766E-EAD6-4270-B687-1CDD1E2CEC2A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L425:S425</xm:sqref>
        </x14:conditionalFormatting>
        <x14:conditionalFormatting xmlns:xm="http://schemas.microsoft.com/office/excel/2006/main">
          <x14:cfRule type="cellIs" priority="9261" operator="between" id="{06A373A7-5099-4304-B1A3-7A6113B871D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L426:S426</xm:sqref>
        </x14:conditionalFormatting>
        <x14:conditionalFormatting xmlns:xm="http://schemas.microsoft.com/office/excel/2006/main">
          <x14:cfRule type="cellIs" priority="9240" operator="between" id="{D0FAA5FA-24D6-454E-81B1-650693CDF2E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L421</xm:sqref>
        </x14:conditionalFormatting>
        <x14:conditionalFormatting xmlns:xm="http://schemas.microsoft.com/office/excel/2006/main">
          <x14:cfRule type="cellIs" priority="9239" operator="between" id="{67AFD565-5D3D-4076-B6A7-AE0C2ADDF65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L419</xm:sqref>
        </x14:conditionalFormatting>
        <x14:conditionalFormatting xmlns:xm="http://schemas.microsoft.com/office/excel/2006/main">
          <x14:cfRule type="cellIs" priority="9238" operator="between" id="{73994BE5-4275-4CA7-8A4F-68EADDC50B63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L420</xm:sqref>
        </x14:conditionalFormatting>
        <x14:conditionalFormatting xmlns:xm="http://schemas.microsoft.com/office/excel/2006/main">
          <x14:cfRule type="cellIs" priority="9237" operator="between" id="{7F9E8F7D-D757-444A-93B1-9AA37FDF1FEA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L423</xm:sqref>
        </x14:conditionalFormatting>
        <x14:conditionalFormatting xmlns:xm="http://schemas.microsoft.com/office/excel/2006/main">
          <x14:cfRule type="cellIs" priority="9236" operator="between" id="{985E366C-7D4D-414B-8185-06B40EF324E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L427:S428</xm:sqref>
        </x14:conditionalFormatting>
        <x14:conditionalFormatting xmlns:xm="http://schemas.microsoft.com/office/excel/2006/main">
          <x14:cfRule type="cellIs" priority="9215" operator="between" id="{DCF2A8C7-5CB1-4188-930A-11AB7910BDA7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L429:S429</xm:sqref>
        </x14:conditionalFormatting>
        <x14:conditionalFormatting xmlns:xm="http://schemas.microsoft.com/office/excel/2006/main">
          <x14:cfRule type="cellIs" priority="9194" operator="between" id="{2B66B4E7-1D43-4868-A47E-88F9795C8E1F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L430:S430</xm:sqref>
        </x14:conditionalFormatting>
        <x14:conditionalFormatting xmlns:xm="http://schemas.microsoft.com/office/excel/2006/main">
          <x14:cfRule type="cellIs" priority="9173" operator="between" id="{1D9B753B-6CEE-40C5-BC97-05925E670D3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L431:S431</xm:sqref>
        </x14:conditionalFormatting>
        <x14:conditionalFormatting xmlns:xm="http://schemas.microsoft.com/office/excel/2006/main">
          <x14:cfRule type="cellIs" priority="9152" operator="between" id="{1CB97325-BDBD-4B7E-B32B-5D037F635CC5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L432:S432</xm:sqref>
        </x14:conditionalFormatting>
        <x14:conditionalFormatting xmlns:xm="http://schemas.microsoft.com/office/excel/2006/main">
          <x14:cfRule type="cellIs" priority="9131" operator="between" id="{CA86DD74-7ED8-4557-B890-A8A976AE1C7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L433:S433</xm:sqref>
        </x14:conditionalFormatting>
        <x14:conditionalFormatting xmlns:xm="http://schemas.microsoft.com/office/excel/2006/main">
          <x14:cfRule type="cellIs" priority="9110" operator="between" id="{3D3D7AD9-D06B-4392-92F1-C9B12C6CB020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L434:S434</xm:sqref>
        </x14:conditionalFormatting>
        <x14:conditionalFormatting xmlns:xm="http://schemas.microsoft.com/office/excel/2006/main">
          <x14:cfRule type="cellIs" priority="9089" operator="between" id="{9A100362-E5A1-42A1-81F2-7872D8943653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L435:S435</xm:sqref>
        </x14:conditionalFormatting>
        <x14:conditionalFormatting xmlns:xm="http://schemas.microsoft.com/office/excel/2006/main">
          <x14:cfRule type="cellIs" priority="9068" operator="between" id="{9D71408D-198E-4F90-B28A-B3BFD3237D6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L436:S436</xm:sqref>
        </x14:conditionalFormatting>
        <x14:conditionalFormatting xmlns:xm="http://schemas.microsoft.com/office/excel/2006/main">
          <x14:cfRule type="cellIs" priority="9047" operator="between" id="{77316F07-EE8F-41BA-ABD8-38A78EE650FE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M437:S437</xm:sqref>
        </x14:conditionalFormatting>
        <x14:conditionalFormatting xmlns:xm="http://schemas.microsoft.com/office/excel/2006/main">
          <x14:cfRule type="cellIs" priority="9026" operator="between" id="{6263DFD0-C4AC-405B-8D01-77890A55310F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L438:S438</xm:sqref>
        </x14:conditionalFormatting>
        <x14:conditionalFormatting xmlns:xm="http://schemas.microsoft.com/office/excel/2006/main">
          <x14:cfRule type="cellIs" priority="9005" operator="between" id="{FA717862-346C-49EA-B5AF-71CB8B3B1B4F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L439:S439</xm:sqref>
        </x14:conditionalFormatting>
        <x14:conditionalFormatting xmlns:xm="http://schemas.microsoft.com/office/excel/2006/main">
          <x14:cfRule type="cellIs" priority="8984" operator="between" id="{D4CB4115-BE28-4B73-9CAC-6BCDBBDD5327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L440:S440</xm:sqref>
        </x14:conditionalFormatting>
        <x14:conditionalFormatting xmlns:xm="http://schemas.microsoft.com/office/excel/2006/main">
          <x14:cfRule type="cellIs" priority="8963" operator="between" id="{B53AD5C8-3045-401B-B1AC-BDBD4238881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L441:S441</xm:sqref>
        </x14:conditionalFormatting>
        <x14:conditionalFormatting xmlns:xm="http://schemas.microsoft.com/office/excel/2006/main">
          <x14:cfRule type="cellIs" priority="8942" operator="between" id="{3E4636EB-4237-4902-BBC8-926138ED4B2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L442:S442</xm:sqref>
        </x14:conditionalFormatting>
        <x14:conditionalFormatting xmlns:xm="http://schemas.microsoft.com/office/excel/2006/main">
          <x14:cfRule type="cellIs" priority="8921" operator="between" id="{55BB2272-7E60-4C61-818C-B59DC7682A1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L443:S443</xm:sqref>
        </x14:conditionalFormatting>
        <x14:conditionalFormatting xmlns:xm="http://schemas.microsoft.com/office/excel/2006/main">
          <x14:cfRule type="cellIs" priority="8900" operator="between" id="{E106B42D-7C6A-44AF-BEC4-E00A9BAB1AB6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L444:S444</xm:sqref>
        </x14:conditionalFormatting>
        <x14:conditionalFormatting xmlns:xm="http://schemas.microsoft.com/office/excel/2006/main">
          <x14:cfRule type="cellIs" priority="8875" operator="between" id="{FCF5B3E1-9F2A-4521-882B-3B9ABDA90116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L445:S445</xm:sqref>
        </x14:conditionalFormatting>
        <x14:conditionalFormatting xmlns:xm="http://schemas.microsoft.com/office/excel/2006/main">
          <x14:cfRule type="cellIs" priority="8854" operator="between" id="{3AC2D12C-E81D-4E1F-99DE-A2ED77180B38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L446:S446</xm:sqref>
        </x14:conditionalFormatting>
        <x14:conditionalFormatting xmlns:xm="http://schemas.microsoft.com/office/excel/2006/main">
          <x14:cfRule type="cellIs" priority="8833" operator="between" id="{C772135D-0A06-48E8-B4B0-BE7A0CF2AF5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L447:S447</xm:sqref>
        </x14:conditionalFormatting>
        <x14:conditionalFormatting xmlns:xm="http://schemas.microsoft.com/office/excel/2006/main">
          <x14:cfRule type="cellIs" priority="8812" operator="between" id="{E252C12D-48E1-4E52-9611-3F4171140C03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L448:S448</xm:sqref>
        </x14:conditionalFormatting>
        <x14:conditionalFormatting xmlns:xm="http://schemas.microsoft.com/office/excel/2006/main">
          <x14:cfRule type="cellIs" priority="8791" operator="between" id="{2EFF9891-3E3F-465C-9CA2-219D22536C96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M449:S449</xm:sqref>
        </x14:conditionalFormatting>
        <x14:conditionalFormatting xmlns:xm="http://schemas.microsoft.com/office/excel/2006/main">
          <x14:cfRule type="cellIs" priority="8770" operator="between" id="{C3DFE370-8AD0-49B5-8000-38F47D248937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L449</xm:sqref>
        </x14:conditionalFormatting>
        <x14:conditionalFormatting xmlns:xm="http://schemas.microsoft.com/office/excel/2006/main">
          <x14:cfRule type="cellIs" priority="8769" operator="between" id="{DC76BE21-0984-47BB-A234-3564865E219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L450:S450</xm:sqref>
        </x14:conditionalFormatting>
        <x14:conditionalFormatting xmlns:xm="http://schemas.microsoft.com/office/excel/2006/main">
          <x14:cfRule type="cellIs" priority="8748" operator="between" id="{35AF3AAE-8B6E-425F-830A-3E730DFB2D6A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L451:S452</xm:sqref>
        </x14:conditionalFormatting>
        <x14:conditionalFormatting xmlns:xm="http://schemas.microsoft.com/office/excel/2006/main">
          <x14:cfRule type="cellIs" priority="8727" operator="between" id="{B503659C-A016-4C08-AF08-2679372C8803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L453:S453</xm:sqref>
        </x14:conditionalFormatting>
        <x14:conditionalFormatting xmlns:xm="http://schemas.microsoft.com/office/excel/2006/main">
          <x14:cfRule type="cellIs" priority="8706" operator="between" id="{FE183DC1-524D-4C72-BDE8-9BEDCB37A6E7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L454:S454</xm:sqref>
        </x14:conditionalFormatting>
        <x14:conditionalFormatting xmlns:xm="http://schemas.microsoft.com/office/excel/2006/main">
          <x14:cfRule type="cellIs" priority="8685" operator="between" id="{12C5E5DF-B76E-4937-9DC1-16BC346C2F88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L455:S455</xm:sqref>
        </x14:conditionalFormatting>
        <x14:conditionalFormatting xmlns:xm="http://schemas.microsoft.com/office/excel/2006/main">
          <x14:cfRule type="cellIs" priority="8664" operator="between" id="{AC8D5E9F-2E3C-4943-A171-85563B72762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L456:S456</xm:sqref>
        </x14:conditionalFormatting>
        <x14:conditionalFormatting xmlns:xm="http://schemas.microsoft.com/office/excel/2006/main">
          <x14:cfRule type="cellIs" priority="8643" operator="between" id="{A647B835-A1D4-49AF-9BDB-FD98E7C05648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L457:S457</xm:sqref>
        </x14:conditionalFormatting>
        <x14:conditionalFormatting xmlns:xm="http://schemas.microsoft.com/office/excel/2006/main">
          <x14:cfRule type="cellIs" priority="8622" operator="between" id="{DA450546-B90F-47F6-A10E-7F382A3E69C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L458:S458</xm:sqref>
        </x14:conditionalFormatting>
        <x14:conditionalFormatting xmlns:xm="http://schemas.microsoft.com/office/excel/2006/main">
          <x14:cfRule type="cellIs" priority="8601" operator="between" id="{BA18BEBF-4220-40F5-8596-3EEE6540D28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L459:S459</xm:sqref>
        </x14:conditionalFormatting>
        <x14:conditionalFormatting xmlns:xm="http://schemas.microsoft.com/office/excel/2006/main">
          <x14:cfRule type="cellIs" priority="8580" operator="between" id="{09B29BBD-594B-4389-A2D8-067FB4F1A95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L460:S460</xm:sqref>
        </x14:conditionalFormatting>
        <x14:conditionalFormatting xmlns:xm="http://schemas.microsoft.com/office/excel/2006/main">
          <x14:cfRule type="cellIs" priority="8559" operator="between" id="{CAF15A16-AA35-476F-8A51-66E945D2E30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L461:S461</xm:sqref>
        </x14:conditionalFormatting>
        <x14:conditionalFormatting xmlns:xm="http://schemas.microsoft.com/office/excel/2006/main">
          <x14:cfRule type="cellIs" priority="8538" operator="between" id="{7CC82E38-BC16-4AF5-882F-A44FD10A04B8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L462:S462</xm:sqref>
        </x14:conditionalFormatting>
        <x14:conditionalFormatting xmlns:xm="http://schemas.microsoft.com/office/excel/2006/main">
          <x14:cfRule type="cellIs" priority="8517" operator="between" id="{3583C973-C34F-45D6-AEC8-D423C31ACF87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L463:S463</xm:sqref>
        </x14:conditionalFormatting>
        <x14:conditionalFormatting xmlns:xm="http://schemas.microsoft.com/office/excel/2006/main">
          <x14:cfRule type="cellIs" priority="8496" operator="between" id="{A5FF366D-7FBC-4B7B-9E05-50B76CA8B31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L464:S464</xm:sqref>
        </x14:conditionalFormatting>
        <x14:conditionalFormatting xmlns:xm="http://schemas.microsoft.com/office/excel/2006/main">
          <x14:cfRule type="cellIs" priority="8475" operator="between" id="{1A84A4E2-2E1A-4EA9-9CFA-5B62CA6DC1C8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M465:S465</xm:sqref>
        </x14:conditionalFormatting>
        <x14:conditionalFormatting xmlns:xm="http://schemas.microsoft.com/office/excel/2006/main">
          <x14:cfRule type="cellIs" priority="8454" operator="between" id="{E241D524-CDDB-45BE-A9A8-3C2ADB91574F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L466:S466</xm:sqref>
        </x14:conditionalFormatting>
        <x14:conditionalFormatting xmlns:xm="http://schemas.microsoft.com/office/excel/2006/main">
          <x14:cfRule type="cellIs" priority="8433" operator="between" id="{EEC55AC8-C45C-4F8F-A109-EB74876BE830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M467:S467</xm:sqref>
        </x14:conditionalFormatting>
        <x14:conditionalFormatting xmlns:xm="http://schemas.microsoft.com/office/excel/2006/main">
          <x14:cfRule type="cellIs" priority="8412" operator="between" id="{D1478D8B-A1FC-4FEE-ACAC-54FA8FC90DB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L468:S468</xm:sqref>
        </x14:conditionalFormatting>
        <x14:conditionalFormatting xmlns:xm="http://schemas.microsoft.com/office/excel/2006/main">
          <x14:cfRule type="cellIs" priority="8391" operator="between" id="{BECB6D5A-2722-46C1-840C-CE510A21D567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L465</xm:sqref>
        </x14:conditionalFormatting>
        <x14:conditionalFormatting xmlns:xm="http://schemas.microsoft.com/office/excel/2006/main">
          <x14:cfRule type="cellIs" priority="8390" operator="between" id="{FA48EC69-6F54-49F7-9F1E-E2DFB6B0A1B7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L469:S469</xm:sqref>
        </x14:conditionalFormatting>
        <x14:conditionalFormatting xmlns:xm="http://schemas.microsoft.com/office/excel/2006/main">
          <x14:cfRule type="cellIs" priority="8369" operator="between" id="{D4B7F6AA-A9B7-4C01-B218-8541F63ED64A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L470:S470</xm:sqref>
        </x14:conditionalFormatting>
        <x14:conditionalFormatting xmlns:xm="http://schemas.microsoft.com/office/excel/2006/main">
          <x14:cfRule type="cellIs" priority="8348" operator="between" id="{DD179132-5CC9-4C74-8B72-11EB159BACFF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L471:S471</xm:sqref>
        </x14:conditionalFormatting>
        <x14:conditionalFormatting xmlns:xm="http://schemas.microsoft.com/office/excel/2006/main">
          <x14:cfRule type="cellIs" priority="8327" operator="between" id="{4AF1E2B3-EC7D-413B-AA07-180ACEA4473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L472:S472</xm:sqref>
        </x14:conditionalFormatting>
        <x14:conditionalFormatting xmlns:xm="http://schemas.microsoft.com/office/excel/2006/main">
          <x14:cfRule type="cellIs" priority="8306" operator="between" id="{E71D443B-E5F9-49E4-A413-8A6B70E2335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L473:S473</xm:sqref>
        </x14:conditionalFormatting>
        <x14:conditionalFormatting xmlns:xm="http://schemas.microsoft.com/office/excel/2006/main">
          <x14:cfRule type="cellIs" priority="8285" operator="between" id="{318845B2-1BCA-4871-BAB8-2C337696EB35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L474:S474</xm:sqref>
        </x14:conditionalFormatting>
        <x14:conditionalFormatting xmlns:xm="http://schemas.microsoft.com/office/excel/2006/main">
          <x14:cfRule type="cellIs" priority="8264" operator="between" id="{6936BB0A-C0B8-4BC5-88C2-3569C35B4073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L475:S475</xm:sqref>
        </x14:conditionalFormatting>
        <x14:conditionalFormatting xmlns:xm="http://schemas.microsoft.com/office/excel/2006/main">
          <x14:cfRule type="cellIs" priority="8243" operator="between" id="{3F5C789C-5336-4755-BE21-E1F751479E3F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L476:S476</xm:sqref>
        </x14:conditionalFormatting>
        <x14:conditionalFormatting xmlns:xm="http://schemas.microsoft.com/office/excel/2006/main">
          <x14:cfRule type="cellIs" priority="8222" operator="between" id="{137CDB0E-CD15-45F3-8F4B-1F316AAA972E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M477:S477</xm:sqref>
        </x14:conditionalFormatting>
        <x14:conditionalFormatting xmlns:xm="http://schemas.microsoft.com/office/excel/2006/main">
          <x14:cfRule type="cellIs" priority="8201" operator="between" id="{95414CB7-2F6C-4EF0-A1EE-82FEC4B31C38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M478:S478</xm:sqref>
        </x14:conditionalFormatting>
        <x14:conditionalFormatting xmlns:xm="http://schemas.microsoft.com/office/excel/2006/main">
          <x14:cfRule type="cellIs" priority="8180" operator="between" id="{9D833F39-85B5-494A-8C3D-874CBFC97DE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L478</xm:sqref>
        </x14:conditionalFormatting>
        <x14:conditionalFormatting xmlns:xm="http://schemas.microsoft.com/office/excel/2006/main">
          <x14:cfRule type="cellIs" priority="8179" operator="between" id="{95101890-77C2-406F-93D8-1DF027943966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L477</xm:sqref>
        </x14:conditionalFormatting>
        <x14:conditionalFormatting xmlns:xm="http://schemas.microsoft.com/office/excel/2006/main">
          <x14:cfRule type="cellIs" priority="8178" operator="between" id="{4F5C2413-278C-41A0-9563-A05D21754A95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L479:S479</xm:sqref>
        </x14:conditionalFormatting>
        <x14:conditionalFormatting xmlns:xm="http://schemas.microsoft.com/office/excel/2006/main">
          <x14:cfRule type="cellIs" priority="8157" operator="between" id="{1917C9FC-BB5D-42A0-BF82-4EB960B1356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L480:S480</xm:sqref>
        </x14:conditionalFormatting>
        <x14:conditionalFormatting xmlns:xm="http://schemas.microsoft.com/office/excel/2006/main">
          <x14:cfRule type="cellIs" priority="8136" operator="between" id="{59122F02-1D66-49A0-89A6-C39D517C037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L481:S481</xm:sqref>
        </x14:conditionalFormatting>
        <x14:conditionalFormatting xmlns:xm="http://schemas.microsoft.com/office/excel/2006/main">
          <x14:cfRule type="cellIs" priority="8115" operator="between" id="{A2448D7F-C4EC-4C80-997F-B8F2A4976A4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L482:S482</xm:sqref>
        </x14:conditionalFormatting>
        <x14:conditionalFormatting xmlns:xm="http://schemas.microsoft.com/office/excel/2006/main">
          <x14:cfRule type="cellIs" priority="8094" operator="between" id="{72563B7C-19F1-467D-9740-50585C7599E3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L483:S484</xm:sqref>
        </x14:conditionalFormatting>
        <x14:conditionalFormatting xmlns:xm="http://schemas.microsoft.com/office/excel/2006/main">
          <x14:cfRule type="cellIs" priority="8073" operator="between" id="{8D801476-F491-4DBC-A822-0DC310186A16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M485:S485</xm:sqref>
        </x14:conditionalFormatting>
        <x14:conditionalFormatting xmlns:xm="http://schemas.microsoft.com/office/excel/2006/main">
          <x14:cfRule type="cellIs" priority="8052" operator="between" id="{B74F1870-CF67-4B3C-86B8-348566532A6A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L486:S487</xm:sqref>
        </x14:conditionalFormatting>
        <x14:conditionalFormatting xmlns:xm="http://schemas.microsoft.com/office/excel/2006/main">
          <x14:cfRule type="cellIs" priority="8031" operator="between" id="{FEE58E9E-9929-4278-BF1F-8C0ADFA5D378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L488:S490</xm:sqref>
        </x14:conditionalFormatting>
        <x14:conditionalFormatting xmlns:xm="http://schemas.microsoft.com/office/excel/2006/main">
          <x14:cfRule type="cellIs" priority="8010" operator="between" id="{14CDA3BA-E1BC-4B09-B869-BFBD4830863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L491:S491</xm:sqref>
        </x14:conditionalFormatting>
        <x14:conditionalFormatting xmlns:xm="http://schemas.microsoft.com/office/excel/2006/main">
          <x14:cfRule type="cellIs" priority="7989" operator="between" id="{1A28E4CB-2690-45A3-A17E-61F9AFFA7B7A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L485</xm:sqref>
        </x14:conditionalFormatting>
        <x14:conditionalFormatting xmlns:xm="http://schemas.microsoft.com/office/excel/2006/main">
          <x14:cfRule type="cellIs" priority="7988" operator="between" id="{4B2D8A72-9380-4AE0-B0B9-54FB46118FEF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L492:S492</xm:sqref>
        </x14:conditionalFormatting>
        <x14:conditionalFormatting xmlns:xm="http://schemas.microsoft.com/office/excel/2006/main">
          <x14:cfRule type="cellIs" priority="7967" operator="between" id="{8757A347-CE00-4702-ABD9-3737F4F7FB7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L493:S493</xm:sqref>
        </x14:conditionalFormatting>
        <x14:conditionalFormatting xmlns:xm="http://schemas.microsoft.com/office/excel/2006/main">
          <x14:cfRule type="cellIs" priority="7946" operator="between" id="{9BC04DD9-1FD6-425E-AD42-98AC57C0B4F6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L494:S494</xm:sqref>
        </x14:conditionalFormatting>
        <x14:conditionalFormatting xmlns:xm="http://schemas.microsoft.com/office/excel/2006/main">
          <x14:cfRule type="cellIs" priority="7925" operator="between" id="{9482DE7A-A97A-4C14-8DA2-3C7BE19CD0C5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L495:S495</xm:sqref>
        </x14:conditionalFormatting>
        <x14:conditionalFormatting xmlns:xm="http://schemas.microsoft.com/office/excel/2006/main">
          <x14:cfRule type="cellIs" priority="7904" operator="between" id="{EE51CB47-7D38-4687-A371-A48973A91F3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L496:S496</xm:sqref>
        </x14:conditionalFormatting>
        <x14:conditionalFormatting xmlns:xm="http://schemas.microsoft.com/office/excel/2006/main">
          <x14:cfRule type="cellIs" priority="7883" operator="between" id="{4AE28D92-5DDD-45C1-8F93-72EE0216437E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L497:S497</xm:sqref>
        </x14:conditionalFormatting>
        <x14:conditionalFormatting xmlns:xm="http://schemas.microsoft.com/office/excel/2006/main">
          <x14:cfRule type="cellIs" priority="7862" operator="between" id="{1D33B21E-56B3-4A9D-824D-564B6C8448F5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L498:S498</xm:sqref>
        </x14:conditionalFormatting>
        <x14:conditionalFormatting xmlns:xm="http://schemas.microsoft.com/office/excel/2006/main">
          <x14:cfRule type="cellIs" priority="7841" operator="between" id="{A6371C99-871F-42D0-8743-E2AB02A91C23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L499:S500</xm:sqref>
        </x14:conditionalFormatting>
        <x14:conditionalFormatting xmlns:xm="http://schemas.microsoft.com/office/excel/2006/main">
          <x14:cfRule type="cellIs" priority="7820" operator="between" id="{AE431F47-74FB-46C7-B7BD-554723CC4DB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L501:S502</xm:sqref>
        </x14:conditionalFormatting>
        <x14:conditionalFormatting xmlns:xm="http://schemas.microsoft.com/office/excel/2006/main">
          <x14:cfRule type="cellIs" priority="7799" operator="between" id="{269EF3E5-F868-4302-B5BB-1C29EBB50ADF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L503:S505</xm:sqref>
        </x14:conditionalFormatting>
        <x14:conditionalFormatting xmlns:xm="http://schemas.microsoft.com/office/excel/2006/main">
          <x14:cfRule type="cellIs" priority="7778" operator="between" id="{9F20096D-CB2B-47B9-A56D-F580D61A36F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L506:S508</xm:sqref>
        </x14:conditionalFormatting>
        <x14:conditionalFormatting xmlns:xm="http://schemas.microsoft.com/office/excel/2006/main">
          <x14:cfRule type="cellIs" priority="7757" operator="between" id="{D739B1CD-A9EC-4774-8ED5-16A3A9A3624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L509:S509</xm:sqref>
        </x14:conditionalFormatting>
        <x14:conditionalFormatting xmlns:xm="http://schemas.microsoft.com/office/excel/2006/main">
          <x14:cfRule type="cellIs" priority="7736" operator="between" id="{6C263D20-5E52-4456-933B-99039CC0B65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L510:S510</xm:sqref>
        </x14:conditionalFormatting>
        <x14:conditionalFormatting xmlns:xm="http://schemas.microsoft.com/office/excel/2006/main">
          <x14:cfRule type="cellIs" priority="7715" operator="between" id="{82711E62-DE6B-462B-B9D4-1FA1067FD260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L511:S511</xm:sqref>
        </x14:conditionalFormatting>
        <x14:conditionalFormatting xmlns:xm="http://schemas.microsoft.com/office/excel/2006/main">
          <x14:cfRule type="cellIs" priority="7694" operator="between" id="{482F80A5-A821-441D-99BB-0C6432EF6AE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L512:S512</xm:sqref>
        </x14:conditionalFormatting>
        <x14:conditionalFormatting xmlns:xm="http://schemas.microsoft.com/office/excel/2006/main">
          <x14:cfRule type="cellIs" priority="7673" operator="between" id="{E188156D-4B72-4BEB-8EAC-6CF7B7C13536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L513:S513</xm:sqref>
        </x14:conditionalFormatting>
        <x14:conditionalFormatting xmlns:xm="http://schemas.microsoft.com/office/excel/2006/main">
          <x14:cfRule type="cellIs" priority="7652" operator="between" id="{EC0C42CC-EDB7-44B4-BA2C-9C3C954AAEA5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L514:S514</xm:sqref>
        </x14:conditionalFormatting>
        <x14:conditionalFormatting xmlns:xm="http://schemas.microsoft.com/office/excel/2006/main">
          <x14:cfRule type="cellIs" priority="7631" operator="between" id="{4A633127-E868-47E3-BC4B-CF21C537FAA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L515:S515</xm:sqref>
        </x14:conditionalFormatting>
        <x14:conditionalFormatting xmlns:xm="http://schemas.microsoft.com/office/excel/2006/main">
          <x14:cfRule type="cellIs" priority="7610" operator="between" id="{C2A86AF4-C47A-497A-A937-F26BE714996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L516:S517</xm:sqref>
        </x14:conditionalFormatting>
        <x14:conditionalFormatting xmlns:xm="http://schemas.microsoft.com/office/excel/2006/main">
          <x14:cfRule type="cellIs" priority="7589" operator="between" id="{60566F47-9712-46D3-8BFB-48BD0B742A36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L518:S519</xm:sqref>
        </x14:conditionalFormatting>
        <x14:conditionalFormatting xmlns:xm="http://schemas.microsoft.com/office/excel/2006/main">
          <x14:cfRule type="cellIs" priority="7568" operator="between" id="{86A34966-9B38-4EE2-A177-8F4F2AF92906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L520:S521</xm:sqref>
        </x14:conditionalFormatting>
        <x14:conditionalFormatting xmlns:xm="http://schemas.microsoft.com/office/excel/2006/main">
          <x14:cfRule type="cellIs" priority="7547" operator="between" id="{0E42192D-FAD4-4F77-97FF-7AE544C8617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L522:S522</xm:sqref>
        </x14:conditionalFormatting>
        <x14:conditionalFormatting xmlns:xm="http://schemas.microsoft.com/office/excel/2006/main">
          <x14:cfRule type="cellIs" priority="7526" operator="between" id="{D521A8F4-262A-403C-853A-5A6F75DAB457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L523:S524</xm:sqref>
        </x14:conditionalFormatting>
        <x14:conditionalFormatting xmlns:xm="http://schemas.microsoft.com/office/excel/2006/main">
          <x14:cfRule type="cellIs" priority="7477" operator="between" id="{C4E213D2-F861-4880-8345-25A612C089D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L525:S526</xm:sqref>
        </x14:conditionalFormatting>
        <x14:conditionalFormatting xmlns:xm="http://schemas.microsoft.com/office/excel/2006/main">
          <x14:cfRule type="cellIs" priority="7456" operator="between" id="{BF8952FE-AD8A-48FC-A494-C752F2FB0E06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L527:S528</xm:sqref>
        </x14:conditionalFormatting>
        <x14:conditionalFormatting xmlns:xm="http://schemas.microsoft.com/office/excel/2006/main">
          <x14:cfRule type="cellIs" priority="7435" operator="between" id="{3FCAA702-126B-47B0-A11A-08F73D7354C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L529:S529</xm:sqref>
        </x14:conditionalFormatting>
        <x14:conditionalFormatting xmlns:xm="http://schemas.microsoft.com/office/excel/2006/main">
          <x14:cfRule type="cellIs" priority="7414" operator="between" id="{54EF4AB4-AAFB-4836-825F-53C45B08E860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M530:S530</xm:sqref>
        </x14:conditionalFormatting>
        <x14:conditionalFormatting xmlns:xm="http://schemas.microsoft.com/office/excel/2006/main">
          <x14:cfRule type="cellIs" priority="7393" operator="between" id="{BE32AC95-4E37-4826-BCF2-631DFC81F70E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L531:S531</xm:sqref>
        </x14:conditionalFormatting>
        <x14:conditionalFormatting xmlns:xm="http://schemas.microsoft.com/office/excel/2006/main">
          <x14:cfRule type="cellIs" priority="7372" operator="between" id="{E02490EB-BB0B-43A6-9BCE-0A437ED4E35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L530</xm:sqref>
        </x14:conditionalFormatting>
        <x14:conditionalFormatting xmlns:xm="http://schemas.microsoft.com/office/excel/2006/main">
          <x14:cfRule type="cellIs" priority="7371" operator="between" id="{DBE3572C-A3BC-4C6C-9B7C-09B43EC3322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L532:S532</xm:sqref>
        </x14:conditionalFormatting>
        <x14:conditionalFormatting xmlns:xm="http://schemas.microsoft.com/office/excel/2006/main">
          <x14:cfRule type="cellIs" priority="7350" operator="between" id="{0A7A1ABD-6EB0-4299-93BF-19CA9D496076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L533:S533</xm:sqref>
        </x14:conditionalFormatting>
        <x14:conditionalFormatting xmlns:xm="http://schemas.microsoft.com/office/excel/2006/main">
          <x14:cfRule type="cellIs" priority="7329" operator="between" id="{2780E511-B6AC-4E09-86E7-FE70BD01BBF3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M534:S534</xm:sqref>
        </x14:conditionalFormatting>
        <x14:conditionalFormatting xmlns:xm="http://schemas.microsoft.com/office/excel/2006/main">
          <x14:cfRule type="cellIs" priority="7308" operator="between" id="{DB50F164-188A-4DBF-9C42-B3A20469C1C3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L535:S535</xm:sqref>
        </x14:conditionalFormatting>
        <x14:conditionalFormatting xmlns:xm="http://schemas.microsoft.com/office/excel/2006/main">
          <x14:cfRule type="cellIs" priority="7287" operator="between" id="{6C627639-4464-4760-87BD-44CFC41EB8FA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L536:S536</xm:sqref>
        </x14:conditionalFormatting>
        <x14:conditionalFormatting xmlns:xm="http://schemas.microsoft.com/office/excel/2006/main">
          <x14:cfRule type="cellIs" priority="7266" operator="between" id="{7E9140C7-E43A-4FCF-AFCA-EA0D7BFE555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M537:S537</xm:sqref>
        </x14:conditionalFormatting>
        <x14:conditionalFormatting xmlns:xm="http://schemas.microsoft.com/office/excel/2006/main">
          <x14:cfRule type="cellIs" priority="7245" operator="between" id="{69BC3C87-F063-4041-B879-5D5BC095F29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M538:S538</xm:sqref>
        </x14:conditionalFormatting>
        <x14:conditionalFormatting xmlns:xm="http://schemas.microsoft.com/office/excel/2006/main">
          <x14:cfRule type="cellIs" priority="7224" operator="between" id="{E36CFD6C-2063-431B-A460-EDF5D3C18DD5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L539:S539</xm:sqref>
        </x14:conditionalFormatting>
        <x14:conditionalFormatting xmlns:xm="http://schemas.microsoft.com/office/excel/2006/main">
          <x14:cfRule type="cellIs" priority="7203" operator="between" id="{50054FE4-DB0D-4DB7-86B5-1886BD0B894A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L540:S540</xm:sqref>
        </x14:conditionalFormatting>
        <x14:conditionalFormatting xmlns:xm="http://schemas.microsoft.com/office/excel/2006/main">
          <x14:cfRule type="cellIs" priority="7182" operator="between" id="{E663F1D0-19BD-406E-85D4-120AEFDABB8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M541:S541</xm:sqref>
        </x14:conditionalFormatting>
        <x14:conditionalFormatting xmlns:xm="http://schemas.microsoft.com/office/excel/2006/main">
          <x14:cfRule type="cellIs" priority="7161" operator="between" id="{8FEE568E-3F5B-4A15-AFE9-7C87287F174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L542:S543</xm:sqref>
        </x14:conditionalFormatting>
        <x14:conditionalFormatting xmlns:xm="http://schemas.microsoft.com/office/excel/2006/main">
          <x14:cfRule type="cellIs" priority="7140" operator="between" id="{06BAFBAB-C528-49F0-9AF7-70C520EF486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L544:S544</xm:sqref>
        </x14:conditionalFormatting>
        <x14:conditionalFormatting xmlns:xm="http://schemas.microsoft.com/office/excel/2006/main">
          <x14:cfRule type="cellIs" priority="7119" operator="between" id="{28530F2E-59EE-447E-A315-18FE90D4CFE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L545:S545</xm:sqref>
        </x14:conditionalFormatting>
        <x14:conditionalFormatting xmlns:xm="http://schemas.microsoft.com/office/excel/2006/main">
          <x14:cfRule type="cellIs" priority="7098" operator="between" id="{2048891D-11E6-4CC1-BA57-B81D8EDF3CFF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M546:S546</xm:sqref>
        </x14:conditionalFormatting>
        <x14:conditionalFormatting xmlns:xm="http://schemas.microsoft.com/office/excel/2006/main">
          <x14:cfRule type="cellIs" priority="7077" operator="between" id="{772BCB46-29F5-46A3-B370-447897678CE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N547:S547</xm:sqref>
        </x14:conditionalFormatting>
        <x14:conditionalFormatting xmlns:xm="http://schemas.microsoft.com/office/excel/2006/main">
          <x14:cfRule type="cellIs" priority="7056" operator="between" id="{6E1AA95D-C6F6-4A37-83C1-5C6D9158DE3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L548 N548:S548</xm:sqref>
        </x14:conditionalFormatting>
        <x14:conditionalFormatting xmlns:xm="http://schemas.microsoft.com/office/excel/2006/main">
          <x14:cfRule type="cellIs" priority="7035" operator="between" id="{F23CF10F-76DC-4618-B87F-1F683BE3E51F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N549:S549</xm:sqref>
        </x14:conditionalFormatting>
        <x14:conditionalFormatting xmlns:xm="http://schemas.microsoft.com/office/excel/2006/main">
          <x14:cfRule type="cellIs" priority="7014" operator="between" id="{9DA451B1-CC71-4AA4-B3FC-56A9437E93D6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L549</xm:sqref>
        </x14:conditionalFormatting>
        <x14:conditionalFormatting xmlns:xm="http://schemas.microsoft.com/office/excel/2006/main">
          <x14:cfRule type="cellIs" priority="7013" operator="between" id="{26EFEBD7-AEF0-49C2-A58E-CFFB73252C7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L547</xm:sqref>
        </x14:conditionalFormatting>
        <x14:conditionalFormatting xmlns:xm="http://schemas.microsoft.com/office/excel/2006/main">
          <x14:cfRule type="cellIs" priority="7008" operator="between" id="{35D1FBE3-7987-4B54-B406-A167D3261F1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L546</xm:sqref>
        </x14:conditionalFormatting>
        <x14:conditionalFormatting xmlns:xm="http://schemas.microsoft.com/office/excel/2006/main">
          <x14:cfRule type="cellIs" priority="7003" operator="between" id="{3E17698A-5431-4204-A315-BEA3F9BD6B07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M547</xm:sqref>
        </x14:conditionalFormatting>
        <x14:conditionalFormatting xmlns:xm="http://schemas.microsoft.com/office/excel/2006/main">
          <x14:cfRule type="cellIs" priority="6998" operator="between" id="{D2A4B5A5-C661-422F-A243-B6A0FC179BF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M548</xm:sqref>
        </x14:conditionalFormatting>
        <x14:conditionalFormatting xmlns:xm="http://schemas.microsoft.com/office/excel/2006/main">
          <x14:cfRule type="cellIs" priority="6993" operator="between" id="{8223F809-EFC0-4B33-8875-14345C526F1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M549</xm:sqref>
        </x14:conditionalFormatting>
        <x14:conditionalFormatting xmlns:xm="http://schemas.microsoft.com/office/excel/2006/main">
          <x14:cfRule type="cellIs" priority="6988" operator="between" id="{49DBB65E-76ED-4F47-9896-BAB8878B882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L550:S550</xm:sqref>
        </x14:conditionalFormatting>
        <x14:conditionalFormatting xmlns:xm="http://schemas.microsoft.com/office/excel/2006/main">
          <x14:cfRule type="cellIs" priority="6967" operator="between" id="{B713943B-3227-4432-81CB-F984C39AF22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L551:S551</xm:sqref>
        </x14:conditionalFormatting>
        <x14:conditionalFormatting xmlns:xm="http://schemas.microsoft.com/office/excel/2006/main">
          <x14:cfRule type="cellIs" priority="6946" operator="between" id="{92D86126-D094-4A63-AEDE-47467019288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L552:S552</xm:sqref>
        </x14:conditionalFormatting>
        <x14:conditionalFormatting xmlns:xm="http://schemas.microsoft.com/office/excel/2006/main">
          <x14:cfRule type="cellIs" priority="6925" operator="between" id="{8C522246-1D16-4551-BAD0-16178392E15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L537</xm:sqref>
        </x14:conditionalFormatting>
        <x14:conditionalFormatting xmlns:xm="http://schemas.microsoft.com/office/excel/2006/main">
          <x14:cfRule type="cellIs" priority="6924" operator="between" id="{17EF097C-CDC1-42E3-A461-0BAFF51F54F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L538</xm:sqref>
        </x14:conditionalFormatting>
        <x14:conditionalFormatting xmlns:xm="http://schemas.microsoft.com/office/excel/2006/main">
          <x14:cfRule type="cellIs" priority="6923" operator="between" id="{40D6902F-AEF0-4E9D-B569-609CF0E29C36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L541</xm:sqref>
        </x14:conditionalFormatting>
        <x14:conditionalFormatting xmlns:xm="http://schemas.microsoft.com/office/excel/2006/main">
          <x14:cfRule type="cellIs" priority="6922" operator="between" id="{88F55E6B-BE43-45D8-892F-93EA71036BA0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L534</xm:sqref>
        </x14:conditionalFormatting>
        <x14:conditionalFormatting xmlns:xm="http://schemas.microsoft.com/office/excel/2006/main">
          <x14:cfRule type="cellIs" priority="6921" operator="between" id="{E1C046C4-74D5-4B56-8B6F-63706252F3E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L553:S553</xm:sqref>
        </x14:conditionalFormatting>
        <x14:conditionalFormatting xmlns:xm="http://schemas.microsoft.com/office/excel/2006/main">
          <x14:cfRule type="cellIs" priority="6900" operator="between" id="{35D463D5-5213-4D2C-BBB5-551E432E8E70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L554:S554</xm:sqref>
        </x14:conditionalFormatting>
        <x14:conditionalFormatting xmlns:xm="http://schemas.microsoft.com/office/excel/2006/main">
          <x14:cfRule type="cellIs" priority="6879" operator="between" id="{9D2A8D40-EB62-4F02-A69D-E066CDC03645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L555:S555</xm:sqref>
        </x14:conditionalFormatting>
        <x14:conditionalFormatting xmlns:xm="http://schemas.microsoft.com/office/excel/2006/main">
          <x14:cfRule type="cellIs" priority="6858" operator="between" id="{9E8CE213-25A9-492D-8A8E-55AD0F363E2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L556:S556</xm:sqref>
        </x14:conditionalFormatting>
        <x14:conditionalFormatting xmlns:xm="http://schemas.microsoft.com/office/excel/2006/main">
          <x14:cfRule type="cellIs" priority="6837" operator="between" id="{A3CD54B0-47F9-4AE8-8A15-212384B6AE4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L557:S557</xm:sqref>
        </x14:conditionalFormatting>
        <x14:conditionalFormatting xmlns:xm="http://schemas.microsoft.com/office/excel/2006/main">
          <x14:cfRule type="cellIs" priority="6816" operator="between" id="{988D384E-91F0-4101-8C9A-6C624B895105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L558:S558</xm:sqref>
        </x14:conditionalFormatting>
        <x14:conditionalFormatting xmlns:xm="http://schemas.microsoft.com/office/excel/2006/main">
          <x14:cfRule type="cellIs" priority="6795" operator="between" id="{9BDC033A-17D2-47A1-8F93-8227ED571A4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L559:S559</xm:sqref>
        </x14:conditionalFormatting>
        <x14:conditionalFormatting xmlns:xm="http://schemas.microsoft.com/office/excel/2006/main">
          <x14:cfRule type="cellIs" priority="6774" operator="between" id="{ABFB725B-4FF3-4504-9D07-82FAEBBE3DD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L560:S560</xm:sqref>
        </x14:conditionalFormatting>
        <x14:conditionalFormatting xmlns:xm="http://schemas.microsoft.com/office/excel/2006/main">
          <x14:cfRule type="cellIs" priority="6753" operator="between" id="{4B19EB02-D1C6-4669-BB54-8F790A2FB775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L561:S561</xm:sqref>
        </x14:conditionalFormatting>
        <x14:conditionalFormatting xmlns:xm="http://schemas.microsoft.com/office/excel/2006/main">
          <x14:cfRule type="cellIs" priority="6732" operator="between" id="{7F4651B1-2AD9-46EE-A300-D8E8CEC1D866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L562:S562</xm:sqref>
        </x14:conditionalFormatting>
        <x14:conditionalFormatting xmlns:xm="http://schemas.microsoft.com/office/excel/2006/main">
          <x14:cfRule type="cellIs" priority="6711" operator="between" id="{3BEAC993-0742-410F-9D24-514B282C570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L563:S563</xm:sqref>
        </x14:conditionalFormatting>
        <x14:conditionalFormatting xmlns:xm="http://schemas.microsoft.com/office/excel/2006/main">
          <x14:cfRule type="cellIs" priority="6690" operator="between" id="{3316F034-16FD-4E39-8957-D920C8DFCF7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L564:S564</xm:sqref>
        </x14:conditionalFormatting>
        <x14:conditionalFormatting xmlns:xm="http://schemas.microsoft.com/office/excel/2006/main">
          <x14:cfRule type="cellIs" priority="6669" operator="between" id="{4C17F11F-9D4E-4880-9F39-C7FFED15B22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L565:S566</xm:sqref>
        </x14:conditionalFormatting>
        <x14:conditionalFormatting xmlns:xm="http://schemas.microsoft.com/office/excel/2006/main">
          <x14:cfRule type="cellIs" priority="6648" operator="between" id="{319DEB50-848D-4D70-A056-15E07C935728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L567:S567</xm:sqref>
        </x14:conditionalFormatting>
        <x14:conditionalFormatting xmlns:xm="http://schemas.microsoft.com/office/excel/2006/main">
          <x14:cfRule type="cellIs" priority="6627" operator="between" id="{D574F868-009E-4CB1-9EC6-8B18DA3EF36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L568:S568</xm:sqref>
        </x14:conditionalFormatting>
        <x14:conditionalFormatting xmlns:xm="http://schemas.microsoft.com/office/excel/2006/main">
          <x14:cfRule type="cellIs" priority="6606" operator="between" id="{7C31D9F9-361F-4343-B063-067B7899378F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L569:S569</xm:sqref>
        </x14:conditionalFormatting>
        <x14:conditionalFormatting xmlns:xm="http://schemas.microsoft.com/office/excel/2006/main">
          <x14:cfRule type="cellIs" priority="6581" operator="between" id="{8756D191-8115-45AE-855F-14659D12239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L570:S570</xm:sqref>
        </x14:conditionalFormatting>
        <x14:conditionalFormatting xmlns:xm="http://schemas.microsoft.com/office/excel/2006/main">
          <x14:cfRule type="cellIs" priority="6560" operator="between" id="{40D2A2C0-B071-4D33-90A0-A53ADA0FAAA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L571:S571</xm:sqref>
        </x14:conditionalFormatting>
        <x14:conditionalFormatting xmlns:xm="http://schemas.microsoft.com/office/excel/2006/main">
          <x14:cfRule type="cellIs" priority="6539" operator="between" id="{AAF6567A-023F-42A9-9E29-5C609F664AB6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L572:S572</xm:sqref>
        </x14:conditionalFormatting>
        <x14:conditionalFormatting xmlns:xm="http://schemas.microsoft.com/office/excel/2006/main">
          <x14:cfRule type="cellIs" priority="6518" operator="between" id="{52499DEA-20C4-477F-8761-661F5C4D1FE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L573:S573</xm:sqref>
        </x14:conditionalFormatting>
        <x14:conditionalFormatting xmlns:xm="http://schemas.microsoft.com/office/excel/2006/main">
          <x14:cfRule type="cellIs" priority="6497" operator="between" id="{33467D03-40D3-4497-A5FD-23B346D029CA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L574:S574</xm:sqref>
        </x14:conditionalFormatting>
        <x14:conditionalFormatting xmlns:xm="http://schemas.microsoft.com/office/excel/2006/main">
          <x14:cfRule type="cellIs" priority="6476" operator="between" id="{1C957455-EEDC-4711-A9FA-3BE3B663265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L575:S575</xm:sqref>
        </x14:conditionalFormatting>
        <x14:conditionalFormatting xmlns:xm="http://schemas.microsoft.com/office/excel/2006/main">
          <x14:cfRule type="cellIs" priority="6455" operator="between" id="{C3E95E21-75DA-4B98-8818-3886D286B1E3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L576:S576</xm:sqref>
        </x14:conditionalFormatting>
        <x14:conditionalFormatting xmlns:xm="http://schemas.microsoft.com/office/excel/2006/main">
          <x14:cfRule type="cellIs" priority="6434" operator="between" id="{182B8A7D-3956-4AE7-B2F7-6432E3A90CF6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L577:S577</xm:sqref>
        </x14:conditionalFormatting>
        <x14:conditionalFormatting xmlns:xm="http://schemas.microsoft.com/office/excel/2006/main">
          <x14:cfRule type="cellIs" priority="6413" operator="between" id="{B6EAAE8D-D05A-404C-B2E5-3B5E4DA2909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L578:S579</xm:sqref>
        </x14:conditionalFormatting>
        <x14:conditionalFormatting xmlns:xm="http://schemas.microsoft.com/office/excel/2006/main">
          <x14:cfRule type="cellIs" priority="6392" operator="between" id="{8A4017D0-87D6-4B44-ADDA-F3EFED7E545E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L580:S581</xm:sqref>
        </x14:conditionalFormatting>
        <x14:conditionalFormatting xmlns:xm="http://schemas.microsoft.com/office/excel/2006/main">
          <x14:cfRule type="cellIs" priority="6371" operator="between" id="{231F5856-3908-42B2-B3B4-896BA76B404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L582:S583</xm:sqref>
        </x14:conditionalFormatting>
        <x14:conditionalFormatting xmlns:xm="http://schemas.microsoft.com/office/excel/2006/main">
          <x14:cfRule type="cellIs" priority="6350" operator="between" id="{DCD89E76-B5F4-4678-8255-B8940BC064E8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L584:S584</xm:sqref>
        </x14:conditionalFormatting>
        <x14:conditionalFormatting xmlns:xm="http://schemas.microsoft.com/office/excel/2006/main">
          <x14:cfRule type="cellIs" priority="6329" operator="between" id="{CD22C3E9-20BA-4B5E-9BEC-5DC99E512F57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L585:S585</xm:sqref>
        </x14:conditionalFormatting>
        <x14:conditionalFormatting xmlns:xm="http://schemas.microsoft.com/office/excel/2006/main">
          <x14:cfRule type="cellIs" priority="6308" operator="between" id="{8CE7A4B7-FE99-40E4-BFD8-A342CB020BFE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L586:S586</xm:sqref>
        </x14:conditionalFormatting>
        <x14:conditionalFormatting xmlns:xm="http://schemas.microsoft.com/office/excel/2006/main">
          <x14:cfRule type="cellIs" priority="6287" operator="between" id="{18ABB8BE-DBF5-4233-87EE-73FBAFC1A197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L587:S587</xm:sqref>
        </x14:conditionalFormatting>
        <x14:conditionalFormatting xmlns:xm="http://schemas.microsoft.com/office/excel/2006/main">
          <x14:cfRule type="cellIs" priority="6266" operator="between" id="{D1AC6A7C-F610-4A3B-9F48-A191B8C84667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L588:S588</xm:sqref>
        </x14:conditionalFormatting>
        <x14:conditionalFormatting xmlns:xm="http://schemas.microsoft.com/office/excel/2006/main">
          <x14:cfRule type="cellIs" priority="6245" operator="between" id="{061B3679-7BC7-4943-8C11-DAA4764FA47F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L589:S589</xm:sqref>
        </x14:conditionalFormatting>
        <x14:conditionalFormatting xmlns:xm="http://schemas.microsoft.com/office/excel/2006/main">
          <x14:cfRule type="cellIs" priority="6224" operator="between" id="{6D056175-7CE8-4FD2-9F10-50CA409E646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L590:S590</xm:sqref>
        </x14:conditionalFormatting>
        <x14:conditionalFormatting xmlns:xm="http://schemas.microsoft.com/office/excel/2006/main">
          <x14:cfRule type="cellIs" priority="6203" operator="between" id="{0FE3674B-DF3C-4C99-AC6B-26D312E614D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L591:S591</xm:sqref>
        </x14:conditionalFormatting>
        <x14:conditionalFormatting xmlns:xm="http://schemas.microsoft.com/office/excel/2006/main">
          <x14:cfRule type="cellIs" priority="6182" operator="between" id="{FB5854C9-B217-4F4C-95E7-1C8FF5C683E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L592:S592</xm:sqref>
        </x14:conditionalFormatting>
        <x14:conditionalFormatting xmlns:xm="http://schemas.microsoft.com/office/excel/2006/main">
          <x14:cfRule type="cellIs" priority="6161" operator="between" id="{CD524CCD-A2DE-4930-BBAB-FD0EA2F67EC5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L593:S593</xm:sqref>
        </x14:conditionalFormatting>
        <x14:conditionalFormatting xmlns:xm="http://schemas.microsoft.com/office/excel/2006/main">
          <x14:cfRule type="cellIs" priority="6140" operator="between" id="{ABF9CE5D-1A28-4F77-9E6E-F778A3E457CE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L594:S594</xm:sqref>
        </x14:conditionalFormatting>
        <x14:conditionalFormatting xmlns:xm="http://schemas.microsoft.com/office/excel/2006/main">
          <x14:cfRule type="cellIs" priority="6119" operator="between" id="{A9E3C92D-6508-4169-A7C7-7A6FC1650970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L595:S595</xm:sqref>
        </x14:conditionalFormatting>
        <x14:conditionalFormatting xmlns:xm="http://schemas.microsoft.com/office/excel/2006/main">
          <x14:cfRule type="cellIs" priority="6098" operator="between" id="{8B79CA74-2021-42F4-B456-126A5B74A4D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L596:S596</xm:sqref>
        </x14:conditionalFormatting>
        <x14:conditionalFormatting xmlns:xm="http://schemas.microsoft.com/office/excel/2006/main">
          <x14:cfRule type="cellIs" priority="6077" operator="between" id="{EBE49ECF-4E49-4144-B7DA-C0680944FC7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L597:S597</xm:sqref>
        </x14:conditionalFormatting>
        <x14:conditionalFormatting xmlns:xm="http://schemas.microsoft.com/office/excel/2006/main">
          <x14:cfRule type="cellIs" priority="6056" operator="between" id="{B6FF9FE2-1069-4136-8DEB-65440CA6D2FE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L598:S598</xm:sqref>
        </x14:conditionalFormatting>
        <x14:conditionalFormatting xmlns:xm="http://schemas.microsoft.com/office/excel/2006/main">
          <x14:cfRule type="cellIs" priority="6035" operator="between" id="{ED4C64DE-52E6-4B1C-B52B-824EF94D64C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L599:S599</xm:sqref>
        </x14:conditionalFormatting>
        <x14:conditionalFormatting xmlns:xm="http://schemas.microsoft.com/office/excel/2006/main">
          <x14:cfRule type="cellIs" priority="6014" operator="between" id="{09241786-2248-4333-85E7-F92E36C8E9A6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M600:S600</xm:sqref>
        </x14:conditionalFormatting>
        <x14:conditionalFormatting xmlns:xm="http://schemas.microsoft.com/office/excel/2006/main">
          <x14:cfRule type="cellIs" priority="5993" operator="between" id="{E016C42C-AECF-4637-A9C0-58E2EB66579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L601:S601</xm:sqref>
        </x14:conditionalFormatting>
        <x14:conditionalFormatting xmlns:xm="http://schemas.microsoft.com/office/excel/2006/main">
          <x14:cfRule type="cellIs" priority="5972" operator="between" id="{E6E9476B-B626-4915-B8D0-2B4267DD6A68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L602:S602</xm:sqref>
        </x14:conditionalFormatting>
        <x14:conditionalFormatting xmlns:xm="http://schemas.microsoft.com/office/excel/2006/main">
          <x14:cfRule type="cellIs" priority="5951" operator="between" id="{7656F7F0-2B3A-4EFE-AF11-30B9B848BA8E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L603:S603</xm:sqref>
        </x14:conditionalFormatting>
        <x14:conditionalFormatting xmlns:xm="http://schemas.microsoft.com/office/excel/2006/main">
          <x14:cfRule type="cellIs" priority="5930" operator="between" id="{06E853B5-BD5F-4013-B0CF-B7C0641151C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L604:S607</xm:sqref>
        </x14:conditionalFormatting>
        <x14:conditionalFormatting xmlns:xm="http://schemas.microsoft.com/office/excel/2006/main">
          <x14:cfRule type="cellIs" priority="5909" operator="between" id="{6AAAE607-D6B0-4E9B-A47A-DCA888962377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L600</xm:sqref>
        </x14:conditionalFormatting>
        <x14:conditionalFormatting xmlns:xm="http://schemas.microsoft.com/office/excel/2006/main">
          <x14:cfRule type="cellIs" priority="5908" operator="between" id="{28D2E39C-9ECD-4504-BF80-33D39B2FF5DA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L608:S609</xm:sqref>
        </x14:conditionalFormatting>
        <x14:conditionalFormatting xmlns:xm="http://schemas.microsoft.com/office/excel/2006/main">
          <x14:cfRule type="cellIs" priority="5887" operator="between" id="{F5040FEA-8253-4B3E-8633-96AA75C0264E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L610:S611</xm:sqref>
        </x14:conditionalFormatting>
        <x14:conditionalFormatting xmlns:xm="http://schemas.microsoft.com/office/excel/2006/main">
          <x14:cfRule type="cellIs" priority="5854" operator="between" id="{768C3123-D49F-444F-9A7F-9DC4BE9FD1A8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L612:S612</xm:sqref>
        </x14:conditionalFormatting>
        <x14:conditionalFormatting xmlns:xm="http://schemas.microsoft.com/office/excel/2006/main">
          <x14:cfRule type="cellIs" priority="5833" operator="between" id="{E93C48B7-4C15-45A9-B06F-879325AC187F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L613:S616</xm:sqref>
        </x14:conditionalFormatting>
        <x14:conditionalFormatting xmlns:xm="http://schemas.microsoft.com/office/excel/2006/main">
          <x14:cfRule type="cellIs" priority="5812" operator="between" id="{68BCAB7E-BB2C-4E76-A22D-CBA083077E6F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L617:S617</xm:sqref>
        </x14:conditionalFormatting>
        <x14:conditionalFormatting xmlns:xm="http://schemas.microsoft.com/office/excel/2006/main">
          <x14:cfRule type="cellIs" priority="5791" operator="between" id="{566D9583-CA6F-464F-BD78-94CB272F94E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L618:S618</xm:sqref>
        </x14:conditionalFormatting>
        <x14:conditionalFormatting xmlns:xm="http://schemas.microsoft.com/office/excel/2006/main">
          <x14:cfRule type="cellIs" priority="5770" operator="between" id="{2D51DD0C-CF5D-47B9-A385-E2F6175E213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L619:S619</xm:sqref>
        </x14:conditionalFormatting>
        <x14:conditionalFormatting xmlns:xm="http://schemas.microsoft.com/office/excel/2006/main">
          <x14:cfRule type="cellIs" priority="5749" operator="between" id="{7A70D2DC-DAFC-4904-B9A4-F869477DFA95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L620:S621</xm:sqref>
        </x14:conditionalFormatting>
        <x14:conditionalFormatting xmlns:xm="http://schemas.microsoft.com/office/excel/2006/main">
          <x14:cfRule type="cellIs" priority="5728" operator="between" id="{2057C928-23F7-46A7-9625-A469364DF91F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L622:S622</xm:sqref>
        </x14:conditionalFormatting>
        <x14:conditionalFormatting xmlns:xm="http://schemas.microsoft.com/office/excel/2006/main">
          <x14:cfRule type="cellIs" priority="5707" operator="between" id="{F46B5936-36F3-4737-9793-4C1A518B5DA3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L623:S623</xm:sqref>
        </x14:conditionalFormatting>
        <x14:conditionalFormatting xmlns:xm="http://schemas.microsoft.com/office/excel/2006/main">
          <x14:cfRule type="cellIs" priority="5686" operator="between" id="{D205BB1A-FB98-4F4E-9259-DE6E32761B3A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L624:S624</xm:sqref>
        </x14:conditionalFormatting>
        <x14:conditionalFormatting xmlns:xm="http://schemas.microsoft.com/office/excel/2006/main">
          <x14:cfRule type="cellIs" priority="5665" operator="between" id="{47A5548C-0A45-4EBF-B1D9-BCD294E17E2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L625:S625</xm:sqref>
        </x14:conditionalFormatting>
        <x14:conditionalFormatting xmlns:xm="http://schemas.microsoft.com/office/excel/2006/main">
          <x14:cfRule type="cellIs" priority="5644" operator="between" id="{3B9CB9AC-0C6F-4754-908D-478556D6D03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L626:S626</xm:sqref>
        </x14:conditionalFormatting>
        <x14:conditionalFormatting xmlns:xm="http://schemas.microsoft.com/office/excel/2006/main">
          <x14:cfRule type="cellIs" priority="5623" operator="between" id="{0BA5A54C-B572-4F5C-9FD0-1419478084B3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L627:S627</xm:sqref>
        </x14:conditionalFormatting>
        <x14:conditionalFormatting xmlns:xm="http://schemas.microsoft.com/office/excel/2006/main">
          <x14:cfRule type="cellIs" priority="5602" operator="between" id="{8064A54F-0730-4A7A-B2A8-ECF878E7901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L628:S632</xm:sqref>
        </x14:conditionalFormatting>
        <x14:conditionalFormatting xmlns:xm="http://schemas.microsoft.com/office/excel/2006/main">
          <x14:cfRule type="cellIs" priority="5581" operator="between" id="{A758C583-AD2F-49C3-86D3-4FC91C15E00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L633:S633</xm:sqref>
        </x14:conditionalFormatting>
        <x14:conditionalFormatting xmlns:xm="http://schemas.microsoft.com/office/excel/2006/main">
          <x14:cfRule type="cellIs" priority="5560" operator="between" id="{A8D9FEAD-3CF4-4D66-A2A0-98ADD28806B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L634:S635</xm:sqref>
        </x14:conditionalFormatting>
        <x14:conditionalFormatting xmlns:xm="http://schemas.microsoft.com/office/excel/2006/main">
          <x14:cfRule type="cellIs" priority="5539" operator="between" id="{82A885AF-9D31-4CE4-B99F-0AB959E233BE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L636:S637</xm:sqref>
        </x14:conditionalFormatting>
        <x14:conditionalFormatting xmlns:xm="http://schemas.microsoft.com/office/excel/2006/main">
          <x14:cfRule type="cellIs" priority="5518" operator="between" id="{67C0D338-09C1-4AAD-9777-B5EC662454D0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L638:S638</xm:sqref>
        </x14:conditionalFormatting>
        <x14:conditionalFormatting xmlns:xm="http://schemas.microsoft.com/office/excel/2006/main">
          <x14:cfRule type="cellIs" priority="5497" operator="between" id="{5A54530A-5050-45FE-97EA-2F119BF8758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L639:S639</xm:sqref>
        </x14:conditionalFormatting>
        <x14:conditionalFormatting xmlns:xm="http://schemas.microsoft.com/office/excel/2006/main">
          <x14:cfRule type="cellIs" priority="5476" operator="between" id="{19D167C3-14F0-4E5E-B47C-2D74A3E14E7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L640:S640</xm:sqref>
        </x14:conditionalFormatting>
        <x14:conditionalFormatting xmlns:xm="http://schemas.microsoft.com/office/excel/2006/main">
          <x14:cfRule type="cellIs" priority="5455" operator="between" id="{970546D5-41AD-46B4-9D41-FF17469D8B70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L641:S641</xm:sqref>
        </x14:conditionalFormatting>
        <x14:conditionalFormatting xmlns:xm="http://schemas.microsoft.com/office/excel/2006/main">
          <x14:cfRule type="cellIs" priority="5434" operator="between" id="{81AA2BAB-47B8-4690-9702-6896DD9BF3F8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L642:S642</xm:sqref>
        </x14:conditionalFormatting>
        <x14:conditionalFormatting xmlns:xm="http://schemas.microsoft.com/office/excel/2006/main">
          <x14:cfRule type="cellIs" priority="5413" operator="between" id="{8ED35657-A99A-4D10-864D-4F39450E49E8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L643:S643</xm:sqref>
        </x14:conditionalFormatting>
        <x14:conditionalFormatting xmlns:xm="http://schemas.microsoft.com/office/excel/2006/main">
          <x14:cfRule type="cellIs" priority="5392" operator="between" id="{2B0781E4-7DBE-4B32-AC8F-7A961483158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L644:S644</xm:sqref>
        </x14:conditionalFormatting>
        <x14:conditionalFormatting xmlns:xm="http://schemas.microsoft.com/office/excel/2006/main">
          <x14:cfRule type="cellIs" priority="5371" operator="between" id="{FB8681C8-F32F-448C-B487-A685AC8BB7CE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L645:S645</xm:sqref>
        </x14:conditionalFormatting>
        <x14:conditionalFormatting xmlns:xm="http://schemas.microsoft.com/office/excel/2006/main">
          <x14:cfRule type="cellIs" priority="5350" operator="between" id="{A64F739C-453A-4E8B-9991-7FCE8B3C3B3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L646:S646</xm:sqref>
        </x14:conditionalFormatting>
        <x14:conditionalFormatting xmlns:xm="http://schemas.microsoft.com/office/excel/2006/main">
          <x14:cfRule type="cellIs" priority="5329" operator="between" id="{C92259E2-A810-40EE-8D6F-DF183D72DD37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L647:S647</xm:sqref>
        </x14:conditionalFormatting>
        <x14:conditionalFormatting xmlns:xm="http://schemas.microsoft.com/office/excel/2006/main">
          <x14:cfRule type="cellIs" priority="5308" operator="between" id="{1B7A383A-210F-47AC-8EE2-FB5EBD4886C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L648:S648</xm:sqref>
        </x14:conditionalFormatting>
        <x14:conditionalFormatting xmlns:xm="http://schemas.microsoft.com/office/excel/2006/main">
          <x14:cfRule type="cellIs" priority="5287" operator="between" id="{36475975-B1E8-464B-B500-C00C11ABA473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L649:S649</xm:sqref>
        </x14:conditionalFormatting>
        <x14:conditionalFormatting xmlns:xm="http://schemas.microsoft.com/office/excel/2006/main">
          <x14:cfRule type="cellIs" priority="5266" operator="between" id="{BA47B1F3-899A-4EDA-BBA1-E67EE3573AB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L650:S650</xm:sqref>
        </x14:conditionalFormatting>
        <x14:conditionalFormatting xmlns:xm="http://schemas.microsoft.com/office/excel/2006/main">
          <x14:cfRule type="cellIs" priority="5245" operator="between" id="{4AED3E71-8580-4D99-831A-DCD488FE9CC8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L651:S651</xm:sqref>
        </x14:conditionalFormatting>
        <x14:conditionalFormatting xmlns:xm="http://schemas.microsoft.com/office/excel/2006/main">
          <x14:cfRule type="cellIs" priority="5203" operator="between" id="{E3B88196-65DF-4C4D-B56C-1C83792E48C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L652:S652</xm:sqref>
        </x14:conditionalFormatting>
        <x14:conditionalFormatting xmlns:xm="http://schemas.microsoft.com/office/excel/2006/main">
          <x14:cfRule type="cellIs" priority="5182" operator="between" id="{4D2A8F88-C018-44FF-9781-E10D9E082348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L653:S653</xm:sqref>
        </x14:conditionalFormatting>
        <x14:conditionalFormatting xmlns:xm="http://schemas.microsoft.com/office/excel/2006/main">
          <x14:cfRule type="cellIs" priority="5161" operator="between" id="{67D24296-2050-4A90-BE8D-1BADF75F95C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L654:S654</xm:sqref>
        </x14:conditionalFormatting>
        <x14:conditionalFormatting xmlns:xm="http://schemas.microsoft.com/office/excel/2006/main">
          <x14:cfRule type="cellIs" priority="5140" operator="between" id="{99E0282B-CD07-41C2-BE0F-923C4889204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L655:S655</xm:sqref>
        </x14:conditionalFormatting>
        <x14:conditionalFormatting xmlns:xm="http://schemas.microsoft.com/office/excel/2006/main">
          <x14:cfRule type="cellIs" priority="5119" operator="between" id="{E1315EAF-5041-479B-8EBE-B0980830B76E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L656:S656</xm:sqref>
        </x14:conditionalFormatting>
        <x14:conditionalFormatting xmlns:xm="http://schemas.microsoft.com/office/excel/2006/main">
          <x14:cfRule type="cellIs" priority="5098" operator="between" id="{C38F0B56-8F5F-462C-9182-DCFDC13A79D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L657:S657</xm:sqref>
        </x14:conditionalFormatting>
        <x14:conditionalFormatting xmlns:xm="http://schemas.microsoft.com/office/excel/2006/main">
          <x14:cfRule type="cellIs" priority="5077" operator="between" id="{4D32CF2C-30CD-4F38-BB80-C1A6687D4CAE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L658:S658</xm:sqref>
        </x14:conditionalFormatting>
        <x14:conditionalFormatting xmlns:xm="http://schemas.microsoft.com/office/excel/2006/main">
          <x14:cfRule type="cellIs" priority="5056" operator="between" id="{37AB701C-7A5D-4B31-BD57-7593225212E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L659:S659</xm:sqref>
        </x14:conditionalFormatting>
        <x14:conditionalFormatting xmlns:xm="http://schemas.microsoft.com/office/excel/2006/main">
          <x14:cfRule type="cellIs" priority="5035" operator="between" id="{66AEEA0E-5BD3-4E27-8A5E-845778AC3BD6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L660:S660</xm:sqref>
        </x14:conditionalFormatting>
        <x14:conditionalFormatting xmlns:xm="http://schemas.microsoft.com/office/excel/2006/main">
          <x14:cfRule type="cellIs" priority="5014" operator="between" id="{77FEF830-E249-438A-8233-B2E3397B97E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L661:S661</xm:sqref>
        </x14:conditionalFormatting>
        <x14:conditionalFormatting xmlns:xm="http://schemas.microsoft.com/office/excel/2006/main">
          <x14:cfRule type="cellIs" priority="4993" operator="between" id="{3B90F130-E379-448C-9BD9-048DA6823BE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L662:S662</xm:sqref>
        </x14:conditionalFormatting>
        <x14:conditionalFormatting xmlns:xm="http://schemas.microsoft.com/office/excel/2006/main">
          <x14:cfRule type="cellIs" priority="4972" operator="between" id="{C498C623-1F27-4F84-84DB-5A7C03A4202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L663:S663</xm:sqref>
        </x14:conditionalFormatting>
        <x14:conditionalFormatting xmlns:xm="http://schemas.microsoft.com/office/excel/2006/main">
          <x14:cfRule type="cellIs" priority="4951" operator="between" id="{675955DF-7815-4336-B0F5-6D4B77C2407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L664:S664</xm:sqref>
        </x14:conditionalFormatting>
        <x14:conditionalFormatting xmlns:xm="http://schemas.microsoft.com/office/excel/2006/main">
          <x14:cfRule type="cellIs" priority="4930" operator="between" id="{9E14E921-4699-4767-B144-65FAA3F6436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L665:S665</xm:sqref>
        </x14:conditionalFormatting>
        <x14:conditionalFormatting xmlns:xm="http://schemas.microsoft.com/office/excel/2006/main">
          <x14:cfRule type="cellIs" priority="4909" operator="between" id="{F9619480-09C0-4518-BAE8-BEA61860D1A0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L666:S666</xm:sqref>
        </x14:conditionalFormatting>
        <x14:conditionalFormatting xmlns:xm="http://schemas.microsoft.com/office/excel/2006/main">
          <x14:cfRule type="cellIs" priority="4888" operator="between" id="{5C449580-13B5-4972-8EE4-32DA9947BEE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L667:S667</xm:sqref>
        </x14:conditionalFormatting>
        <x14:conditionalFormatting xmlns:xm="http://schemas.microsoft.com/office/excel/2006/main">
          <x14:cfRule type="cellIs" priority="4867" operator="between" id="{0FE978C5-348F-4E9C-89EE-B9CF261E0D3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L668:S668</xm:sqref>
        </x14:conditionalFormatting>
        <x14:conditionalFormatting xmlns:xm="http://schemas.microsoft.com/office/excel/2006/main">
          <x14:cfRule type="cellIs" priority="4846" operator="between" id="{EC4A301E-6A94-4F39-B4EF-C3F1B966452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L669:S669</xm:sqref>
        </x14:conditionalFormatting>
        <x14:conditionalFormatting xmlns:xm="http://schemas.microsoft.com/office/excel/2006/main">
          <x14:cfRule type="cellIs" priority="4825" operator="between" id="{B7372419-736C-49A9-88D6-C486EE8C81E7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L670:S670</xm:sqref>
        </x14:conditionalFormatting>
        <x14:conditionalFormatting xmlns:xm="http://schemas.microsoft.com/office/excel/2006/main">
          <x14:cfRule type="cellIs" priority="4804" operator="between" id="{89D6D79D-3C17-4809-8BBF-F8F29813150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L671:S671</xm:sqref>
        </x14:conditionalFormatting>
        <x14:conditionalFormatting xmlns:xm="http://schemas.microsoft.com/office/excel/2006/main">
          <x14:cfRule type="cellIs" priority="4783" operator="between" id="{B487C15F-7E80-4D57-94BE-BD5E16D167EF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L672:S672</xm:sqref>
        </x14:conditionalFormatting>
        <x14:conditionalFormatting xmlns:xm="http://schemas.microsoft.com/office/excel/2006/main">
          <x14:cfRule type="cellIs" priority="4762" operator="between" id="{E59FEED2-4DD3-4CBA-8DBC-B470C8474837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L673:S673</xm:sqref>
        </x14:conditionalFormatting>
        <x14:conditionalFormatting xmlns:xm="http://schemas.microsoft.com/office/excel/2006/main">
          <x14:cfRule type="cellIs" priority="4741" operator="between" id="{89ACFFDC-8E7C-45C3-8C6D-A8BFDA20F057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L674:S674</xm:sqref>
        </x14:conditionalFormatting>
        <x14:conditionalFormatting xmlns:xm="http://schemas.microsoft.com/office/excel/2006/main">
          <x14:cfRule type="cellIs" priority="4720" operator="between" id="{8FDB0509-7FBD-4808-8911-1FA9F345B823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L675:S675</xm:sqref>
        </x14:conditionalFormatting>
        <x14:conditionalFormatting xmlns:xm="http://schemas.microsoft.com/office/excel/2006/main">
          <x14:cfRule type="cellIs" priority="4699" operator="between" id="{816A9F48-3DDD-4450-8783-9A54CCBDA466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L676:S676</xm:sqref>
        </x14:conditionalFormatting>
        <x14:conditionalFormatting xmlns:xm="http://schemas.microsoft.com/office/excel/2006/main">
          <x14:cfRule type="cellIs" priority="4678" operator="between" id="{503670C6-5371-45CA-A245-48C7840BB72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L677:S677</xm:sqref>
        </x14:conditionalFormatting>
        <x14:conditionalFormatting xmlns:xm="http://schemas.microsoft.com/office/excel/2006/main">
          <x14:cfRule type="cellIs" priority="4657" operator="between" id="{7C76D6E1-26D2-447C-91BF-89FBAEDB8D5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L678:S678</xm:sqref>
        </x14:conditionalFormatting>
        <x14:conditionalFormatting xmlns:xm="http://schemas.microsoft.com/office/excel/2006/main">
          <x14:cfRule type="cellIs" priority="4636" operator="between" id="{A8B2D1E2-E104-472D-B6C3-863C8B3442C6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L679:S679</xm:sqref>
        </x14:conditionalFormatting>
        <x14:conditionalFormatting xmlns:xm="http://schemas.microsoft.com/office/excel/2006/main">
          <x14:cfRule type="cellIs" priority="4615" operator="between" id="{98359ADF-4B02-48FB-A5A7-860C8FD65DC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L680:S680</xm:sqref>
        </x14:conditionalFormatting>
        <x14:conditionalFormatting xmlns:xm="http://schemas.microsoft.com/office/excel/2006/main">
          <x14:cfRule type="cellIs" priority="4594" operator="between" id="{A6AB5598-E035-4DF9-9D20-0DFEDAA7302E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L681:S681</xm:sqref>
        </x14:conditionalFormatting>
        <x14:conditionalFormatting xmlns:xm="http://schemas.microsoft.com/office/excel/2006/main">
          <x14:cfRule type="cellIs" priority="4573" operator="between" id="{D1221020-1D7D-4F59-940F-3718843483A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L682:S682</xm:sqref>
        </x14:conditionalFormatting>
        <x14:conditionalFormatting xmlns:xm="http://schemas.microsoft.com/office/excel/2006/main">
          <x14:cfRule type="cellIs" priority="4552" operator="between" id="{C54E649B-962A-4CD4-B853-190E7163267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L683:S683</xm:sqref>
        </x14:conditionalFormatting>
        <x14:conditionalFormatting xmlns:xm="http://schemas.microsoft.com/office/excel/2006/main">
          <x14:cfRule type="cellIs" priority="4531" operator="between" id="{05D0179F-15E2-444E-AABC-57DAF8D1C4D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L684:S684</xm:sqref>
        </x14:conditionalFormatting>
        <x14:conditionalFormatting xmlns:xm="http://schemas.microsoft.com/office/excel/2006/main">
          <x14:cfRule type="cellIs" priority="4510" operator="between" id="{B82128E5-8447-4A51-BC80-F85B6A59AA46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L685:S685</xm:sqref>
        </x14:conditionalFormatting>
        <x14:conditionalFormatting xmlns:xm="http://schemas.microsoft.com/office/excel/2006/main">
          <x14:cfRule type="cellIs" priority="4489" operator="between" id="{40E564B9-94F1-42AB-9962-C98616106B8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L686:S686</xm:sqref>
        </x14:conditionalFormatting>
        <x14:conditionalFormatting xmlns:xm="http://schemas.microsoft.com/office/excel/2006/main">
          <x14:cfRule type="cellIs" priority="4468" operator="between" id="{F178F7E7-08B7-45E1-BFDB-80A2CE2DF206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L687:S687</xm:sqref>
        </x14:conditionalFormatting>
        <x14:conditionalFormatting xmlns:xm="http://schemas.microsoft.com/office/excel/2006/main">
          <x14:cfRule type="cellIs" priority="4447" operator="between" id="{410F9070-D6A1-4D79-9299-41258215B396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L688:S688</xm:sqref>
        </x14:conditionalFormatting>
        <x14:conditionalFormatting xmlns:xm="http://schemas.microsoft.com/office/excel/2006/main">
          <x14:cfRule type="cellIs" priority="4426" operator="between" id="{BC9060B8-A600-4D81-80DF-EBED6A350943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L689:S690</xm:sqref>
        </x14:conditionalFormatting>
        <x14:conditionalFormatting xmlns:xm="http://schemas.microsoft.com/office/excel/2006/main">
          <x14:cfRule type="cellIs" priority="4405" operator="between" id="{0C735B83-0C40-4DCC-82B1-ED591C48A35E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L691:S691</xm:sqref>
        </x14:conditionalFormatting>
        <x14:conditionalFormatting xmlns:xm="http://schemas.microsoft.com/office/excel/2006/main">
          <x14:cfRule type="cellIs" priority="4384" operator="between" id="{0E3A51ED-C814-4077-8BE8-5557F8778110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L692:S692</xm:sqref>
        </x14:conditionalFormatting>
        <x14:conditionalFormatting xmlns:xm="http://schemas.microsoft.com/office/excel/2006/main">
          <x14:cfRule type="cellIs" priority="4363" operator="between" id="{7B89C3DE-6C3B-48D2-915B-5F5F1C8F50FE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L693:S693</xm:sqref>
        </x14:conditionalFormatting>
        <x14:conditionalFormatting xmlns:xm="http://schemas.microsoft.com/office/excel/2006/main">
          <x14:cfRule type="cellIs" priority="4342" operator="between" id="{CF745BB7-4C86-4C8B-B45F-069A6C810798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L694:S694</xm:sqref>
        </x14:conditionalFormatting>
        <x14:conditionalFormatting xmlns:xm="http://schemas.microsoft.com/office/excel/2006/main">
          <x14:cfRule type="cellIs" priority="4321" operator="between" id="{0E49677F-236F-41C3-9365-53304FB20BD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L695:S695</xm:sqref>
        </x14:conditionalFormatting>
        <x14:conditionalFormatting xmlns:xm="http://schemas.microsoft.com/office/excel/2006/main">
          <x14:cfRule type="cellIs" priority="4300" operator="between" id="{93CD314E-D1C6-4A2A-B8C8-2F3822415873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L696:S696</xm:sqref>
        </x14:conditionalFormatting>
        <x14:conditionalFormatting xmlns:xm="http://schemas.microsoft.com/office/excel/2006/main">
          <x14:cfRule type="cellIs" priority="4279" operator="between" id="{797244C4-7BD4-4711-B7B9-DD8C32B8738A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L697:S697</xm:sqref>
        </x14:conditionalFormatting>
        <x14:conditionalFormatting xmlns:xm="http://schemas.microsoft.com/office/excel/2006/main">
          <x14:cfRule type="cellIs" priority="4258" operator="between" id="{062939FF-C617-4998-A2C1-4DDCF68DF04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L698:S698</xm:sqref>
        </x14:conditionalFormatting>
        <x14:conditionalFormatting xmlns:xm="http://schemas.microsoft.com/office/excel/2006/main">
          <x14:cfRule type="cellIs" priority="4237" operator="between" id="{124857B5-7E9F-444A-B6DF-587DFFB667A8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L699:S699</xm:sqref>
        </x14:conditionalFormatting>
        <x14:conditionalFormatting xmlns:xm="http://schemas.microsoft.com/office/excel/2006/main">
          <x14:cfRule type="cellIs" priority="4216" operator="between" id="{22CE258D-BA1F-43AF-ACE6-3FC4A14C6A0E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L700:S700</xm:sqref>
        </x14:conditionalFormatting>
        <x14:conditionalFormatting xmlns:xm="http://schemas.microsoft.com/office/excel/2006/main">
          <x14:cfRule type="cellIs" priority="4195" operator="between" id="{A34C36F0-B23B-4E5F-A3B1-07BFD17A667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L701:S701</xm:sqref>
        </x14:conditionalFormatting>
        <x14:conditionalFormatting xmlns:xm="http://schemas.microsoft.com/office/excel/2006/main">
          <x14:cfRule type="cellIs" priority="4174" operator="between" id="{8F7678B9-E99C-4B2E-BEA4-1E69A07D7EC8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L702:S702</xm:sqref>
        </x14:conditionalFormatting>
        <x14:conditionalFormatting xmlns:xm="http://schemas.microsoft.com/office/excel/2006/main">
          <x14:cfRule type="cellIs" priority="4153" operator="between" id="{5BE28E0C-6E02-4A14-B3A4-AC4A88F664F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L703:S703</xm:sqref>
        </x14:conditionalFormatting>
        <x14:conditionalFormatting xmlns:xm="http://schemas.microsoft.com/office/excel/2006/main">
          <x14:cfRule type="cellIs" priority="4132" operator="between" id="{5898AEE8-D4EF-4603-BA17-BCD6CC83ABB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L704:S704</xm:sqref>
        </x14:conditionalFormatting>
        <x14:conditionalFormatting xmlns:xm="http://schemas.microsoft.com/office/excel/2006/main">
          <x14:cfRule type="cellIs" priority="4111" operator="between" id="{5AFF3559-6DAB-447E-B2F0-464B8BA577A6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L705:S705</xm:sqref>
        </x14:conditionalFormatting>
        <x14:conditionalFormatting xmlns:xm="http://schemas.microsoft.com/office/excel/2006/main">
          <x14:cfRule type="cellIs" priority="4090" operator="between" id="{CA499361-D934-4908-B964-1CB7BE81D1E3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L706:S706</xm:sqref>
        </x14:conditionalFormatting>
        <x14:conditionalFormatting xmlns:xm="http://schemas.microsoft.com/office/excel/2006/main">
          <x14:cfRule type="cellIs" priority="4069" operator="between" id="{54F80312-4AF6-41EB-B2AC-8C9FE4832BAF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L707:S708</xm:sqref>
        </x14:conditionalFormatting>
        <x14:conditionalFormatting xmlns:xm="http://schemas.microsoft.com/office/excel/2006/main">
          <x14:cfRule type="cellIs" priority="4048" operator="between" id="{EC91AE0F-2440-4C60-9338-37303CC91E6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L709:S709</xm:sqref>
        </x14:conditionalFormatting>
        <x14:conditionalFormatting xmlns:xm="http://schemas.microsoft.com/office/excel/2006/main">
          <x14:cfRule type="cellIs" priority="4027" operator="between" id="{C79F4212-4EA7-4363-888B-A9A47514873A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L710:S710</xm:sqref>
        </x14:conditionalFormatting>
        <x14:conditionalFormatting xmlns:xm="http://schemas.microsoft.com/office/excel/2006/main">
          <x14:cfRule type="cellIs" priority="4006" operator="between" id="{6106380D-17A1-4856-A447-385672FF2DA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L711:S711</xm:sqref>
        </x14:conditionalFormatting>
        <x14:conditionalFormatting xmlns:xm="http://schemas.microsoft.com/office/excel/2006/main">
          <x14:cfRule type="cellIs" priority="3985" operator="between" id="{D1462D14-8C95-498A-A923-E779762071DE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L712:S712</xm:sqref>
        </x14:conditionalFormatting>
        <x14:conditionalFormatting xmlns:xm="http://schemas.microsoft.com/office/excel/2006/main">
          <x14:cfRule type="cellIs" priority="3964" operator="between" id="{AA15329A-3E89-4FC8-BDCB-FEADE72EA8E7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L713:S713</xm:sqref>
        </x14:conditionalFormatting>
        <x14:conditionalFormatting xmlns:xm="http://schemas.microsoft.com/office/excel/2006/main">
          <x14:cfRule type="cellIs" priority="3943" operator="between" id="{0E2C5816-F817-4C04-BE74-428B97B0E5F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L714:S714</xm:sqref>
        </x14:conditionalFormatting>
        <x14:conditionalFormatting xmlns:xm="http://schemas.microsoft.com/office/excel/2006/main">
          <x14:cfRule type="cellIs" priority="3922" operator="between" id="{B0F4A568-228E-4F82-91A4-863D80A3FCEE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L715:S715</xm:sqref>
        </x14:conditionalFormatting>
        <x14:conditionalFormatting xmlns:xm="http://schemas.microsoft.com/office/excel/2006/main">
          <x14:cfRule type="cellIs" priority="3901" operator="between" id="{303BD20C-1359-4878-9E0E-FF17D3B3A90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L716:S716</xm:sqref>
        </x14:conditionalFormatting>
        <x14:conditionalFormatting xmlns:xm="http://schemas.microsoft.com/office/excel/2006/main">
          <x14:cfRule type="cellIs" priority="3880" operator="between" id="{8D423B64-3A29-4EA9-B3EA-09729FA4A77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L717:S717</xm:sqref>
        </x14:conditionalFormatting>
        <x14:conditionalFormatting xmlns:xm="http://schemas.microsoft.com/office/excel/2006/main">
          <x14:cfRule type="cellIs" priority="3859" operator="between" id="{9234E8B2-0BCD-4B7D-91A4-48EC81142147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L718:S718</xm:sqref>
        </x14:conditionalFormatting>
        <x14:conditionalFormatting xmlns:xm="http://schemas.microsoft.com/office/excel/2006/main">
          <x14:cfRule type="cellIs" priority="3838" operator="between" id="{4E857172-0C31-4F1E-BF57-1F9A7C5BBF48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L719:S719</xm:sqref>
        </x14:conditionalFormatting>
        <x14:conditionalFormatting xmlns:xm="http://schemas.microsoft.com/office/excel/2006/main">
          <x14:cfRule type="cellIs" priority="3817" operator="between" id="{2A0BBF07-6317-4F5E-84B9-C7DA2556B82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L720:S720</xm:sqref>
        </x14:conditionalFormatting>
        <x14:conditionalFormatting xmlns:xm="http://schemas.microsoft.com/office/excel/2006/main">
          <x14:cfRule type="cellIs" priority="3796" operator="between" id="{6BA1FB8C-9C87-44DE-8C12-1AFF2C2C64C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L721:S721</xm:sqref>
        </x14:conditionalFormatting>
        <x14:conditionalFormatting xmlns:xm="http://schemas.microsoft.com/office/excel/2006/main">
          <x14:cfRule type="cellIs" priority="3775" operator="between" id="{01017864-C2D7-4466-9F4F-B59E42320C8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L722:S722</xm:sqref>
        </x14:conditionalFormatting>
        <x14:conditionalFormatting xmlns:xm="http://schemas.microsoft.com/office/excel/2006/main">
          <x14:cfRule type="cellIs" priority="3754" operator="between" id="{63BF4569-7D88-4C67-98CA-E34C47D286A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L723:S723</xm:sqref>
        </x14:conditionalFormatting>
        <x14:conditionalFormatting xmlns:xm="http://schemas.microsoft.com/office/excel/2006/main">
          <x14:cfRule type="cellIs" priority="3733" operator="between" id="{FEF04676-6AA0-4EA9-9C85-C4CB19DDD20A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L724:S724</xm:sqref>
        </x14:conditionalFormatting>
        <x14:conditionalFormatting xmlns:xm="http://schemas.microsoft.com/office/excel/2006/main">
          <x14:cfRule type="cellIs" priority="3712" operator="between" id="{5D3AB6CF-83BC-47DD-AF52-0D39457AC938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L725:S725</xm:sqref>
        </x14:conditionalFormatting>
        <x14:conditionalFormatting xmlns:xm="http://schemas.microsoft.com/office/excel/2006/main">
          <x14:cfRule type="cellIs" priority="3691" operator="between" id="{2EF67330-012F-429C-A762-AB2FEDBAA0D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L726:S726</xm:sqref>
        </x14:conditionalFormatting>
        <x14:conditionalFormatting xmlns:xm="http://schemas.microsoft.com/office/excel/2006/main">
          <x14:cfRule type="cellIs" priority="3670" operator="between" id="{265898B1-3E49-4B6F-A0F1-09D696080F1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L727:S727</xm:sqref>
        </x14:conditionalFormatting>
        <x14:conditionalFormatting xmlns:xm="http://schemas.microsoft.com/office/excel/2006/main">
          <x14:cfRule type="cellIs" priority="3649" operator="between" id="{A2716378-7271-4202-B7AF-ABD40ABDD83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L728:S728</xm:sqref>
        </x14:conditionalFormatting>
        <x14:conditionalFormatting xmlns:xm="http://schemas.microsoft.com/office/excel/2006/main">
          <x14:cfRule type="cellIs" priority="3628" operator="between" id="{15024531-5ACF-4202-AD81-516D1D1445D7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L729:S729</xm:sqref>
        </x14:conditionalFormatting>
        <x14:conditionalFormatting xmlns:xm="http://schemas.microsoft.com/office/excel/2006/main">
          <x14:cfRule type="cellIs" priority="3607" operator="between" id="{5A1798E1-9C76-440F-B78B-59365434FA25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L730:S730</xm:sqref>
        </x14:conditionalFormatting>
        <x14:conditionalFormatting xmlns:xm="http://schemas.microsoft.com/office/excel/2006/main">
          <x14:cfRule type="cellIs" priority="3586" operator="between" id="{42F63A84-30FB-4B58-B73C-A13860A4C39F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L731:S731</xm:sqref>
        </x14:conditionalFormatting>
        <x14:conditionalFormatting xmlns:xm="http://schemas.microsoft.com/office/excel/2006/main">
          <x14:cfRule type="cellIs" priority="3565" operator="between" id="{F3615FD9-C45F-480E-A7A1-DE12B0917568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L732:S732</xm:sqref>
        </x14:conditionalFormatting>
        <x14:conditionalFormatting xmlns:xm="http://schemas.microsoft.com/office/excel/2006/main">
          <x14:cfRule type="cellIs" priority="3544" operator="between" id="{7A30D914-A5AE-4849-8018-AD3D216B4CFE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L733:S733</xm:sqref>
        </x14:conditionalFormatting>
        <x14:conditionalFormatting xmlns:xm="http://schemas.microsoft.com/office/excel/2006/main">
          <x14:cfRule type="cellIs" priority="3523" operator="between" id="{F5834046-2CC8-4BE5-B3FD-D363AFECEE1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L734:S734</xm:sqref>
        </x14:conditionalFormatting>
        <x14:conditionalFormatting xmlns:xm="http://schemas.microsoft.com/office/excel/2006/main">
          <x14:cfRule type="cellIs" priority="3502" operator="between" id="{ED804849-96FA-4657-A90E-5CF1151B32B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L735:S735</xm:sqref>
        </x14:conditionalFormatting>
        <x14:conditionalFormatting xmlns:xm="http://schemas.microsoft.com/office/excel/2006/main">
          <x14:cfRule type="cellIs" priority="3481" operator="between" id="{0D1C763F-B4B3-4BFC-A53C-5A93A5B54115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L736:S736</xm:sqref>
        </x14:conditionalFormatting>
        <x14:conditionalFormatting xmlns:xm="http://schemas.microsoft.com/office/excel/2006/main">
          <x14:cfRule type="cellIs" priority="3460" operator="between" id="{13FE7AFC-3947-4F1E-8EB4-729FDB38265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L737:S737</xm:sqref>
        </x14:conditionalFormatting>
        <x14:conditionalFormatting xmlns:xm="http://schemas.microsoft.com/office/excel/2006/main">
          <x14:cfRule type="cellIs" priority="3439" operator="between" id="{BD39882D-3F7C-41E9-AB36-6332F7FE7300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L738:S738</xm:sqref>
        </x14:conditionalFormatting>
        <x14:conditionalFormatting xmlns:xm="http://schemas.microsoft.com/office/excel/2006/main">
          <x14:cfRule type="cellIs" priority="3418" operator="between" id="{16F65B3E-E845-4615-ABEE-982356897F7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L739:S739</xm:sqref>
        </x14:conditionalFormatting>
        <x14:conditionalFormatting xmlns:xm="http://schemas.microsoft.com/office/excel/2006/main">
          <x14:cfRule type="cellIs" priority="3397" operator="between" id="{F2179155-321E-460A-A8A3-7E396F01FFF5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L740:S740</xm:sqref>
        </x14:conditionalFormatting>
        <x14:conditionalFormatting xmlns:xm="http://schemas.microsoft.com/office/excel/2006/main">
          <x14:cfRule type="cellIs" priority="3376" operator="between" id="{277C0830-FF67-4719-A53C-D34BB26B251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L741:S741</xm:sqref>
        </x14:conditionalFormatting>
        <x14:conditionalFormatting xmlns:xm="http://schemas.microsoft.com/office/excel/2006/main">
          <x14:cfRule type="cellIs" priority="3355" operator="between" id="{765B4E4E-47E5-4C98-9357-C8ECB579F07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L742:S742</xm:sqref>
        </x14:conditionalFormatting>
        <x14:conditionalFormatting xmlns:xm="http://schemas.microsoft.com/office/excel/2006/main">
          <x14:cfRule type="cellIs" priority="3334" operator="between" id="{85F5FFD9-BCA7-4D4F-9A2E-2534B2A3D808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L743:S743</xm:sqref>
        </x14:conditionalFormatting>
        <x14:conditionalFormatting xmlns:xm="http://schemas.microsoft.com/office/excel/2006/main">
          <x14:cfRule type="cellIs" priority="3313" operator="between" id="{9E4EEBA0-531B-4189-A9A2-6EF4BF8B2675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L744:S744</xm:sqref>
        </x14:conditionalFormatting>
        <x14:conditionalFormatting xmlns:xm="http://schemas.microsoft.com/office/excel/2006/main">
          <x14:cfRule type="cellIs" priority="3292" operator="between" id="{A6E477A7-47AC-43C5-AC3C-669F39E7FCFE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L745:S745</xm:sqref>
        </x14:conditionalFormatting>
        <x14:conditionalFormatting xmlns:xm="http://schemas.microsoft.com/office/excel/2006/main">
          <x14:cfRule type="cellIs" priority="3271" operator="between" id="{99F9CEE2-2E57-4EE3-ADB6-FE1B903188C7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L746:S746</xm:sqref>
        </x14:conditionalFormatting>
        <x14:conditionalFormatting xmlns:xm="http://schemas.microsoft.com/office/excel/2006/main">
          <x14:cfRule type="cellIs" priority="3250" operator="between" id="{A4D51106-64A1-4861-A536-8D98F9DE056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L747:S747</xm:sqref>
        </x14:conditionalFormatting>
        <x14:conditionalFormatting xmlns:xm="http://schemas.microsoft.com/office/excel/2006/main">
          <x14:cfRule type="cellIs" priority="3229" operator="between" id="{0673339F-971E-41C1-9191-9BA8DB72D77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L748:S748</xm:sqref>
        </x14:conditionalFormatting>
        <x14:conditionalFormatting xmlns:xm="http://schemas.microsoft.com/office/excel/2006/main">
          <x14:cfRule type="cellIs" priority="3208" operator="between" id="{927F6D2A-0683-4D03-AF59-A3E54DDCAEE3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L749:S750</xm:sqref>
        </x14:conditionalFormatting>
        <x14:conditionalFormatting xmlns:xm="http://schemas.microsoft.com/office/excel/2006/main">
          <x14:cfRule type="cellIs" priority="3187" operator="between" id="{299400A7-16A1-45E1-806D-8F34187AFC33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L751:S752</xm:sqref>
        </x14:conditionalFormatting>
        <x14:conditionalFormatting xmlns:xm="http://schemas.microsoft.com/office/excel/2006/main">
          <x14:cfRule type="cellIs" priority="3166" operator="between" id="{32670355-9CF0-4F57-BFD8-49B982B98D0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L753:S754</xm:sqref>
        </x14:conditionalFormatting>
        <x14:conditionalFormatting xmlns:xm="http://schemas.microsoft.com/office/excel/2006/main">
          <x14:cfRule type="cellIs" priority="3145" operator="between" id="{17354395-71D8-41FB-873E-A7C7C3125B5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M755:S756</xm:sqref>
        </x14:conditionalFormatting>
        <x14:conditionalFormatting xmlns:xm="http://schemas.microsoft.com/office/excel/2006/main">
          <x14:cfRule type="cellIs" priority="3124" operator="between" id="{20C2B61E-05B4-4265-80EA-35A682C6270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M757:S758</xm:sqref>
        </x14:conditionalFormatting>
        <x14:conditionalFormatting xmlns:xm="http://schemas.microsoft.com/office/excel/2006/main">
          <x14:cfRule type="cellIs" priority="3103" operator="between" id="{7176F1EA-F969-4DFB-B724-535EA9B4B54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L755:L756</xm:sqref>
        </x14:conditionalFormatting>
        <x14:conditionalFormatting xmlns:xm="http://schemas.microsoft.com/office/excel/2006/main">
          <x14:cfRule type="cellIs" priority="3102" operator="between" id="{686C9F45-252D-4621-BFA7-587E508F30B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L757:L758</xm:sqref>
        </x14:conditionalFormatting>
        <x14:conditionalFormatting xmlns:xm="http://schemas.microsoft.com/office/excel/2006/main">
          <x14:cfRule type="cellIs" priority="3101" operator="between" id="{5997FEAD-07DD-4186-9042-F368A8C0B0D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L759:S759</xm:sqref>
        </x14:conditionalFormatting>
        <x14:conditionalFormatting xmlns:xm="http://schemas.microsoft.com/office/excel/2006/main">
          <x14:cfRule type="cellIs" priority="3080" operator="between" id="{4285C6ED-493C-4787-A333-F6D93461854E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L760:S760</xm:sqref>
        </x14:conditionalFormatting>
        <x14:conditionalFormatting xmlns:xm="http://schemas.microsoft.com/office/excel/2006/main">
          <x14:cfRule type="cellIs" priority="3059" operator="between" id="{080035BE-5A9D-47B7-B8EA-7FCAC5FF538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L761:S762</xm:sqref>
        </x14:conditionalFormatting>
        <x14:conditionalFormatting xmlns:xm="http://schemas.microsoft.com/office/excel/2006/main">
          <x14:cfRule type="cellIs" priority="3038" operator="between" id="{E7CC3FCE-913B-4A4F-B90C-BBA45D0E16CF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L763:S763</xm:sqref>
        </x14:conditionalFormatting>
        <x14:conditionalFormatting xmlns:xm="http://schemas.microsoft.com/office/excel/2006/main">
          <x14:cfRule type="cellIs" priority="3017" operator="between" id="{398363DF-748A-4A8A-896F-9E3978D924A0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L764:S764</xm:sqref>
        </x14:conditionalFormatting>
        <x14:conditionalFormatting xmlns:xm="http://schemas.microsoft.com/office/excel/2006/main">
          <x14:cfRule type="cellIs" priority="2996" operator="between" id="{563C70C2-C3EB-487D-9616-9D4F5E7634E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L765:S765</xm:sqref>
        </x14:conditionalFormatting>
        <x14:conditionalFormatting xmlns:xm="http://schemas.microsoft.com/office/excel/2006/main">
          <x14:cfRule type="cellIs" priority="2975" operator="between" id="{95E9CF4E-8E4D-4A66-8E94-02AD77CE7C5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L766:S766</xm:sqref>
        </x14:conditionalFormatting>
        <x14:conditionalFormatting xmlns:xm="http://schemas.microsoft.com/office/excel/2006/main">
          <x14:cfRule type="cellIs" priority="2954" operator="between" id="{755912F4-432F-4201-A48F-DA4079122B9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L767:S767</xm:sqref>
        </x14:conditionalFormatting>
        <x14:conditionalFormatting xmlns:xm="http://schemas.microsoft.com/office/excel/2006/main">
          <x14:cfRule type="cellIs" priority="2933" operator="between" id="{84CA2EBA-1F5D-4A98-BEC2-3791B4DBFED0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L768:S769</xm:sqref>
        </x14:conditionalFormatting>
        <x14:conditionalFormatting xmlns:xm="http://schemas.microsoft.com/office/excel/2006/main">
          <x14:cfRule type="cellIs" priority="2912" operator="between" id="{85D19E37-A876-4C62-A02B-D8328C52C15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L770:S770</xm:sqref>
        </x14:conditionalFormatting>
        <x14:conditionalFormatting xmlns:xm="http://schemas.microsoft.com/office/excel/2006/main">
          <x14:cfRule type="cellIs" priority="2891" operator="between" id="{05BEE7DD-8715-4375-BF71-119E6B98402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L771:S773</xm:sqref>
        </x14:conditionalFormatting>
        <x14:conditionalFormatting xmlns:xm="http://schemas.microsoft.com/office/excel/2006/main">
          <x14:cfRule type="cellIs" priority="2870" operator="between" id="{5784D21A-CD33-409F-8AC4-61D715D23547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L774:S774 O775:S775</xm:sqref>
        </x14:conditionalFormatting>
        <x14:conditionalFormatting xmlns:xm="http://schemas.microsoft.com/office/excel/2006/main">
          <x14:cfRule type="cellIs" priority="2849" operator="between" id="{C088C204-3A2C-4115-A7BE-9AC2D289253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M776:S776</xm:sqref>
        </x14:conditionalFormatting>
        <x14:conditionalFormatting xmlns:xm="http://schemas.microsoft.com/office/excel/2006/main">
          <x14:cfRule type="cellIs" priority="2828" operator="between" id="{0EAC0A3C-B48A-4848-AB29-42E5E0939AC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M777:S777</xm:sqref>
        </x14:conditionalFormatting>
        <x14:conditionalFormatting xmlns:xm="http://schemas.microsoft.com/office/excel/2006/main">
          <x14:cfRule type="cellIs" priority="2807" operator="between" id="{CFDA5B67-BCE1-41CE-B81F-471D368E294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M778:S778</xm:sqref>
        </x14:conditionalFormatting>
        <x14:conditionalFormatting xmlns:xm="http://schemas.microsoft.com/office/excel/2006/main">
          <x14:cfRule type="cellIs" priority="2786" operator="between" id="{BF52F649-CD1B-46EF-ABE2-D4755698DA83}">
            <xm:f>'[Controle_Geral_DAPAR - 2015 (Cópia em conflito de Secretaria Acadêmica 2015-11-19).xlsm]Clientes'!#REF!</xm:f>
            <xm:f>'[Controle_Geral_DAPAR - 2015 (Cópia em conflito de Secretaria Acadêmica 2015-11-19).xlsm]Clientes'!#REF!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L775:N775</xm:sqref>
        </x14:conditionalFormatting>
        <x14:conditionalFormatting xmlns:xm="http://schemas.microsoft.com/office/excel/2006/main">
          <x14:cfRule type="cellIs" priority="2777" operator="between" id="{22BECA93-3444-4BB0-86FB-C517B3B963CC}">
            <xm:f>'[Controle_Geral_DAPAR - 2015 (Cópia em conflito de Secretaria Acadêmica 2015-11-19).xlsm]Clientes'!#REF!</xm:f>
            <xm:f>'[Controle_Geral_DAPAR - 2015 (Cópia em conflito de Secretaria Acadêmica 2015-11-19).xlsm]Clientes'!#REF!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L776</xm:sqref>
        </x14:conditionalFormatting>
        <x14:conditionalFormatting xmlns:xm="http://schemas.microsoft.com/office/excel/2006/main">
          <x14:cfRule type="cellIs" priority="2772" operator="between" id="{396EF1A9-1556-4901-B81F-F3E12DA0DE36}">
            <xm:f>'[Controle_Geral_DAPAR - 2015 (Cópia em conflito de Secretaria Acadêmica 2015-11-19).xlsm]Clientes'!#REF!</xm:f>
            <xm:f>'[Controle_Geral_DAPAR - 2015 (Cópia em conflito de Secretaria Acadêmica 2015-11-19).xlsm]Clientes'!#REF!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L777</xm:sqref>
        </x14:conditionalFormatting>
        <x14:conditionalFormatting xmlns:xm="http://schemas.microsoft.com/office/excel/2006/main">
          <x14:cfRule type="cellIs" priority="2767" operator="between" id="{BD1EBDF8-12F7-4D24-BA9A-30F6A6B2A28C}">
            <xm:f>'[Controle_Geral_DAPAR - 2015 (Cópia em conflito de Secretaria Acadêmica 2015-11-19).xlsm]Clientes'!#REF!</xm:f>
            <xm:f>'[Controle_Geral_DAPAR - 2015 (Cópia em conflito de Secretaria Acadêmica 2015-11-19).xlsm]Clientes'!#REF!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L778</xm:sqref>
        </x14:conditionalFormatting>
        <x14:conditionalFormatting xmlns:xm="http://schemas.microsoft.com/office/excel/2006/main">
          <x14:cfRule type="cellIs" priority="2762" operator="between" id="{677B1C47-261D-4EA9-89F7-6C5997CA55C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L779:S779</xm:sqref>
        </x14:conditionalFormatting>
        <x14:conditionalFormatting xmlns:xm="http://schemas.microsoft.com/office/excel/2006/main">
          <x14:cfRule type="cellIs" priority="2741" operator="between" id="{943A5C9C-51D0-48AC-B208-54D61A87429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L780:S780</xm:sqref>
        </x14:conditionalFormatting>
        <x14:conditionalFormatting xmlns:xm="http://schemas.microsoft.com/office/excel/2006/main">
          <x14:cfRule type="cellIs" priority="2720" operator="between" id="{B5C9AAB1-B4BF-4811-8223-829851FA3416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L781:S781</xm:sqref>
        </x14:conditionalFormatting>
        <x14:conditionalFormatting xmlns:xm="http://schemas.microsoft.com/office/excel/2006/main">
          <x14:cfRule type="cellIs" priority="2699" operator="between" id="{16514BF5-FD5F-43B1-8C58-3D37C5E2591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L782:S782</xm:sqref>
        </x14:conditionalFormatting>
        <x14:conditionalFormatting xmlns:xm="http://schemas.microsoft.com/office/excel/2006/main">
          <x14:cfRule type="cellIs" priority="2678" operator="between" id="{229C3C52-3D1F-4D92-890B-113C1EDC195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L783:S783</xm:sqref>
        </x14:conditionalFormatting>
        <x14:conditionalFormatting xmlns:xm="http://schemas.microsoft.com/office/excel/2006/main">
          <x14:cfRule type="cellIs" priority="2657" operator="between" id="{734BD0E3-D910-4053-88C7-F51B6B1F29A5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L784:S784</xm:sqref>
        </x14:conditionalFormatting>
        <x14:conditionalFormatting xmlns:xm="http://schemas.microsoft.com/office/excel/2006/main">
          <x14:cfRule type="cellIs" priority="2636" operator="between" id="{01F55902-862B-49C7-AA51-5921D43B8543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L785:S785</xm:sqref>
        </x14:conditionalFormatting>
        <x14:conditionalFormatting xmlns:xm="http://schemas.microsoft.com/office/excel/2006/main">
          <x14:cfRule type="cellIs" priority="2615" operator="between" id="{B27AB33E-40BE-4849-933D-46FA09B05ABE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L786:S786</xm:sqref>
        </x14:conditionalFormatting>
        <x14:conditionalFormatting xmlns:xm="http://schemas.microsoft.com/office/excel/2006/main">
          <x14:cfRule type="cellIs" priority="2594" operator="between" id="{768054BC-7B31-4861-BB9E-44BBE35414A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L787:S788</xm:sqref>
        </x14:conditionalFormatting>
        <x14:conditionalFormatting xmlns:xm="http://schemas.microsoft.com/office/excel/2006/main">
          <x14:cfRule type="cellIs" priority="2573" operator="between" id="{4CF5C869-CAF9-40CD-8095-DE2BDD6A137F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L789:S789</xm:sqref>
        </x14:conditionalFormatting>
        <x14:conditionalFormatting xmlns:xm="http://schemas.microsoft.com/office/excel/2006/main">
          <x14:cfRule type="cellIs" priority="2552" operator="between" id="{F1EC916C-1E88-40A9-BC3A-BCBE44477F2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L790:S790</xm:sqref>
        </x14:conditionalFormatting>
        <x14:conditionalFormatting xmlns:xm="http://schemas.microsoft.com/office/excel/2006/main">
          <x14:cfRule type="cellIs" priority="2531" operator="between" id="{C0974E44-BAC0-4378-9821-88F08664291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L791:S791</xm:sqref>
        </x14:conditionalFormatting>
        <x14:conditionalFormatting xmlns:xm="http://schemas.microsoft.com/office/excel/2006/main">
          <x14:cfRule type="cellIs" priority="2510" operator="between" id="{A744F692-E96F-440E-ADC8-EFA0C175F386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L792:S792</xm:sqref>
        </x14:conditionalFormatting>
        <x14:conditionalFormatting xmlns:xm="http://schemas.microsoft.com/office/excel/2006/main">
          <x14:cfRule type="cellIs" priority="2489" operator="between" id="{57DAFFD8-1908-4DF7-92BC-417DFBE5AB8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L793:S793</xm:sqref>
        </x14:conditionalFormatting>
        <x14:conditionalFormatting xmlns:xm="http://schemas.microsoft.com/office/excel/2006/main">
          <x14:cfRule type="cellIs" priority="2468" operator="between" id="{AA5D7063-1E6E-40A2-A4F5-4504D6563F75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L794:S794</xm:sqref>
        </x14:conditionalFormatting>
        <x14:conditionalFormatting xmlns:xm="http://schemas.microsoft.com/office/excel/2006/main">
          <x14:cfRule type="cellIs" priority="2447" operator="between" id="{4DD56D2E-851B-4ECB-ACBD-5C09A4437860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L795:S795</xm:sqref>
        </x14:conditionalFormatting>
        <x14:conditionalFormatting xmlns:xm="http://schemas.microsoft.com/office/excel/2006/main">
          <x14:cfRule type="cellIs" priority="2426" operator="between" id="{37942BC6-4585-4F6F-81E6-52E3F0DA96DF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L796:S796</xm:sqref>
        </x14:conditionalFormatting>
        <x14:conditionalFormatting xmlns:xm="http://schemas.microsoft.com/office/excel/2006/main">
          <x14:cfRule type="cellIs" priority="2405" operator="between" id="{20928B78-3C02-403C-9BA0-B0F98223E32A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L797:S797</xm:sqref>
        </x14:conditionalFormatting>
        <x14:conditionalFormatting xmlns:xm="http://schemas.microsoft.com/office/excel/2006/main">
          <x14:cfRule type="cellIs" priority="2384" operator="between" id="{BFFEF9C7-0B83-41D8-98D4-C5EC7A3BB89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M798 O798:S798</xm:sqref>
        </x14:conditionalFormatting>
        <x14:conditionalFormatting xmlns:xm="http://schemas.microsoft.com/office/excel/2006/main">
          <x14:cfRule type="cellIs" priority="2363" operator="between" id="{37EF674A-F94D-4C9D-80F0-547EA5C38D36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L798</xm:sqref>
        </x14:conditionalFormatting>
        <x14:conditionalFormatting xmlns:xm="http://schemas.microsoft.com/office/excel/2006/main">
          <x14:cfRule type="cellIs" priority="2362" operator="between" id="{DF3E9BB4-C7BE-47F0-B25B-94608610905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N798</xm:sqref>
        </x14:conditionalFormatting>
        <x14:conditionalFormatting xmlns:xm="http://schemas.microsoft.com/office/excel/2006/main">
          <x14:cfRule type="cellIs" priority="2361" operator="between" id="{9E358849-FA56-4BFB-84A2-F6E6AF7761A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L799:S801</xm:sqref>
        </x14:conditionalFormatting>
        <x14:conditionalFormatting xmlns:xm="http://schemas.microsoft.com/office/excel/2006/main">
          <x14:cfRule type="cellIs" priority="2340" operator="between" id="{DBD6A44A-478A-4004-85B7-C4D14208190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L802:S802</xm:sqref>
        </x14:conditionalFormatting>
        <x14:conditionalFormatting xmlns:xm="http://schemas.microsoft.com/office/excel/2006/main">
          <x14:cfRule type="cellIs" priority="2319" operator="between" id="{A0FED98C-CE2B-40CA-95CA-49F1CC9E95DA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L803:S804</xm:sqref>
        </x14:conditionalFormatting>
        <x14:conditionalFormatting xmlns:xm="http://schemas.microsoft.com/office/excel/2006/main">
          <x14:cfRule type="cellIs" priority="2298" operator="between" id="{B3750062-30A2-4778-9BE8-FEBB0C30BD63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L805:S807</xm:sqref>
        </x14:conditionalFormatting>
        <x14:conditionalFormatting xmlns:xm="http://schemas.microsoft.com/office/excel/2006/main">
          <x14:cfRule type="cellIs" priority="2277" operator="between" id="{C00EA959-ED47-4B27-88F6-97DD10148B5F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L808:S809</xm:sqref>
        </x14:conditionalFormatting>
        <x14:conditionalFormatting xmlns:xm="http://schemas.microsoft.com/office/excel/2006/main">
          <x14:cfRule type="cellIs" priority="2256" operator="between" id="{7F1D4681-8246-4C42-ACD3-BD9A83F550C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L810:S811</xm:sqref>
        </x14:conditionalFormatting>
        <x14:conditionalFormatting xmlns:xm="http://schemas.microsoft.com/office/excel/2006/main">
          <x14:cfRule type="cellIs" priority="2235" operator="between" id="{E5526D82-1BD7-4DB5-82B5-3CC9213180E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L812:S812</xm:sqref>
        </x14:conditionalFormatting>
        <x14:conditionalFormatting xmlns:xm="http://schemas.microsoft.com/office/excel/2006/main">
          <x14:cfRule type="cellIs" priority="2214" operator="between" id="{B450686B-15D1-4F95-8B2D-3A7C0FA872B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L813:S813</xm:sqref>
        </x14:conditionalFormatting>
        <x14:conditionalFormatting xmlns:xm="http://schemas.microsoft.com/office/excel/2006/main">
          <x14:cfRule type="cellIs" priority="2193" operator="between" id="{866362DE-4474-4D81-9F60-55AAD77B856A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L814:S814</xm:sqref>
        </x14:conditionalFormatting>
        <x14:conditionalFormatting xmlns:xm="http://schemas.microsoft.com/office/excel/2006/main">
          <x14:cfRule type="cellIs" priority="2172" operator="between" id="{F9FDFC5B-082E-48F9-B2A6-3DDBC257BC9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L815:S815</xm:sqref>
        </x14:conditionalFormatting>
        <x14:conditionalFormatting xmlns:xm="http://schemas.microsoft.com/office/excel/2006/main">
          <x14:cfRule type="cellIs" priority="2151" operator="between" id="{B684D36D-4311-4F4D-ADCA-90CB2A273465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L816:S817</xm:sqref>
        </x14:conditionalFormatting>
        <x14:conditionalFormatting xmlns:xm="http://schemas.microsoft.com/office/excel/2006/main">
          <x14:cfRule type="cellIs" priority="2130" operator="between" id="{D1D29812-2CA5-48AE-AF35-623A64D966B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L818:S818</xm:sqref>
        </x14:conditionalFormatting>
        <x14:conditionalFormatting xmlns:xm="http://schemas.microsoft.com/office/excel/2006/main">
          <x14:cfRule type="cellIs" priority="2109" operator="between" id="{CB00ED62-D9C9-4EDC-A7DD-87291EC05347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L819:S819</xm:sqref>
        </x14:conditionalFormatting>
        <x14:conditionalFormatting xmlns:xm="http://schemas.microsoft.com/office/excel/2006/main">
          <x14:cfRule type="cellIs" priority="2088" operator="between" id="{75D4A400-79CA-462D-A514-40E621D81467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L820:S820</xm:sqref>
        </x14:conditionalFormatting>
        <x14:conditionalFormatting xmlns:xm="http://schemas.microsoft.com/office/excel/2006/main">
          <x14:cfRule type="cellIs" priority="2067" operator="between" id="{7B87149C-A902-41E9-86CF-6F1C02928AF0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L821:S821</xm:sqref>
        </x14:conditionalFormatting>
        <x14:conditionalFormatting xmlns:xm="http://schemas.microsoft.com/office/excel/2006/main">
          <x14:cfRule type="cellIs" priority="2046" operator="between" id="{429F4E2D-A661-4C67-A626-4142B962AD9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L822:S822</xm:sqref>
        </x14:conditionalFormatting>
        <x14:conditionalFormatting xmlns:xm="http://schemas.microsoft.com/office/excel/2006/main">
          <x14:cfRule type="cellIs" priority="2025" operator="between" id="{0E22BCD6-15D5-4307-929B-15B9B732B5E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L823:S823</xm:sqref>
        </x14:conditionalFormatting>
        <x14:conditionalFormatting xmlns:xm="http://schemas.microsoft.com/office/excel/2006/main">
          <x14:cfRule type="cellIs" priority="2004" operator="between" id="{10F64BD3-636C-4CAB-B9D5-8D496D74589E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L824:S824</xm:sqref>
        </x14:conditionalFormatting>
        <x14:conditionalFormatting xmlns:xm="http://schemas.microsoft.com/office/excel/2006/main">
          <x14:cfRule type="cellIs" priority="1983" operator="between" id="{FDE7496B-D30F-44CE-9B43-A1466934711E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L825:S825</xm:sqref>
        </x14:conditionalFormatting>
        <x14:conditionalFormatting xmlns:xm="http://schemas.microsoft.com/office/excel/2006/main">
          <x14:cfRule type="cellIs" priority="1962" operator="between" id="{29D1A0BE-4E0D-4132-B2D1-78EACA18AD85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L826:S826</xm:sqref>
        </x14:conditionalFormatting>
        <x14:conditionalFormatting xmlns:xm="http://schemas.microsoft.com/office/excel/2006/main">
          <x14:cfRule type="cellIs" priority="1941" operator="between" id="{DA91AC89-728F-4CE6-80A7-C2CE44DB092E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L827:S827</xm:sqref>
        </x14:conditionalFormatting>
        <x14:conditionalFormatting xmlns:xm="http://schemas.microsoft.com/office/excel/2006/main">
          <x14:cfRule type="cellIs" priority="1920" operator="between" id="{11D38E93-F7A8-4CE0-914D-5A111DCB0EFA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L828:S828</xm:sqref>
        </x14:conditionalFormatting>
        <x14:conditionalFormatting xmlns:xm="http://schemas.microsoft.com/office/excel/2006/main">
          <x14:cfRule type="cellIs" priority="1899" operator="between" id="{47B7BDF6-DD9D-453E-B545-8083B46B3B38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L829:S829</xm:sqref>
        </x14:conditionalFormatting>
        <x14:conditionalFormatting xmlns:xm="http://schemas.microsoft.com/office/excel/2006/main">
          <x14:cfRule type="cellIs" priority="1878" operator="between" id="{8B4A5B18-5AB9-4BBB-9CA6-25A361F7C55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L830:M830 O830:S830</xm:sqref>
        </x14:conditionalFormatting>
        <x14:conditionalFormatting xmlns:xm="http://schemas.microsoft.com/office/excel/2006/main">
          <x14:cfRule type="cellIs" priority="1857" operator="between" id="{2DD28112-14B3-4B78-BB38-2D7D78EDC3B7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L831:S831</xm:sqref>
        </x14:conditionalFormatting>
        <x14:conditionalFormatting xmlns:xm="http://schemas.microsoft.com/office/excel/2006/main">
          <x14:cfRule type="cellIs" priority="1836" operator="between" id="{4E95EF2B-5B42-44E5-8A45-6355CECB128E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L832:S832</xm:sqref>
        </x14:conditionalFormatting>
        <x14:conditionalFormatting xmlns:xm="http://schemas.microsoft.com/office/excel/2006/main">
          <x14:cfRule type="cellIs" priority="1815" operator="between" id="{57E94A54-52D2-4211-B9B4-08D31120360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L833:S833</xm:sqref>
        </x14:conditionalFormatting>
        <x14:conditionalFormatting xmlns:xm="http://schemas.microsoft.com/office/excel/2006/main">
          <x14:cfRule type="cellIs" priority="1794" operator="between" id="{53FD7F07-2F46-4BD3-B1AE-8D483137C1DF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L834:S834</xm:sqref>
        </x14:conditionalFormatting>
        <x14:conditionalFormatting xmlns:xm="http://schemas.microsoft.com/office/excel/2006/main">
          <x14:cfRule type="cellIs" priority="1773" operator="between" id="{A81140F3-E8CB-4BF6-A86D-4BFD6030852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L835:S835</xm:sqref>
        </x14:conditionalFormatting>
        <x14:conditionalFormatting xmlns:xm="http://schemas.microsoft.com/office/excel/2006/main">
          <x14:cfRule type="cellIs" priority="1752" operator="between" id="{7737F9D4-A4C9-4232-9BA9-C7F1FC734D83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L836:S837</xm:sqref>
        </x14:conditionalFormatting>
        <x14:conditionalFormatting xmlns:xm="http://schemas.microsoft.com/office/excel/2006/main">
          <x14:cfRule type="cellIs" priority="1731" operator="between" id="{10CC0CBD-FDFA-43CF-A418-0E9538239AB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L838:M838 O838:S838</xm:sqref>
        </x14:conditionalFormatting>
        <x14:conditionalFormatting xmlns:xm="http://schemas.microsoft.com/office/excel/2006/main">
          <x14:cfRule type="cellIs" priority="1710" operator="between" id="{D3892AD6-5B34-468B-992A-5837C2E28D6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L839:S839</xm:sqref>
        </x14:conditionalFormatting>
        <x14:conditionalFormatting xmlns:xm="http://schemas.microsoft.com/office/excel/2006/main">
          <x14:cfRule type="cellIs" priority="1689" operator="between" id="{7E13AC9E-77C7-4AC7-9F27-374788E9F3B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L840:S840</xm:sqref>
        </x14:conditionalFormatting>
        <x14:conditionalFormatting xmlns:xm="http://schemas.microsoft.com/office/excel/2006/main">
          <x14:cfRule type="cellIs" priority="1668" operator="between" id="{6B4785A2-0CA4-4A07-84C8-7168D46F5F53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L841:S841</xm:sqref>
        </x14:conditionalFormatting>
        <x14:conditionalFormatting xmlns:xm="http://schemas.microsoft.com/office/excel/2006/main">
          <x14:cfRule type="cellIs" priority="1647" operator="between" id="{57304408-99EE-4A11-AC53-7029D36EFAA8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L842:S842</xm:sqref>
        </x14:conditionalFormatting>
        <x14:conditionalFormatting xmlns:xm="http://schemas.microsoft.com/office/excel/2006/main">
          <x14:cfRule type="cellIs" priority="1626" operator="between" id="{2042FCC8-10BF-4C54-8FFC-6B47D5A1D878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L843:S843</xm:sqref>
        </x14:conditionalFormatting>
        <x14:conditionalFormatting xmlns:xm="http://schemas.microsoft.com/office/excel/2006/main">
          <x14:cfRule type="cellIs" priority="1605" operator="between" id="{3B848974-6D81-47C1-8A1C-5743BDBDA69F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L844:S844</xm:sqref>
        </x14:conditionalFormatting>
        <x14:conditionalFormatting xmlns:xm="http://schemas.microsoft.com/office/excel/2006/main">
          <x14:cfRule type="cellIs" priority="1584" operator="between" id="{F2BEE388-7D2E-4084-8CB7-E0698571757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L845:S845</xm:sqref>
        </x14:conditionalFormatting>
        <x14:conditionalFormatting xmlns:xm="http://schemas.microsoft.com/office/excel/2006/main">
          <x14:cfRule type="cellIs" priority="1563" operator="between" id="{1C78D9BC-3AA0-494F-8C38-004775767D9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L846:S846</xm:sqref>
        </x14:conditionalFormatting>
        <x14:conditionalFormatting xmlns:xm="http://schemas.microsoft.com/office/excel/2006/main">
          <x14:cfRule type="cellIs" priority="1542" operator="between" id="{BFE134D2-62A1-47CB-9A0A-59FAD4D1353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L847:S847</xm:sqref>
        </x14:conditionalFormatting>
        <x14:conditionalFormatting xmlns:xm="http://schemas.microsoft.com/office/excel/2006/main">
          <x14:cfRule type="cellIs" priority="1521" operator="between" id="{09F5CE43-CB92-4235-9C0B-35BA4706651E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L848:S848</xm:sqref>
        </x14:conditionalFormatting>
        <x14:conditionalFormatting xmlns:xm="http://schemas.microsoft.com/office/excel/2006/main">
          <x14:cfRule type="cellIs" priority="1500" operator="between" id="{98FB4D52-1938-4E69-9F9E-FF50EB86208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L849:S849</xm:sqref>
        </x14:conditionalFormatting>
        <x14:conditionalFormatting xmlns:xm="http://schemas.microsoft.com/office/excel/2006/main">
          <x14:cfRule type="cellIs" priority="1479" operator="between" id="{57A40C1B-85C8-4620-A223-E492AF109095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M850 O850:S850</xm:sqref>
        </x14:conditionalFormatting>
        <x14:conditionalFormatting xmlns:xm="http://schemas.microsoft.com/office/excel/2006/main">
          <x14:cfRule type="cellIs" priority="1458" operator="between" id="{1DF41710-1A35-4BCB-8A2F-D602731DECC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L851:S851</xm:sqref>
        </x14:conditionalFormatting>
        <x14:conditionalFormatting xmlns:xm="http://schemas.microsoft.com/office/excel/2006/main">
          <x14:cfRule type="cellIs" priority="1437" operator="between" id="{1CB609F8-98C9-4811-9A2E-B77781511E95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L852:S852</xm:sqref>
        </x14:conditionalFormatting>
        <x14:conditionalFormatting xmlns:xm="http://schemas.microsoft.com/office/excel/2006/main">
          <x14:cfRule type="cellIs" priority="1416" operator="between" id="{25BF4FE6-3DD2-4C3D-A282-D415D402C49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L853:S853</xm:sqref>
        </x14:conditionalFormatting>
        <x14:conditionalFormatting xmlns:xm="http://schemas.microsoft.com/office/excel/2006/main">
          <x14:cfRule type="cellIs" priority="1395" operator="between" id="{3E17F407-FBD5-4C44-817A-7507198EEC1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L854:S855</xm:sqref>
        </x14:conditionalFormatting>
        <x14:conditionalFormatting xmlns:xm="http://schemas.microsoft.com/office/excel/2006/main">
          <x14:cfRule type="cellIs" priority="1374" operator="between" id="{2614165C-F72D-457F-BEBA-B32D79DAF2C8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L856:S856</xm:sqref>
        </x14:conditionalFormatting>
        <x14:conditionalFormatting xmlns:xm="http://schemas.microsoft.com/office/excel/2006/main">
          <x14:cfRule type="cellIs" priority="1353" operator="between" id="{DF22538B-BC5E-4746-89B9-7D2409A0902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L850</xm:sqref>
        </x14:conditionalFormatting>
        <x14:conditionalFormatting xmlns:xm="http://schemas.microsoft.com/office/excel/2006/main">
          <x14:cfRule type="cellIs" priority="1352" operator="between" id="{62CBC06F-C6E4-4981-80CA-D6F7937CF805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N850</xm:sqref>
        </x14:conditionalFormatting>
        <x14:conditionalFormatting xmlns:xm="http://schemas.microsoft.com/office/excel/2006/main">
          <x14:cfRule type="cellIs" priority="1351" operator="between" id="{6728F164-0415-46C9-B158-D4D6B5433A9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N838</xm:sqref>
        </x14:conditionalFormatting>
        <x14:conditionalFormatting xmlns:xm="http://schemas.microsoft.com/office/excel/2006/main">
          <x14:cfRule type="cellIs" priority="1350" operator="between" id="{7A874D8E-6F54-42B4-BE28-5B609DD8B3DE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N830</xm:sqref>
        </x14:conditionalFormatting>
        <x14:conditionalFormatting xmlns:xm="http://schemas.microsoft.com/office/excel/2006/main">
          <x14:cfRule type="cellIs" priority="1349" operator="between" id="{72E0DDFE-D281-4965-A4B0-776730D9240E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L857:S857</xm:sqref>
        </x14:conditionalFormatting>
        <x14:conditionalFormatting xmlns:xm="http://schemas.microsoft.com/office/excel/2006/main">
          <x14:cfRule type="cellIs" priority="1328" operator="between" id="{95C7D31C-9511-45FC-BF5A-C7C0745715D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L858:S858</xm:sqref>
        </x14:conditionalFormatting>
        <x14:conditionalFormatting xmlns:xm="http://schemas.microsoft.com/office/excel/2006/main">
          <x14:cfRule type="cellIs" priority="1307" operator="between" id="{EF292D61-284B-4BEC-A882-56B8AD23541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L859:S861</xm:sqref>
        </x14:conditionalFormatting>
        <x14:conditionalFormatting xmlns:xm="http://schemas.microsoft.com/office/excel/2006/main">
          <x14:cfRule type="cellIs" priority="1286" operator="between" id="{358A3FE1-F12D-47B8-B1B7-2772BA485FC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M862:S862</xm:sqref>
        </x14:conditionalFormatting>
        <x14:conditionalFormatting xmlns:xm="http://schemas.microsoft.com/office/excel/2006/main">
          <x14:cfRule type="cellIs" priority="1265" operator="between" id="{E5D2B456-41C4-4F8D-8286-3CECC83B88E8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L862</xm:sqref>
        </x14:conditionalFormatting>
        <x14:conditionalFormatting xmlns:xm="http://schemas.microsoft.com/office/excel/2006/main">
          <x14:cfRule type="cellIs" priority="1260" operator="between" id="{C442E27C-10C0-4116-A1A3-BF52128635D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L863:S863</xm:sqref>
        </x14:conditionalFormatting>
        <x14:conditionalFormatting xmlns:xm="http://schemas.microsoft.com/office/excel/2006/main">
          <x14:cfRule type="cellIs" priority="1239" operator="between" id="{E6F324B2-A86D-463F-92DA-02411AD50087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L864:S864</xm:sqref>
        </x14:conditionalFormatting>
        <x14:conditionalFormatting xmlns:xm="http://schemas.microsoft.com/office/excel/2006/main">
          <x14:cfRule type="cellIs" priority="1218" operator="between" id="{B9D27BEE-F592-4D35-8992-12C2E34C4F3E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L865:S865</xm:sqref>
        </x14:conditionalFormatting>
        <x14:conditionalFormatting xmlns:xm="http://schemas.microsoft.com/office/excel/2006/main">
          <x14:cfRule type="cellIs" priority="1197" operator="between" id="{A333D4C1-8CF7-4A2E-980B-CA3E3D81FAA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L866:S866</xm:sqref>
        </x14:conditionalFormatting>
        <x14:conditionalFormatting xmlns:xm="http://schemas.microsoft.com/office/excel/2006/main">
          <x14:cfRule type="cellIs" priority="1176" operator="between" id="{001680DD-6C3F-469A-BAE8-A000F988B4D7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L867:S868</xm:sqref>
        </x14:conditionalFormatting>
        <x14:conditionalFormatting xmlns:xm="http://schemas.microsoft.com/office/excel/2006/main">
          <x14:cfRule type="cellIs" priority="1155" operator="between" id="{D2B9BF62-1C70-4B0D-9426-F358B52F2A4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L869:S869</xm:sqref>
        </x14:conditionalFormatting>
        <x14:conditionalFormatting xmlns:xm="http://schemas.microsoft.com/office/excel/2006/main">
          <x14:cfRule type="cellIs" priority="1134" operator="between" id="{58BE4692-9416-4B37-9CCD-5DA56BA3294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L870:S870</xm:sqref>
        </x14:conditionalFormatting>
        <x14:conditionalFormatting xmlns:xm="http://schemas.microsoft.com/office/excel/2006/main">
          <x14:cfRule type="cellIs" priority="1113" operator="between" id="{8437A0E7-FF05-41C0-BD53-6C81F42BA107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L871:S871</xm:sqref>
        </x14:conditionalFormatting>
        <x14:conditionalFormatting xmlns:xm="http://schemas.microsoft.com/office/excel/2006/main">
          <x14:cfRule type="cellIs" priority="1092" operator="between" id="{8072B43E-6F29-4B4A-B43F-6A782BCF54D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L872:S872</xm:sqref>
        </x14:conditionalFormatting>
        <x14:conditionalFormatting xmlns:xm="http://schemas.microsoft.com/office/excel/2006/main">
          <x14:cfRule type="cellIs" priority="1071" operator="between" id="{62AFCE3A-714F-418D-A491-F03E63F60B33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L873:S873</xm:sqref>
        </x14:conditionalFormatting>
        <x14:conditionalFormatting xmlns:xm="http://schemas.microsoft.com/office/excel/2006/main">
          <x14:cfRule type="cellIs" priority="1050" operator="between" id="{4850F2E7-7254-4097-83E5-986A731F8E5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L874:S874</xm:sqref>
        </x14:conditionalFormatting>
        <x14:conditionalFormatting xmlns:xm="http://schemas.microsoft.com/office/excel/2006/main">
          <x14:cfRule type="cellIs" priority="1029" operator="between" id="{9197B339-2305-4420-B778-059B6DB3340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L875:S875</xm:sqref>
        </x14:conditionalFormatting>
        <x14:conditionalFormatting xmlns:xm="http://schemas.microsoft.com/office/excel/2006/main">
          <x14:cfRule type="cellIs" priority="1008" operator="between" id="{EF151379-81E1-40DE-A7A0-0EB45E86ACC6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L876:S876</xm:sqref>
        </x14:conditionalFormatting>
        <x14:conditionalFormatting xmlns:xm="http://schemas.microsoft.com/office/excel/2006/main">
          <x14:cfRule type="cellIs" priority="987" operator="between" id="{D6E7D827-C4B5-4377-9346-0884EF256EAF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L877:S877</xm:sqref>
        </x14:conditionalFormatting>
        <x14:conditionalFormatting xmlns:xm="http://schemas.microsoft.com/office/excel/2006/main">
          <x14:cfRule type="cellIs" priority="966" operator="between" id="{70470B5F-FB33-4BA1-87B4-62CDC152556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L878:S878</xm:sqref>
        </x14:conditionalFormatting>
        <x14:conditionalFormatting xmlns:xm="http://schemas.microsoft.com/office/excel/2006/main">
          <x14:cfRule type="cellIs" priority="945" operator="between" id="{676F714F-A671-44C2-BCAC-F032CF01A46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L879:S879</xm:sqref>
        </x14:conditionalFormatting>
        <x14:conditionalFormatting xmlns:xm="http://schemas.microsoft.com/office/excel/2006/main">
          <x14:cfRule type="cellIs" priority="924" operator="between" id="{2426C005-DB45-4BCD-BE6D-B5989ABAD97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L880:S880</xm:sqref>
        </x14:conditionalFormatting>
        <x14:conditionalFormatting xmlns:xm="http://schemas.microsoft.com/office/excel/2006/main">
          <x14:cfRule type="cellIs" priority="903" operator="between" id="{0FFFFE64-38E9-4B05-890C-933F33A328C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L881:S881</xm:sqref>
        </x14:conditionalFormatting>
        <x14:conditionalFormatting xmlns:xm="http://schemas.microsoft.com/office/excel/2006/main">
          <x14:cfRule type="cellIs" priority="882" operator="between" id="{EB7D087A-2AF9-40CD-85F3-2899B301966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L882:S882</xm:sqref>
        </x14:conditionalFormatting>
        <x14:conditionalFormatting xmlns:xm="http://schemas.microsoft.com/office/excel/2006/main">
          <x14:cfRule type="cellIs" priority="861" operator="between" id="{60CF83D7-C5A8-47F4-A571-2056B590B3A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L883:S884</xm:sqref>
        </x14:conditionalFormatting>
        <x14:conditionalFormatting xmlns:xm="http://schemas.microsoft.com/office/excel/2006/main">
          <x14:cfRule type="cellIs" priority="840" operator="between" id="{F801439B-4F83-4634-8B3E-B109BD4A7E2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L885:S886</xm:sqref>
        </x14:conditionalFormatting>
        <x14:conditionalFormatting xmlns:xm="http://schemas.microsoft.com/office/excel/2006/main">
          <x14:cfRule type="cellIs" priority="819" operator="between" id="{B554F48E-90F2-4800-90E4-FDA858F2EF86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L887:S887</xm:sqref>
        </x14:conditionalFormatting>
        <x14:conditionalFormatting xmlns:xm="http://schemas.microsoft.com/office/excel/2006/main">
          <x14:cfRule type="cellIs" priority="798" operator="between" id="{11EB448D-A4BC-45CF-A144-9F2054BC047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L888:S889</xm:sqref>
        </x14:conditionalFormatting>
        <x14:conditionalFormatting xmlns:xm="http://schemas.microsoft.com/office/excel/2006/main">
          <x14:cfRule type="cellIs" priority="777" operator="between" id="{710681D7-FDF7-4DD2-9B66-6954A9B4240F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L890:S890</xm:sqref>
        </x14:conditionalFormatting>
        <x14:conditionalFormatting xmlns:xm="http://schemas.microsoft.com/office/excel/2006/main">
          <x14:cfRule type="cellIs" priority="756" operator="between" id="{BE2B3C97-B698-41B4-B412-09B1EC538C67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L891:S892</xm:sqref>
        </x14:conditionalFormatting>
        <x14:conditionalFormatting xmlns:xm="http://schemas.microsoft.com/office/excel/2006/main">
          <x14:cfRule type="cellIs" priority="735" operator="between" id="{67A055EE-8880-4D1D-A614-684D9D82609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L893:S894</xm:sqref>
        </x14:conditionalFormatting>
        <x14:conditionalFormatting xmlns:xm="http://schemas.microsoft.com/office/excel/2006/main">
          <x14:cfRule type="cellIs" priority="714" operator="between" id="{86029F87-9B3C-4F14-BA40-54C616A4234E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L895:S896</xm:sqref>
        </x14:conditionalFormatting>
        <x14:conditionalFormatting xmlns:xm="http://schemas.microsoft.com/office/excel/2006/main">
          <x14:cfRule type="cellIs" priority="693" operator="between" id="{E57B4695-D517-431B-B70E-3A01340684D0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L897:S897</xm:sqref>
        </x14:conditionalFormatting>
        <x14:conditionalFormatting xmlns:xm="http://schemas.microsoft.com/office/excel/2006/main">
          <x14:cfRule type="cellIs" priority="672" operator="between" id="{F71C0A26-F550-4225-A96B-5CAC0DD5FA80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L898:S898</xm:sqref>
        </x14:conditionalFormatting>
        <x14:conditionalFormatting xmlns:xm="http://schemas.microsoft.com/office/excel/2006/main">
          <x14:cfRule type="cellIs" priority="651" operator="between" id="{DFE795D6-8F70-48F0-9913-B0E8CE9D533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L899:S899</xm:sqref>
        </x14:conditionalFormatting>
        <x14:conditionalFormatting xmlns:xm="http://schemas.microsoft.com/office/excel/2006/main">
          <x14:cfRule type="cellIs" priority="630" operator="between" id="{6C5A9BB2-8E52-487C-96C8-595BDCC7A9C6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L900:S900</xm:sqref>
        </x14:conditionalFormatting>
        <x14:conditionalFormatting xmlns:xm="http://schemas.microsoft.com/office/excel/2006/main">
          <x14:cfRule type="cellIs" priority="609" operator="between" id="{A18A57A8-4A3B-4E1C-AC7A-8636E00CCBCD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L901:S902</xm:sqref>
        </x14:conditionalFormatting>
        <x14:conditionalFormatting xmlns:xm="http://schemas.microsoft.com/office/excel/2006/main">
          <x14:cfRule type="cellIs" priority="588" operator="between" id="{3B0E81A7-D52B-4E27-AB30-0FE3679209C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L903:S903</xm:sqref>
        </x14:conditionalFormatting>
        <x14:conditionalFormatting xmlns:xm="http://schemas.microsoft.com/office/excel/2006/main">
          <x14:cfRule type="cellIs" priority="567" operator="between" id="{8A2A9B3E-1D4F-41B5-AB78-FC704E52B607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L904:S904</xm:sqref>
        </x14:conditionalFormatting>
        <x14:conditionalFormatting xmlns:xm="http://schemas.microsoft.com/office/excel/2006/main">
          <x14:cfRule type="cellIs" priority="546" operator="between" id="{923A508C-ADEB-446A-B350-4A7595A162B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L905:S905</xm:sqref>
        </x14:conditionalFormatting>
        <x14:conditionalFormatting xmlns:xm="http://schemas.microsoft.com/office/excel/2006/main">
          <x14:cfRule type="cellIs" priority="525" operator="between" id="{36EE1E9D-80D1-49C0-AAF0-EE8E1997D15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L906:S907</xm:sqref>
        </x14:conditionalFormatting>
        <x14:conditionalFormatting xmlns:xm="http://schemas.microsoft.com/office/excel/2006/main">
          <x14:cfRule type="cellIs" priority="504" operator="between" id="{5F1E83C1-C9A0-4652-B78C-5CCF9049E7B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L908:M909 O908:S909</xm:sqref>
        </x14:conditionalFormatting>
        <x14:conditionalFormatting xmlns:xm="http://schemas.microsoft.com/office/excel/2006/main">
          <x14:cfRule type="cellIs" priority="483" operator="between" id="{3D70376D-7D53-4AD7-958B-E08318648132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L910:S910</xm:sqref>
        </x14:conditionalFormatting>
        <x14:conditionalFormatting xmlns:xm="http://schemas.microsoft.com/office/excel/2006/main">
          <x14:cfRule type="cellIs" priority="462" operator="between" id="{36D06BEA-7E95-499C-91C1-225802D89F5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L911:S911</xm:sqref>
        </x14:conditionalFormatting>
        <x14:conditionalFormatting xmlns:xm="http://schemas.microsoft.com/office/excel/2006/main">
          <x14:cfRule type="cellIs" priority="441" operator="between" id="{28C79842-37D4-4502-AFC0-E27CC8A8ECC8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L912:S912</xm:sqref>
        </x14:conditionalFormatting>
        <x14:conditionalFormatting xmlns:xm="http://schemas.microsoft.com/office/excel/2006/main">
          <x14:cfRule type="cellIs" priority="420" operator="between" id="{4EEF6B27-251C-4CB4-A499-76CBD175FE1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L913:S913</xm:sqref>
        </x14:conditionalFormatting>
        <x14:conditionalFormatting xmlns:xm="http://schemas.microsoft.com/office/excel/2006/main">
          <x14:cfRule type="cellIs" priority="399" operator="between" id="{FE67D6E0-8A08-4BE8-8971-29F69D0DB3D7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L914:S914</xm:sqref>
        </x14:conditionalFormatting>
        <x14:conditionalFormatting xmlns:xm="http://schemas.microsoft.com/office/excel/2006/main">
          <x14:cfRule type="cellIs" priority="378" operator="between" id="{E058A4C7-14BF-4C45-9045-4534DB6CF43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L915:S915</xm:sqref>
        </x14:conditionalFormatting>
        <x14:conditionalFormatting xmlns:xm="http://schemas.microsoft.com/office/excel/2006/main">
          <x14:cfRule type="cellIs" priority="357" operator="between" id="{2D390A2C-7A1E-4EF1-B11E-00855026C5A8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L916:S917</xm:sqref>
        </x14:conditionalFormatting>
        <x14:conditionalFormatting xmlns:xm="http://schemas.microsoft.com/office/excel/2006/main">
          <x14:cfRule type="cellIs" priority="336" operator="between" id="{3B580D4A-AFCE-4FA6-9454-E9C07DF7A53E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L918:S918</xm:sqref>
        </x14:conditionalFormatting>
        <x14:conditionalFormatting xmlns:xm="http://schemas.microsoft.com/office/excel/2006/main">
          <x14:cfRule type="cellIs" priority="315" operator="between" id="{99B899F6-1296-4CBA-A265-E8A7FE2BE8B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L919:S919</xm:sqref>
        </x14:conditionalFormatting>
        <x14:conditionalFormatting xmlns:xm="http://schemas.microsoft.com/office/excel/2006/main">
          <x14:cfRule type="cellIs" priority="294" operator="between" id="{A7543540-69AE-4F80-85AA-5DFD73A9C77A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L920:S920</xm:sqref>
        </x14:conditionalFormatting>
        <x14:conditionalFormatting xmlns:xm="http://schemas.microsoft.com/office/excel/2006/main">
          <x14:cfRule type="cellIs" priority="273" operator="between" id="{001BA824-773C-4B0D-A221-1A2CE88A3240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L921:S921</xm:sqref>
        </x14:conditionalFormatting>
        <x14:conditionalFormatting xmlns:xm="http://schemas.microsoft.com/office/excel/2006/main">
          <x14:cfRule type="cellIs" priority="252" operator="between" id="{BD1860DF-5E25-46DE-BBA0-C2A3934BF36B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L922:S922</xm:sqref>
        </x14:conditionalFormatting>
        <x14:conditionalFormatting xmlns:xm="http://schemas.microsoft.com/office/excel/2006/main">
          <x14:cfRule type="cellIs" priority="231" operator="between" id="{986E04C5-DCF8-4496-BAA0-43ECC8E07BD5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L923:S923</xm:sqref>
        </x14:conditionalFormatting>
        <x14:conditionalFormatting xmlns:xm="http://schemas.microsoft.com/office/excel/2006/main">
          <x14:cfRule type="cellIs" priority="210" operator="between" id="{4D5B98D0-CD54-4B15-A158-579DE7D42141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L924:S924</xm:sqref>
        </x14:conditionalFormatting>
        <x14:conditionalFormatting xmlns:xm="http://schemas.microsoft.com/office/excel/2006/main">
          <x14:cfRule type="cellIs" priority="189" operator="between" id="{41CB1EB3-AD60-4102-A817-F8BF6FF35839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L925:S925</xm:sqref>
        </x14:conditionalFormatting>
        <x14:conditionalFormatting xmlns:xm="http://schemas.microsoft.com/office/excel/2006/main">
          <x14:cfRule type="cellIs" priority="168" operator="between" id="{F3058BA0-67E6-46A9-A96C-EC50AC4E886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L926:S927</xm:sqref>
        </x14:conditionalFormatting>
        <x14:conditionalFormatting xmlns:xm="http://schemas.microsoft.com/office/excel/2006/main">
          <x14:cfRule type="cellIs" priority="147" operator="between" id="{985041E9-F56D-45A0-9E1F-586ADDCB04A5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L928:S928</xm:sqref>
        </x14:conditionalFormatting>
        <x14:conditionalFormatting xmlns:xm="http://schemas.microsoft.com/office/excel/2006/main">
          <x14:cfRule type="cellIs" priority="126" operator="between" id="{BB852EC4-2287-479F-BEC0-EF872EAC172C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L929:S930</xm:sqref>
        </x14:conditionalFormatting>
        <x14:conditionalFormatting xmlns:xm="http://schemas.microsoft.com/office/excel/2006/main">
          <x14:cfRule type="cellIs" priority="105" operator="between" id="{7A278DDA-F7E1-48B5-A353-96A40EF4785F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L931:S931</xm:sqref>
        </x14:conditionalFormatting>
        <x14:conditionalFormatting xmlns:xm="http://schemas.microsoft.com/office/excel/2006/main">
          <x14:cfRule type="cellIs" priority="84" operator="between" id="{63ED0988-0323-46AA-83E3-4DE3EED3E758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L932:S932</xm:sqref>
        </x14:conditionalFormatting>
        <x14:conditionalFormatting xmlns:xm="http://schemas.microsoft.com/office/excel/2006/main">
          <x14:cfRule type="cellIs" priority="63" operator="between" id="{91C5E437-2B61-4852-A43E-7193842C28F4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L933:S933</xm:sqref>
        </x14:conditionalFormatting>
        <x14:conditionalFormatting xmlns:xm="http://schemas.microsoft.com/office/excel/2006/main">
          <x14:cfRule type="cellIs" priority="42" operator="between" id="{6634C128-AD21-4412-9BCC-208D32BA8F0E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L934:S934</xm:sqref>
        </x14:conditionalFormatting>
        <x14:conditionalFormatting xmlns:xm="http://schemas.microsoft.com/office/excel/2006/main">
          <x14:cfRule type="cellIs" priority="21" operator="between" id="{ED412A7F-0A37-4D88-9956-F0A4C2535B68}">
            <xm:f>Clientes!$A$3</xm:f>
            <xm:f>Clientes!#REF!</xm:f>
            <x14:dxf>
              <font>
                <b/>
                <i val="0"/>
                <u val="none"/>
                <color theme="1"/>
              </font>
              <fill>
                <patternFill>
                  <bgColor theme="4" tint="0.79998168889431442"/>
                </patternFill>
              </fill>
            </x14:dxf>
          </x14:cfRule>
          <xm:sqref>L935:S935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Configurações!$G$2:$G$17</xm:f>
          </x14:formula1>
          <xm:sqref>G4:G188 G190:G233 G235:G274 G276:G312 G314:G349 G351:G377 G379:G622 G624:G625 G628:G639 G641:G774 G779:G935</xm:sqref>
        </x14:dataValidation>
        <x14:dataValidation type="list" allowBlank="1" showInputMessage="1" showErrorMessage="1">
          <x14:formula1>
            <xm:f>Clientes!$C$3:$C$74</xm:f>
          </x14:formula1>
          <xm:sqref>N197:N319 L312:L319 L298:L310 L272:L296 R5:R279 L193:L270 N136:N195 L186:L190 L170:L184 P5:P183 L5:L168 N5:N134 P185:P319 R281:R319</xm:sqref>
        </x14:dataValidation>
        <x14:dataValidation type="list" allowBlank="1" showInputMessage="1" showErrorMessage="1">
          <x14:formula1>
            <xm:f>Clientes!$C$3:$C$81</xm:f>
          </x14:formula1>
          <xm:sqref>L4 N4 P4 R4 L320:L340 L342:L360 L362:L436 L438:L466 L468:L774 N320:N774 L779:L935 R320:R935 P320:P935 N776:N907 N910:N935</xm:sqref>
        </x14:dataValidation>
        <x14:dataValidation type="list" allowBlank="1" showInputMessage="1" showErrorMessage="1">
          <x14:formula1>
            <xm:f>Clientes!$A$3:$A$48</xm:f>
          </x14:formula1>
          <xm:sqref>I4:I774 I779:I935</xm:sqref>
        </x14:dataValidation>
        <x14:dataValidation type="list" allowBlank="1" showInputMessage="1" showErrorMessage="1">
          <x14:formula1>
            <xm:f>[1]Clientes!#REF!</xm:f>
          </x14:formula1>
          <xm:sqref>I775:I778 N775 L775:L778</xm:sqref>
        </x14:dataValidation>
        <x14:dataValidation type="list" allowBlank="1" showInputMessage="1" showErrorMessage="1">
          <x14:formula1>
            <xm:f>[1]Configurações!#REF!</xm:f>
          </x14:formula1>
          <xm:sqref>G775:G778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AG1217"/>
  <sheetViews>
    <sheetView topLeftCell="B1" workbookViewId="0">
      <pane xSplit="3" ySplit="4" topLeftCell="E5" activePane="bottomRight" state="frozen"/>
      <selection activeCell="B1" sqref="B1"/>
      <selection pane="topRight" activeCell="E1" sqref="E1"/>
      <selection pane="bottomLeft" activeCell="B5" sqref="B5"/>
      <selection pane="bottomRight" activeCell="B6" sqref="B6"/>
    </sheetView>
  </sheetViews>
  <sheetFormatPr defaultRowHeight="15.75" x14ac:dyDescent="0.25"/>
  <cols>
    <col min="1" max="1" width="12.375" hidden="1" customWidth="1"/>
    <col min="2" max="2" width="20.25" style="18" customWidth="1"/>
    <col min="3" max="3" width="28.25" style="53" customWidth="1"/>
    <col min="4" max="4" width="54" style="23" customWidth="1"/>
    <col min="5" max="5" width="23.5" customWidth="1"/>
    <col min="6" max="6" width="19.75" style="31" customWidth="1"/>
    <col min="7" max="7" width="40.625" style="25" customWidth="1"/>
    <col min="8" max="8" width="16.125" style="23" bestFit="1" customWidth="1"/>
    <col min="9" max="9" width="40.375" style="23" bestFit="1" customWidth="1"/>
    <col min="10" max="10" width="41.25" style="25" customWidth="1"/>
    <col min="11" max="11" width="16.125" style="23" bestFit="1" customWidth="1"/>
    <col min="12" max="12" width="40.375" style="23" bestFit="1" customWidth="1"/>
    <col min="13" max="13" width="40.125" style="25" customWidth="1"/>
    <col min="14" max="14" width="16.125" style="23" bestFit="1" customWidth="1"/>
    <col min="15" max="15" width="40.375" style="23" bestFit="1" customWidth="1"/>
    <col min="16" max="16" width="40.125" style="25" customWidth="1"/>
    <col min="17" max="17" width="16.125" style="23" bestFit="1" customWidth="1"/>
    <col min="18" max="18" width="40.375" style="23" bestFit="1" customWidth="1"/>
    <col min="19" max="19" width="40.125" style="25" customWidth="1"/>
    <col min="20" max="20" width="16.125" style="23" bestFit="1" customWidth="1"/>
    <col min="21" max="21" width="40.375" style="23" bestFit="1" customWidth="1"/>
    <col min="22" max="22" width="40.125" style="25" customWidth="1"/>
    <col min="23" max="23" width="16.125" style="23" bestFit="1" customWidth="1"/>
    <col min="24" max="24" width="40.375" style="23" bestFit="1" customWidth="1"/>
    <col min="25" max="25" width="40.125" style="25" customWidth="1"/>
    <col min="26" max="26" width="16.125" style="23" bestFit="1" customWidth="1"/>
    <col min="27" max="27" width="40.375" style="23" bestFit="1" customWidth="1"/>
    <col min="28" max="28" width="40.125" style="25" customWidth="1"/>
    <col min="29" max="29" width="16.125" style="23" bestFit="1" customWidth="1"/>
    <col min="30" max="30" width="40.375" style="23" bestFit="1" customWidth="1"/>
    <col min="31" max="31" width="19.75" style="31" customWidth="1"/>
    <col min="32" max="32" width="49.875" style="25" customWidth="1"/>
    <col min="33" max="33" width="47.375" style="16" customWidth="1"/>
    <col min="34" max="34" width="14.625" bestFit="1" customWidth="1"/>
  </cols>
  <sheetData>
    <row r="1" spans="1:33" s="38" customFormat="1" ht="37.5" customHeight="1" x14ac:dyDescent="0.25">
      <c r="B1" s="39"/>
      <c r="C1" s="81" t="s">
        <v>118</v>
      </c>
      <c r="D1" s="81"/>
      <c r="E1" s="40"/>
      <c r="F1" s="41">
        <f ca="1">NOW()</f>
        <v>42376.442328124998</v>
      </c>
      <c r="G1" s="40"/>
      <c r="H1" s="42"/>
      <c r="I1" s="40"/>
      <c r="J1" s="40"/>
      <c r="K1" s="42"/>
      <c r="L1" s="40"/>
      <c r="M1" s="40"/>
      <c r="N1" s="42"/>
      <c r="O1" s="40"/>
      <c r="P1" s="40"/>
      <c r="Q1" s="42"/>
      <c r="R1" s="40"/>
      <c r="S1" s="40"/>
      <c r="T1" s="42"/>
      <c r="U1" s="40"/>
      <c r="V1" s="40"/>
      <c r="W1" s="42"/>
      <c r="X1" s="40"/>
      <c r="Y1" s="40"/>
      <c r="Z1" s="42"/>
      <c r="AA1" s="40"/>
      <c r="AB1" s="40"/>
      <c r="AC1" s="42"/>
      <c r="AD1" s="40"/>
      <c r="AE1" s="41">
        <f ca="1">NOW()</f>
        <v>42376.442328124998</v>
      </c>
      <c r="AF1" s="40"/>
      <c r="AG1" s="43"/>
    </row>
    <row r="2" spans="1:33" s="38" customFormat="1" ht="16.5" thickBot="1" x14ac:dyDescent="0.3">
      <c r="B2" s="44" t="s">
        <v>46</v>
      </c>
      <c r="C2" s="69"/>
      <c r="D2" s="45"/>
      <c r="F2" s="46" t="s">
        <v>49</v>
      </c>
      <c r="G2" s="47"/>
      <c r="H2" s="42"/>
      <c r="I2" s="42"/>
      <c r="J2" s="47"/>
      <c r="K2" s="42"/>
      <c r="L2" s="42"/>
      <c r="M2" s="47"/>
      <c r="N2" s="42"/>
      <c r="O2" s="42"/>
      <c r="P2" s="47"/>
      <c r="Q2" s="42"/>
      <c r="R2" s="42"/>
      <c r="S2" s="47"/>
      <c r="T2" s="42"/>
      <c r="U2" s="42"/>
      <c r="V2" s="47"/>
      <c r="W2" s="42"/>
      <c r="X2" s="42"/>
      <c r="Y2" s="47"/>
      <c r="Z2" s="42"/>
      <c r="AA2" s="42"/>
      <c r="AB2" s="47"/>
      <c r="AC2" s="42"/>
      <c r="AD2" s="42"/>
      <c r="AE2" s="46" t="s">
        <v>49</v>
      </c>
      <c r="AF2" s="47"/>
      <c r="AG2" s="48"/>
    </row>
    <row r="3" spans="1:33" ht="36.75" customHeight="1" x14ac:dyDescent="0.25">
      <c r="A3" s="3" t="s">
        <v>5</v>
      </c>
      <c r="B3" s="3" t="s">
        <v>51</v>
      </c>
      <c r="C3" s="51" t="s">
        <v>52</v>
      </c>
      <c r="D3" s="3" t="s">
        <v>50</v>
      </c>
      <c r="E3" s="3" t="s">
        <v>53</v>
      </c>
      <c r="F3" s="32" t="s">
        <v>55</v>
      </c>
      <c r="G3" s="5" t="s">
        <v>94</v>
      </c>
      <c r="H3" s="5" t="s">
        <v>95</v>
      </c>
      <c r="I3" s="6" t="s">
        <v>96</v>
      </c>
      <c r="J3" s="5" t="s">
        <v>97</v>
      </c>
      <c r="K3" s="5" t="s">
        <v>98</v>
      </c>
      <c r="L3" s="6" t="s">
        <v>99</v>
      </c>
      <c r="M3" s="5" t="s">
        <v>100</v>
      </c>
      <c r="N3" s="5" t="s">
        <v>101</v>
      </c>
      <c r="O3" s="6" t="s">
        <v>102</v>
      </c>
      <c r="P3" s="5" t="s">
        <v>103</v>
      </c>
      <c r="Q3" s="5" t="s">
        <v>104</v>
      </c>
      <c r="R3" s="6" t="s">
        <v>105</v>
      </c>
      <c r="S3" s="5" t="s">
        <v>106</v>
      </c>
      <c r="T3" s="5" t="s">
        <v>107</v>
      </c>
      <c r="U3" s="6" t="s">
        <v>108</v>
      </c>
      <c r="V3" s="5" t="s">
        <v>109</v>
      </c>
      <c r="W3" s="5" t="s">
        <v>110</v>
      </c>
      <c r="X3" s="6" t="s">
        <v>111</v>
      </c>
      <c r="Y3" s="5" t="s">
        <v>112</v>
      </c>
      <c r="Z3" s="5" t="s">
        <v>113</v>
      </c>
      <c r="AA3" s="6" t="s">
        <v>114</v>
      </c>
      <c r="AB3" s="5" t="s">
        <v>115</v>
      </c>
      <c r="AC3" s="5" t="s">
        <v>116</v>
      </c>
      <c r="AD3" s="6" t="s">
        <v>117</v>
      </c>
      <c r="AE3" s="32" t="s">
        <v>79</v>
      </c>
      <c r="AF3" s="5" t="s">
        <v>48</v>
      </c>
      <c r="AG3" s="30" t="s">
        <v>0</v>
      </c>
    </row>
    <row r="4" spans="1:33" hidden="1" x14ac:dyDescent="0.25">
      <c r="A4" s="2" t="str">
        <f>IFERROR(VLOOKUP(B4,Clientes!A:B,2,0),"")</f>
        <v/>
      </c>
      <c r="B4" s="20" t="e">
        <f>B3+1</f>
        <v>#VALUE!</v>
      </c>
      <c r="C4" s="52"/>
      <c r="D4" s="22"/>
      <c r="E4" s="2"/>
      <c r="F4" s="37"/>
      <c r="G4" s="26"/>
      <c r="H4" s="20"/>
      <c r="I4" s="20" t="s">
        <v>84</v>
      </c>
      <c r="J4" s="26"/>
      <c r="K4" s="20"/>
      <c r="L4" s="20" t="s">
        <v>84</v>
      </c>
      <c r="M4" s="26"/>
      <c r="N4" s="20"/>
      <c r="O4" s="20" t="s">
        <v>84</v>
      </c>
      <c r="P4" s="26"/>
      <c r="Q4" s="20"/>
      <c r="R4" s="20" t="s">
        <v>84</v>
      </c>
      <c r="S4" s="26"/>
      <c r="T4" s="20"/>
      <c r="U4" s="20" t="s">
        <v>84</v>
      </c>
      <c r="V4" s="26"/>
      <c r="W4" s="20"/>
      <c r="X4" s="20" t="s">
        <v>84</v>
      </c>
      <c r="Y4" s="26"/>
      <c r="Z4" s="20"/>
      <c r="AA4" s="20" t="s">
        <v>84</v>
      </c>
      <c r="AB4" s="26"/>
      <c r="AC4" s="20"/>
      <c r="AD4" s="20" t="s">
        <v>84</v>
      </c>
      <c r="AE4" s="37"/>
      <c r="AF4" s="26"/>
      <c r="AG4" s="17"/>
    </row>
    <row r="5" spans="1:33" ht="25.5" x14ac:dyDescent="0.25">
      <c r="A5" s="2" t="str">
        <f>IFERROR(VLOOKUP(B5,Clientes!A:B,2,0),"")</f>
        <v/>
      </c>
      <c r="B5" s="20">
        <v>1</v>
      </c>
      <c r="C5" s="52" t="s">
        <v>630</v>
      </c>
      <c r="D5" s="22" t="s">
        <v>368</v>
      </c>
      <c r="E5" s="2" t="s">
        <v>1238</v>
      </c>
      <c r="F5" s="37">
        <v>42250</v>
      </c>
      <c r="G5" s="26" t="s">
        <v>1390</v>
      </c>
      <c r="H5" s="20" t="s">
        <v>81</v>
      </c>
      <c r="I5" s="20" t="s">
        <v>84</v>
      </c>
      <c r="J5" s="26" t="s">
        <v>1086</v>
      </c>
      <c r="K5" s="20" t="s">
        <v>1391</v>
      </c>
      <c r="L5" s="20" t="s">
        <v>84</v>
      </c>
      <c r="M5" s="26" t="s">
        <v>950</v>
      </c>
      <c r="N5" s="20" t="s">
        <v>1391</v>
      </c>
      <c r="O5" s="20" t="s">
        <v>84</v>
      </c>
      <c r="P5" s="26" t="s">
        <v>1392</v>
      </c>
      <c r="Q5" s="20" t="s">
        <v>1391</v>
      </c>
      <c r="R5" s="20" t="s">
        <v>84</v>
      </c>
      <c r="S5" s="26" t="s">
        <v>1088</v>
      </c>
      <c r="T5" s="20" t="s">
        <v>1391</v>
      </c>
      <c r="U5" s="20" t="s">
        <v>84</v>
      </c>
      <c r="V5" s="26"/>
      <c r="W5" s="20"/>
      <c r="X5" s="20" t="s">
        <v>84</v>
      </c>
      <c r="Y5" s="26"/>
      <c r="Z5" s="20"/>
      <c r="AA5" s="20" t="s">
        <v>84</v>
      </c>
      <c r="AB5" s="26"/>
      <c r="AC5" s="20"/>
      <c r="AD5" s="20" t="s">
        <v>84</v>
      </c>
      <c r="AE5" s="37"/>
      <c r="AF5" s="26"/>
      <c r="AG5" s="17"/>
    </row>
    <row r="6" spans="1:33" x14ac:dyDescent="0.25">
      <c r="A6" s="2" t="str">
        <f>IFERROR(VLOOKUP(B6,Clientes!A:B,2,0),"")</f>
        <v/>
      </c>
      <c r="B6" s="20">
        <f t="shared" ref="B6:B13" si="0">B5+1</f>
        <v>2</v>
      </c>
      <c r="C6" s="52"/>
      <c r="D6" s="22"/>
      <c r="E6" s="2"/>
      <c r="F6" s="37"/>
      <c r="G6" s="26"/>
      <c r="H6" s="20"/>
      <c r="I6" s="20" t="s">
        <v>84</v>
      </c>
      <c r="J6" s="26"/>
      <c r="K6" s="20"/>
      <c r="L6" s="20" t="s">
        <v>84</v>
      </c>
      <c r="M6" s="26"/>
      <c r="N6" s="20"/>
      <c r="O6" s="20" t="s">
        <v>84</v>
      </c>
      <c r="P6" s="26"/>
      <c r="Q6" s="20"/>
      <c r="R6" s="20" t="s">
        <v>84</v>
      </c>
      <c r="S6" s="26"/>
      <c r="T6" s="20"/>
      <c r="U6" s="20" t="s">
        <v>84</v>
      </c>
      <c r="V6" s="26"/>
      <c r="W6" s="20"/>
      <c r="X6" s="20" t="s">
        <v>84</v>
      </c>
      <c r="Y6" s="26"/>
      <c r="Z6" s="20"/>
      <c r="AA6" s="20" t="s">
        <v>84</v>
      </c>
      <c r="AB6" s="26"/>
      <c r="AC6" s="20"/>
      <c r="AD6" s="20" t="s">
        <v>84</v>
      </c>
      <c r="AE6" s="37"/>
      <c r="AF6" s="26"/>
      <c r="AG6" s="17"/>
    </row>
    <row r="7" spans="1:33" ht="25.5" x14ac:dyDescent="0.25">
      <c r="A7" s="2" t="str">
        <f>IFERROR(VLOOKUP(B7,Clientes!A:B,2,0),"")</f>
        <v/>
      </c>
      <c r="B7" s="20">
        <f t="shared" si="0"/>
        <v>3</v>
      </c>
      <c r="C7" s="52" t="s">
        <v>1091</v>
      </c>
      <c r="D7" s="22" t="s">
        <v>1393</v>
      </c>
      <c r="E7" s="2" t="s">
        <v>1238</v>
      </c>
      <c r="F7" s="37">
        <v>42257</v>
      </c>
      <c r="G7" s="26" t="s">
        <v>949</v>
      </c>
      <c r="H7" s="20" t="s">
        <v>81</v>
      </c>
      <c r="I7" s="20" t="s">
        <v>84</v>
      </c>
      <c r="J7" s="26" t="s">
        <v>950</v>
      </c>
      <c r="K7" s="20" t="s">
        <v>1394</v>
      </c>
      <c r="L7" s="20" t="s">
        <v>84</v>
      </c>
      <c r="M7" s="26" t="s">
        <v>1395</v>
      </c>
      <c r="N7" s="20" t="s">
        <v>1391</v>
      </c>
      <c r="O7" s="20" t="s">
        <v>84</v>
      </c>
      <c r="P7" s="26" t="s">
        <v>1396</v>
      </c>
      <c r="Q7" s="20" t="s">
        <v>1391</v>
      </c>
      <c r="R7" s="20" t="s">
        <v>84</v>
      </c>
      <c r="S7" s="26"/>
      <c r="T7" s="20"/>
      <c r="U7" s="20" t="s">
        <v>84</v>
      </c>
      <c r="V7" s="26"/>
      <c r="W7" s="20"/>
      <c r="X7" s="20" t="s">
        <v>84</v>
      </c>
      <c r="Y7" s="26"/>
      <c r="Z7" s="20"/>
      <c r="AA7" s="20" t="s">
        <v>84</v>
      </c>
      <c r="AB7" s="26"/>
      <c r="AC7" s="20"/>
      <c r="AD7" s="20" t="s">
        <v>84</v>
      </c>
      <c r="AE7" s="37"/>
      <c r="AF7" s="26"/>
      <c r="AG7" s="17"/>
    </row>
    <row r="8" spans="1:33" x14ac:dyDescent="0.25">
      <c r="A8" s="2" t="str">
        <f>IFERROR(VLOOKUP(B8,Clientes!A:B,2,0),"")</f>
        <v/>
      </c>
      <c r="B8" s="20">
        <f t="shared" si="0"/>
        <v>4</v>
      </c>
      <c r="C8" s="52"/>
      <c r="D8" s="22"/>
      <c r="E8" s="2"/>
      <c r="F8" s="37"/>
      <c r="G8" s="26"/>
      <c r="H8" s="20"/>
      <c r="I8" s="20" t="s">
        <v>84</v>
      </c>
      <c r="J8" s="26"/>
      <c r="K8" s="20"/>
      <c r="L8" s="20" t="s">
        <v>84</v>
      </c>
      <c r="M8" s="26"/>
      <c r="N8" s="20"/>
      <c r="O8" s="20" t="s">
        <v>84</v>
      </c>
      <c r="P8" s="26"/>
      <c r="Q8" s="20"/>
      <c r="R8" s="20" t="s">
        <v>84</v>
      </c>
      <c r="S8" s="26"/>
      <c r="T8" s="20"/>
      <c r="U8" s="20" t="s">
        <v>84</v>
      </c>
      <c r="V8" s="26"/>
      <c r="W8" s="20"/>
      <c r="X8" s="20" t="s">
        <v>84</v>
      </c>
      <c r="Y8" s="26"/>
      <c r="Z8" s="20"/>
      <c r="AA8" s="20" t="s">
        <v>84</v>
      </c>
      <c r="AB8" s="26"/>
      <c r="AC8" s="20"/>
      <c r="AD8" s="20" t="s">
        <v>84</v>
      </c>
      <c r="AE8" s="37"/>
      <c r="AF8" s="26"/>
      <c r="AG8" s="17"/>
    </row>
    <row r="9" spans="1:33" x14ac:dyDescent="0.25">
      <c r="A9" s="2" t="str">
        <f>IFERROR(VLOOKUP(B9,Clientes!A:B,2,0),"")</f>
        <v/>
      </c>
      <c r="B9" s="20">
        <f t="shared" si="0"/>
        <v>5</v>
      </c>
      <c r="C9" s="52"/>
      <c r="D9" s="22" t="s">
        <v>335</v>
      </c>
      <c r="E9" s="2"/>
      <c r="F9" s="37">
        <v>42156</v>
      </c>
      <c r="G9" s="26" t="s">
        <v>336</v>
      </c>
      <c r="H9" s="20"/>
      <c r="I9" s="20" t="s">
        <v>84</v>
      </c>
      <c r="J9" s="26" t="s">
        <v>337</v>
      </c>
      <c r="K9" s="20"/>
      <c r="L9" s="20" t="s">
        <v>84</v>
      </c>
      <c r="M9" s="26" t="s">
        <v>338</v>
      </c>
      <c r="N9" s="20"/>
      <c r="O9" s="20" t="s">
        <v>84</v>
      </c>
      <c r="P9" s="26" t="s">
        <v>337</v>
      </c>
      <c r="Q9" s="20"/>
      <c r="R9" s="20" t="s">
        <v>84</v>
      </c>
      <c r="S9" s="26"/>
      <c r="T9" s="20"/>
      <c r="U9" s="20" t="s">
        <v>84</v>
      </c>
      <c r="V9" s="26"/>
      <c r="W9" s="20"/>
      <c r="X9" s="20" t="s">
        <v>84</v>
      </c>
      <c r="Y9" s="26"/>
      <c r="Z9" s="20"/>
      <c r="AA9" s="20" t="s">
        <v>84</v>
      </c>
      <c r="AB9" s="26"/>
      <c r="AC9" s="20"/>
      <c r="AD9" s="20" t="s">
        <v>84</v>
      </c>
      <c r="AE9" s="37"/>
      <c r="AF9" s="26"/>
      <c r="AG9" s="17"/>
    </row>
    <row r="10" spans="1:33" x14ac:dyDescent="0.25">
      <c r="A10" s="2" t="str">
        <f>IFERROR(VLOOKUP(B10,Clientes!A:B,2,0),"")</f>
        <v/>
      </c>
      <c r="B10" s="20">
        <f t="shared" si="0"/>
        <v>6</v>
      </c>
      <c r="C10" s="52"/>
      <c r="D10" s="22" t="s">
        <v>368</v>
      </c>
      <c r="E10" s="2"/>
      <c r="F10" s="37">
        <v>42164</v>
      </c>
      <c r="G10" s="26" t="s">
        <v>369</v>
      </c>
      <c r="H10" s="20"/>
      <c r="I10" s="20" t="s">
        <v>84</v>
      </c>
      <c r="J10" s="26" t="s">
        <v>195</v>
      </c>
      <c r="K10" s="20"/>
      <c r="L10" s="20" t="s">
        <v>84</v>
      </c>
      <c r="M10" s="26" t="s">
        <v>370</v>
      </c>
      <c r="N10" s="20"/>
      <c r="O10" s="20" t="s">
        <v>84</v>
      </c>
      <c r="P10" s="26" t="s">
        <v>371</v>
      </c>
      <c r="Q10" s="20"/>
      <c r="R10" s="20" t="s">
        <v>84</v>
      </c>
      <c r="S10" s="26" t="s">
        <v>372</v>
      </c>
      <c r="T10" s="20"/>
      <c r="U10" s="20" t="s">
        <v>84</v>
      </c>
      <c r="V10" s="26"/>
      <c r="W10" s="20"/>
      <c r="X10" s="20" t="s">
        <v>84</v>
      </c>
      <c r="Y10" s="26"/>
      <c r="Z10" s="20"/>
      <c r="AA10" s="20" t="s">
        <v>84</v>
      </c>
      <c r="AB10" s="26"/>
      <c r="AC10" s="20"/>
      <c r="AD10" s="20" t="s">
        <v>84</v>
      </c>
      <c r="AE10" s="37"/>
      <c r="AF10" s="26"/>
      <c r="AG10" s="17"/>
    </row>
    <row r="11" spans="1:33" x14ac:dyDescent="0.25">
      <c r="A11" s="2" t="str">
        <f>IFERROR(VLOOKUP(B11,Clientes!A:B,2,0),"")</f>
        <v/>
      </c>
      <c r="B11" s="20">
        <f t="shared" si="0"/>
        <v>7</v>
      </c>
      <c r="C11" s="52"/>
      <c r="D11" s="22"/>
      <c r="E11" s="2"/>
      <c r="F11" s="37"/>
      <c r="G11" s="26"/>
      <c r="H11" s="20"/>
      <c r="I11" s="20" t="s">
        <v>84</v>
      </c>
      <c r="J11" s="26"/>
      <c r="K11" s="20"/>
      <c r="L11" s="20" t="s">
        <v>84</v>
      </c>
      <c r="M11" s="26"/>
      <c r="N11" s="20"/>
      <c r="O11" s="20" t="s">
        <v>84</v>
      </c>
      <c r="P11" s="26"/>
      <c r="Q11" s="20"/>
      <c r="R11" s="20" t="s">
        <v>84</v>
      </c>
      <c r="S11" s="26"/>
      <c r="T11" s="20"/>
      <c r="U11" s="20" t="s">
        <v>84</v>
      </c>
      <c r="V11" s="26"/>
      <c r="W11" s="20"/>
      <c r="X11" s="20" t="s">
        <v>84</v>
      </c>
      <c r="Y11" s="26"/>
      <c r="Z11" s="20"/>
      <c r="AA11" s="20" t="s">
        <v>84</v>
      </c>
      <c r="AB11" s="26"/>
      <c r="AC11" s="20"/>
      <c r="AD11" s="20" t="s">
        <v>84</v>
      </c>
      <c r="AE11" s="37"/>
      <c r="AF11" s="26"/>
      <c r="AG11" s="17"/>
    </row>
    <row r="12" spans="1:33" x14ac:dyDescent="0.25">
      <c r="A12" s="2" t="str">
        <f>IFERROR(VLOOKUP(B12,Clientes!A:B,2,0),"")</f>
        <v/>
      </c>
      <c r="B12" s="20">
        <f t="shared" si="0"/>
        <v>8</v>
      </c>
      <c r="C12" s="52"/>
      <c r="D12" s="22"/>
      <c r="E12" s="2"/>
      <c r="F12" s="37"/>
      <c r="G12" s="26"/>
      <c r="H12" s="20"/>
      <c r="I12" s="20" t="s">
        <v>84</v>
      </c>
      <c r="J12" s="26"/>
      <c r="K12" s="20"/>
      <c r="L12" s="20" t="s">
        <v>84</v>
      </c>
      <c r="M12" s="26"/>
      <c r="N12" s="20"/>
      <c r="O12" s="20" t="s">
        <v>84</v>
      </c>
      <c r="P12" s="26"/>
      <c r="Q12" s="20"/>
      <c r="R12" s="20" t="s">
        <v>84</v>
      </c>
      <c r="S12" s="26"/>
      <c r="T12" s="20"/>
      <c r="U12" s="20" t="s">
        <v>84</v>
      </c>
      <c r="V12" s="26"/>
      <c r="W12" s="20"/>
      <c r="X12" s="20" t="s">
        <v>84</v>
      </c>
      <c r="Y12" s="26"/>
      <c r="Z12" s="20"/>
      <c r="AA12" s="20" t="s">
        <v>84</v>
      </c>
      <c r="AB12" s="26"/>
      <c r="AC12" s="20"/>
      <c r="AD12" s="20" t="s">
        <v>84</v>
      </c>
      <c r="AE12" s="37"/>
      <c r="AF12" s="26"/>
      <c r="AG12" s="17"/>
    </row>
    <row r="13" spans="1:33" x14ac:dyDescent="0.25">
      <c r="A13" s="2" t="str">
        <f>IFERROR(VLOOKUP(B13,Clientes!A:B,2,0),"")</f>
        <v/>
      </c>
      <c r="B13" s="20">
        <f t="shared" si="0"/>
        <v>9</v>
      </c>
      <c r="C13" s="52" t="s">
        <v>466</v>
      </c>
      <c r="D13" s="22" t="s">
        <v>467</v>
      </c>
      <c r="E13" s="2" t="s">
        <v>238</v>
      </c>
      <c r="F13" s="37">
        <v>42038</v>
      </c>
      <c r="G13" s="26" t="s">
        <v>186</v>
      </c>
      <c r="H13" s="20" t="s">
        <v>82</v>
      </c>
      <c r="I13" s="20" t="s">
        <v>84</v>
      </c>
      <c r="J13" s="26"/>
      <c r="K13" s="20"/>
      <c r="L13" s="20" t="s">
        <v>84</v>
      </c>
      <c r="M13" s="26"/>
      <c r="N13" s="20"/>
      <c r="O13" s="20" t="s">
        <v>84</v>
      </c>
      <c r="P13" s="26"/>
      <c r="Q13" s="20"/>
      <c r="R13" s="20" t="s">
        <v>84</v>
      </c>
      <c r="S13" s="26"/>
      <c r="T13" s="20"/>
      <c r="U13" s="20" t="s">
        <v>84</v>
      </c>
      <c r="V13" s="26"/>
      <c r="W13" s="20"/>
      <c r="X13" s="20" t="s">
        <v>84</v>
      </c>
      <c r="Y13" s="26"/>
      <c r="Z13" s="20"/>
      <c r="AA13" s="20" t="s">
        <v>84</v>
      </c>
      <c r="AB13" s="26"/>
      <c r="AC13" s="20"/>
      <c r="AD13" s="20" t="s">
        <v>84</v>
      </c>
      <c r="AE13" s="37"/>
      <c r="AF13" s="26"/>
      <c r="AG13" s="17"/>
    </row>
    <row r="14" spans="1:33" ht="25.5" x14ac:dyDescent="0.25">
      <c r="A14" s="2"/>
      <c r="B14" s="20" t="s">
        <v>663</v>
      </c>
      <c r="C14" s="52" t="s">
        <v>664</v>
      </c>
      <c r="D14" s="22" t="s">
        <v>665</v>
      </c>
      <c r="E14" s="2" t="s">
        <v>224</v>
      </c>
      <c r="F14" s="37">
        <v>42201</v>
      </c>
      <c r="G14" s="26" t="s">
        <v>666</v>
      </c>
      <c r="H14" s="20" t="s">
        <v>82</v>
      </c>
      <c r="I14" s="20"/>
      <c r="J14" s="26" t="s">
        <v>667</v>
      </c>
      <c r="K14" s="20"/>
      <c r="L14" s="20"/>
      <c r="M14" s="26"/>
      <c r="N14" s="20"/>
      <c r="O14" s="20"/>
      <c r="P14" s="26"/>
      <c r="Q14" s="20"/>
      <c r="R14" s="20"/>
      <c r="S14" s="26"/>
      <c r="T14" s="20"/>
      <c r="U14" s="20"/>
      <c r="V14" s="26"/>
      <c r="W14" s="20"/>
      <c r="X14" s="20"/>
      <c r="Y14" s="26"/>
      <c r="Z14" s="20"/>
      <c r="AA14" s="20"/>
      <c r="AB14" s="26"/>
      <c r="AC14" s="20"/>
      <c r="AD14" s="20"/>
      <c r="AE14" s="37"/>
      <c r="AF14" s="26"/>
      <c r="AG14" s="17"/>
    </row>
    <row r="15" spans="1:33" ht="25.5" x14ac:dyDescent="0.25">
      <c r="A15" s="2"/>
      <c r="B15" s="20" t="s">
        <v>948</v>
      </c>
      <c r="C15" s="52" t="s">
        <v>780</v>
      </c>
      <c r="D15" s="22" t="s">
        <v>781</v>
      </c>
      <c r="E15" s="2"/>
      <c r="F15" s="37"/>
      <c r="G15" s="26" t="s">
        <v>949</v>
      </c>
      <c r="H15" s="20"/>
      <c r="I15" s="20"/>
      <c r="J15" s="26" t="s">
        <v>667</v>
      </c>
      <c r="K15" s="20"/>
      <c r="L15" s="20"/>
      <c r="M15" s="26" t="s">
        <v>950</v>
      </c>
      <c r="N15" s="20"/>
      <c r="O15" s="20"/>
      <c r="P15" s="26" t="s">
        <v>951</v>
      </c>
      <c r="Q15" s="20"/>
      <c r="R15" s="20"/>
      <c r="S15" s="26" t="s">
        <v>952</v>
      </c>
      <c r="T15" s="20"/>
      <c r="U15" s="20"/>
      <c r="V15" s="26"/>
      <c r="W15" s="20"/>
      <c r="X15" s="20"/>
      <c r="Y15" s="26"/>
      <c r="Z15" s="20"/>
      <c r="AA15" s="20"/>
      <c r="AB15" s="26"/>
      <c r="AC15" s="20"/>
      <c r="AD15" s="20"/>
      <c r="AE15" s="37"/>
      <c r="AF15" s="26"/>
      <c r="AG15" s="17"/>
    </row>
    <row r="16" spans="1:33" x14ac:dyDescent="0.25">
      <c r="A16" s="2"/>
      <c r="B16" s="20"/>
      <c r="C16" s="52"/>
      <c r="D16" s="22"/>
      <c r="E16" s="2"/>
      <c r="F16" s="37"/>
      <c r="G16" s="26"/>
      <c r="H16" s="20"/>
      <c r="I16" s="20"/>
      <c r="J16" s="26"/>
      <c r="K16" s="20"/>
      <c r="L16" s="20"/>
      <c r="M16" s="26"/>
      <c r="N16" s="20"/>
      <c r="O16" s="20"/>
      <c r="P16" s="26"/>
      <c r="Q16" s="20"/>
      <c r="R16" s="20"/>
      <c r="S16" s="26"/>
      <c r="T16" s="20"/>
      <c r="U16" s="20"/>
      <c r="V16" s="26"/>
      <c r="W16" s="20"/>
      <c r="X16" s="20"/>
      <c r="Y16" s="26"/>
      <c r="Z16" s="20"/>
      <c r="AA16" s="20"/>
      <c r="AB16" s="26"/>
      <c r="AC16" s="20"/>
      <c r="AD16" s="20"/>
      <c r="AE16" s="37"/>
      <c r="AF16" s="26"/>
      <c r="AG16" s="17"/>
    </row>
    <row r="17" spans="1:33" x14ac:dyDescent="0.25">
      <c r="A17" s="2" t="str">
        <f>IFERROR(VLOOKUP(B17,Clientes!A:B,2,0),"")</f>
        <v/>
      </c>
      <c r="B17" s="20">
        <v>1</v>
      </c>
      <c r="C17" s="52" t="s">
        <v>630</v>
      </c>
      <c r="D17" s="22" t="s">
        <v>631</v>
      </c>
      <c r="E17" s="2"/>
      <c r="F17" s="37">
        <v>42250</v>
      </c>
      <c r="G17" s="26" t="s">
        <v>1085</v>
      </c>
      <c r="H17" s="20"/>
      <c r="I17" s="20" t="s">
        <v>84</v>
      </c>
      <c r="J17" s="26" t="s">
        <v>1086</v>
      </c>
      <c r="K17" s="20"/>
      <c r="L17" s="20" t="s">
        <v>84</v>
      </c>
      <c r="M17" s="26" t="s">
        <v>950</v>
      </c>
      <c r="N17" s="20"/>
      <c r="O17" s="20" t="s">
        <v>84</v>
      </c>
      <c r="P17" s="26" t="s">
        <v>1087</v>
      </c>
      <c r="Q17" s="20"/>
      <c r="R17" s="20" t="s">
        <v>84</v>
      </c>
      <c r="S17" s="26" t="s">
        <v>1088</v>
      </c>
      <c r="T17" s="20"/>
      <c r="U17" s="20" t="s">
        <v>84</v>
      </c>
      <c r="V17" s="26"/>
      <c r="W17" s="20"/>
      <c r="X17" s="20" t="s">
        <v>84</v>
      </c>
      <c r="Y17" s="26"/>
      <c r="Z17" s="20"/>
      <c r="AA17" s="20" t="s">
        <v>84</v>
      </c>
      <c r="AB17" s="26"/>
      <c r="AC17" s="20"/>
      <c r="AD17" s="20" t="s">
        <v>84</v>
      </c>
      <c r="AE17" s="37"/>
      <c r="AF17" s="26"/>
      <c r="AG17" s="17"/>
    </row>
    <row r="18" spans="1:33" ht="25.5" x14ac:dyDescent="0.25">
      <c r="A18" s="2" t="str">
        <f>IFERROR(VLOOKUP(B18,Clientes!A:B,2,0),"")</f>
        <v/>
      </c>
      <c r="B18" s="20">
        <v>2</v>
      </c>
      <c r="C18" s="52" t="s">
        <v>430</v>
      </c>
      <c r="D18" s="22" t="s">
        <v>431</v>
      </c>
      <c r="E18" s="2"/>
      <c r="F18" s="37">
        <v>42257</v>
      </c>
      <c r="G18" s="26" t="s">
        <v>1089</v>
      </c>
      <c r="H18" s="20"/>
      <c r="I18" s="20" t="s">
        <v>84</v>
      </c>
      <c r="J18" s="26" t="s">
        <v>1090</v>
      </c>
      <c r="K18" s="20"/>
      <c r="L18" s="20" t="s">
        <v>84</v>
      </c>
      <c r="M18" s="26"/>
      <c r="N18" s="20"/>
      <c r="O18" s="20" t="s">
        <v>84</v>
      </c>
      <c r="P18" s="26"/>
      <c r="Q18" s="20"/>
      <c r="R18" s="20" t="s">
        <v>84</v>
      </c>
      <c r="S18" s="26"/>
      <c r="T18" s="20"/>
      <c r="U18" s="20" t="s">
        <v>84</v>
      </c>
      <c r="V18" s="26"/>
      <c r="W18" s="20"/>
      <c r="X18" s="20" t="s">
        <v>84</v>
      </c>
      <c r="Y18" s="26"/>
      <c r="Z18" s="20"/>
      <c r="AA18" s="20" t="s">
        <v>84</v>
      </c>
      <c r="AB18" s="26"/>
      <c r="AC18" s="20"/>
      <c r="AD18" s="20" t="s">
        <v>84</v>
      </c>
      <c r="AE18" s="37"/>
      <c r="AF18" s="26"/>
      <c r="AG18" s="17"/>
    </row>
    <row r="19" spans="1:33" x14ac:dyDescent="0.25">
      <c r="A19" s="2" t="str">
        <f>IFERROR(VLOOKUP(B19,Clientes!A:B,2,0),"")</f>
        <v/>
      </c>
      <c r="B19" s="20">
        <v>3</v>
      </c>
      <c r="C19" s="52" t="s">
        <v>1091</v>
      </c>
      <c r="D19" s="22" t="s">
        <v>1092</v>
      </c>
      <c r="E19" s="2"/>
      <c r="F19" s="37">
        <v>42257</v>
      </c>
      <c r="G19" s="26" t="s">
        <v>1086</v>
      </c>
      <c r="H19" s="20"/>
      <c r="I19" s="20" t="s">
        <v>84</v>
      </c>
      <c r="J19" s="26" t="s">
        <v>950</v>
      </c>
      <c r="K19" s="20"/>
      <c r="L19" s="20" t="s">
        <v>84</v>
      </c>
      <c r="M19" s="26" t="s">
        <v>1093</v>
      </c>
      <c r="N19" s="20"/>
      <c r="O19" s="20" t="s">
        <v>84</v>
      </c>
      <c r="P19" s="26" t="s">
        <v>1088</v>
      </c>
      <c r="Q19" s="20"/>
      <c r="R19" s="20" t="s">
        <v>84</v>
      </c>
      <c r="S19" s="26"/>
      <c r="T19" s="20"/>
      <c r="U19" s="20" t="s">
        <v>84</v>
      </c>
      <c r="V19" s="26"/>
      <c r="W19" s="20"/>
      <c r="X19" s="20" t="s">
        <v>84</v>
      </c>
      <c r="Y19" s="26"/>
      <c r="Z19" s="20"/>
      <c r="AA19" s="20" t="s">
        <v>84</v>
      </c>
      <c r="AB19" s="26"/>
      <c r="AC19" s="20"/>
      <c r="AD19" s="20" t="s">
        <v>84</v>
      </c>
      <c r="AE19" s="37"/>
      <c r="AF19" s="26"/>
      <c r="AG19" s="17"/>
    </row>
    <row r="20" spans="1:33" ht="25.5" x14ac:dyDescent="0.25">
      <c r="A20" s="2" t="str">
        <f>IFERROR(VLOOKUP(B20,Clientes!A:B,2,0),"")</f>
        <v/>
      </c>
      <c r="B20" s="20">
        <v>4</v>
      </c>
      <c r="C20" s="52"/>
      <c r="D20" s="22" t="s">
        <v>1083</v>
      </c>
      <c r="E20" s="2"/>
      <c r="F20" s="37">
        <v>42258</v>
      </c>
      <c r="G20" s="26" t="s">
        <v>1094</v>
      </c>
      <c r="H20" s="20"/>
      <c r="I20" s="20" t="s">
        <v>84</v>
      </c>
      <c r="J20" s="26" t="s">
        <v>1095</v>
      </c>
      <c r="K20" s="20"/>
      <c r="L20" s="20" t="s">
        <v>84</v>
      </c>
      <c r="M20" s="26" t="s">
        <v>1096</v>
      </c>
      <c r="N20" s="20"/>
      <c r="O20" s="20" t="s">
        <v>84</v>
      </c>
      <c r="P20" s="26" t="s">
        <v>1097</v>
      </c>
      <c r="Q20" s="20"/>
      <c r="R20" s="20" t="s">
        <v>84</v>
      </c>
      <c r="S20" s="26"/>
      <c r="T20" s="20"/>
      <c r="U20" s="20" t="s">
        <v>84</v>
      </c>
      <c r="V20" s="26"/>
      <c r="W20" s="20"/>
      <c r="X20" s="20" t="s">
        <v>84</v>
      </c>
      <c r="Y20" s="26"/>
      <c r="Z20" s="20"/>
      <c r="AA20" s="20" t="s">
        <v>84</v>
      </c>
      <c r="AB20" s="26"/>
      <c r="AC20" s="20"/>
      <c r="AD20" s="20" t="s">
        <v>84</v>
      </c>
      <c r="AE20" s="37"/>
      <c r="AF20" s="26"/>
      <c r="AG20" s="17"/>
    </row>
    <row r="21" spans="1:33" x14ac:dyDescent="0.25">
      <c r="A21" s="2"/>
      <c r="B21" s="20">
        <v>4</v>
      </c>
      <c r="C21" s="52" t="s">
        <v>1075</v>
      </c>
      <c r="D21" s="22" t="s">
        <v>1076</v>
      </c>
      <c r="E21" s="2"/>
      <c r="F21" s="37">
        <v>42258</v>
      </c>
      <c r="G21" s="26" t="s">
        <v>1100</v>
      </c>
      <c r="H21" s="20" t="s">
        <v>81</v>
      </c>
      <c r="I21" s="20"/>
      <c r="J21" s="26" t="s">
        <v>1101</v>
      </c>
      <c r="K21" s="20" t="s">
        <v>81</v>
      </c>
      <c r="L21" s="20"/>
      <c r="M21" s="26"/>
      <c r="N21" s="20"/>
      <c r="O21" s="20"/>
      <c r="P21" s="26"/>
      <c r="Q21" s="20"/>
      <c r="R21" s="20"/>
      <c r="S21" s="26"/>
      <c r="T21" s="20"/>
      <c r="U21" s="20"/>
      <c r="V21" s="26"/>
      <c r="W21" s="20"/>
      <c r="X21" s="20"/>
      <c r="Y21" s="26"/>
      <c r="Z21" s="20"/>
      <c r="AA21" s="20"/>
      <c r="AB21" s="26"/>
      <c r="AC21" s="20"/>
      <c r="AD21" s="20"/>
      <c r="AE21" s="37"/>
      <c r="AF21" s="26"/>
      <c r="AG21" s="17"/>
    </row>
    <row r="22" spans="1:33" x14ac:dyDescent="0.25">
      <c r="A22" s="2" t="str">
        <f>IFERROR(VLOOKUP(B22,Clientes!A:B,2,0),"")</f>
        <v/>
      </c>
      <c r="B22" s="20">
        <v>5</v>
      </c>
      <c r="C22" s="52" t="s">
        <v>1098</v>
      </c>
      <c r="D22" s="22" t="s">
        <v>391</v>
      </c>
      <c r="E22" s="2"/>
      <c r="F22" s="37">
        <v>42258</v>
      </c>
      <c r="G22" s="26" t="s">
        <v>1099</v>
      </c>
      <c r="H22" s="20" t="s">
        <v>82</v>
      </c>
      <c r="I22" s="20" t="s">
        <v>84</v>
      </c>
      <c r="J22" s="26" t="s">
        <v>1074</v>
      </c>
      <c r="K22" s="20" t="s">
        <v>82</v>
      </c>
      <c r="L22" s="20" t="s">
        <v>84</v>
      </c>
      <c r="M22" s="26"/>
      <c r="N22" s="20" t="s">
        <v>82</v>
      </c>
      <c r="O22" s="20" t="s">
        <v>84</v>
      </c>
      <c r="P22" s="26"/>
      <c r="Q22" s="20" t="s">
        <v>82</v>
      </c>
      <c r="R22" s="20" t="s">
        <v>84</v>
      </c>
      <c r="S22" s="26"/>
      <c r="T22" s="20" t="s">
        <v>82</v>
      </c>
      <c r="U22" s="20" t="s">
        <v>84</v>
      </c>
      <c r="V22" s="26"/>
      <c r="W22" s="20"/>
      <c r="X22" s="20" t="s">
        <v>84</v>
      </c>
      <c r="Y22" s="26"/>
      <c r="Z22" s="20"/>
      <c r="AA22" s="20" t="s">
        <v>84</v>
      </c>
      <c r="AB22" s="26"/>
      <c r="AC22" s="20"/>
      <c r="AD22" s="20" t="s">
        <v>84</v>
      </c>
      <c r="AE22" s="37"/>
      <c r="AF22" s="26"/>
      <c r="AG22" s="17"/>
    </row>
    <row r="23" spans="1:33" x14ac:dyDescent="0.25">
      <c r="A23" s="2" t="str">
        <f>IFERROR(VLOOKUP(B23,Clientes!A:B,2,0),"")</f>
        <v/>
      </c>
      <c r="B23" s="20">
        <v>6</v>
      </c>
      <c r="C23" s="52"/>
      <c r="D23" s="22" t="s">
        <v>1272</v>
      </c>
      <c r="E23" s="2" t="s">
        <v>1238</v>
      </c>
      <c r="F23" s="37">
        <v>42282</v>
      </c>
      <c r="G23" s="26" t="s">
        <v>371</v>
      </c>
      <c r="H23" s="20" t="s">
        <v>81</v>
      </c>
      <c r="I23" s="20" t="s">
        <v>84</v>
      </c>
      <c r="J23" s="26" t="s">
        <v>1086</v>
      </c>
      <c r="K23" s="20" t="s">
        <v>82</v>
      </c>
      <c r="L23" s="20" t="s">
        <v>84</v>
      </c>
      <c r="M23" s="26"/>
      <c r="N23" s="20"/>
      <c r="O23" s="20" t="s">
        <v>84</v>
      </c>
      <c r="P23" s="26"/>
      <c r="Q23" s="20"/>
      <c r="R23" s="20" t="s">
        <v>84</v>
      </c>
      <c r="S23" s="26"/>
      <c r="T23" s="20"/>
      <c r="U23" s="20" t="s">
        <v>84</v>
      </c>
      <c r="V23" s="26"/>
      <c r="W23" s="20"/>
      <c r="X23" s="20" t="s">
        <v>84</v>
      </c>
      <c r="Y23" s="26"/>
      <c r="Z23" s="20"/>
      <c r="AA23" s="20" t="s">
        <v>84</v>
      </c>
      <c r="AB23" s="26"/>
      <c r="AC23" s="20"/>
      <c r="AD23" s="20" t="s">
        <v>84</v>
      </c>
      <c r="AE23" s="37"/>
      <c r="AF23" s="26"/>
      <c r="AG23" s="17"/>
    </row>
    <row r="24" spans="1:33" x14ac:dyDescent="0.25">
      <c r="A24" s="2" t="str">
        <f>IFERROR(VLOOKUP(B24,Clientes!A:B,2,0),"")</f>
        <v/>
      </c>
      <c r="B24" s="20">
        <v>7</v>
      </c>
      <c r="C24" s="52"/>
      <c r="D24" s="22"/>
      <c r="E24" s="2"/>
      <c r="F24" s="37"/>
      <c r="G24" s="26"/>
      <c r="H24" s="20"/>
      <c r="I24" s="20" t="s">
        <v>84</v>
      </c>
      <c r="J24" s="26"/>
      <c r="K24" s="20"/>
      <c r="L24" s="20" t="s">
        <v>84</v>
      </c>
      <c r="M24" s="26"/>
      <c r="N24" s="20"/>
      <c r="O24" s="20" t="s">
        <v>84</v>
      </c>
      <c r="P24" s="26"/>
      <c r="Q24" s="20"/>
      <c r="R24" s="20" t="s">
        <v>84</v>
      </c>
      <c r="S24" s="26"/>
      <c r="T24" s="20"/>
      <c r="U24" s="20" t="s">
        <v>84</v>
      </c>
      <c r="V24" s="26"/>
      <c r="W24" s="20"/>
      <c r="X24" s="20" t="s">
        <v>84</v>
      </c>
      <c r="Y24" s="26"/>
      <c r="Z24" s="20"/>
      <c r="AA24" s="20" t="s">
        <v>84</v>
      </c>
      <c r="AB24" s="26"/>
      <c r="AC24" s="20"/>
      <c r="AD24" s="20" t="s">
        <v>84</v>
      </c>
      <c r="AE24" s="37"/>
      <c r="AF24" s="26"/>
      <c r="AG24" s="17"/>
    </row>
    <row r="25" spans="1:33" x14ac:dyDescent="0.25">
      <c r="A25" s="2" t="str">
        <f>IFERROR(VLOOKUP(B25,Clientes!A:B,2,0),"")</f>
        <v/>
      </c>
      <c r="B25" s="20">
        <v>8</v>
      </c>
      <c r="C25" s="52"/>
      <c r="D25" s="22"/>
      <c r="E25" s="2"/>
      <c r="F25" s="37"/>
      <c r="G25" s="26"/>
      <c r="H25" s="20"/>
      <c r="I25" s="20" t="s">
        <v>84</v>
      </c>
      <c r="J25" s="26"/>
      <c r="K25" s="20"/>
      <c r="L25" s="20" t="s">
        <v>84</v>
      </c>
      <c r="M25" s="26"/>
      <c r="N25" s="20"/>
      <c r="O25" s="20" t="s">
        <v>84</v>
      </c>
      <c r="P25" s="26"/>
      <c r="Q25" s="20"/>
      <c r="R25" s="20" t="s">
        <v>84</v>
      </c>
      <c r="S25" s="26"/>
      <c r="T25" s="20"/>
      <c r="U25" s="20" t="s">
        <v>84</v>
      </c>
      <c r="V25" s="26"/>
      <c r="W25" s="20"/>
      <c r="X25" s="20" t="s">
        <v>84</v>
      </c>
      <c r="Y25" s="26"/>
      <c r="Z25" s="20"/>
      <c r="AA25" s="20" t="s">
        <v>84</v>
      </c>
      <c r="AB25" s="26"/>
      <c r="AC25" s="20"/>
      <c r="AD25" s="20" t="s">
        <v>84</v>
      </c>
      <c r="AE25" s="37"/>
      <c r="AF25" s="26"/>
      <c r="AG25" s="17"/>
    </row>
    <row r="26" spans="1:33" ht="25.5" x14ac:dyDescent="0.25">
      <c r="A26" s="2" t="str">
        <f>IFERROR(VLOOKUP(B26,Clientes!A:B,2,0),"")</f>
        <v/>
      </c>
      <c r="B26" s="20">
        <v>9</v>
      </c>
      <c r="C26" s="52" t="s">
        <v>1204</v>
      </c>
      <c r="D26" s="22" t="s">
        <v>1205</v>
      </c>
      <c r="E26" s="2"/>
      <c r="F26" s="37">
        <v>42299</v>
      </c>
      <c r="G26" s="26" t="s">
        <v>443</v>
      </c>
      <c r="H26" s="20" t="s">
        <v>82</v>
      </c>
      <c r="I26" s="20" t="s">
        <v>84</v>
      </c>
      <c r="J26" s="26" t="s">
        <v>1186</v>
      </c>
      <c r="K26" s="20" t="s">
        <v>82</v>
      </c>
      <c r="L26" s="20" t="s">
        <v>84</v>
      </c>
      <c r="M26" s="26" t="s">
        <v>1206</v>
      </c>
      <c r="N26" s="20" t="s">
        <v>82</v>
      </c>
      <c r="O26" s="20" t="s">
        <v>84</v>
      </c>
      <c r="P26" s="26" t="s">
        <v>950</v>
      </c>
      <c r="Q26" s="20" t="s">
        <v>82</v>
      </c>
      <c r="R26" s="20" t="s">
        <v>84</v>
      </c>
      <c r="S26" s="26" t="s">
        <v>1207</v>
      </c>
      <c r="T26" s="20" t="s">
        <v>82</v>
      </c>
      <c r="U26" s="20" t="s">
        <v>84</v>
      </c>
      <c r="V26" s="26" t="s">
        <v>1208</v>
      </c>
      <c r="W26" s="20" t="s">
        <v>82</v>
      </c>
      <c r="X26" s="20" t="s">
        <v>84</v>
      </c>
      <c r="Y26" s="26" t="s">
        <v>1209</v>
      </c>
      <c r="Z26" s="20" t="s">
        <v>82</v>
      </c>
      <c r="AA26" s="20" t="s">
        <v>84</v>
      </c>
      <c r="AB26" s="26" t="s">
        <v>1210</v>
      </c>
      <c r="AC26" s="20" t="s">
        <v>82</v>
      </c>
      <c r="AD26" s="20" t="s">
        <v>84</v>
      </c>
      <c r="AE26" s="37"/>
      <c r="AF26" s="26"/>
      <c r="AG26" s="17"/>
    </row>
    <row r="27" spans="1:33" x14ac:dyDescent="0.25">
      <c r="A27" s="2"/>
      <c r="B27" s="20">
        <v>9</v>
      </c>
      <c r="C27" s="52" t="s">
        <v>1257</v>
      </c>
      <c r="D27" s="22" t="s">
        <v>1258</v>
      </c>
      <c r="E27" s="2"/>
      <c r="F27" s="37">
        <v>42299</v>
      </c>
      <c r="G27" s="26" t="s">
        <v>443</v>
      </c>
      <c r="H27" s="20" t="s">
        <v>82</v>
      </c>
      <c r="I27" s="20"/>
      <c r="J27" s="26" t="s">
        <v>407</v>
      </c>
      <c r="K27" s="20" t="s">
        <v>82</v>
      </c>
      <c r="L27" s="20"/>
      <c r="M27" s="26" t="s">
        <v>1186</v>
      </c>
      <c r="N27" s="20" t="s">
        <v>82</v>
      </c>
      <c r="O27" s="20"/>
      <c r="P27" s="26"/>
      <c r="Q27" s="20"/>
      <c r="R27" s="20"/>
      <c r="S27" s="26"/>
      <c r="T27" s="20"/>
      <c r="U27" s="20"/>
      <c r="V27" s="26"/>
      <c r="W27" s="20"/>
      <c r="X27" s="20"/>
      <c r="Y27" s="26"/>
      <c r="Z27" s="20"/>
      <c r="AA27" s="20"/>
      <c r="AB27" s="26"/>
      <c r="AC27" s="20"/>
      <c r="AD27" s="20"/>
      <c r="AE27" s="37"/>
      <c r="AF27" s="26"/>
      <c r="AG27" s="17"/>
    </row>
    <row r="28" spans="1:33" x14ac:dyDescent="0.25">
      <c r="A28" s="2"/>
      <c r="B28" s="20">
        <v>10</v>
      </c>
      <c r="C28" s="52" t="s">
        <v>1198</v>
      </c>
      <c r="D28" s="22" t="s">
        <v>1199</v>
      </c>
      <c r="E28" s="2"/>
      <c r="F28" s="37">
        <v>42297</v>
      </c>
      <c r="G28" s="26" t="s">
        <v>407</v>
      </c>
      <c r="H28" s="20" t="s">
        <v>82</v>
      </c>
      <c r="I28" s="20"/>
      <c r="J28" s="26" t="s">
        <v>195</v>
      </c>
      <c r="K28" s="20" t="s">
        <v>82</v>
      </c>
      <c r="L28" s="20"/>
      <c r="M28" s="26" t="s">
        <v>1200</v>
      </c>
      <c r="N28" s="20" t="s">
        <v>82</v>
      </c>
      <c r="O28" s="20"/>
      <c r="P28" s="26" t="s">
        <v>1074</v>
      </c>
      <c r="Q28" s="20" t="s">
        <v>82</v>
      </c>
      <c r="R28" s="20"/>
      <c r="S28" s="26" t="s">
        <v>1101</v>
      </c>
      <c r="T28" s="20" t="s">
        <v>82</v>
      </c>
      <c r="U28" s="20"/>
      <c r="V28" s="26" t="s">
        <v>371</v>
      </c>
      <c r="W28" s="20" t="s">
        <v>82</v>
      </c>
      <c r="X28" s="20"/>
      <c r="Y28" s="26" t="s">
        <v>1099</v>
      </c>
      <c r="Z28" s="20" t="s">
        <v>81</v>
      </c>
      <c r="AA28" s="20"/>
      <c r="AB28" s="26" t="s">
        <v>379</v>
      </c>
      <c r="AC28" s="20" t="s">
        <v>81</v>
      </c>
      <c r="AD28" s="20"/>
      <c r="AE28" s="37"/>
      <c r="AF28" s="26"/>
      <c r="AG28" s="17"/>
    </row>
    <row r="29" spans="1:33" x14ac:dyDescent="0.25">
      <c r="A29" s="2" t="str">
        <f>IFERROR(VLOOKUP(B29,Clientes!A:B,2,0),"")</f>
        <v/>
      </c>
      <c r="B29" s="20">
        <v>10</v>
      </c>
      <c r="C29" s="52" t="s">
        <v>1195</v>
      </c>
      <c r="D29" s="22" t="s">
        <v>675</v>
      </c>
      <c r="E29" s="2"/>
      <c r="F29" s="37"/>
      <c r="G29" s="26" t="s">
        <v>370</v>
      </c>
      <c r="H29" s="20" t="s">
        <v>83</v>
      </c>
      <c r="I29" s="20" t="s">
        <v>84</v>
      </c>
      <c r="J29" s="26" t="s">
        <v>371</v>
      </c>
      <c r="K29" s="20"/>
      <c r="L29" s="20" t="s">
        <v>84</v>
      </c>
      <c r="M29" s="26"/>
      <c r="N29" s="20"/>
      <c r="O29" s="20" t="s">
        <v>84</v>
      </c>
      <c r="P29" s="26"/>
      <c r="Q29" s="20"/>
      <c r="R29" s="20" t="s">
        <v>84</v>
      </c>
      <c r="S29" s="26"/>
      <c r="T29" s="20"/>
      <c r="U29" s="20" t="s">
        <v>84</v>
      </c>
      <c r="V29" s="26"/>
      <c r="W29" s="20"/>
      <c r="X29" s="20" t="s">
        <v>84</v>
      </c>
      <c r="Y29" s="26"/>
      <c r="Z29" s="20"/>
      <c r="AA29" s="20" t="s">
        <v>84</v>
      </c>
      <c r="AB29" s="26"/>
      <c r="AC29" s="20"/>
      <c r="AD29" s="20" t="s">
        <v>84</v>
      </c>
      <c r="AE29" s="37"/>
      <c r="AF29" s="26"/>
      <c r="AG29" s="17"/>
    </row>
    <row r="30" spans="1:33" x14ac:dyDescent="0.25">
      <c r="A30" s="2" t="str">
        <f>IFERROR(VLOOKUP(B30,Clientes!A:B,2,0),"")</f>
        <v/>
      </c>
      <c r="B30" s="20">
        <v>11</v>
      </c>
      <c r="C30" s="52" t="s">
        <v>1193</v>
      </c>
      <c r="D30" s="22" t="s">
        <v>1194</v>
      </c>
      <c r="E30" s="2"/>
      <c r="F30" s="37">
        <v>42299</v>
      </c>
      <c r="G30" s="26" t="s">
        <v>370</v>
      </c>
      <c r="H30" s="20" t="s">
        <v>82</v>
      </c>
      <c r="I30" s="20" t="s">
        <v>84</v>
      </c>
      <c r="J30" s="26" t="s">
        <v>667</v>
      </c>
      <c r="K30" s="20" t="s">
        <v>82</v>
      </c>
      <c r="L30" s="20" t="s">
        <v>84</v>
      </c>
      <c r="M30" s="26" t="s">
        <v>1096</v>
      </c>
      <c r="N30" s="20" t="s">
        <v>82</v>
      </c>
      <c r="O30" s="20" t="s">
        <v>84</v>
      </c>
      <c r="P30" s="26" t="s">
        <v>1084</v>
      </c>
      <c r="Q30" s="20" t="s">
        <v>82</v>
      </c>
      <c r="R30" s="20" t="s">
        <v>84</v>
      </c>
      <c r="S30" s="26" t="s">
        <v>950</v>
      </c>
      <c r="T30" s="20" t="s">
        <v>82</v>
      </c>
      <c r="U30" s="20" t="s">
        <v>84</v>
      </c>
      <c r="V30" s="26"/>
      <c r="W30" s="20"/>
      <c r="X30" s="20" t="s">
        <v>84</v>
      </c>
      <c r="Y30" s="26"/>
      <c r="Z30" s="20"/>
      <c r="AA30" s="20" t="s">
        <v>84</v>
      </c>
      <c r="AB30" s="26"/>
      <c r="AC30" s="20"/>
      <c r="AD30" s="20" t="s">
        <v>84</v>
      </c>
      <c r="AE30" s="37"/>
      <c r="AF30" s="26"/>
      <c r="AG30" s="17"/>
    </row>
    <row r="31" spans="1:33" x14ac:dyDescent="0.25">
      <c r="A31" s="2" t="str">
        <f>IFERROR(VLOOKUP(B31,Clientes!A:B,2,0),"")</f>
        <v/>
      </c>
      <c r="B31" s="20">
        <v>12</v>
      </c>
      <c r="C31" s="52"/>
      <c r="D31" s="22" t="s">
        <v>1201</v>
      </c>
      <c r="E31" s="2"/>
      <c r="F31" s="37"/>
      <c r="G31" s="26" t="s">
        <v>1202</v>
      </c>
      <c r="H31" s="20"/>
      <c r="I31" s="20" t="s">
        <v>84</v>
      </c>
      <c r="J31" s="26" t="s">
        <v>1203</v>
      </c>
      <c r="K31" s="20"/>
      <c r="L31" s="20" t="s">
        <v>84</v>
      </c>
      <c r="M31" s="26"/>
      <c r="N31" s="20"/>
      <c r="O31" s="20" t="s">
        <v>84</v>
      </c>
      <c r="P31" s="26"/>
      <c r="Q31" s="20"/>
      <c r="R31" s="20" t="s">
        <v>84</v>
      </c>
      <c r="S31" s="26"/>
      <c r="T31" s="20"/>
      <c r="U31" s="20" t="s">
        <v>84</v>
      </c>
      <c r="V31" s="26"/>
      <c r="W31" s="20"/>
      <c r="X31" s="20" t="s">
        <v>84</v>
      </c>
      <c r="Y31" s="26"/>
      <c r="Z31" s="20"/>
      <c r="AA31" s="20" t="s">
        <v>84</v>
      </c>
      <c r="AB31" s="26"/>
      <c r="AC31" s="20"/>
      <c r="AD31" s="20" t="s">
        <v>84</v>
      </c>
      <c r="AE31" s="37"/>
      <c r="AF31" s="26"/>
      <c r="AG31" s="17"/>
    </row>
    <row r="32" spans="1:33" x14ac:dyDescent="0.25">
      <c r="A32" s="2" t="str">
        <f>IFERROR(VLOOKUP(B32,Clientes!A:B,2,0),"")</f>
        <v/>
      </c>
      <c r="B32" s="20">
        <v>13</v>
      </c>
      <c r="C32" s="52"/>
      <c r="D32" s="22" t="s">
        <v>1211</v>
      </c>
      <c r="E32" s="2"/>
      <c r="F32" s="37">
        <v>42300</v>
      </c>
      <c r="G32" s="26" t="s">
        <v>1212</v>
      </c>
      <c r="H32" s="20" t="s">
        <v>82</v>
      </c>
      <c r="I32" s="20" t="s">
        <v>84</v>
      </c>
      <c r="J32" s="26" t="s">
        <v>195</v>
      </c>
      <c r="K32" s="20" t="s">
        <v>82</v>
      </c>
      <c r="L32" s="20" t="s">
        <v>84</v>
      </c>
      <c r="M32" s="26" t="s">
        <v>432</v>
      </c>
      <c r="N32" s="20" t="s">
        <v>82</v>
      </c>
      <c r="O32" s="20" t="s">
        <v>84</v>
      </c>
      <c r="P32" s="26" t="s">
        <v>1213</v>
      </c>
      <c r="Q32" s="20" t="s">
        <v>82</v>
      </c>
      <c r="R32" s="20" t="s">
        <v>84</v>
      </c>
      <c r="S32" s="26"/>
      <c r="T32" s="20"/>
      <c r="U32" s="20" t="s">
        <v>84</v>
      </c>
      <c r="V32" s="26"/>
      <c r="W32" s="20"/>
      <c r="X32" s="20" t="s">
        <v>84</v>
      </c>
      <c r="Y32" s="26"/>
      <c r="Z32" s="20"/>
      <c r="AA32" s="20" t="s">
        <v>84</v>
      </c>
      <c r="AB32" s="26"/>
      <c r="AC32" s="20"/>
      <c r="AD32" s="20" t="s">
        <v>84</v>
      </c>
      <c r="AE32" s="37"/>
      <c r="AF32" s="26"/>
      <c r="AG32" s="17"/>
    </row>
    <row r="33" spans="1:33" x14ac:dyDescent="0.25">
      <c r="A33" s="2" t="str">
        <f>IFERROR(VLOOKUP(B33,Clientes!A:B,2,0),"")</f>
        <v/>
      </c>
      <c r="B33" s="20"/>
      <c r="C33" s="52"/>
      <c r="D33" s="22"/>
      <c r="E33" s="2"/>
      <c r="F33" s="37"/>
      <c r="G33" s="26"/>
      <c r="H33" s="20"/>
      <c r="I33" s="20" t="s">
        <v>84</v>
      </c>
      <c r="J33" s="26"/>
      <c r="K33" s="20"/>
      <c r="L33" s="20" t="s">
        <v>84</v>
      </c>
      <c r="M33" s="26"/>
      <c r="N33" s="20"/>
      <c r="O33" s="20" t="s">
        <v>84</v>
      </c>
      <c r="P33" s="26"/>
      <c r="Q33" s="20"/>
      <c r="R33" s="20" t="s">
        <v>84</v>
      </c>
      <c r="S33" s="26"/>
      <c r="T33" s="20"/>
      <c r="U33" s="20" t="s">
        <v>84</v>
      </c>
      <c r="V33" s="26"/>
      <c r="W33" s="20"/>
      <c r="X33" s="20" t="s">
        <v>84</v>
      </c>
      <c r="Y33" s="26"/>
      <c r="Z33" s="20"/>
      <c r="AA33" s="20" t="s">
        <v>84</v>
      </c>
      <c r="AB33" s="26"/>
      <c r="AC33" s="20"/>
      <c r="AD33" s="20" t="s">
        <v>84</v>
      </c>
      <c r="AE33" s="37"/>
      <c r="AF33" s="26"/>
      <c r="AG33" s="17"/>
    </row>
    <row r="34" spans="1:33" x14ac:dyDescent="0.25">
      <c r="A34" s="2" t="str">
        <f>IFERROR(VLOOKUP(B34,Clientes!A:B,2,0),"")</f>
        <v/>
      </c>
      <c r="B34" s="20"/>
      <c r="C34" s="52"/>
      <c r="D34" s="22"/>
      <c r="E34" s="2"/>
      <c r="F34" s="37"/>
      <c r="G34" s="26"/>
      <c r="H34" s="20"/>
      <c r="I34" s="20" t="s">
        <v>84</v>
      </c>
      <c r="J34" s="26"/>
      <c r="K34" s="20"/>
      <c r="L34" s="20" t="s">
        <v>84</v>
      </c>
      <c r="M34" s="26"/>
      <c r="N34" s="20"/>
      <c r="O34" s="20" t="s">
        <v>84</v>
      </c>
      <c r="P34" s="26"/>
      <c r="Q34" s="20"/>
      <c r="R34" s="20" t="s">
        <v>84</v>
      </c>
      <c r="S34" s="26"/>
      <c r="T34" s="20"/>
      <c r="U34" s="20" t="s">
        <v>84</v>
      </c>
      <c r="V34" s="26"/>
      <c r="W34" s="20"/>
      <c r="X34" s="20" t="s">
        <v>84</v>
      </c>
      <c r="Y34" s="26"/>
      <c r="Z34" s="20"/>
      <c r="AA34" s="20" t="s">
        <v>84</v>
      </c>
      <c r="AB34" s="26"/>
      <c r="AC34" s="20"/>
      <c r="AD34" s="20" t="s">
        <v>84</v>
      </c>
      <c r="AE34" s="37"/>
      <c r="AF34" s="26"/>
      <c r="AG34" s="17"/>
    </row>
    <row r="35" spans="1:33" x14ac:dyDescent="0.25">
      <c r="A35" s="2" t="str">
        <f>IFERROR(VLOOKUP(B35,Clientes!A:B,2,0),"")</f>
        <v/>
      </c>
      <c r="B35" s="20"/>
      <c r="C35" s="52"/>
      <c r="D35" s="22"/>
      <c r="E35" s="2"/>
      <c r="F35" s="37"/>
      <c r="G35" s="26"/>
      <c r="H35" s="20"/>
      <c r="I35" s="20" t="s">
        <v>84</v>
      </c>
      <c r="J35" s="26"/>
      <c r="K35" s="20"/>
      <c r="L35" s="20" t="s">
        <v>84</v>
      </c>
      <c r="M35" s="26"/>
      <c r="N35" s="20"/>
      <c r="O35" s="20" t="s">
        <v>84</v>
      </c>
      <c r="P35" s="26"/>
      <c r="Q35" s="20"/>
      <c r="R35" s="20" t="s">
        <v>84</v>
      </c>
      <c r="S35" s="26"/>
      <c r="T35" s="20"/>
      <c r="U35" s="20" t="s">
        <v>84</v>
      </c>
      <c r="V35" s="26"/>
      <c r="W35" s="20"/>
      <c r="X35" s="20" t="s">
        <v>84</v>
      </c>
      <c r="Y35" s="26"/>
      <c r="Z35" s="20"/>
      <c r="AA35" s="20" t="s">
        <v>84</v>
      </c>
      <c r="AB35" s="26"/>
      <c r="AC35" s="20"/>
      <c r="AD35" s="20" t="s">
        <v>84</v>
      </c>
      <c r="AE35" s="37"/>
      <c r="AF35" s="26"/>
      <c r="AG35" s="17"/>
    </row>
    <row r="36" spans="1:33" x14ac:dyDescent="0.25">
      <c r="A36" s="2" t="str">
        <f>IFERROR(VLOOKUP(B36,Clientes!A:B,2,0),"")</f>
        <v/>
      </c>
      <c r="B36" s="20"/>
      <c r="C36" s="52"/>
      <c r="D36" s="22"/>
      <c r="E36" s="2"/>
      <c r="F36" s="37"/>
      <c r="G36" s="26"/>
      <c r="H36" s="20"/>
      <c r="I36" s="20" t="s">
        <v>84</v>
      </c>
      <c r="J36" s="26"/>
      <c r="K36" s="20"/>
      <c r="L36" s="20" t="s">
        <v>84</v>
      </c>
      <c r="M36" s="26"/>
      <c r="N36" s="20"/>
      <c r="O36" s="20" t="s">
        <v>84</v>
      </c>
      <c r="P36" s="26"/>
      <c r="Q36" s="20"/>
      <c r="R36" s="20" t="s">
        <v>84</v>
      </c>
      <c r="S36" s="26"/>
      <c r="T36" s="20"/>
      <c r="U36" s="20" t="s">
        <v>84</v>
      </c>
      <c r="V36" s="26"/>
      <c r="W36" s="20"/>
      <c r="X36" s="20" t="s">
        <v>84</v>
      </c>
      <c r="Y36" s="26"/>
      <c r="Z36" s="20"/>
      <c r="AA36" s="20" t="s">
        <v>84</v>
      </c>
      <c r="AB36" s="26"/>
      <c r="AC36" s="20"/>
      <c r="AD36" s="20" t="s">
        <v>84</v>
      </c>
      <c r="AE36" s="37"/>
      <c r="AF36" s="26"/>
      <c r="AG36" s="17"/>
    </row>
    <row r="37" spans="1:33" x14ac:dyDescent="0.25">
      <c r="A37" s="2" t="str">
        <f>IFERROR(VLOOKUP(B37,Clientes!A:B,2,0),"")</f>
        <v/>
      </c>
      <c r="B37" s="20"/>
      <c r="C37" s="52"/>
      <c r="D37" s="22"/>
      <c r="E37" s="2"/>
      <c r="F37" s="37"/>
      <c r="G37" s="26"/>
      <c r="H37" s="20"/>
      <c r="I37" s="20" t="s">
        <v>84</v>
      </c>
      <c r="J37" s="26"/>
      <c r="K37" s="20"/>
      <c r="L37" s="20" t="s">
        <v>84</v>
      </c>
      <c r="M37" s="26"/>
      <c r="N37" s="20"/>
      <c r="O37" s="20" t="s">
        <v>84</v>
      </c>
      <c r="P37" s="26"/>
      <c r="Q37" s="20"/>
      <c r="R37" s="20" t="s">
        <v>84</v>
      </c>
      <c r="S37" s="26"/>
      <c r="T37" s="20"/>
      <c r="U37" s="20" t="s">
        <v>84</v>
      </c>
      <c r="V37" s="26"/>
      <c r="W37" s="20"/>
      <c r="X37" s="20" t="s">
        <v>84</v>
      </c>
      <c r="Y37" s="26"/>
      <c r="Z37" s="20"/>
      <c r="AA37" s="20" t="s">
        <v>84</v>
      </c>
      <c r="AB37" s="26"/>
      <c r="AC37" s="20"/>
      <c r="AD37" s="20" t="s">
        <v>84</v>
      </c>
      <c r="AE37" s="37"/>
      <c r="AF37" s="26"/>
      <c r="AG37" s="17"/>
    </row>
    <row r="38" spans="1:33" x14ac:dyDescent="0.25">
      <c r="A38" s="2" t="str">
        <f>IFERROR(VLOOKUP(B38,Clientes!A:B,2,0),"")</f>
        <v/>
      </c>
      <c r="B38" s="20"/>
      <c r="C38" s="52"/>
      <c r="D38" s="22"/>
      <c r="E38" s="2"/>
      <c r="F38" s="37"/>
      <c r="G38" s="26"/>
      <c r="H38" s="20"/>
      <c r="I38" s="20" t="s">
        <v>84</v>
      </c>
      <c r="J38" s="26"/>
      <c r="K38" s="20"/>
      <c r="L38" s="20" t="s">
        <v>84</v>
      </c>
      <c r="M38" s="26"/>
      <c r="N38" s="20"/>
      <c r="O38" s="20" t="s">
        <v>84</v>
      </c>
      <c r="P38" s="26"/>
      <c r="Q38" s="20"/>
      <c r="R38" s="20" t="s">
        <v>84</v>
      </c>
      <c r="S38" s="26"/>
      <c r="T38" s="20"/>
      <c r="U38" s="20" t="s">
        <v>84</v>
      </c>
      <c r="V38" s="26"/>
      <c r="W38" s="20"/>
      <c r="X38" s="20" t="s">
        <v>84</v>
      </c>
      <c r="Y38" s="26"/>
      <c r="Z38" s="20"/>
      <c r="AA38" s="20" t="s">
        <v>84</v>
      </c>
      <c r="AB38" s="26"/>
      <c r="AC38" s="20"/>
      <c r="AD38" s="20" t="s">
        <v>84</v>
      </c>
      <c r="AE38" s="37"/>
      <c r="AF38" s="26"/>
      <c r="AG38" s="17"/>
    </row>
    <row r="39" spans="1:33" x14ac:dyDescent="0.25">
      <c r="A39" s="2" t="str">
        <f>IFERROR(VLOOKUP(B39,Clientes!A:B,2,0),"")</f>
        <v/>
      </c>
      <c r="B39" s="20"/>
      <c r="C39" s="52"/>
      <c r="D39" s="22"/>
      <c r="E39" s="2"/>
      <c r="F39" s="37"/>
      <c r="G39" s="26"/>
      <c r="H39" s="20"/>
      <c r="I39" s="20" t="s">
        <v>84</v>
      </c>
      <c r="J39" s="26"/>
      <c r="K39" s="20"/>
      <c r="L39" s="20" t="s">
        <v>84</v>
      </c>
      <c r="M39" s="26"/>
      <c r="N39" s="20"/>
      <c r="O39" s="20" t="s">
        <v>84</v>
      </c>
      <c r="P39" s="26"/>
      <c r="Q39" s="20"/>
      <c r="R39" s="20" t="s">
        <v>84</v>
      </c>
      <c r="S39" s="26"/>
      <c r="T39" s="20"/>
      <c r="U39" s="20" t="s">
        <v>84</v>
      </c>
      <c r="V39" s="26"/>
      <c r="W39" s="20"/>
      <c r="X39" s="20" t="s">
        <v>84</v>
      </c>
      <c r="Y39" s="26"/>
      <c r="Z39" s="20"/>
      <c r="AA39" s="20" t="s">
        <v>84</v>
      </c>
      <c r="AB39" s="26"/>
      <c r="AC39" s="20"/>
      <c r="AD39" s="20" t="s">
        <v>84</v>
      </c>
      <c r="AE39" s="37"/>
      <c r="AF39" s="26"/>
      <c r="AG39" s="17"/>
    </row>
    <row r="40" spans="1:33" x14ac:dyDescent="0.25">
      <c r="A40" s="2" t="str">
        <f>IFERROR(VLOOKUP(B40,Clientes!A:B,2,0),"")</f>
        <v/>
      </c>
      <c r="B40" s="20"/>
      <c r="C40" s="52"/>
      <c r="D40" s="22"/>
      <c r="E40" s="2"/>
      <c r="F40" s="37"/>
      <c r="G40" s="26"/>
      <c r="H40" s="20"/>
      <c r="I40" s="20" t="s">
        <v>84</v>
      </c>
      <c r="J40" s="26"/>
      <c r="K40" s="20"/>
      <c r="L40" s="20" t="s">
        <v>84</v>
      </c>
      <c r="M40" s="26"/>
      <c r="N40" s="20"/>
      <c r="O40" s="20" t="s">
        <v>84</v>
      </c>
      <c r="P40" s="26"/>
      <c r="Q40" s="20"/>
      <c r="R40" s="20" t="s">
        <v>84</v>
      </c>
      <c r="S40" s="26"/>
      <c r="T40" s="20"/>
      <c r="U40" s="20" t="s">
        <v>84</v>
      </c>
      <c r="V40" s="26"/>
      <c r="W40" s="20"/>
      <c r="X40" s="20" t="s">
        <v>84</v>
      </c>
      <c r="Y40" s="26"/>
      <c r="Z40" s="20"/>
      <c r="AA40" s="20" t="s">
        <v>84</v>
      </c>
      <c r="AB40" s="26"/>
      <c r="AC40" s="20"/>
      <c r="AD40" s="20" t="s">
        <v>84</v>
      </c>
      <c r="AE40" s="37"/>
      <c r="AF40" s="26"/>
      <c r="AG40" s="17"/>
    </row>
    <row r="41" spans="1:33" x14ac:dyDescent="0.25">
      <c r="A41" s="2" t="str">
        <f>IFERROR(VLOOKUP(B41,Clientes!A:B,2,0),"")</f>
        <v/>
      </c>
      <c r="B41" s="20"/>
      <c r="C41" s="52"/>
      <c r="D41" s="22"/>
      <c r="E41" s="2"/>
      <c r="F41" s="37"/>
      <c r="G41" s="26"/>
      <c r="H41" s="20"/>
      <c r="I41" s="20" t="s">
        <v>84</v>
      </c>
      <c r="J41" s="26"/>
      <c r="K41" s="20"/>
      <c r="L41" s="20" t="s">
        <v>84</v>
      </c>
      <c r="M41" s="26"/>
      <c r="N41" s="20"/>
      <c r="O41" s="20" t="s">
        <v>84</v>
      </c>
      <c r="P41" s="26"/>
      <c r="Q41" s="20"/>
      <c r="R41" s="20" t="s">
        <v>84</v>
      </c>
      <c r="S41" s="26"/>
      <c r="T41" s="20"/>
      <c r="U41" s="20" t="s">
        <v>84</v>
      </c>
      <c r="V41" s="26"/>
      <c r="W41" s="20"/>
      <c r="X41" s="20" t="s">
        <v>84</v>
      </c>
      <c r="Y41" s="26"/>
      <c r="Z41" s="20"/>
      <c r="AA41" s="20" t="s">
        <v>84</v>
      </c>
      <c r="AB41" s="26"/>
      <c r="AC41" s="20"/>
      <c r="AD41" s="20" t="s">
        <v>84</v>
      </c>
      <c r="AE41" s="37"/>
      <c r="AF41" s="26"/>
      <c r="AG41" s="17"/>
    </row>
    <row r="42" spans="1:33" x14ac:dyDescent="0.25">
      <c r="A42" s="2" t="str">
        <f>IFERROR(VLOOKUP(B42,Clientes!A:B,2,0),"")</f>
        <v/>
      </c>
      <c r="B42" s="20"/>
      <c r="C42" s="52"/>
      <c r="D42" s="22"/>
      <c r="E42" s="2"/>
      <c r="F42" s="37"/>
      <c r="G42" s="26"/>
      <c r="H42" s="20"/>
      <c r="I42" s="20" t="s">
        <v>84</v>
      </c>
      <c r="J42" s="26"/>
      <c r="K42" s="20"/>
      <c r="L42" s="20" t="s">
        <v>84</v>
      </c>
      <c r="M42" s="26"/>
      <c r="N42" s="20"/>
      <c r="O42" s="20" t="s">
        <v>84</v>
      </c>
      <c r="P42" s="26"/>
      <c r="Q42" s="20"/>
      <c r="R42" s="20" t="s">
        <v>84</v>
      </c>
      <c r="S42" s="26"/>
      <c r="T42" s="20"/>
      <c r="U42" s="20" t="s">
        <v>84</v>
      </c>
      <c r="V42" s="26"/>
      <c r="W42" s="20"/>
      <c r="X42" s="20" t="s">
        <v>84</v>
      </c>
      <c r="Y42" s="26"/>
      <c r="Z42" s="20"/>
      <c r="AA42" s="20" t="s">
        <v>84</v>
      </c>
      <c r="AB42" s="26"/>
      <c r="AC42" s="20"/>
      <c r="AD42" s="20" t="s">
        <v>84</v>
      </c>
      <c r="AE42" s="37"/>
      <c r="AF42" s="26"/>
      <c r="AG42" s="17"/>
    </row>
    <row r="43" spans="1:33" x14ac:dyDescent="0.25">
      <c r="A43" s="2" t="str">
        <f>IFERROR(VLOOKUP(B43,Clientes!A:B,2,0),"")</f>
        <v/>
      </c>
      <c r="B43" s="20"/>
      <c r="C43" s="52"/>
      <c r="D43" s="22"/>
      <c r="E43" s="2"/>
      <c r="F43" s="37"/>
      <c r="G43" s="26"/>
      <c r="H43" s="20"/>
      <c r="I43" s="20" t="s">
        <v>84</v>
      </c>
      <c r="J43" s="26"/>
      <c r="K43" s="20"/>
      <c r="L43" s="20" t="s">
        <v>84</v>
      </c>
      <c r="M43" s="26"/>
      <c r="N43" s="20"/>
      <c r="O43" s="20" t="s">
        <v>84</v>
      </c>
      <c r="P43" s="26"/>
      <c r="Q43" s="20"/>
      <c r="R43" s="20" t="s">
        <v>84</v>
      </c>
      <c r="S43" s="26"/>
      <c r="T43" s="20"/>
      <c r="U43" s="20" t="s">
        <v>84</v>
      </c>
      <c r="V43" s="26"/>
      <c r="W43" s="20"/>
      <c r="X43" s="20" t="s">
        <v>84</v>
      </c>
      <c r="Y43" s="26"/>
      <c r="Z43" s="20"/>
      <c r="AA43" s="20" t="s">
        <v>84</v>
      </c>
      <c r="AB43" s="26"/>
      <c r="AC43" s="20"/>
      <c r="AD43" s="20" t="s">
        <v>84</v>
      </c>
      <c r="AE43" s="37"/>
      <c r="AF43" s="26"/>
      <c r="AG43" s="17"/>
    </row>
    <row r="44" spans="1:33" s="38" customFormat="1" x14ac:dyDescent="0.25">
      <c r="B44" s="49"/>
      <c r="C44" s="70"/>
      <c r="D44" s="42"/>
      <c r="F44" s="33"/>
      <c r="G44" s="47"/>
      <c r="H44" s="42"/>
      <c r="I44" s="27"/>
      <c r="J44" s="47"/>
      <c r="K44" s="42"/>
      <c r="L44" s="27"/>
      <c r="M44" s="47"/>
      <c r="N44" s="42"/>
      <c r="O44" s="27"/>
      <c r="P44" s="47"/>
      <c r="Q44" s="42"/>
      <c r="R44" s="27"/>
      <c r="S44" s="47"/>
      <c r="T44" s="42"/>
      <c r="U44" s="27"/>
      <c r="V44" s="47"/>
      <c r="W44" s="42"/>
      <c r="X44" s="27"/>
      <c r="Y44" s="47"/>
      <c r="Z44" s="42"/>
      <c r="AA44" s="27"/>
      <c r="AB44" s="47"/>
      <c r="AC44" s="42"/>
      <c r="AD44" s="27"/>
      <c r="AE44" s="33"/>
      <c r="AF44" s="47"/>
      <c r="AG44" s="48"/>
    </row>
    <row r="45" spans="1:33" s="38" customFormat="1" x14ac:dyDescent="0.25">
      <c r="B45" s="49"/>
      <c r="C45" s="70"/>
      <c r="D45" s="42"/>
      <c r="F45" s="33"/>
      <c r="G45" s="47"/>
      <c r="H45" s="42"/>
      <c r="I45" s="27"/>
      <c r="J45" s="47"/>
      <c r="K45" s="42"/>
      <c r="L45" s="27"/>
      <c r="M45" s="47"/>
      <c r="N45" s="42"/>
      <c r="O45" s="27"/>
      <c r="P45" s="47"/>
      <c r="Q45" s="42"/>
      <c r="R45" s="27"/>
      <c r="S45" s="47"/>
      <c r="T45" s="42"/>
      <c r="U45" s="27"/>
      <c r="V45" s="47"/>
      <c r="W45" s="42"/>
      <c r="X45" s="27"/>
      <c r="Y45" s="47"/>
      <c r="Z45" s="42"/>
      <c r="AA45" s="27"/>
      <c r="AB45" s="47"/>
      <c r="AC45" s="42"/>
      <c r="AD45" s="27"/>
      <c r="AE45" s="33"/>
      <c r="AF45" s="47"/>
      <c r="AG45" s="48"/>
    </row>
    <row r="46" spans="1:33" s="38" customFormat="1" x14ac:dyDescent="0.25">
      <c r="B46" s="49"/>
      <c r="C46" s="70"/>
      <c r="D46" s="42"/>
      <c r="F46" s="33"/>
      <c r="G46" s="47"/>
      <c r="H46" s="42"/>
      <c r="I46" s="27"/>
      <c r="J46" s="47"/>
      <c r="K46" s="42"/>
      <c r="L46" s="27"/>
      <c r="M46" s="47"/>
      <c r="N46" s="42"/>
      <c r="O46" s="27"/>
      <c r="P46" s="47"/>
      <c r="Q46" s="42"/>
      <c r="R46" s="27"/>
      <c r="S46" s="47"/>
      <c r="T46" s="42"/>
      <c r="U46" s="27"/>
      <c r="V46" s="47"/>
      <c r="W46" s="42"/>
      <c r="X46" s="27"/>
      <c r="Y46" s="47"/>
      <c r="Z46" s="42"/>
      <c r="AA46" s="27"/>
      <c r="AB46" s="47"/>
      <c r="AC46" s="42"/>
      <c r="AD46" s="27"/>
      <c r="AE46" s="33"/>
      <c r="AF46" s="47"/>
      <c r="AG46" s="48"/>
    </row>
    <row r="47" spans="1:33" s="38" customFormat="1" x14ac:dyDescent="0.25">
      <c r="B47" s="49"/>
      <c r="C47" s="70"/>
      <c r="D47" s="42"/>
      <c r="F47" s="33"/>
      <c r="G47" s="47"/>
      <c r="H47" s="42"/>
      <c r="I47" s="27"/>
      <c r="J47" s="47"/>
      <c r="K47" s="42"/>
      <c r="L47" s="27"/>
      <c r="M47" s="47"/>
      <c r="N47" s="42"/>
      <c r="O47" s="27"/>
      <c r="P47" s="47"/>
      <c r="Q47" s="42"/>
      <c r="R47" s="27"/>
      <c r="S47" s="47"/>
      <c r="T47" s="42"/>
      <c r="U47" s="27"/>
      <c r="V47" s="47"/>
      <c r="W47" s="42"/>
      <c r="X47" s="27"/>
      <c r="Y47" s="47"/>
      <c r="Z47" s="42"/>
      <c r="AA47" s="27"/>
      <c r="AB47" s="47"/>
      <c r="AC47" s="42"/>
      <c r="AD47" s="27"/>
      <c r="AE47" s="33"/>
      <c r="AF47" s="47"/>
      <c r="AG47" s="48"/>
    </row>
    <row r="48" spans="1:33" s="38" customFormat="1" x14ac:dyDescent="0.25">
      <c r="B48" s="49"/>
      <c r="C48" s="70"/>
      <c r="D48" s="42"/>
      <c r="F48" s="33"/>
      <c r="G48" s="47"/>
      <c r="H48" s="42"/>
      <c r="I48" s="27"/>
      <c r="J48" s="47"/>
      <c r="K48" s="42"/>
      <c r="L48" s="27"/>
      <c r="M48" s="47"/>
      <c r="N48" s="42"/>
      <c r="O48" s="27"/>
      <c r="P48" s="47"/>
      <c r="Q48" s="42"/>
      <c r="R48" s="27"/>
      <c r="S48" s="47"/>
      <c r="T48" s="42"/>
      <c r="U48" s="27"/>
      <c r="V48" s="47"/>
      <c r="W48" s="42"/>
      <c r="X48" s="27"/>
      <c r="Y48" s="47"/>
      <c r="Z48" s="42"/>
      <c r="AA48" s="27"/>
      <c r="AB48" s="47"/>
      <c r="AC48" s="42"/>
      <c r="AD48" s="27"/>
      <c r="AE48" s="33"/>
      <c r="AF48" s="47"/>
      <c r="AG48" s="48"/>
    </row>
    <row r="49" spans="2:33" s="38" customFormat="1" x14ac:dyDescent="0.25">
      <c r="B49" s="49"/>
      <c r="C49" s="70"/>
      <c r="D49" s="42"/>
      <c r="F49" s="33"/>
      <c r="G49" s="47"/>
      <c r="H49" s="42"/>
      <c r="I49" s="27"/>
      <c r="J49" s="47"/>
      <c r="K49" s="42"/>
      <c r="L49" s="27"/>
      <c r="M49" s="47"/>
      <c r="N49" s="42"/>
      <c r="O49" s="27"/>
      <c r="P49" s="47"/>
      <c r="Q49" s="42"/>
      <c r="R49" s="27"/>
      <c r="S49" s="47"/>
      <c r="T49" s="42"/>
      <c r="U49" s="27"/>
      <c r="V49" s="47"/>
      <c r="W49" s="42"/>
      <c r="X49" s="27"/>
      <c r="Y49" s="47"/>
      <c r="Z49" s="42"/>
      <c r="AA49" s="27"/>
      <c r="AB49" s="47"/>
      <c r="AC49" s="42"/>
      <c r="AD49" s="27"/>
      <c r="AE49" s="33"/>
      <c r="AF49" s="47"/>
      <c r="AG49" s="48"/>
    </row>
    <row r="50" spans="2:33" s="38" customFormat="1" x14ac:dyDescent="0.25">
      <c r="B50" s="49"/>
      <c r="C50" s="70"/>
      <c r="D50" s="42"/>
      <c r="F50" s="33"/>
      <c r="G50" s="47"/>
      <c r="H50" s="42"/>
      <c r="I50" s="27"/>
      <c r="J50" s="47"/>
      <c r="K50" s="42"/>
      <c r="L50" s="27"/>
      <c r="M50" s="47"/>
      <c r="N50" s="42"/>
      <c r="O50" s="27"/>
      <c r="P50" s="47"/>
      <c r="Q50" s="42"/>
      <c r="R50" s="27"/>
      <c r="S50" s="47"/>
      <c r="T50" s="42"/>
      <c r="U50" s="27"/>
      <c r="V50" s="47"/>
      <c r="W50" s="42"/>
      <c r="X50" s="27"/>
      <c r="Y50" s="47"/>
      <c r="Z50" s="42"/>
      <c r="AA50" s="27"/>
      <c r="AB50" s="47"/>
      <c r="AC50" s="42"/>
      <c r="AD50" s="27"/>
      <c r="AE50" s="33"/>
      <c r="AF50" s="47"/>
      <c r="AG50" s="48"/>
    </row>
    <row r="51" spans="2:33" s="38" customFormat="1" x14ac:dyDescent="0.25">
      <c r="B51" s="49"/>
      <c r="C51" s="70"/>
      <c r="D51" s="42"/>
      <c r="F51" s="33"/>
      <c r="G51" s="47"/>
      <c r="H51" s="42"/>
      <c r="I51" s="27"/>
      <c r="J51" s="47"/>
      <c r="K51" s="42"/>
      <c r="L51" s="27"/>
      <c r="M51" s="47"/>
      <c r="N51" s="42"/>
      <c r="O51" s="27"/>
      <c r="P51" s="47"/>
      <c r="Q51" s="42"/>
      <c r="R51" s="27"/>
      <c r="S51" s="47"/>
      <c r="T51" s="42"/>
      <c r="U51" s="27"/>
      <c r="V51" s="47"/>
      <c r="W51" s="42"/>
      <c r="X51" s="27"/>
      <c r="Y51" s="47"/>
      <c r="Z51" s="42"/>
      <c r="AA51" s="27"/>
      <c r="AB51" s="47"/>
      <c r="AC51" s="42"/>
      <c r="AD51" s="27"/>
      <c r="AE51" s="33"/>
      <c r="AF51" s="47"/>
      <c r="AG51" s="48"/>
    </row>
    <row r="52" spans="2:33" s="38" customFormat="1" x14ac:dyDescent="0.25">
      <c r="B52" s="49"/>
      <c r="C52" s="70"/>
      <c r="D52" s="42"/>
      <c r="F52" s="33"/>
      <c r="G52" s="47"/>
      <c r="H52" s="42"/>
      <c r="I52" s="27"/>
      <c r="J52" s="47"/>
      <c r="K52" s="42"/>
      <c r="L52" s="27"/>
      <c r="M52" s="47"/>
      <c r="N52" s="42"/>
      <c r="O52" s="27"/>
      <c r="P52" s="47"/>
      <c r="Q52" s="42"/>
      <c r="R52" s="27"/>
      <c r="S52" s="47"/>
      <c r="T52" s="42"/>
      <c r="U52" s="27"/>
      <c r="V52" s="47"/>
      <c r="W52" s="42"/>
      <c r="X52" s="27"/>
      <c r="Y52" s="47"/>
      <c r="Z52" s="42"/>
      <c r="AA52" s="27"/>
      <c r="AB52" s="47"/>
      <c r="AC52" s="42"/>
      <c r="AD52" s="27"/>
      <c r="AE52" s="33"/>
      <c r="AF52" s="47"/>
      <c r="AG52" s="48"/>
    </row>
    <row r="53" spans="2:33" s="38" customFormat="1" x14ac:dyDescent="0.25">
      <c r="B53" s="49"/>
      <c r="C53" s="70"/>
      <c r="D53" s="42"/>
      <c r="F53" s="33"/>
      <c r="G53" s="47"/>
      <c r="H53" s="42"/>
      <c r="I53" s="27"/>
      <c r="J53" s="47"/>
      <c r="K53" s="42"/>
      <c r="L53" s="27"/>
      <c r="M53" s="47"/>
      <c r="N53" s="42"/>
      <c r="O53" s="27"/>
      <c r="P53" s="47"/>
      <c r="Q53" s="42"/>
      <c r="R53" s="27"/>
      <c r="S53" s="47"/>
      <c r="T53" s="42"/>
      <c r="U53" s="27"/>
      <c r="V53" s="47"/>
      <c r="W53" s="42"/>
      <c r="X53" s="27"/>
      <c r="Y53" s="47"/>
      <c r="Z53" s="42"/>
      <c r="AA53" s="27"/>
      <c r="AB53" s="47"/>
      <c r="AC53" s="42"/>
      <c r="AD53" s="27"/>
      <c r="AE53" s="33"/>
      <c r="AF53" s="47"/>
      <c r="AG53" s="48"/>
    </row>
    <row r="54" spans="2:33" s="38" customFormat="1" x14ac:dyDescent="0.25">
      <c r="B54" s="49"/>
      <c r="C54" s="70"/>
      <c r="D54" s="42"/>
      <c r="F54" s="33"/>
      <c r="G54" s="47"/>
      <c r="H54" s="42"/>
      <c r="I54" s="27"/>
      <c r="J54" s="47"/>
      <c r="K54" s="42"/>
      <c r="L54" s="27"/>
      <c r="M54" s="47"/>
      <c r="N54" s="42"/>
      <c r="O54" s="27"/>
      <c r="P54" s="47"/>
      <c r="Q54" s="42"/>
      <c r="R54" s="27"/>
      <c r="S54" s="47"/>
      <c r="T54" s="42"/>
      <c r="U54" s="27"/>
      <c r="V54" s="47"/>
      <c r="W54" s="42"/>
      <c r="X54" s="27"/>
      <c r="Y54" s="47"/>
      <c r="Z54" s="42"/>
      <c r="AA54" s="27"/>
      <c r="AB54" s="47"/>
      <c r="AC54" s="42"/>
      <c r="AD54" s="27"/>
      <c r="AE54" s="33"/>
      <c r="AF54" s="47"/>
      <c r="AG54" s="48"/>
    </row>
    <row r="55" spans="2:33" s="38" customFormat="1" x14ac:dyDescent="0.25">
      <c r="B55" s="49"/>
      <c r="C55" s="70"/>
      <c r="D55" s="42"/>
      <c r="F55" s="33"/>
      <c r="G55" s="47"/>
      <c r="H55" s="42"/>
      <c r="I55" s="27"/>
      <c r="J55" s="47"/>
      <c r="K55" s="42"/>
      <c r="L55" s="27"/>
      <c r="M55" s="47"/>
      <c r="N55" s="42"/>
      <c r="O55" s="27"/>
      <c r="P55" s="47"/>
      <c r="Q55" s="42"/>
      <c r="R55" s="27"/>
      <c r="S55" s="47"/>
      <c r="T55" s="42"/>
      <c r="U55" s="27"/>
      <c r="V55" s="47"/>
      <c r="W55" s="42"/>
      <c r="X55" s="27"/>
      <c r="Y55" s="47"/>
      <c r="Z55" s="42"/>
      <c r="AA55" s="27"/>
      <c r="AB55" s="47"/>
      <c r="AC55" s="42"/>
      <c r="AD55" s="27"/>
      <c r="AE55" s="33"/>
      <c r="AF55" s="47"/>
      <c r="AG55" s="48"/>
    </row>
    <row r="56" spans="2:33" s="38" customFormat="1" x14ac:dyDescent="0.25">
      <c r="B56" s="49"/>
      <c r="C56" s="70"/>
      <c r="D56" s="42"/>
      <c r="F56" s="33"/>
      <c r="G56" s="47"/>
      <c r="H56" s="42"/>
      <c r="I56" s="27"/>
      <c r="J56" s="47"/>
      <c r="K56" s="42"/>
      <c r="L56" s="27"/>
      <c r="M56" s="47"/>
      <c r="N56" s="42"/>
      <c r="O56" s="27"/>
      <c r="P56" s="47"/>
      <c r="Q56" s="42"/>
      <c r="R56" s="27"/>
      <c r="S56" s="47"/>
      <c r="T56" s="42"/>
      <c r="U56" s="27"/>
      <c r="V56" s="47"/>
      <c r="W56" s="42"/>
      <c r="X56" s="27"/>
      <c r="Y56" s="47"/>
      <c r="Z56" s="42"/>
      <c r="AA56" s="27"/>
      <c r="AB56" s="47"/>
      <c r="AC56" s="42"/>
      <c r="AD56" s="27"/>
      <c r="AE56" s="33"/>
      <c r="AF56" s="47"/>
      <c r="AG56" s="48"/>
    </row>
    <row r="57" spans="2:33" s="38" customFormat="1" x14ac:dyDescent="0.25">
      <c r="B57" s="49"/>
      <c r="C57" s="70"/>
      <c r="D57" s="42"/>
      <c r="F57" s="33"/>
      <c r="G57" s="47"/>
      <c r="H57" s="42"/>
      <c r="I57" s="27"/>
      <c r="J57" s="47"/>
      <c r="K57" s="42"/>
      <c r="L57" s="27"/>
      <c r="M57" s="47"/>
      <c r="N57" s="42"/>
      <c r="O57" s="27"/>
      <c r="P57" s="47"/>
      <c r="Q57" s="42"/>
      <c r="R57" s="27"/>
      <c r="S57" s="47"/>
      <c r="T57" s="42"/>
      <c r="U57" s="27"/>
      <c r="V57" s="47"/>
      <c r="W57" s="42"/>
      <c r="X57" s="27"/>
      <c r="Y57" s="47"/>
      <c r="Z57" s="42"/>
      <c r="AA57" s="27"/>
      <c r="AB57" s="47"/>
      <c r="AC57" s="42"/>
      <c r="AD57" s="27"/>
      <c r="AE57" s="33"/>
      <c r="AF57" s="47"/>
      <c r="AG57" s="48"/>
    </row>
    <row r="58" spans="2:33" s="38" customFormat="1" x14ac:dyDescent="0.25">
      <c r="B58" s="49"/>
      <c r="C58" s="70"/>
      <c r="D58" s="42"/>
      <c r="F58" s="33"/>
      <c r="G58" s="47"/>
      <c r="H58" s="42"/>
      <c r="I58" s="27"/>
      <c r="J58" s="47"/>
      <c r="K58" s="42"/>
      <c r="L58" s="27"/>
      <c r="M58" s="47"/>
      <c r="N58" s="42"/>
      <c r="O58" s="27"/>
      <c r="P58" s="47"/>
      <c r="Q58" s="42"/>
      <c r="R58" s="27"/>
      <c r="S58" s="47"/>
      <c r="T58" s="42"/>
      <c r="U58" s="27"/>
      <c r="V58" s="47"/>
      <c r="W58" s="42"/>
      <c r="X58" s="27"/>
      <c r="Y58" s="47"/>
      <c r="Z58" s="42"/>
      <c r="AA58" s="27"/>
      <c r="AB58" s="47"/>
      <c r="AC58" s="42"/>
      <c r="AD58" s="27"/>
      <c r="AE58" s="33"/>
      <c r="AF58" s="47"/>
      <c r="AG58" s="48"/>
    </row>
    <row r="59" spans="2:33" s="38" customFormat="1" x14ac:dyDescent="0.25">
      <c r="B59" s="49"/>
      <c r="C59" s="70"/>
      <c r="D59" s="42"/>
      <c r="F59" s="33"/>
      <c r="G59" s="47"/>
      <c r="H59" s="42"/>
      <c r="I59" s="27"/>
      <c r="J59" s="47"/>
      <c r="K59" s="42"/>
      <c r="L59" s="27"/>
      <c r="M59" s="47"/>
      <c r="N59" s="42"/>
      <c r="O59" s="27"/>
      <c r="P59" s="47"/>
      <c r="Q59" s="42"/>
      <c r="R59" s="27"/>
      <c r="S59" s="47"/>
      <c r="T59" s="42"/>
      <c r="U59" s="27"/>
      <c r="V59" s="47"/>
      <c r="W59" s="42"/>
      <c r="X59" s="27"/>
      <c r="Y59" s="47"/>
      <c r="Z59" s="42"/>
      <c r="AA59" s="27"/>
      <c r="AB59" s="47"/>
      <c r="AC59" s="42"/>
      <c r="AD59" s="27"/>
      <c r="AE59" s="33"/>
      <c r="AF59" s="47"/>
      <c r="AG59" s="48"/>
    </row>
    <row r="60" spans="2:33" s="38" customFormat="1" x14ac:dyDescent="0.25">
      <c r="B60" s="49"/>
      <c r="C60" s="70"/>
      <c r="D60" s="42"/>
      <c r="F60" s="33"/>
      <c r="G60" s="47"/>
      <c r="H60" s="42"/>
      <c r="I60" s="27"/>
      <c r="J60" s="47"/>
      <c r="K60" s="42"/>
      <c r="L60" s="27"/>
      <c r="M60" s="47"/>
      <c r="N60" s="42"/>
      <c r="O60" s="27"/>
      <c r="P60" s="47"/>
      <c r="Q60" s="42"/>
      <c r="R60" s="27"/>
      <c r="S60" s="47"/>
      <c r="T60" s="42"/>
      <c r="U60" s="27"/>
      <c r="V60" s="47"/>
      <c r="W60" s="42"/>
      <c r="X60" s="27"/>
      <c r="Y60" s="47"/>
      <c r="Z60" s="42"/>
      <c r="AA60" s="27"/>
      <c r="AB60" s="47"/>
      <c r="AC60" s="42"/>
      <c r="AD60" s="27"/>
      <c r="AE60" s="33"/>
      <c r="AF60" s="47"/>
      <c r="AG60" s="48"/>
    </row>
    <row r="61" spans="2:33" s="38" customFormat="1" x14ac:dyDescent="0.25">
      <c r="B61" s="49"/>
      <c r="C61" s="70"/>
      <c r="D61" s="42"/>
      <c r="F61" s="33"/>
      <c r="G61" s="47"/>
      <c r="H61" s="42"/>
      <c r="I61" s="27"/>
      <c r="J61" s="47"/>
      <c r="K61" s="42"/>
      <c r="L61" s="27"/>
      <c r="M61" s="47"/>
      <c r="N61" s="42"/>
      <c r="O61" s="27"/>
      <c r="P61" s="47"/>
      <c r="Q61" s="42"/>
      <c r="R61" s="27"/>
      <c r="S61" s="47"/>
      <c r="T61" s="42"/>
      <c r="U61" s="27"/>
      <c r="V61" s="47"/>
      <c r="W61" s="42"/>
      <c r="X61" s="27"/>
      <c r="Y61" s="47"/>
      <c r="Z61" s="42"/>
      <c r="AA61" s="27"/>
      <c r="AB61" s="47"/>
      <c r="AC61" s="42"/>
      <c r="AD61" s="27"/>
      <c r="AE61" s="33"/>
      <c r="AF61" s="47"/>
      <c r="AG61" s="48"/>
    </row>
    <row r="62" spans="2:33" s="38" customFormat="1" x14ac:dyDescent="0.25">
      <c r="B62" s="49"/>
      <c r="C62" s="70"/>
      <c r="D62" s="42"/>
      <c r="F62" s="33"/>
      <c r="G62" s="47"/>
      <c r="H62" s="42"/>
      <c r="I62" s="27"/>
      <c r="J62" s="47"/>
      <c r="K62" s="42"/>
      <c r="L62" s="27"/>
      <c r="M62" s="47"/>
      <c r="N62" s="42"/>
      <c r="O62" s="27"/>
      <c r="P62" s="47"/>
      <c r="Q62" s="42"/>
      <c r="R62" s="27"/>
      <c r="S62" s="47"/>
      <c r="T62" s="42"/>
      <c r="U62" s="27"/>
      <c r="V62" s="47"/>
      <c r="W62" s="42"/>
      <c r="X62" s="27"/>
      <c r="Y62" s="47"/>
      <c r="Z62" s="42"/>
      <c r="AA62" s="27"/>
      <c r="AB62" s="47"/>
      <c r="AC62" s="42"/>
      <c r="AD62" s="27"/>
      <c r="AE62" s="33"/>
      <c r="AF62" s="47"/>
      <c r="AG62" s="48"/>
    </row>
    <row r="63" spans="2:33" s="38" customFormat="1" x14ac:dyDescent="0.25">
      <c r="B63" s="49"/>
      <c r="C63" s="70"/>
      <c r="D63" s="42"/>
      <c r="F63" s="33"/>
      <c r="G63" s="47"/>
      <c r="H63" s="42"/>
      <c r="I63" s="27"/>
      <c r="J63" s="47"/>
      <c r="K63" s="42"/>
      <c r="L63" s="27"/>
      <c r="M63" s="47"/>
      <c r="N63" s="42"/>
      <c r="O63" s="27"/>
      <c r="P63" s="47"/>
      <c r="Q63" s="42"/>
      <c r="R63" s="27"/>
      <c r="S63" s="47"/>
      <c r="T63" s="42"/>
      <c r="U63" s="27"/>
      <c r="V63" s="47"/>
      <c r="W63" s="42"/>
      <c r="X63" s="27"/>
      <c r="Y63" s="47"/>
      <c r="Z63" s="42"/>
      <c r="AA63" s="27"/>
      <c r="AB63" s="47"/>
      <c r="AC63" s="42"/>
      <c r="AD63" s="27"/>
      <c r="AE63" s="33"/>
      <c r="AF63" s="47"/>
      <c r="AG63" s="48"/>
    </row>
    <row r="64" spans="2:33" s="38" customFormat="1" x14ac:dyDescent="0.25">
      <c r="B64" s="49"/>
      <c r="C64" s="70"/>
      <c r="D64" s="42"/>
      <c r="F64" s="33"/>
      <c r="G64" s="47"/>
      <c r="H64" s="42"/>
      <c r="I64" s="27"/>
      <c r="J64" s="47"/>
      <c r="K64" s="42"/>
      <c r="L64" s="27"/>
      <c r="M64" s="47"/>
      <c r="N64" s="42"/>
      <c r="O64" s="27"/>
      <c r="P64" s="47"/>
      <c r="Q64" s="42"/>
      <c r="R64" s="27"/>
      <c r="S64" s="47"/>
      <c r="T64" s="42"/>
      <c r="U64" s="27"/>
      <c r="V64" s="47"/>
      <c r="W64" s="42"/>
      <c r="X64" s="27"/>
      <c r="Y64" s="47"/>
      <c r="Z64" s="42"/>
      <c r="AA64" s="27"/>
      <c r="AB64" s="47"/>
      <c r="AC64" s="42"/>
      <c r="AD64" s="27"/>
      <c r="AE64" s="33"/>
      <c r="AF64" s="47"/>
      <c r="AG64" s="48"/>
    </row>
    <row r="65" spans="2:33" s="38" customFormat="1" x14ac:dyDescent="0.25">
      <c r="B65" s="49"/>
      <c r="C65" s="70"/>
      <c r="D65" s="42"/>
      <c r="F65" s="33"/>
      <c r="G65" s="47"/>
      <c r="H65" s="42"/>
      <c r="I65" s="27"/>
      <c r="J65" s="47"/>
      <c r="K65" s="42"/>
      <c r="L65" s="27"/>
      <c r="M65" s="47"/>
      <c r="N65" s="42"/>
      <c r="O65" s="27"/>
      <c r="P65" s="47"/>
      <c r="Q65" s="42"/>
      <c r="R65" s="27"/>
      <c r="S65" s="47"/>
      <c r="T65" s="42"/>
      <c r="U65" s="27"/>
      <c r="V65" s="47"/>
      <c r="W65" s="42"/>
      <c r="X65" s="27"/>
      <c r="Y65" s="47"/>
      <c r="Z65" s="42"/>
      <c r="AA65" s="27"/>
      <c r="AB65" s="47"/>
      <c r="AC65" s="42"/>
      <c r="AD65" s="27"/>
      <c r="AE65" s="33"/>
      <c r="AF65" s="47"/>
      <c r="AG65" s="48"/>
    </row>
    <row r="66" spans="2:33" s="38" customFormat="1" x14ac:dyDescent="0.25">
      <c r="B66" s="49"/>
      <c r="C66" s="70"/>
      <c r="D66" s="42"/>
      <c r="F66" s="33"/>
      <c r="G66" s="47"/>
      <c r="H66" s="42"/>
      <c r="I66" s="27"/>
      <c r="J66" s="47"/>
      <c r="K66" s="42"/>
      <c r="L66" s="27"/>
      <c r="M66" s="47"/>
      <c r="N66" s="42"/>
      <c r="O66" s="27"/>
      <c r="P66" s="47"/>
      <c r="Q66" s="42"/>
      <c r="R66" s="27"/>
      <c r="S66" s="47"/>
      <c r="T66" s="42"/>
      <c r="U66" s="27"/>
      <c r="V66" s="47"/>
      <c r="W66" s="42"/>
      <c r="X66" s="27"/>
      <c r="Y66" s="47"/>
      <c r="Z66" s="42"/>
      <c r="AA66" s="27"/>
      <c r="AB66" s="47"/>
      <c r="AC66" s="42"/>
      <c r="AD66" s="27"/>
      <c r="AE66" s="33"/>
      <c r="AF66" s="47"/>
      <c r="AG66" s="48"/>
    </row>
    <row r="67" spans="2:33" s="38" customFormat="1" x14ac:dyDescent="0.25">
      <c r="B67" s="49"/>
      <c r="C67" s="70"/>
      <c r="D67" s="42"/>
      <c r="F67" s="33"/>
      <c r="G67" s="47"/>
      <c r="H67" s="42"/>
      <c r="I67" s="27"/>
      <c r="J67" s="47"/>
      <c r="K67" s="42"/>
      <c r="L67" s="27"/>
      <c r="M67" s="47"/>
      <c r="N67" s="42"/>
      <c r="O67" s="27"/>
      <c r="P67" s="47"/>
      <c r="Q67" s="42"/>
      <c r="R67" s="27"/>
      <c r="S67" s="47"/>
      <c r="T67" s="42"/>
      <c r="U67" s="27"/>
      <c r="V67" s="47"/>
      <c r="W67" s="42"/>
      <c r="X67" s="27"/>
      <c r="Y67" s="47"/>
      <c r="Z67" s="42"/>
      <c r="AA67" s="27"/>
      <c r="AB67" s="47"/>
      <c r="AC67" s="42"/>
      <c r="AD67" s="27"/>
      <c r="AE67" s="33"/>
      <c r="AF67" s="47"/>
      <c r="AG67" s="48"/>
    </row>
    <row r="68" spans="2:33" s="38" customFormat="1" x14ac:dyDescent="0.25">
      <c r="B68" s="49"/>
      <c r="C68" s="70"/>
      <c r="D68" s="42"/>
      <c r="F68" s="33"/>
      <c r="G68" s="47"/>
      <c r="H68" s="42"/>
      <c r="I68" s="27"/>
      <c r="J68" s="47"/>
      <c r="K68" s="42"/>
      <c r="L68" s="27"/>
      <c r="M68" s="47"/>
      <c r="N68" s="42"/>
      <c r="O68" s="27"/>
      <c r="P68" s="47"/>
      <c r="Q68" s="42"/>
      <c r="R68" s="27"/>
      <c r="S68" s="47"/>
      <c r="T68" s="42"/>
      <c r="U68" s="27"/>
      <c r="V68" s="47"/>
      <c r="W68" s="42"/>
      <c r="X68" s="27"/>
      <c r="Y68" s="47"/>
      <c r="Z68" s="42"/>
      <c r="AA68" s="27"/>
      <c r="AB68" s="47"/>
      <c r="AC68" s="42"/>
      <c r="AD68" s="27"/>
      <c r="AE68" s="33"/>
      <c r="AF68" s="47"/>
      <c r="AG68" s="48"/>
    </row>
    <row r="69" spans="2:33" s="38" customFormat="1" x14ac:dyDescent="0.25">
      <c r="B69" s="49"/>
      <c r="C69" s="70"/>
      <c r="D69" s="42"/>
      <c r="F69" s="33"/>
      <c r="G69" s="47"/>
      <c r="H69" s="42"/>
      <c r="I69" s="27"/>
      <c r="J69" s="47"/>
      <c r="K69" s="42"/>
      <c r="L69" s="27"/>
      <c r="M69" s="47"/>
      <c r="N69" s="42"/>
      <c r="O69" s="27"/>
      <c r="P69" s="47"/>
      <c r="Q69" s="42"/>
      <c r="R69" s="27"/>
      <c r="S69" s="47"/>
      <c r="T69" s="42"/>
      <c r="U69" s="27"/>
      <c r="V69" s="47"/>
      <c r="W69" s="42"/>
      <c r="X69" s="27"/>
      <c r="Y69" s="47"/>
      <c r="Z69" s="42"/>
      <c r="AA69" s="27"/>
      <c r="AB69" s="47"/>
      <c r="AC69" s="42"/>
      <c r="AD69" s="27"/>
      <c r="AE69" s="33"/>
      <c r="AF69" s="47"/>
      <c r="AG69" s="48"/>
    </row>
    <row r="70" spans="2:33" s="38" customFormat="1" x14ac:dyDescent="0.25">
      <c r="B70" s="49"/>
      <c r="C70" s="70"/>
      <c r="D70" s="42"/>
      <c r="F70" s="33"/>
      <c r="G70" s="47"/>
      <c r="H70" s="42"/>
      <c r="I70" s="27"/>
      <c r="J70" s="47"/>
      <c r="K70" s="42"/>
      <c r="L70" s="27"/>
      <c r="M70" s="47"/>
      <c r="N70" s="42"/>
      <c r="O70" s="27"/>
      <c r="P70" s="47"/>
      <c r="Q70" s="42"/>
      <c r="R70" s="27"/>
      <c r="S70" s="47"/>
      <c r="T70" s="42"/>
      <c r="U70" s="27"/>
      <c r="V70" s="47"/>
      <c r="W70" s="42"/>
      <c r="X70" s="27"/>
      <c r="Y70" s="47"/>
      <c r="Z70" s="42"/>
      <c r="AA70" s="27"/>
      <c r="AB70" s="47"/>
      <c r="AC70" s="42"/>
      <c r="AD70" s="27"/>
      <c r="AE70" s="33"/>
      <c r="AF70" s="47"/>
      <c r="AG70" s="48"/>
    </row>
    <row r="71" spans="2:33" s="38" customFormat="1" x14ac:dyDescent="0.25">
      <c r="B71" s="49"/>
      <c r="C71" s="70"/>
      <c r="D71" s="42"/>
      <c r="F71" s="33"/>
      <c r="G71" s="47"/>
      <c r="H71" s="42"/>
      <c r="I71" s="27"/>
      <c r="J71" s="47"/>
      <c r="K71" s="42"/>
      <c r="L71" s="27"/>
      <c r="M71" s="47"/>
      <c r="N71" s="42"/>
      <c r="O71" s="27"/>
      <c r="P71" s="47"/>
      <c r="Q71" s="42"/>
      <c r="R71" s="27"/>
      <c r="S71" s="47"/>
      <c r="T71" s="42"/>
      <c r="U71" s="27"/>
      <c r="V71" s="47"/>
      <c r="W71" s="42"/>
      <c r="X71" s="27"/>
      <c r="Y71" s="47"/>
      <c r="Z71" s="42"/>
      <c r="AA71" s="27"/>
      <c r="AB71" s="47"/>
      <c r="AC71" s="42"/>
      <c r="AD71" s="27"/>
      <c r="AE71" s="33"/>
      <c r="AF71" s="47"/>
      <c r="AG71" s="48"/>
    </row>
    <row r="72" spans="2:33" s="38" customFormat="1" x14ac:dyDescent="0.25">
      <c r="B72" s="49"/>
      <c r="C72" s="70"/>
      <c r="D72" s="42"/>
      <c r="F72" s="33"/>
      <c r="G72" s="47"/>
      <c r="H72" s="42"/>
      <c r="I72" s="27"/>
      <c r="J72" s="47"/>
      <c r="K72" s="42"/>
      <c r="L72" s="27"/>
      <c r="M72" s="47"/>
      <c r="N72" s="42"/>
      <c r="O72" s="27"/>
      <c r="P72" s="47"/>
      <c r="Q72" s="42"/>
      <c r="R72" s="27"/>
      <c r="S72" s="47"/>
      <c r="T72" s="42"/>
      <c r="U72" s="27"/>
      <c r="V72" s="47"/>
      <c r="W72" s="42"/>
      <c r="X72" s="27"/>
      <c r="Y72" s="47"/>
      <c r="Z72" s="42"/>
      <c r="AA72" s="27"/>
      <c r="AB72" s="47"/>
      <c r="AC72" s="42"/>
      <c r="AD72" s="27"/>
      <c r="AE72" s="33"/>
      <c r="AF72" s="47"/>
      <c r="AG72" s="48"/>
    </row>
    <row r="73" spans="2:33" s="38" customFormat="1" x14ac:dyDescent="0.25">
      <c r="B73" s="49"/>
      <c r="C73" s="70"/>
      <c r="D73" s="42"/>
      <c r="F73" s="33"/>
      <c r="G73" s="47"/>
      <c r="H73" s="42"/>
      <c r="I73" s="27"/>
      <c r="J73" s="47"/>
      <c r="K73" s="42"/>
      <c r="L73" s="27"/>
      <c r="M73" s="47"/>
      <c r="N73" s="42"/>
      <c r="O73" s="27"/>
      <c r="P73" s="47"/>
      <c r="Q73" s="42"/>
      <c r="R73" s="27"/>
      <c r="S73" s="47"/>
      <c r="T73" s="42"/>
      <c r="U73" s="27"/>
      <c r="V73" s="47"/>
      <c r="W73" s="42"/>
      <c r="X73" s="27"/>
      <c r="Y73" s="47"/>
      <c r="Z73" s="42"/>
      <c r="AA73" s="27"/>
      <c r="AB73" s="47"/>
      <c r="AC73" s="42"/>
      <c r="AD73" s="27"/>
      <c r="AE73" s="33"/>
      <c r="AF73" s="47"/>
      <c r="AG73" s="48"/>
    </row>
    <row r="74" spans="2:33" s="38" customFormat="1" x14ac:dyDescent="0.25">
      <c r="B74" s="49"/>
      <c r="C74" s="70"/>
      <c r="D74" s="42"/>
      <c r="F74" s="33"/>
      <c r="G74" s="47"/>
      <c r="H74" s="42"/>
      <c r="I74" s="27"/>
      <c r="J74" s="47"/>
      <c r="K74" s="42"/>
      <c r="L74" s="27"/>
      <c r="M74" s="47"/>
      <c r="N74" s="42"/>
      <c r="O74" s="27"/>
      <c r="P74" s="47"/>
      <c r="Q74" s="42"/>
      <c r="R74" s="27"/>
      <c r="S74" s="47"/>
      <c r="T74" s="42"/>
      <c r="U74" s="27"/>
      <c r="V74" s="47"/>
      <c r="W74" s="42"/>
      <c r="X74" s="27"/>
      <c r="Y74" s="47"/>
      <c r="Z74" s="42"/>
      <c r="AA74" s="27"/>
      <c r="AB74" s="47"/>
      <c r="AC74" s="42"/>
      <c r="AD74" s="27"/>
      <c r="AE74" s="33"/>
      <c r="AF74" s="47"/>
      <c r="AG74" s="48"/>
    </row>
    <row r="75" spans="2:33" s="38" customFormat="1" x14ac:dyDescent="0.25">
      <c r="B75" s="49"/>
      <c r="C75" s="70"/>
      <c r="D75" s="42"/>
      <c r="F75" s="33"/>
      <c r="G75" s="47"/>
      <c r="H75" s="42"/>
      <c r="I75" s="27"/>
      <c r="J75" s="47"/>
      <c r="K75" s="42"/>
      <c r="L75" s="27"/>
      <c r="M75" s="47"/>
      <c r="N75" s="42"/>
      <c r="O75" s="27"/>
      <c r="P75" s="47"/>
      <c r="Q75" s="42"/>
      <c r="R75" s="27"/>
      <c r="S75" s="47"/>
      <c r="T75" s="42"/>
      <c r="U75" s="27"/>
      <c r="V75" s="47"/>
      <c r="W75" s="42"/>
      <c r="X75" s="27"/>
      <c r="Y75" s="47"/>
      <c r="Z75" s="42"/>
      <c r="AA75" s="27"/>
      <c r="AB75" s="47"/>
      <c r="AC75" s="42"/>
      <c r="AD75" s="27"/>
      <c r="AE75" s="33"/>
      <c r="AF75" s="47"/>
      <c r="AG75" s="48"/>
    </row>
    <row r="76" spans="2:33" s="38" customFormat="1" x14ac:dyDescent="0.25">
      <c r="B76" s="49"/>
      <c r="C76" s="70"/>
      <c r="D76" s="42"/>
      <c r="F76" s="33"/>
      <c r="G76" s="47"/>
      <c r="H76" s="42"/>
      <c r="I76" s="27"/>
      <c r="J76" s="47"/>
      <c r="K76" s="42"/>
      <c r="L76" s="27"/>
      <c r="M76" s="47"/>
      <c r="N76" s="42"/>
      <c r="O76" s="27"/>
      <c r="P76" s="47"/>
      <c r="Q76" s="42"/>
      <c r="R76" s="27"/>
      <c r="S76" s="47"/>
      <c r="T76" s="42"/>
      <c r="U76" s="27"/>
      <c r="V76" s="47"/>
      <c r="W76" s="42"/>
      <c r="X76" s="27"/>
      <c r="Y76" s="47"/>
      <c r="Z76" s="42"/>
      <c r="AA76" s="27"/>
      <c r="AB76" s="47"/>
      <c r="AC76" s="42"/>
      <c r="AD76" s="27"/>
      <c r="AE76" s="33"/>
      <c r="AF76" s="47"/>
      <c r="AG76" s="48"/>
    </row>
    <row r="77" spans="2:33" s="38" customFormat="1" x14ac:dyDescent="0.25">
      <c r="B77" s="49"/>
      <c r="C77" s="70"/>
      <c r="D77" s="42"/>
      <c r="F77" s="33"/>
      <c r="G77" s="47"/>
      <c r="H77" s="42"/>
      <c r="I77" s="27"/>
      <c r="J77" s="47"/>
      <c r="K77" s="42"/>
      <c r="L77" s="27"/>
      <c r="M77" s="47"/>
      <c r="N77" s="42"/>
      <c r="O77" s="27"/>
      <c r="P77" s="47"/>
      <c r="Q77" s="42"/>
      <c r="R77" s="27"/>
      <c r="S77" s="47"/>
      <c r="T77" s="42"/>
      <c r="U77" s="27"/>
      <c r="V77" s="47"/>
      <c r="W77" s="42"/>
      <c r="X77" s="27"/>
      <c r="Y77" s="47"/>
      <c r="Z77" s="42"/>
      <c r="AA77" s="27"/>
      <c r="AB77" s="47"/>
      <c r="AC77" s="42"/>
      <c r="AD77" s="27"/>
      <c r="AE77" s="33"/>
      <c r="AF77" s="47"/>
      <c r="AG77" s="48"/>
    </row>
    <row r="78" spans="2:33" s="38" customFormat="1" x14ac:dyDescent="0.25">
      <c r="B78" s="49"/>
      <c r="C78" s="70"/>
      <c r="D78" s="42"/>
      <c r="F78" s="33"/>
      <c r="G78" s="47"/>
      <c r="H78" s="42"/>
      <c r="I78" s="27"/>
      <c r="J78" s="47"/>
      <c r="K78" s="42"/>
      <c r="L78" s="27"/>
      <c r="M78" s="47"/>
      <c r="N78" s="42"/>
      <c r="O78" s="27"/>
      <c r="P78" s="47"/>
      <c r="Q78" s="42"/>
      <c r="R78" s="27"/>
      <c r="S78" s="47"/>
      <c r="T78" s="42"/>
      <c r="U78" s="27"/>
      <c r="V78" s="47"/>
      <c r="W78" s="42"/>
      <c r="X78" s="27"/>
      <c r="Y78" s="47"/>
      <c r="Z78" s="42"/>
      <c r="AA78" s="27"/>
      <c r="AB78" s="47"/>
      <c r="AC78" s="42"/>
      <c r="AD78" s="27"/>
      <c r="AE78" s="33"/>
      <c r="AF78" s="47"/>
      <c r="AG78" s="48"/>
    </row>
    <row r="79" spans="2:33" s="38" customFormat="1" x14ac:dyDescent="0.25">
      <c r="B79" s="49"/>
      <c r="C79" s="70"/>
      <c r="D79" s="42"/>
      <c r="F79" s="33"/>
      <c r="G79" s="47"/>
      <c r="H79" s="42"/>
      <c r="I79" s="27"/>
      <c r="J79" s="47"/>
      <c r="K79" s="42"/>
      <c r="L79" s="27"/>
      <c r="M79" s="47"/>
      <c r="N79" s="42"/>
      <c r="O79" s="27"/>
      <c r="P79" s="47"/>
      <c r="Q79" s="42"/>
      <c r="R79" s="27"/>
      <c r="S79" s="47"/>
      <c r="T79" s="42"/>
      <c r="U79" s="27"/>
      <c r="V79" s="47"/>
      <c r="W79" s="42"/>
      <c r="X79" s="27"/>
      <c r="Y79" s="47"/>
      <c r="Z79" s="42"/>
      <c r="AA79" s="27"/>
      <c r="AB79" s="47"/>
      <c r="AC79" s="42"/>
      <c r="AD79" s="27"/>
      <c r="AE79" s="33"/>
      <c r="AF79" s="47"/>
      <c r="AG79" s="48"/>
    </row>
    <row r="80" spans="2:33" s="38" customFormat="1" x14ac:dyDescent="0.25">
      <c r="B80" s="49"/>
      <c r="C80" s="70"/>
      <c r="D80" s="42"/>
      <c r="F80" s="33"/>
      <c r="G80" s="47"/>
      <c r="H80" s="42"/>
      <c r="I80" s="27"/>
      <c r="J80" s="47"/>
      <c r="K80" s="42"/>
      <c r="L80" s="27"/>
      <c r="M80" s="47"/>
      <c r="N80" s="42"/>
      <c r="O80" s="27"/>
      <c r="P80" s="47"/>
      <c r="Q80" s="42"/>
      <c r="R80" s="27"/>
      <c r="S80" s="47"/>
      <c r="T80" s="42"/>
      <c r="U80" s="27"/>
      <c r="V80" s="47"/>
      <c r="W80" s="42"/>
      <c r="X80" s="27"/>
      <c r="Y80" s="47"/>
      <c r="Z80" s="42"/>
      <c r="AA80" s="27"/>
      <c r="AB80" s="47"/>
      <c r="AC80" s="42"/>
      <c r="AD80" s="27"/>
      <c r="AE80" s="33"/>
      <c r="AF80" s="47"/>
      <c r="AG80" s="48"/>
    </row>
    <row r="81" spans="2:33" s="38" customFormat="1" x14ac:dyDescent="0.25">
      <c r="B81" s="49"/>
      <c r="C81" s="70"/>
      <c r="D81" s="42"/>
      <c r="F81" s="33"/>
      <c r="G81" s="47"/>
      <c r="H81" s="42"/>
      <c r="I81" s="27"/>
      <c r="J81" s="47"/>
      <c r="K81" s="42"/>
      <c r="L81" s="27"/>
      <c r="M81" s="47"/>
      <c r="N81" s="42"/>
      <c r="O81" s="27"/>
      <c r="P81" s="47"/>
      <c r="Q81" s="42"/>
      <c r="R81" s="27"/>
      <c r="S81" s="47"/>
      <c r="T81" s="42"/>
      <c r="U81" s="27"/>
      <c r="V81" s="47"/>
      <c r="W81" s="42"/>
      <c r="X81" s="27"/>
      <c r="Y81" s="47"/>
      <c r="Z81" s="42"/>
      <c r="AA81" s="27"/>
      <c r="AB81" s="47"/>
      <c r="AC81" s="42"/>
      <c r="AD81" s="27"/>
      <c r="AE81" s="33"/>
      <c r="AF81" s="47"/>
      <c r="AG81" s="48"/>
    </row>
    <row r="82" spans="2:33" s="38" customFormat="1" x14ac:dyDescent="0.25">
      <c r="B82" s="49"/>
      <c r="C82" s="70"/>
      <c r="D82" s="42"/>
      <c r="F82" s="33"/>
      <c r="G82" s="47"/>
      <c r="H82" s="42"/>
      <c r="I82" s="27"/>
      <c r="J82" s="47"/>
      <c r="K82" s="42"/>
      <c r="L82" s="27"/>
      <c r="M82" s="47"/>
      <c r="N82" s="42"/>
      <c r="O82" s="27"/>
      <c r="P82" s="47"/>
      <c r="Q82" s="42"/>
      <c r="R82" s="27"/>
      <c r="S82" s="47"/>
      <c r="T82" s="42"/>
      <c r="U82" s="27"/>
      <c r="V82" s="47"/>
      <c r="W82" s="42"/>
      <c r="X82" s="27"/>
      <c r="Y82" s="47"/>
      <c r="Z82" s="42"/>
      <c r="AA82" s="27"/>
      <c r="AB82" s="47"/>
      <c r="AC82" s="42"/>
      <c r="AD82" s="27"/>
      <c r="AE82" s="33"/>
      <c r="AF82" s="47"/>
      <c r="AG82" s="48"/>
    </row>
    <row r="83" spans="2:33" s="38" customFormat="1" x14ac:dyDescent="0.25">
      <c r="B83" s="49"/>
      <c r="C83" s="70"/>
      <c r="D83" s="42"/>
      <c r="F83" s="33"/>
      <c r="G83" s="47"/>
      <c r="H83" s="42"/>
      <c r="I83" s="27"/>
      <c r="J83" s="47"/>
      <c r="K83" s="42"/>
      <c r="L83" s="27"/>
      <c r="M83" s="47"/>
      <c r="N83" s="42"/>
      <c r="O83" s="27"/>
      <c r="P83" s="47"/>
      <c r="Q83" s="42"/>
      <c r="R83" s="27"/>
      <c r="S83" s="47"/>
      <c r="T83" s="42"/>
      <c r="U83" s="27"/>
      <c r="V83" s="47"/>
      <c r="W83" s="42"/>
      <c r="X83" s="27"/>
      <c r="Y83" s="47"/>
      <c r="Z83" s="42"/>
      <c r="AA83" s="27"/>
      <c r="AB83" s="47"/>
      <c r="AC83" s="42"/>
      <c r="AD83" s="27"/>
      <c r="AE83" s="33"/>
      <c r="AF83" s="47"/>
      <c r="AG83" s="48"/>
    </row>
    <row r="84" spans="2:33" s="38" customFormat="1" x14ac:dyDescent="0.25">
      <c r="B84" s="49"/>
      <c r="C84" s="70"/>
      <c r="D84" s="42"/>
      <c r="F84" s="33"/>
      <c r="G84" s="47"/>
      <c r="H84" s="42"/>
      <c r="I84" s="27"/>
      <c r="J84" s="47"/>
      <c r="K84" s="42"/>
      <c r="L84" s="27"/>
      <c r="M84" s="47"/>
      <c r="N84" s="42"/>
      <c r="O84" s="27"/>
      <c r="P84" s="47"/>
      <c r="Q84" s="42"/>
      <c r="R84" s="27"/>
      <c r="S84" s="47"/>
      <c r="T84" s="42"/>
      <c r="U84" s="27"/>
      <c r="V84" s="47"/>
      <c r="W84" s="42"/>
      <c r="X84" s="27"/>
      <c r="Y84" s="47"/>
      <c r="Z84" s="42"/>
      <c r="AA84" s="27"/>
      <c r="AB84" s="47"/>
      <c r="AC84" s="42"/>
      <c r="AD84" s="27"/>
      <c r="AE84" s="33"/>
      <c r="AF84" s="47"/>
      <c r="AG84" s="48"/>
    </row>
    <row r="85" spans="2:33" s="38" customFormat="1" x14ac:dyDescent="0.25">
      <c r="B85" s="49"/>
      <c r="C85" s="70"/>
      <c r="D85" s="42"/>
      <c r="F85" s="33"/>
      <c r="G85" s="47"/>
      <c r="H85" s="42"/>
      <c r="I85" s="27"/>
      <c r="J85" s="47"/>
      <c r="K85" s="42"/>
      <c r="L85" s="27"/>
      <c r="M85" s="47"/>
      <c r="N85" s="42"/>
      <c r="O85" s="27"/>
      <c r="P85" s="47"/>
      <c r="Q85" s="42"/>
      <c r="R85" s="27"/>
      <c r="S85" s="47"/>
      <c r="T85" s="42"/>
      <c r="U85" s="27"/>
      <c r="V85" s="47"/>
      <c r="W85" s="42"/>
      <c r="X85" s="27"/>
      <c r="Y85" s="47"/>
      <c r="Z85" s="42"/>
      <c r="AA85" s="27"/>
      <c r="AB85" s="47"/>
      <c r="AC85" s="42"/>
      <c r="AD85" s="27"/>
      <c r="AE85" s="33"/>
      <c r="AF85" s="47"/>
      <c r="AG85" s="48"/>
    </row>
    <row r="86" spans="2:33" s="38" customFormat="1" x14ac:dyDescent="0.25">
      <c r="B86" s="49"/>
      <c r="C86" s="70"/>
      <c r="D86" s="42"/>
      <c r="F86" s="33"/>
      <c r="G86" s="47"/>
      <c r="H86" s="42"/>
      <c r="I86" s="27"/>
      <c r="J86" s="47"/>
      <c r="K86" s="42"/>
      <c r="L86" s="27"/>
      <c r="M86" s="47"/>
      <c r="N86" s="42"/>
      <c r="O86" s="27"/>
      <c r="P86" s="47"/>
      <c r="Q86" s="42"/>
      <c r="R86" s="27"/>
      <c r="S86" s="47"/>
      <c r="T86" s="42"/>
      <c r="U86" s="27"/>
      <c r="V86" s="47"/>
      <c r="W86" s="42"/>
      <c r="X86" s="27"/>
      <c r="Y86" s="47"/>
      <c r="Z86" s="42"/>
      <c r="AA86" s="27"/>
      <c r="AB86" s="47"/>
      <c r="AC86" s="42"/>
      <c r="AD86" s="27"/>
      <c r="AE86" s="33"/>
      <c r="AF86" s="47"/>
      <c r="AG86" s="48"/>
    </row>
    <row r="87" spans="2:33" s="38" customFormat="1" x14ac:dyDescent="0.25">
      <c r="B87" s="49"/>
      <c r="C87" s="70"/>
      <c r="D87" s="42"/>
      <c r="F87" s="33"/>
      <c r="G87" s="47"/>
      <c r="H87" s="42"/>
      <c r="I87" s="27"/>
      <c r="J87" s="47"/>
      <c r="K87" s="42"/>
      <c r="L87" s="27"/>
      <c r="M87" s="47"/>
      <c r="N87" s="42"/>
      <c r="O87" s="27"/>
      <c r="P87" s="47"/>
      <c r="Q87" s="42"/>
      <c r="R87" s="27"/>
      <c r="S87" s="47"/>
      <c r="T87" s="42"/>
      <c r="U87" s="27"/>
      <c r="V87" s="47"/>
      <c r="W87" s="42"/>
      <c r="X87" s="27"/>
      <c r="Y87" s="47"/>
      <c r="Z87" s="42"/>
      <c r="AA87" s="27"/>
      <c r="AB87" s="47"/>
      <c r="AC87" s="42"/>
      <c r="AD87" s="27"/>
      <c r="AE87" s="33"/>
      <c r="AF87" s="47"/>
      <c r="AG87" s="48"/>
    </row>
    <row r="88" spans="2:33" s="38" customFormat="1" x14ac:dyDescent="0.25">
      <c r="B88" s="49"/>
      <c r="C88" s="70"/>
      <c r="D88" s="42"/>
      <c r="F88" s="33"/>
      <c r="G88" s="47"/>
      <c r="H88" s="42"/>
      <c r="I88" s="27"/>
      <c r="J88" s="47"/>
      <c r="K88" s="42"/>
      <c r="L88" s="27"/>
      <c r="M88" s="47"/>
      <c r="N88" s="42"/>
      <c r="O88" s="27"/>
      <c r="P88" s="47"/>
      <c r="Q88" s="42"/>
      <c r="R88" s="27"/>
      <c r="S88" s="47"/>
      <c r="T88" s="42"/>
      <c r="U88" s="27"/>
      <c r="V88" s="47"/>
      <c r="W88" s="42"/>
      <c r="X88" s="27"/>
      <c r="Y88" s="47"/>
      <c r="Z88" s="42"/>
      <c r="AA88" s="27"/>
      <c r="AB88" s="47"/>
      <c r="AC88" s="42"/>
      <c r="AD88" s="27"/>
      <c r="AE88" s="33"/>
      <c r="AF88" s="47"/>
      <c r="AG88" s="48"/>
    </row>
    <row r="89" spans="2:33" s="38" customFormat="1" x14ac:dyDescent="0.25">
      <c r="B89" s="49"/>
      <c r="C89" s="70"/>
      <c r="D89" s="42"/>
      <c r="F89" s="33"/>
      <c r="G89" s="47"/>
      <c r="H89" s="42"/>
      <c r="I89" s="27"/>
      <c r="J89" s="47"/>
      <c r="K89" s="42"/>
      <c r="L89" s="27"/>
      <c r="M89" s="47"/>
      <c r="N89" s="42"/>
      <c r="O89" s="27"/>
      <c r="P89" s="47"/>
      <c r="Q89" s="42"/>
      <c r="R89" s="27"/>
      <c r="S89" s="47"/>
      <c r="T89" s="42"/>
      <c r="U89" s="27"/>
      <c r="V89" s="47"/>
      <c r="W89" s="42"/>
      <c r="X89" s="27"/>
      <c r="Y89" s="47"/>
      <c r="Z89" s="42"/>
      <c r="AA89" s="27"/>
      <c r="AB89" s="47"/>
      <c r="AC89" s="42"/>
      <c r="AD89" s="27"/>
      <c r="AE89" s="33"/>
      <c r="AF89" s="47"/>
      <c r="AG89" s="48"/>
    </row>
    <row r="90" spans="2:33" s="38" customFormat="1" x14ac:dyDescent="0.25">
      <c r="B90" s="49"/>
      <c r="C90" s="70"/>
      <c r="D90" s="42"/>
      <c r="F90" s="33"/>
      <c r="G90" s="47"/>
      <c r="H90" s="42"/>
      <c r="I90" s="27"/>
      <c r="J90" s="47"/>
      <c r="K90" s="42"/>
      <c r="L90" s="27"/>
      <c r="M90" s="47"/>
      <c r="N90" s="42"/>
      <c r="O90" s="27"/>
      <c r="P90" s="47"/>
      <c r="Q90" s="42"/>
      <c r="R90" s="27"/>
      <c r="S90" s="47"/>
      <c r="T90" s="42"/>
      <c r="U90" s="27"/>
      <c r="V90" s="47"/>
      <c r="W90" s="42"/>
      <c r="X90" s="27"/>
      <c r="Y90" s="47"/>
      <c r="Z90" s="42"/>
      <c r="AA90" s="27"/>
      <c r="AB90" s="47"/>
      <c r="AC90" s="42"/>
      <c r="AD90" s="27"/>
      <c r="AE90" s="33"/>
      <c r="AF90" s="47"/>
      <c r="AG90" s="48"/>
    </row>
    <row r="91" spans="2:33" s="38" customFormat="1" x14ac:dyDescent="0.25">
      <c r="B91" s="49"/>
      <c r="C91" s="70"/>
      <c r="D91" s="42"/>
      <c r="F91" s="33"/>
      <c r="G91" s="47"/>
      <c r="H91" s="42"/>
      <c r="I91" s="27"/>
      <c r="J91" s="47"/>
      <c r="K91" s="42"/>
      <c r="L91" s="27"/>
      <c r="M91" s="47"/>
      <c r="N91" s="42"/>
      <c r="O91" s="27"/>
      <c r="P91" s="47"/>
      <c r="Q91" s="42"/>
      <c r="R91" s="27"/>
      <c r="S91" s="47"/>
      <c r="T91" s="42"/>
      <c r="U91" s="27"/>
      <c r="V91" s="47"/>
      <c r="W91" s="42"/>
      <c r="X91" s="27"/>
      <c r="Y91" s="47"/>
      <c r="Z91" s="42"/>
      <c r="AA91" s="27"/>
      <c r="AB91" s="47"/>
      <c r="AC91" s="42"/>
      <c r="AD91" s="27"/>
      <c r="AE91" s="33"/>
      <c r="AF91" s="47"/>
      <c r="AG91" s="48"/>
    </row>
    <row r="92" spans="2:33" s="38" customFormat="1" x14ac:dyDescent="0.25">
      <c r="B92" s="49"/>
      <c r="C92" s="70"/>
      <c r="D92" s="42"/>
      <c r="F92" s="33"/>
      <c r="G92" s="47"/>
      <c r="H92" s="42"/>
      <c r="I92" s="27"/>
      <c r="J92" s="47"/>
      <c r="K92" s="42"/>
      <c r="L92" s="27"/>
      <c r="M92" s="47"/>
      <c r="N92" s="42"/>
      <c r="O92" s="27"/>
      <c r="P92" s="47"/>
      <c r="Q92" s="42"/>
      <c r="R92" s="27"/>
      <c r="S92" s="47"/>
      <c r="T92" s="42"/>
      <c r="U92" s="27"/>
      <c r="V92" s="47"/>
      <c r="W92" s="42"/>
      <c r="X92" s="27"/>
      <c r="Y92" s="47"/>
      <c r="Z92" s="42"/>
      <c r="AA92" s="27"/>
      <c r="AB92" s="47"/>
      <c r="AC92" s="42"/>
      <c r="AD92" s="27"/>
      <c r="AE92" s="33"/>
      <c r="AF92" s="47"/>
      <c r="AG92" s="48"/>
    </row>
    <row r="93" spans="2:33" s="38" customFormat="1" x14ac:dyDescent="0.25">
      <c r="B93" s="49"/>
      <c r="C93" s="70"/>
      <c r="D93" s="42"/>
      <c r="F93" s="33"/>
      <c r="G93" s="47"/>
      <c r="H93" s="42"/>
      <c r="I93" s="27"/>
      <c r="J93" s="47"/>
      <c r="K93" s="42"/>
      <c r="L93" s="27"/>
      <c r="M93" s="47"/>
      <c r="N93" s="42"/>
      <c r="O93" s="27"/>
      <c r="P93" s="47"/>
      <c r="Q93" s="42"/>
      <c r="R93" s="27"/>
      <c r="S93" s="47"/>
      <c r="T93" s="42"/>
      <c r="U93" s="27"/>
      <c r="V93" s="47"/>
      <c r="W93" s="42"/>
      <c r="X93" s="27"/>
      <c r="Y93" s="47"/>
      <c r="Z93" s="42"/>
      <c r="AA93" s="27"/>
      <c r="AB93" s="47"/>
      <c r="AC93" s="42"/>
      <c r="AD93" s="27"/>
      <c r="AE93" s="33"/>
      <c r="AF93" s="47"/>
      <c r="AG93" s="48"/>
    </row>
    <row r="94" spans="2:33" s="38" customFormat="1" x14ac:dyDescent="0.25">
      <c r="B94" s="49"/>
      <c r="C94" s="70"/>
      <c r="D94" s="42"/>
      <c r="F94" s="33"/>
      <c r="G94" s="47"/>
      <c r="H94" s="42"/>
      <c r="I94" s="27"/>
      <c r="J94" s="47"/>
      <c r="K94" s="42"/>
      <c r="L94" s="27"/>
      <c r="M94" s="47"/>
      <c r="N94" s="42"/>
      <c r="O94" s="27"/>
      <c r="P94" s="47"/>
      <c r="Q94" s="42"/>
      <c r="R94" s="27"/>
      <c r="S94" s="47"/>
      <c r="T94" s="42"/>
      <c r="U94" s="27"/>
      <c r="V94" s="47"/>
      <c r="W94" s="42"/>
      <c r="X94" s="27"/>
      <c r="Y94" s="47"/>
      <c r="Z94" s="42"/>
      <c r="AA94" s="27"/>
      <c r="AB94" s="47"/>
      <c r="AC94" s="42"/>
      <c r="AD94" s="27"/>
      <c r="AE94" s="33"/>
      <c r="AF94" s="47"/>
      <c r="AG94" s="48"/>
    </row>
    <row r="95" spans="2:33" s="38" customFormat="1" x14ac:dyDescent="0.25">
      <c r="B95" s="49"/>
      <c r="C95" s="70"/>
      <c r="D95" s="42"/>
      <c r="F95" s="33"/>
      <c r="G95" s="47"/>
      <c r="H95" s="42"/>
      <c r="I95" s="27"/>
      <c r="J95" s="47"/>
      <c r="K95" s="42"/>
      <c r="L95" s="27"/>
      <c r="M95" s="47"/>
      <c r="N95" s="42"/>
      <c r="O95" s="27"/>
      <c r="P95" s="47"/>
      <c r="Q95" s="42"/>
      <c r="R95" s="27"/>
      <c r="S95" s="47"/>
      <c r="T95" s="42"/>
      <c r="U95" s="27"/>
      <c r="V95" s="47"/>
      <c r="W95" s="42"/>
      <c r="X95" s="27"/>
      <c r="Y95" s="47"/>
      <c r="Z95" s="42"/>
      <c r="AA95" s="27"/>
      <c r="AB95" s="47"/>
      <c r="AC95" s="42"/>
      <c r="AD95" s="27"/>
      <c r="AE95" s="33"/>
      <c r="AF95" s="47"/>
      <c r="AG95" s="48"/>
    </row>
    <row r="96" spans="2:33" s="38" customFormat="1" x14ac:dyDescent="0.25">
      <c r="B96" s="49"/>
      <c r="C96" s="70"/>
      <c r="D96" s="42"/>
      <c r="F96" s="33"/>
      <c r="G96" s="47"/>
      <c r="H96" s="42"/>
      <c r="I96" s="27"/>
      <c r="J96" s="47"/>
      <c r="K96" s="42"/>
      <c r="L96" s="27"/>
      <c r="M96" s="47"/>
      <c r="N96" s="42"/>
      <c r="O96" s="27"/>
      <c r="P96" s="47"/>
      <c r="Q96" s="42"/>
      <c r="R96" s="27"/>
      <c r="S96" s="47"/>
      <c r="T96" s="42"/>
      <c r="U96" s="27"/>
      <c r="V96" s="47"/>
      <c r="W96" s="42"/>
      <c r="X96" s="27"/>
      <c r="Y96" s="47"/>
      <c r="Z96" s="42"/>
      <c r="AA96" s="27"/>
      <c r="AB96" s="47"/>
      <c r="AC96" s="42"/>
      <c r="AD96" s="27"/>
      <c r="AE96" s="33"/>
      <c r="AF96" s="47"/>
      <c r="AG96" s="48"/>
    </row>
    <row r="97" spans="2:33" s="38" customFormat="1" x14ac:dyDescent="0.25">
      <c r="B97" s="49"/>
      <c r="C97" s="70"/>
      <c r="D97" s="42"/>
      <c r="F97" s="33"/>
      <c r="G97" s="47"/>
      <c r="H97" s="42"/>
      <c r="I97" s="27"/>
      <c r="J97" s="47"/>
      <c r="K97" s="42"/>
      <c r="L97" s="27"/>
      <c r="M97" s="47"/>
      <c r="N97" s="42"/>
      <c r="O97" s="27"/>
      <c r="P97" s="47"/>
      <c r="Q97" s="42"/>
      <c r="R97" s="27"/>
      <c r="S97" s="47"/>
      <c r="T97" s="42"/>
      <c r="U97" s="27"/>
      <c r="V97" s="47"/>
      <c r="W97" s="42"/>
      <c r="X97" s="27"/>
      <c r="Y97" s="47"/>
      <c r="Z97" s="42"/>
      <c r="AA97" s="27"/>
      <c r="AB97" s="47"/>
      <c r="AC97" s="42"/>
      <c r="AD97" s="27"/>
      <c r="AE97" s="33"/>
      <c r="AF97" s="47"/>
      <c r="AG97" s="48"/>
    </row>
    <row r="98" spans="2:33" s="38" customFormat="1" x14ac:dyDescent="0.25">
      <c r="B98" s="49"/>
      <c r="C98" s="70"/>
      <c r="D98" s="42"/>
      <c r="F98" s="33"/>
      <c r="G98" s="47"/>
      <c r="H98" s="42"/>
      <c r="I98" s="27"/>
      <c r="J98" s="47"/>
      <c r="K98" s="42"/>
      <c r="L98" s="27"/>
      <c r="M98" s="47"/>
      <c r="N98" s="42"/>
      <c r="O98" s="27"/>
      <c r="P98" s="47"/>
      <c r="Q98" s="42"/>
      <c r="R98" s="27"/>
      <c r="S98" s="47"/>
      <c r="T98" s="42"/>
      <c r="U98" s="27"/>
      <c r="V98" s="47"/>
      <c r="W98" s="42"/>
      <c r="X98" s="27"/>
      <c r="Y98" s="47"/>
      <c r="Z98" s="42"/>
      <c r="AA98" s="27"/>
      <c r="AB98" s="47"/>
      <c r="AC98" s="42"/>
      <c r="AD98" s="27"/>
      <c r="AE98" s="33"/>
      <c r="AF98" s="47"/>
      <c r="AG98" s="48"/>
    </row>
    <row r="99" spans="2:33" s="38" customFormat="1" x14ac:dyDescent="0.25">
      <c r="B99" s="49"/>
      <c r="C99" s="70"/>
      <c r="D99" s="42"/>
      <c r="F99" s="33"/>
      <c r="G99" s="47"/>
      <c r="H99" s="42"/>
      <c r="I99" s="27"/>
      <c r="J99" s="47"/>
      <c r="K99" s="42"/>
      <c r="L99" s="27"/>
      <c r="M99" s="47"/>
      <c r="N99" s="42"/>
      <c r="O99" s="27"/>
      <c r="P99" s="47"/>
      <c r="Q99" s="42"/>
      <c r="R99" s="27"/>
      <c r="S99" s="47"/>
      <c r="T99" s="42"/>
      <c r="U99" s="27"/>
      <c r="V99" s="47"/>
      <c r="W99" s="42"/>
      <c r="X99" s="27"/>
      <c r="Y99" s="47"/>
      <c r="Z99" s="42"/>
      <c r="AA99" s="27"/>
      <c r="AB99" s="47"/>
      <c r="AC99" s="42"/>
      <c r="AD99" s="27"/>
      <c r="AE99" s="33"/>
      <c r="AF99" s="47"/>
      <c r="AG99" s="48"/>
    </row>
    <row r="100" spans="2:33" s="38" customFormat="1" x14ac:dyDescent="0.25">
      <c r="B100" s="49"/>
      <c r="C100" s="70"/>
      <c r="D100" s="42"/>
      <c r="F100" s="33"/>
      <c r="G100" s="47"/>
      <c r="H100" s="42"/>
      <c r="I100" s="27"/>
      <c r="J100" s="47"/>
      <c r="K100" s="42"/>
      <c r="L100" s="27"/>
      <c r="M100" s="47"/>
      <c r="N100" s="42"/>
      <c r="O100" s="27"/>
      <c r="P100" s="47"/>
      <c r="Q100" s="42"/>
      <c r="R100" s="27"/>
      <c r="S100" s="47"/>
      <c r="T100" s="42"/>
      <c r="U100" s="27"/>
      <c r="V100" s="47"/>
      <c r="W100" s="42"/>
      <c r="X100" s="27"/>
      <c r="Y100" s="47"/>
      <c r="Z100" s="42"/>
      <c r="AA100" s="27"/>
      <c r="AB100" s="47"/>
      <c r="AC100" s="42"/>
      <c r="AD100" s="27"/>
      <c r="AE100" s="33"/>
      <c r="AF100" s="47"/>
      <c r="AG100" s="48"/>
    </row>
    <row r="101" spans="2:33" s="38" customFormat="1" x14ac:dyDescent="0.25">
      <c r="B101" s="49"/>
      <c r="C101" s="70"/>
      <c r="D101" s="42"/>
      <c r="F101" s="33"/>
      <c r="G101" s="47"/>
      <c r="H101" s="42"/>
      <c r="I101" s="27"/>
      <c r="J101" s="47"/>
      <c r="K101" s="42"/>
      <c r="L101" s="27"/>
      <c r="M101" s="47"/>
      <c r="N101" s="42"/>
      <c r="O101" s="27"/>
      <c r="P101" s="47"/>
      <c r="Q101" s="42"/>
      <c r="R101" s="27"/>
      <c r="S101" s="47"/>
      <c r="T101" s="42"/>
      <c r="U101" s="27"/>
      <c r="V101" s="47"/>
      <c r="W101" s="42"/>
      <c r="X101" s="27"/>
      <c r="Y101" s="47"/>
      <c r="Z101" s="42"/>
      <c r="AA101" s="27"/>
      <c r="AB101" s="47"/>
      <c r="AC101" s="42"/>
      <c r="AD101" s="27"/>
      <c r="AE101" s="33"/>
      <c r="AF101" s="47"/>
      <c r="AG101" s="48"/>
    </row>
    <row r="102" spans="2:33" s="38" customFormat="1" x14ac:dyDescent="0.25">
      <c r="B102" s="49"/>
      <c r="C102" s="70"/>
      <c r="D102" s="42"/>
      <c r="F102" s="33"/>
      <c r="G102" s="47"/>
      <c r="H102" s="42"/>
      <c r="I102" s="27"/>
      <c r="J102" s="47"/>
      <c r="K102" s="42"/>
      <c r="L102" s="27"/>
      <c r="M102" s="47"/>
      <c r="N102" s="42"/>
      <c r="O102" s="27"/>
      <c r="P102" s="47"/>
      <c r="Q102" s="42"/>
      <c r="R102" s="27"/>
      <c r="S102" s="47"/>
      <c r="T102" s="42"/>
      <c r="U102" s="27"/>
      <c r="V102" s="47"/>
      <c r="W102" s="42"/>
      <c r="X102" s="27"/>
      <c r="Y102" s="47"/>
      <c r="Z102" s="42"/>
      <c r="AA102" s="27"/>
      <c r="AB102" s="47"/>
      <c r="AC102" s="42"/>
      <c r="AD102" s="27"/>
      <c r="AE102" s="33"/>
      <c r="AF102" s="47"/>
      <c r="AG102" s="48"/>
    </row>
    <row r="103" spans="2:33" s="38" customFormat="1" x14ac:dyDescent="0.25">
      <c r="B103" s="49"/>
      <c r="C103" s="70"/>
      <c r="D103" s="42"/>
      <c r="F103" s="33"/>
      <c r="G103" s="47"/>
      <c r="H103" s="42"/>
      <c r="I103" s="27"/>
      <c r="J103" s="47"/>
      <c r="K103" s="42"/>
      <c r="L103" s="27"/>
      <c r="M103" s="47"/>
      <c r="N103" s="42"/>
      <c r="O103" s="27"/>
      <c r="P103" s="47"/>
      <c r="Q103" s="42"/>
      <c r="R103" s="27"/>
      <c r="S103" s="47"/>
      <c r="T103" s="42"/>
      <c r="U103" s="27"/>
      <c r="V103" s="47"/>
      <c r="W103" s="42"/>
      <c r="X103" s="27"/>
      <c r="Y103" s="47"/>
      <c r="Z103" s="42"/>
      <c r="AA103" s="27"/>
      <c r="AB103" s="47"/>
      <c r="AC103" s="42"/>
      <c r="AD103" s="27"/>
      <c r="AE103" s="33"/>
      <c r="AF103" s="47"/>
      <c r="AG103" s="48"/>
    </row>
    <row r="104" spans="2:33" s="38" customFormat="1" x14ac:dyDescent="0.25">
      <c r="B104" s="49"/>
      <c r="C104" s="70"/>
      <c r="D104" s="42"/>
      <c r="F104" s="33"/>
      <c r="G104" s="47"/>
      <c r="H104" s="42"/>
      <c r="I104" s="27"/>
      <c r="J104" s="47"/>
      <c r="K104" s="42"/>
      <c r="L104" s="27"/>
      <c r="M104" s="47"/>
      <c r="N104" s="42"/>
      <c r="O104" s="27"/>
      <c r="P104" s="47"/>
      <c r="Q104" s="42"/>
      <c r="R104" s="27"/>
      <c r="S104" s="47"/>
      <c r="T104" s="42"/>
      <c r="U104" s="27"/>
      <c r="V104" s="47"/>
      <c r="W104" s="42"/>
      <c r="X104" s="27"/>
      <c r="Y104" s="47"/>
      <c r="Z104" s="42"/>
      <c r="AA104" s="27"/>
      <c r="AB104" s="47"/>
      <c r="AC104" s="42"/>
      <c r="AD104" s="27"/>
      <c r="AE104" s="33"/>
      <c r="AF104" s="47"/>
      <c r="AG104" s="48"/>
    </row>
    <row r="105" spans="2:33" s="38" customFormat="1" x14ac:dyDescent="0.25">
      <c r="B105" s="49"/>
      <c r="C105" s="70"/>
      <c r="D105" s="42"/>
      <c r="F105" s="33"/>
      <c r="G105" s="47"/>
      <c r="H105" s="42"/>
      <c r="I105" s="27"/>
      <c r="J105" s="47"/>
      <c r="K105" s="42"/>
      <c r="L105" s="27"/>
      <c r="M105" s="47"/>
      <c r="N105" s="42"/>
      <c r="O105" s="27"/>
      <c r="P105" s="47"/>
      <c r="Q105" s="42"/>
      <c r="R105" s="27"/>
      <c r="S105" s="47"/>
      <c r="T105" s="42"/>
      <c r="U105" s="27"/>
      <c r="V105" s="47"/>
      <c r="W105" s="42"/>
      <c r="X105" s="27"/>
      <c r="Y105" s="47"/>
      <c r="Z105" s="42"/>
      <c r="AA105" s="27"/>
      <c r="AB105" s="47"/>
      <c r="AC105" s="42"/>
      <c r="AD105" s="27"/>
      <c r="AE105" s="33"/>
      <c r="AF105" s="47"/>
      <c r="AG105" s="48"/>
    </row>
    <row r="106" spans="2:33" s="38" customFormat="1" x14ac:dyDescent="0.25">
      <c r="B106" s="49"/>
      <c r="C106" s="70"/>
      <c r="D106" s="42"/>
      <c r="F106" s="33"/>
      <c r="G106" s="47"/>
      <c r="H106" s="42"/>
      <c r="I106" s="27"/>
      <c r="J106" s="47"/>
      <c r="K106" s="42"/>
      <c r="L106" s="27"/>
      <c r="M106" s="47"/>
      <c r="N106" s="42"/>
      <c r="O106" s="27"/>
      <c r="P106" s="47"/>
      <c r="Q106" s="42"/>
      <c r="R106" s="27"/>
      <c r="S106" s="47"/>
      <c r="T106" s="42"/>
      <c r="U106" s="27"/>
      <c r="V106" s="47"/>
      <c r="W106" s="42"/>
      <c r="X106" s="27"/>
      <c r="Y106" s="47"/>
      <c r="Z106" s="42"/>
      <c r="AA106" s="27"/>
      <c r="AB106" s="47"/>
      <c r="AC106" s="42"/>
      <c r="AD106" s="27"/>
      <c r="AE106" s="33"/>
      <c r="AF106" s="47"/>
      <c r="AG106" s="48"/>
    </row>
    <row r="107" spans="2:33" s="38" customFormat="1" x14ac:dyDescent="0.25">
      <c r="B107" s="49"/>
      <c r="C107" s="70"/>
      <c r="D107" s="42"/>
      <c r="F107" s="33"/>
      <c r="G107" s="47"/>
      <c r="H107" s="42"/>
      <c r="I107" s="27"/>
      <c r="J107" s="47"/>
      <c r="K107" s="42"/>
      <c r="L107" s="27"/>
      <c r="M107" s="47"/>
      <c r="N107" s="42"/>
      <c r="O107" s="27"/>
      <c r="P107" s="47"/>
      <c r="Q107" s="42"/>
      <c r="R107" s="27"/>
      <c r="S107" s="47"/>
      <c r="T107" s="42"/>
      <c r="U107" s="27"/>
      <c r="V107" s="47"/>
      <c r="W107" s="42"/>
      <c r="X107" s="27"/>
      <c r="Y107" s="47"/>
      <c r="Z107" s="42"/>
      <c r="AA107" s="27"/>
      <c r="AB107" s="47"/>
      <c r="AC107" s="42"/>
      <c r="AD107" s="27"/>
      <c r="AE107" s="33"/>
      <c r="AF107" s="47"/>
      <c r="AG107" s="48"/>
    </row>
    <row r="108" spans="2:33" s="38" customFormat="1" x14ac:dyDescent="0.25">
      <c r="B108" s="49"/>
      <c r="C108" s="70"/>
      <c r="D108" s="42"/>
      <c r="F108" s="33"/>
      <c r="G108" s="47"/>
      <c r="H108" s="42"/>
      <c r="I108" s="27"/>
      <c r="J108" s="47"/>
      <c r="K108" s="42"/>
      <c r="L108" s="27"/>
      <c r="M108" s="47"/>
      <c r="N108" s="42"/>
      <c r="O108" s="27"/>
      <c r="P108" s="47"/>
      <c r="Q108" s="42"/>
      <c r="R108" s="27"/>
      <c r="S108" s="47"/>
      <c r="T108" s="42"/>
      <c r="U108" s="27"/>
      <c r="V108" s="47"/>
      <c r="W108" s="42"/>
      <c r="X108" s="27"/>
      <c r="Y108" s="47"/>
      <c r="Z108" s="42"/>
      <c r="AA108" s="27"/>
      <c r="AB108" s="47"/>
      <c r="AC108" s="42"/>
      <c r="AD108" s="27"/>
      <c r="AE108" s="33"/>
      <c r="AF108" s="47"/>
      <c r="AG108" s="48"/>
    </row>
    <row r="109" spans="2:33" s="38" customFormat="1" x14ac:dyDescent="0.25">
      <c r="B109" s="49"/>
      <c r="C109" s="70"/>
      <c r="D109" s="42"/>
      <c r="F109" s="33"/>
      <c r="G109" s="47"/>
      <c r="H109" s="42"/>
      <c r="I109" s="27"/>
      <c r="J109" s="47"/>
      <c r="K109" s="42"/>
      <c r="L109" s="27"/>
      <c r="M109" s="47"/>
      <c r="N109" s="42"/>
      <c r="O109" s="27"/>
      <c r="P109" s="47"/>
      <c r="Q109" s="42"/>
      <c r="R109" s="27"/>
      <c r="S109" s="47"/>
      <c r="T109" s="42"/>
      <c r="U109" s="27"/>
      <c r="V109" s="47"/>
      <c r="W109" s="42"/>
      <c r="X109" s="27"/>
      <c r="Y109" s="47"/>
      <c r="Z109" s="42"/>
      <c r="AA109" s="27"/>
      <c r="AB109" s="47"/>
      <c r="AC109" s="42"/>
      <c r="AD109" s="27"/>
      <c r="AE109" s="33"/>
      <c r="AF109" s="47"/>
      <c r="AG109" s="48"/>
    </row>
    <row r="110" spans="2:33" s="38" customFormat="1" x14ac:dyDescent="0.25">
      <c r="B110" s="49"/>
      <c r="C110" s="70"/>
      <c r="D110" s="42"/>
      <c r="F110" s="33"/>
      <c r="G110" s="47"/>
      <c r="H110" s="42"/>
      <c r="I110" s="27"/>
      <c r="J110" s="47"/>
      <c r="K110" s="42"/>
      <c r="L110" s="27"/>
      <c r="M110" s="47"/>
      <c r="N110" s="42"/>
      <c r="O110" s="27"/>
      <c r="P110" s="47"/>
      <c r="Q110" s="42"/>
      <c r="R110" s="27"/>
      <c r="S110" s="47"/>
      <c r="T110" s="42"/>
      <c r="U110" s="27"/>
      <c r="V110" s="47"/>
      <c r="W110" s="42"/>
      <c r="X110" s="27"/>
      <c r="Y110" s="47"/>
      <c r="Z110" s="42"/>
      <c r="AA110" s="27"/>
      <c r="AB110" s="47"/>
      <c r="AC110" s="42"/>
      <c r="AD110" s="27"/>
      <c r="AE110" s="33"/>
      <c r="AF110" s="47"/>
      <c r="AG110" s="48"/>
    </row>
    <row r="111" spans="2:33" s="38" customFormat="1" x14ac:dyDescent="0.25">
      <c r="B111" s="49"/>
      <c r="C111" s="70"/>
      <c r="D111" s="42"/>
      <c r="F111" s="33"/>
      <c r="G111" s="47"/>
      <c r="H111" s="42"/>
      <c r="I111" s="27"/>
      <c r="J111" s="47"/>
      <c r="K111" s="42"/>
      <c r="L111" s="27"/>
      <c r="M111" s="47"/>
      <c r="N111" s="42"/>
      <c r="O111" s="27"/>
      <c r="P111" s="47"/>
      <c r="Q111" s="42"/>
      <c r="R111" s="27"/>
      <c r="S111" s="47"/>
      <c r="T111" s="42"/>
      <c r="U111" s="27"/>
      <c r="V111" s="47"/>
      <c r="W111" s="42"/>
      <c r="X111" s="27"/>
      <c r="Y111" s="47"/>
      <c r="Z111" s="42"/>
      <c r="AA111" s="27"/>
      <c r="AB111" s="47"/>
      <c r="AC111" s="42"/>
      <c r="AD111" s="27"/>
      <c r="AE111" s="33"/>
      <c r="AF111" s="47"/>
      <c r="AG111" s="48"/>
    </row>
    <row r="112" spans="2:33" s="38" customFormat="1" x14ac:dyDescent="0.25">
      <c r="B112" s="49"/>
      <c r="C112" s="70"/>
      <c r="D112" s="42"/>
      <c r="F112" s="33"/>
      <c r="G112" s="47"/>
      <c r="H112" s="42"/>
      <c r="I112" s="27"/>
      <c r="J112" s="47"/>
      <c r="K112" s="42"/>
      <c r="L112" s="27"/>
      <c r="M112" s="47"/>
      <c r="N112" s="42"/>
      <c r="O112" s="27"/>
      <c r="P112" s="47"/>
      <c r="Q112" s="42"/>
      <c r="R112" s="27"/>
      <c r="S112" s="47"/>
      <c r="T112" s="42"/>
      <c r="U112" s="27"/>
      <c r="V112" s="47"/>
      <c r="W112" s="42"/>
      <c r="X112" s="27"/>
      <c r="Y112" s="47"/>
      <c r="Z112" s="42"/>
      <c r="AA112" s="27"/>
      <c r="AB112" s="47"/>
      <c r="AC112" s="42"/>
      <c r="AD112" s="27"/>
      <c r="AE112" s="33"/>
      <c r="AF112" s="47"/>
      <c r="AG112" s="48"/>
    </row>
    <row r="113" spans="2:33" s="38" customFormat="1" x14ac:dyDescent="0.25">
      <c r="B113" s="49"/>
      <c r="C113" s="70"/>
      <c r="D113" s="42"/>
      <c r="F113" s="33"/>
      <c r="G113" s="47"/>
      <c r="H113" s="42"/>
      <c r="I113" s="27"/>
      <c r="J113" s="47"/>
      <c r="K113" s="42"/>
      <c r="L113" s="27"/>
      <c r="M113" s="47"/>
      <c r="N113" s="42"/>
      <c r="O113" s="27"/>
      <c r="P113" s="47"/>
      <c r="Q113" s="42"/>
      <c r="R113" s="27"/>
      <c r="S113" s="47"/>
      <c r="T113" s="42"/>
      <c r="U113" s="27"/>
      <c r="V113" s="47"/>
      <c r="W113" s="42"/>
      <c r="X113" s="27"/>
      <c r="Y113" s="47"/>
      <c r="Z113" s="42"/>
      <c r="AA113" s="27"/>
      <c r="AB113" s="47"/>
      <c r="AC113" s="42"/>
      <c r="AD113" s="27"/>
      <c r="AE113" s="33"/>
      <c r="AF113" s="47"/>
      <c r="AG113" s="48"/>
    </row>
    <row r="114" spans="2:33" s="38" customFormat="1" x14ac:dyDescent="0.25">
      <c r="B114" s="49"/>
      <c r="C114" s="70"/>
      <c r="D114" s="42"/>
      <c r="F114" s="33"/>
      <c r="G114" s="47"/>
      <c r="H114" s="42"/>
      <c r="I114" s="27"/>
      <c r="J114" s="47"/>
      <c r="K114" s="42"/>
      <c r="L114" s="27"/>
      <c r="M114" s="47"/>
      <c r="N114" s="42"/>
      <c r="O114" s="27"/>
      <c r="P114" s="47"/>
      <c r="Q114" s="42"/>
      <c r="R114" s="27"/>
      <c r="S114" s="47"/>
      <c r="T114" s="42"/>
      <c r="U114" s="27"/>
      <c r="V114" s="47"/>
      <c r="W114" s="42"/>
      <c r="X114" s="27"/>
      <c r="Y114" s="47"/>
      <c r="Z114" s="42"/>
      <c r="AA114" s="27"/>
      <c r="AB114" s="47"/>
      <c r="AC114" s="42"/>
      <c r="AD114" s="27"/>
      <c r="AE114" s="33"/>
      <c r="AF114" s="47"/>
      <c r="AG114" s="48"/>
    </row>
    <row r="115" spans="2:33" s="38" customFormat="1" x14ac:dyDescent="0.25">
      <c r="B115" s="49"/>
      <c r="C115" s="70"/>
      <c r="D115" s="42"/>
      <c r="F115" s="33"/>
      <c r="G115" s="47"/>
      <c r="H115" s="42"/>
      <c r="I115" s="27"/>
      <c r="J115" s="47"/>
      <c r="K115" s="42"/>
      <c r="L115" s="27"/>
      <c r="M115" s="47"/>
      <c r="N115" s="42"/>
      <c r="O115" s="27"/>
      <c r="P115" s="47"/>
      <c r="Q115" s="42"/>
      <c r="R115" s="27"/>
      <c r="S115" s="47"/>
      <c r="T115" s="42"/>
      <c r="U115" s="27"/>
      <c r="V115" s="47"/>
      <c r="W115" s="42"/>
      <c r="X115" s="27"/>
      <c r="Y115" s="47"/>
      <c r="Z115" s="42"/>
      <c r="AA115" s="27"/>
      <c r="AB115" s="47"/>
      <c r="AC115" s="42"/>
      <c r="AD115" s="27"/>
      <c r="AE115" s="33"/>
      <c r="AF115" s="47"/>
      <c r="AG115" s="48"/>
    </row>
    <row r="116" spans="2:33" s="38" customFormat="1" x14ac:dyDescent="0.25">
      <c r="B116" s="49"/>
      <c r="C116" s="70"/>
      <c r="D116" s="42"/>
      <c r="F116" s="33"/>
      <c r="G116" s="47"/>
      <c r="H116" s="42"/>
      <c r="I116" s="27"/>
      <c r="J116" s="47"/>
      <c r="K116" s="42"/>
      <c r="L116" s="27"/>
      <c r="M116" s="47"/>
      <c r="N116" s="42"/>
      <c r="O116" s="27"/>
      <c r="P116" s="47"/>
      <c r="Q116" s="42"/>
      <c r="R116" s="27"/>
      <c r="S116" s="47"/>
      <c r="T116" s="42"/>
      <c r="U116" s="27"/>
      <c r="V116" s="47"/>
      <c r="W116" s="42"/>
      <c r="X116" s="27"/>
      <c r="Y116" s="47"/>
      <c r="Z116" s="42"/>
      <c r="AA116" s="27"/>
      <c r="AB116" s="47"/>
      <c r="AC116" s="42"/>
      <c r="AD116" s="27"/>
      <c r="AE116" s="33"/>
      <c r="AF116" s="47"/>
      <c r="AG116" s="48"/>
    </row>
    <row r="117" spans="2:33" s="38" customFormat="1" x14ac:dyDescent="0.25">
      <c r="B117" s="49"/>
      <c r="C117" s="70"/>
      <c r="D117" s="42"/>
      <c r="F117" s="33"/>
      <c r="G117" s="47"/>
      <c r="H117" s="42"/>
      <c r="I117" s="27"/>
      <c r="J117" s="47"/>
      <c r="K117" s="42"/>
      <c r="L117" s="27"/>
      <c r="M117" s="47"/>
      <c r="N117" s="42"/>
      <c r="O117" s="27"/>
      <c r="P117" s="47"/>
      <c r="Q117" s="42"/>
      <c r="R117" s="27"/>
      <c r="S117" s="47"/>
      <c r="T117" s="42"/>
      <c r="U117" s="27"/>
      <c r="V117" s="47"/>
      <c r="W117" s="42"/>
      <c r="X117" s="27"/>
      <c r="Y117" s="47"/>
      <c r="Z117" s="42"/>
      <c r="AA117" s="27"/>
      <c r="AB117" s="47"/>
      <c r="AC117" s="42"/>
      <c r="AD117" s="27"/>
      <c r="AE117" s="33"/>
      <c r="AF117" s="47"/>
      <c r="AG117" s="48"/>
    </row>
    <row r="118" spans="2:33" s="38" customFormat="1" x14ac:dyDescent="0.25">
      <c r="B118" s="49"/>
      <c r="C118" s="70"/>
      <c r="D118" s="42"/>
      <c r="F118" s="33"/>
      <c r="G118" s="47"/>
      <c r="H118" s="42"/>
      <c r="I118" s="27"/>
      <c r="J118" s="47"/>
      <c r="K118" s="42"/>
      <c r="L118" s="27"/>
      <c r="M118" s="47"/>
      <c r="N118" s="42"/>
      <c r="O118" s="27"/>
      <c r="P118" s="47"/>
      <c r="Q118" s="42"/>
      <c r="R118" s="27"/>
      <c r="S118" s="47"/>
      <c r="T118" s="42"/>
      <c r="U118" s="27"/>
      <c r="V118" s="47"/>
      <c r="W118" s="42"/>
      <c r="X118" s="27"/>
      <c r="Y118" s="47"/>
      <c r="Z118" s="42"/>
      <c r="AA118" s="27"/>
      <c r="AB118" s="47"/>
      <c r="AC118" s="42"/>
      <c r="AD118" s="27"/>
      <c r="AE118" s="33"/>
      <c r="AF118" s="47"/>
      <c r="AG118" s="48"/>
    </row>
    <row r="119" spans="2:33" s="38" customFormat="1" x14ac:dyDescent="0.25">
      <c r="B119" s="49"/>
      <c r="C119" s="70"/>
      <c r="D119" s="42"/>
      <c r="F119" s="33"/>
      <c r="G119" s="47"/>
      <c r="H119" s="42"/>
      <c r="I119" s="27"/>
      <c r="J119" s="47"/>
      <c r="K119" s="42"/>
      <c r="L119" s="27"/>
      <c r="M119" s="47"/>
      <c r="N119" s="42"/>
      <c r="O119" s="27"/>
      <c r="P119" s="47"/>
      <c r="Q119" s="42"/>
      <c r="R119" s="27"/>
      <c r="S119" s="47"/>
      <c r="T119" s="42"/>
      <c r="U119" s="27"/>
      <c r="V119" s="47"/>
      <c r="W119" s="42"/>
      <c r="X119" s="27"/>
      <c r="Y119" s="47"/>
      <c r="Z119" s="42"/>
      <c r="AA119" s="27"/>
      <c r="AB119" s="47"/>
      <c r="AC119" s="42"/>
      <c r="AD119" s="27"/>
      <c r="AE119" s="33"/>
      <c r="AF119" s="47"/>
      <c r="AG119" s="48"/>
    </row>
    <row r="120" spans="2:33" s="38" customFormat="1" x14ac:dyDescent="0.25">
      <c r="B120" s="49"/>
      <c r="C120" s="70"/>
      <c r="D120" s="42"/>
      <c r="F120" s="33"/>
      <c r="G120" s="47"/>
      <c r="H120" s="42"/>
      <c r="I120" s="27"/>
      <c r="J120" s="47"/>
      <c r="K120" s="42"/>
      <c r="L120" s="27"/>
      <c r="M120" s="47"/>
      <c r="N120" s="42"/>
      <c r="O120" s="27"/>
      <c r="P120" s="47"/>
      <c r="Q120" s="42"/>
      <c r="R120" s="27"/>
      <c r="S120" s="47"/>
      <c r="T120" s="42"/>
      <c r="U120" s="27"/>
      <c r="V120" s="47"/>
      <c r="W120" s="42"/>
      <c r="X120" s="27"/>
      <c r="Y120" s="47"/>
      <c r="Z120" s="42"/>
      <c r="AA120" s="27"/>
      <c r="AB120" s="47"/>
      <c r="AC120" s="42"/>
      <c r="AD120" s="27"/>
      <c r="AE120" s="33"/>
      <c r="AF120" s="47"/>
      <c r="AG120" s="48"/>
    </row>
    <row r="121" spans="2:33" s="38" customFormat="1" x14ac:dyDescent="0.25">
      <c r="B121" s="49"/>
      <c r="C121" s="70"/>
      <c r="D121" s="42"/>
      <c r="F121" s="33"/>
      <c r="G121" s="47"/>
      <c r="H121" s="42"/>
      <c r="I121" s="27"/>
      <c r="J121" s="47"/>
      <c r="K121" s="42"/>
      <c r="L121" s="27"/>
      <c r="M121" s="47"/>
      <c r="N121" s="42"/>
      <c r="O121" s="27"/>
      <c r="P121" s="47"/>
      <c r="Q121" s="42"/>
      <c r="R121" s="27"/>
      <c r="S121" s="47"/>
      <c r="T121" s="42"/>
      <c r="U121" s="27"/>
      <c r="V121" s="47"/>
      <c r="W121" s="42"/>
      <c r="X121" s="27"/>
      <c r="Y121" s="47"/>
      <c r="Z121" s="42"/>
      <c r="AA121" s="27"/>
      <c r="AB121" s="47"/>
      <c r="AC121" s="42"/>
      <c r="AD121" s="27"/>
      <c r="AE121" s="33"/>
      <c r="AF121" s="47"/>
      <c r="AG121" s="48"/>
    </row>
    <row r="122" spans="2:33" s="38" customFormat="1" x14ac:dyDescent="0.25">
      <c r="B122" s="49"/>
      <c r="C122" s="70"/>
      <c r="D122" s="42"/>
      <c r="F122" s="33"/>
      <c r="G122" s="47"/>
      <c r="H122" s="42"/>
      <c r="I122" s="27"/>
      <c r="J122" s="47"/>
      <c r="K122" s="42"/>
      <c r="L122" s="27"/>
      <c r="M122" s="47"/>
      <c r="N122" s="42"/>
      <c r="O122" s="27"/>
      <c r="P122" s="47"/>
      <c r="Q122" s="42"/>
      <c r="R122" s="27"/>
      <c r="S122" s="47"/>
      <c r="T122" s="42"/>
      <c r="U122" s="27"/>
      <c r="V122" s="47"/>
      <c r="W122" s="42"/>
      <c r="X122" s="27"/>
      <c r="Y122" s="47"/>
      <c r="Z122" s="42"/>
      <c r="AA122" s="27"/>
      <c r="AB122" s="47"/>
      <c r="AC122" s="42"/>
      <c r="AD122" s="27"/>
      <c r="AE122" s="33"/>
      <c r="AF122" s="47"/>
      <c r="AG122" s="48"/>
    </row>
    <row r="123" spans="2:33" s="38" customFormat="1" x14ac:dyDescent="0.25">
      <c r="B123" s="49"/>
      <c r="C123" s="70"/>
      <c r="D123" s="42"/>
      <c r="F123" s="33"/>
      <c r="G123" s="47"/>
      <c r="H123" s="42"/>
      <c r="I123" s="27"/>
      <c r="J123" s="47"/>
      <c r="K123" s="42"/>
      <c r="L123" s="27"/>
      <c r="M123" s="47"/>
      <c r="N123" s="42"/>
      <c r="O123" s="27"/>
      <c r="P123" s="47"/>
      <c r="Q123" s="42"/>
      <c r="R123" s="27"/>
      <c r="S123" s="47"/>
      <c r="T123" s="42"/>
      <c r="U123" s="27"/>
      <c r="V123" s="47"/>
      <c r="W123" s="42"/>
      <c r="X123" s="27"/>
      <c r="Y123" s="47"/>
      <c r="Z123" s="42"/>
      <c r="AA123" s="27"/>
      <c r="AB123" s="47"/>
      <c r="AC123" s="42"/>
      <c r="AD123" s="27"/>
      <c r="AE123" s="33"/>
      <c r="AF123" s="47"/>
      <c r="AG123" s="48"/>
    </row>
    <row r="124" spans="2:33" s="38" customFormat="1" x14ac:dyDescent="0.25">
      <c r="B124" s="49"/>
      <c r="C124" s="70"/>
      <c r="D124" s="42"/>
      <c r="F124" s="33"/>
      <c r="G124" s="47"/>
      <c r="H124" s="42"/>
      <c r="I124" s="27"/>
      <c r="J124" s="47"/>
      <c r="K124" s="42"/>
      <c r="L124" s="27"/>
      <c r="M124" s="47"/>
      <c r="N124" s="42"/>
      <c r="O124" s="27"/>
      <c r="P124" s="47"/>
      <c r="Q124" s="42"/>
      <c r="R124" s="27"/>
      <c r="S124" s="47"/>
      <c r="T124" s="42"/>
      <c r="U124" s="27"/>
      <c r="V124" s="47"/>
      <c r="W124" s="42"/>
      <c r="X124" s="27"/>
      <c r="Y124" s="47"/>
      <c r="Z124" s="42"/>
      <c r="AA124" s="27"/>
      <c r="AB124" s="47"/>
      <c r="AC124" s="42"/>
      <c r="AD124" s="27"/>
      <c r="AE124" s="33"/>
      <c r="AF124" s="47"/>
      <c r="AG124" s="48"/>
    </row>
    <row r="125" spans="2:33" s="38" customFormat="1" x14ac:dyDescent="0.25">
      <c r="B125" s="49"/>
      <c r="C125" s="70"/>
      <c r="D125" s="42"/>
      <c r="F125" s="33"/>
      <c r="G125" s="47"/>
      <c r="H125" s="42"/>
      <c r="I125" s="27"/>
      <c r="J125" s="47"/>
      <c r="K125" s="42"/>
      <c r="L125" s="27"/>
      <c r="M125" s="47"/>
      <c r="N125" s="42"/>
      <c r="O125" s="27"/>
      <c r="P125" s="47"/>
      <c r="Q125" s="42"/>
      <c r="R125" s="27"/>
      <c r="S125" s="47"/>
      <c r="T125" s="42"/>
      <c r="U125" s="27"/>
      <c r="V125" s="47"/>
      <c r="W125" s="42"/>
      <c r="X125" s="27"/>
      <c r="Y125" s="47"/>
      <c r="Z125" s="42"/>
      <c r="AA125" s="27"/>
      <c r="AB125" s="47"/>
      <c r="AC125" s="42"/>
      <c r="AD125" s="27"/>
      <c r="AE125" s="33"/>
      <c r="AF125" s="47"/>
      <c r="AG125" s="48"/>
    </row>
    <row r="126" spans="2:33" s="38" customFormat="1" x14ac:dyDescent="0.25">
      <c r="B126" s="49"/>
      <c r="C126" s="70"/>
      <c r="D126" s="42"/>
      <c r="F126" s="33"/>
      <c r="G126" s="47"/>
      <c r="H126" s="42"/>
      <c r="I126" s="27"/>
      <c r="J126" s="47"/>
      <c r="K126" s="42"/>
      <c r="L126" s="27"/>
      <c r="M126" s="47"/>
      <c r="N126" s="42"/>
      <c r="O126" s="27"/>
      <c r="P126" s="47"/>
      <c r="Q126" s="42"/>
      <c r="R126" s="27"/>
      <c r="S126" s="47"/>
      <c r="T126" s="42"/>
      <c r="U126" s="27"/>
      <c r="V126" s="47"/>
      <c r="W126" s="42"/>
      <c r="X126" s="27"/>
      <c r="Y126" s="47"/>
      <c r="Z126" s="42"/>
      <c r="AA126" s="27"/>
      <c r="AB126" s="47"/>
      <c r="AC126" s="42"/>
      <c r="AD126" s="27"/>
      <c r="AE126" s="33"/>
      <c r="AF126" s="47"/>
      <c r="AG126" s="48"/>
    </row>
    <row r="127" spans="2:33" s="38" customFormat="1" x14ac:dyDescent="0.25">
      <c r="B127" s="49"/>
      <c r="C127" s="70"/>
      <c r="D127" s="42"/>
      <c r="F127" s="33"/>
      <c r="G127" s="47"/>
      <c r="H127" s="42"/>
      <c r="I127" s="27"/>
      <c r="J127" s="47"/>
      <c r="K127" s="42"/>
      <c r="L127" s="27"/>
      <c r="M127" s="47"/>
      <c r="N127" s="42"/>
      <c r="O127" s="27"/>
      <c r="P127" s="47"/>
      <c r="Q127" s="42"/>
      <c r="R127" s="27"/>
      <c r="S127" s="47"/>
      <c r="T127" s="42"/>
      <c r="U127" s="27"/>
      <c r="V127" s="47"/>
      <c r="W127" s="42"/>
      <c r="X127" s="27"/>
      <c r="Y127" s="47"/>
      <c r="Z127" s="42"/>
      <c r="AA127" s="27"/>
      <c r="AB127" s="47"/>
      <c r="AC127" s="42"/>
      <c r="AD127" s="27"/>
      <c r="AE127" s="33"/>
      <c r="AF127" s="47"/>
      <c r="AG127" s="48"/>
    </row>
    <row r="128" spans="2:33" s="38" customFormat="1" x14ac:dyDescent="0.25">
      <c r="B128" s="49"/>
      <c r="C128" s="70"/>
      <c r="D128" s="42"/>
      <c r="F128" s="33"/>
      <c r="G128" s="47"/>
      <c r="H128" s="42"/>
      <c r="I128" s="27"/>
      <c r="J128" s="47"/>
      <c r="K128" s="42"/>
      <c r="L128" s="27"/>
      <c r="M128" s="47"/>
      <c r="N128" s="42"/>
      <c r="O128" s="27"/>
      <c r="P128" s="47"/>
      <c r="Q128" s="42"/>
      <c r="R128" s="27"/>
      <c r="S128" s="47"/>
      <c r="T128" s="42"/>
      <c r="U128" s="27"/>
      <c r="V128" s="47"/>
      <c r="W128" s="42"/>
      <c r="X128" s="27"/>
      <c r="Y128" s="47"/>
      <c r="Z128" s="42"/>
      <c r="AA128" s="27"/>
      <c r="AB128" s="47"/>
      <c r="AC128" s="42"/>
      <c r="AD128" s="27"/>
      <c r="AE128" s="33"/>
      <c r="AF128" s="47"/>
      <c r="AG128" s="48"/>
    </row>
    <row r="129" spans="2:33" s="38" customFormat="1" x14ac:dyDescent="0.25">
      <c r="B129" s="49"/>
      <c r="C129" s="70"/>
      <c r="D129" s="42"/>
      <c r="F129" s="33"/>
      <c r="G129" s="47"/>
      <c r="H129" s="42"/>
      <c r="I129" s="27"/>
      <c r="J129" s="47"/>
      <c r="K129" s="42"/>
      <c r="L129" s="27"/>
      <c r="M129" s="47"/>
      <c r="N129" s="42"/>
      <c r="O129" s="27"/>
      <c r="P129" s="47"/>
      <c r="Q129" s="42"/>
      <c r="R129" s="27"/>
      <c r="S129" s="47"/>
      <c r="T129" s="42"/>
      <c r="U129" s="27"/>
      <c r="V129" s="47"/>
      <c r="W129" s="42"/>
      <c r="X129" s="27"/>
      <c r="Y129" s="47"/>
      <c r="Z129" s="42"/>
      <c r="AA129" s="27"/>
      <c r="AB129" s="47"/>
      <c r="AC129" s="42"/>
      <c r="AD129" s="27"/>
      <c r="AE129" s="33"/>
      <c r="AF129" s="47"/>
      <c r="AG129" s="48"/>
    </row>
    <row r="130" spans="2:33" s="38" customFormat="1" x14ac:dyDescent="0.25">
      <c r="B130" s="49"/>
      <c r="C130" s="70"/>
      <c r="D130" s="42"/>
      <c r="F130" s="33"/>
      <c r="G130" s="47"/>
      <c r="H130" s="42"/>
      <c r="I130" s="27"/>
      <c r="J130" s="47"/>
      <c r="K130" s="42"/>
      <c r="L130" s="27"/>
      <c r="M130" s="47"/>
      <c r="N130" s="42"/>
      <c r="O130" s="27"/>
      <c r="P130" s="47"/>
      <c r="Q130" s="42"/>
      <c r="R130" s="27"/>
      <c r="S130" s="47"/>
      <c r="T130" s="42"/>
      <c r="U130" s="27"/>
      <c r="V130" s="47"/>
      <c r="W130" s="42"/>
      <c r="X130" s="27"/>
      <c r="Y130" s="47"/>
      <c r="Z130" s="42"/>
      <c r="AA130" s="27"/>
      <c r="AB130" s="47"/>
      <c r="AC130" s="42"/>
      <c r="AD130" s="27"/>
      <c r="AE130" s="33"/>
      <c r="AF130" s="47"/>
      <c r="AG130" s="48"/>
    </row>
    <row r="131" spans="2:33" s="38" customFormat="1" x14ac:dyDescent="0.25">
      <c r="B131" s="49"/>
      <c r="C131" s="70"/>
      <c r="D131" s="42"/>
      <c r="F131" s="33"/>
      <c r="G131" s="47"/>
      <c r="H131" s="42"/>
      <c r="I131" s="27"/>
      <c r="J131" s="47"/>
      <c r="K131" s="42"/>
      <c r="L131" s="27"/>
      <c r="M131" s="47"/>
      <c r="N131" s="42"/>
      <c r="O131" s="27"/>
      <c r="P131" s="47"/>
      <c r="Q131" s="42"/>
      <c r="R131" s="27"/>
      <c r="S131" s="47"/>
      <c r="T131" s="42"/>
      <c r="U131" s="27"/>
      <c r="V131" s="47"/>
      <c r="W131" s="42"/>
      <c r="X131" s="27"/>
      <c r="Y131" s="47"/>
      <c r="Z131" s="42"/>
      <c r="AA131" s="27"/>
      <c r="AB131" s="47"/>
      <c r="AC131" s="42"/>
      <c r="AD131" s="27"/>
      <c r="AE131" s="33"/>
      <c r="AF131" s="47"/>
      <c r="AG131" s="48"/>
    </row>
    <row r="132" spans="2:33" s="38" customFormat="1" x14ac:dyDescent="0.25">
      <c r="B132" s="49"/>
      <c r="C132" s="70"/>
      <c r="D132" s="42"/>
      <c r="F132" s="33"/>
      <c r="G132" s="47"/>
      <c r="H132" s="42"/>
      <c r="I132" s="27"/>
      <c r="J132" s="47"/>
      <c r="K132" s="42"/>
      <c r="L132" s="27"/>
      <c r="M132" s="47"/>
      <c r="N132" s="42"/>
      <c r="O132" s="27"/>
      <c r="P132" s="47"/>
      <c r="Q132" s="42"/>
      <c r="R132" s="27"/>
      <c r="S132" s="47"/>
      <c r="T132" s="42"/>
      <c r="U132" s="27"/>
      <c r="V132" s="47"/>
      <c r="W132" s="42"/>
      <c r="X132" s="27"/>
      <c r="Y132" s="47"/>
      <c r="Z132" s="42"/>
      <c r="AA132" s="27"/>
      <c r="AB132" s="47"/>
      <c r="AC132" s="42"/>
      <c r="AD132" s="27"/>
      <c r="AE132" s="33"/>
      <c r="AF132" s="47"/>
      <c r="AG132" s="48"/>
    </row>
    <row r="133" spans="2:33" s="38" customFormat="1" x14ac:dyDescent="0.25">
      <c r="B133" s="49"/>
      <c r="C133" s="70"/>
      <c r="D133" s="42"/>
      <c r="F133" s="33"/>
      <c r="G133" s="47"/>
      <c r="H133" s="42"/>
      <c r="I133" s="27"/>
      <c r="J133" s="47"/>
      <c r="K133" s="42"/>
      <c r="L133" s="27"/>
      <c r="M133" s="47"/>
      <c r="N133" s="42"/>
      <c r="O133" s="27"/>
      <c r="P133" s="47"/>
      <c r="Q133" s="42"/>
      <c r="R133" s="27"/>
      <c r="S133" s="47"/>
      <c r="T133" s="42"/>
      <c r="U133" s="27"/>
      <c r="V133" s="47"/>
      <c r="W133" s="42"/>
      <c r="X133" s="27"/>
      <c r="Y133" s="47"/>
      <c r="Z133" s="42"/>
      <c r="AA133" s="27"/>
      <c r="AB133" s="47"/>
      <c r="AC133" s="42"/>
      <c r="AD133" s="27"/>
      <c r="AE133" s="33"/>
      <c r="AF133" s="47"/>
      <c r="AG133" s="48"/>
    </row>
    <row r="134" spans="2:33" s="38" customFormat="1" x14ac:dyDescent="0.25">
      <c r="B134" s="49"/>
      <c r="C134" s="70"/>
      <c r="D134" s="42"/>
      <c r="F134" s="33"/>
      <c r="G134" s="47"/>
      <c r="H134" s="42"/>
      <c r="I134" s="27"/>
      <c r="J134" s="47"/>
      <c r="K134" s="42"/>
      <c r="L134" s="27"/>
      <c r="M134" s="47"/>
      <c r="N134" s="42"/>
      <c r="O134" s="27"/>
      <c r="P134" s="47"/>
      <c r="Q134" s="42"/>
      <c r="R134" s="27"/>
      <c r="S134" s="47"/>
      <c r="T134" s="42"/>
      <c r="U134" s="27"/>
      <c r="V134" s="47"/>
      <c r="W134" s="42"/>
      <c r="X134" s="27"/>
      <c r="Y134" s="47"/>
      <c r="Z134" s="42"/>
      <c r="AA134" s="27"/>
      <c r="AB134" s="47"/>
      <c r="AC134" s="42"/>
      <c r="AD134" s="27"/>
      <c r="AE134" s="33"/>
      <c r="AF134" s="47"/>
      <c r="AG134" s="48"/>
    </row>
    <row r="135" spans="2:33" s="38" customFormat="1" x14ac:dyDescent="0.25">
      <c r="B135" s="49"/>
      <c r="C135" s="70"/>
      <c r="D135" s="42"/>
      <c r="F135" s="33"/>
      <c r="G135" s="47"/>
      <c r="H135" s="42"/>
      <c r="I135" s="27"/>
      <c r="J135" s="47"/>
      <c r="K135" s="42"/>
      <c r="L135" s="27"/>
      <c r="M135" s="47"/>
      <c r="N135" s="42"/>
      <c r="O135" s="27"/>
      <c r="P135" s="47"/>
      <c r="Q135" s="42"/>
      <c r="R135" s="27"/>
      <c r="S135" s="47"/>
      <c r="T135" s="42"/>
      <c r="U135" s="27"/>
      <c r="V135" s="47"/>
      <c r="W135" s="42"/>
      <c r="X135" s="27"/>
      <c r="Y135" s="47"/>
      <c r="Z135" s="42"/>
      <c r="AA135" s="27"/>
      <c r="AB135" s="47"/>
      <c r="AC135" s="42"/>
      <c r="AD135" s="27"/>
      <c r="AE135" s="33"/>
      <c r="AF135" s="47"/>
      <c r="AG135" s="48"/>
    </row>
    <row r="136" spans="2:33" s="38" customFormat="1" x14ac:dyDescent="0.25">
      <c r="B136" s="49"/>
      <c r="C136" s="70"/>
      <c r="D136" s="42"/>
      <c r="F136" s="33"/>
      <c r="G136" s="47"/>
      <c r="H136" s="42"/>
      <c r="I136" s="27"/>
      <c r="J136" s="47"/>
      <c r="K136" s="42"/>
      <c r="L136" s="27"/>
      <c r="M136" s="47"/>
      <c r="N136" s="42"/>
      <c r="O136" s="27"/>
      <c r="P136" s="47"/>
      <c r="Q136" s="42"/>
      <c r="R136" s="27"/>
      <c r="S136" s="47"/>
      <c r="T136" s="42"/>
      <c r="U136" s="27"/>
      <c r="V136" s="47"/>
      <c r="W136" s="42"/>
      <c r="X136" s="27"/>
      <c r="Y136" s="47"/>
      <c r="Z136" s="42"/>
      <c r="AA136" s="27"/>
      <c r="AB136" s="47"/>
      <c r="AC136" s="42"/>
      <c r="AD136" s="27"/>
      <c r="AE136" s="33"/>
      <c r="AF136" s="47"/>
      <c r="AG136" s="48"/>
    </row>
    <row r="137" spans="2:33" s="38" customFormat="1" x14ac:dyDescent="0.25">
      <c r="B137" s="49"/>
      <c r="C137" s="70"/>
      <c r="D137" s="42"/>
      <c r="F137" s="33"/>
      <c r="G137" s="47"/>
      <c r="H137" s="42"/>
      <c r="I137" s="27"/>
      <c r="J137" s="47"/>
      <c r="K137" s="42"/>
      <c r="L137" s="27"/>
      <c r="M137" s="47"/>
      <c r="N137" s="42"/>
      <c r="O137" s="27"/>
      <c r="P137" s="47"/>
      <c r="Q137" s="42"/>
      <c r="R137" s="27"/>
      <c r="S137" s="47"/>
      <c r="T137" s="42"/>
      <c r="U137" s="27"/>
      <c r="V137" s="47"/>
      <c r="W137" s="42"/>
      <c r="X137" s="27"/>
      <c r="Y137" s="47"/>
      <c r="Z137" s="42"/>
      <c r="AA137" s="27"/>
      <c r="AB137" s="47"/>
      <c r="AC137" s="42"/>
      <c r="AD137" s="27"/>
      <c r="AE137" s="33"/>
      <c r="AF137" s="47"/>
      <c r="AG137" s="48"/>
    </row>
    <row r="138" spans="2:33" s="38" customFormat="1" x14ac:dyDescent="0.25">
      <c r="B138" s="49"/>
      <c r="C138" s="70"/>
      <c r="D138" s="42"/>
      <c r="F138" s="33"/>
      <c r="G138" s="47"/>
      <c r="H138" s="42"/>
      <c r="I138" s="27"/>
      <c r="J138" s="47"/>
      <c r="K138" s="42"/>
      <c r="L138" s="27"/>
      <c r="M138" s="47"/>
      <c r="N138" s="42"/>
      <c r="O138" s="27"/>
      <c r="P138" s="47"/>
      <c r="Q138" s="42"/>
      <c r="R138" s="27"/>
      <c r="S138" s="47"/>
      <c r="T138" s="42"/>
      <c r="U138" s="27"/>
      <c r="V138" s="47"/>
      <c r="W138" s="42"/>
      <c r="X138" s="27"/>
      <c r="Y138" s="47"/>
      <c r="Z138" s="42"/>
      <c r="AA138" s="27"/>
      <c r="AB138" s="47"/>
      <c r="AC138" s="42"/>
      <c r="AD138" s="27"/>
      <c r="AE138" s="33"/>
      <c r="AF138" s="47"/>
      <c r="AG138" s="48"/>
    </row>
    <row r="139" spans="2:33" s="38" customFormat="1" x14ac:dyDescent="0.25">
      <c r="B139" s="49"/>
      <c r="C139" s="70"/>
      <c r="D139" s="42"/>
      <c r="F139" s="33"/>
      <c r="G139" s="47"/>
      <c r="H139" s="42"/>
      <c r="I139" s="27"/>
      <c r="J139" s="47"/>
      <c r="K139" s="42"/>
      <c r="L139" s="27"/>
      <c r="M139" s="47"/>
      <c r="N139" s="42"/>
      <c r="O139" s="27"/>
      <c r="P139" s="47"/>
      <c r="Q139" s="42"/>
      <c r="R139" s="27"/>
      <c r="S139" s="47"/>
      <c r="T139" s="42"/>
      <c r="U139" s="27"/>
      <c r="V139" s="47"/>
      <c r="W139" s="42"/>
      <c r="X139" s="27"/>
      <c r="Y139" s="47"/>
      <c r="Z139" s="42"/>
      <c r="AA139" s="27"/>
      <c r="AB139" s="47"/>
      <c r="AC139" s="42"/>
      <c r="AD139" s="27"/>
      <c r="AE139" s="33"/>
      <c r="AF139" s="47"/>
      <c r="AG139" s="48"/>
    </row>
    <row r="140" spans="2:33" s="38" customFormat="1" x14ac:dyDescent="0.25">
      <c r="B140" s="49"/>
      <c r="C140" s="70"/>
      <c r="D140" s="42"/>
      <c r="F140" s="33"/>
      <c r="G140" s="47"/>
      <c r="H140" s="42"/>
      <c r="I140" s="27"/>
      <c r="J140" s="47"/>
      <c r="K140" s="42"/>
      <c r="L140" s="27"/>
      <c r="M140" s="47"/>
      <c r="N140" s="42"/>
      <c r="O140" s="27"/>
      <c r="P140" s="47"/>
      <c r="Q140" s="42"/>
      <c r="R140" s="27"/>
      <c r="S140" s="47"/>
      <c r="T140" s="42"/>
      <c r="U140" s="27"/>
      <c r="V140" s="47"/>
      <c r="W140" s="42"/>
      <c r="X140" s="27"/>
      <c r="Y140" s="47"/>
      <c r="Z140" s="42"/>
      <c r="AA140" s="27"/>
      <c r="AB140" s="47"/>
      <c r="AC140" s="42"/>
      <c r="AD140" s="27"/>
      <c r="AE140" s="33"/>
      <c r="AF140" s="47"/>
      <c r="AG140" s="48"/>
    </row>
    <row r="141" spans="2:33" s="38" customFormat="1" x14ac:dyDescent="0.25">
      <c r="B141" s="49"/>
      <c r="C141" s="70"/>
      <c r="D141" s="42"/>
      <c r="F141" s="33"/>
      <c r="G141" s="47"/>
      <c r="H141" s="42"/>
      <c r="I141" s="27"/>
      <c r="J141" s="47"/>
      <c r="K141" s="42"/>
      <c r="L141" s="27"/>
      <c r="M141" s="47"/>
      <c r="N141" s="42"/>
      <c r="O141" s="27"/>
      <c r="P141" s="47"/>
      <c r="Q141" s="42"/>
      <c r="R141" s="27"/>
      <c r="S141" s="47"/>
      <c r="T141" s="42"/>
      <c r="U141" s="27"/>
      <c r="V141" s="47"/>
      <c r="W141" s="42"/>
      <c r="X141" s="27"/>
      <c r="Y141" s="47"/>
      <c r="Z141" s="42"/>
      <c r="AA141" s="27"/>
      <c r="AB141" s="47"/>
      <c r="AC141" s="42"/>
      <c r="AD141" s="27"/>
      <c r="AE141" s="33"/>
      <c r="AF141" s="47"/>
      <c r="AG141" s="48"/>
    </row>
    <row r="142" spans="2:33" s="38" customFormat="1" x14ac:dyDescent="0.25">
      <c r="B142" s="49"/>
      <c r="C142" s="70"/>
      <c r="D142" s="42"/>
      <c r="F142" s="33"/>
      <c r="G142" s="47"/>
      <c r="H142" s="42"/>
      <c r="I142" s="27"/>
      <c r="J142" s="47"/>
      <c r="K142" s="42"/>
      <c r="L142" s="27"/>
      <c r="M142" s="47"/>
      <c r="N142" s="42"/>
      <c r="O142" s="27"/>
      <c r="P142" s="47"/>
      <c r="Q142" s="42"/>
      <c r="R142" s="27"/>
      <c r="S142" s="47"/>
      <c r="T142" s="42"/>
      <c r="U142" s="27"/>
      <c r="V142" s="47"/>
      <c r="W142" s="42"/>
      <c r="X142" s="27"/>
      <c r="Y142" s="47"/>
      <c r="Z142" s="42"/>
      <c r="AA142" s="27"/>
      <c r="AB142" s="47"/>
      <c r="AC142" s="42"/>
      <c r="AD142" s="27"/>
      <c r="AE142" s="33"/>
      <c r="AF142" s="47"/>
      <c r="AG142" s="48"/>
    </row>
    <row r="143" spans="2:33" s="38" customFormat="1" x14ac:dyDescent="0.25">
      <c r="B143" s="49"/>
      <c r="C143" s="70"/>
      <c r="D143" s="42"/>
      <c r="F143" s="33"/>
      <c r="G143" s="47"/>
      <c r="H143" s="42"/>
      <c r="I143" s="27"/>
      <c r="J143" s="47"/>
      <c r="K143" s="42"/>
      <c r="L143" s="27"/>
      <c r="M143" s="47"/>
      <c r="N143" s="42"/>
      <c r="O143" s="27"/>
      <c r="P143" s="47"/>
      <c r="Q143" s="42"/>
      <c r="R143" s="27"/>
      <c r="S143" s="47"/>
      <c r="T143" s="42"/>
      <c r="U143" s="27"/>
      <c r="V143" s="47"/>
      <c r="W143" s="42"/>
      <c r="X143" s="27"/>
      <c r="Y143" s="47"/>
      <c r="Z143" s="42"/>
      <c r="AA143" s="27"/>
      <c r="AB143" s="47"/>
      <c r="AC143" s="42"/>
      <c r="AD143" s="27"/>
      <c r="AE143" s="33"/>
      <c r="AF143" s="47"/>
      <c r="AG143" s="48"/>
    </row>
    <row r="144" spans="2:33" s="38" customFormat="1" x14ac:dyDescent="0.25">
      <c r="B144" s="49"/>
      <c r="C144" s="70"/>
      <c r="D144" s="42"/>
      <c r="F144" s="33"/>
      <c r="G144" s="47"/>
      <c r="H144" s="42"/>
      <c r="I144" s="27"/>
      <c r="J144" s="47"/>
      <c r="K144" s="42"/>
      <c r="L144" s="27"/>
      <c r="M144" s="47"/>
      <c r="N144" s="42"/>
      <c r="O144" s="27"/>
      <c r="P144" s="47"/>
      <c r="Q144" s="42"/>
      <c r="R144" s="27"/>
      <c r="S144" s="47"/>
      <c r="T144" s="42"/>
      <c r="U144" s="27"/>
      <c r="V144" s="47"/>
      <c r="W144" s="42"/>
      <c r="X144" s="27"/>
      <c r="Y144" s="47"/>
      <c r="Z144" s="42"/>
      <c r="AA144" s="27"/>
      <c r="AB144" s="47"/>
      <c r="AC144" s="42"/>
      <c r="AD144" s="27"/>
      <c r="AE144" s="33"/>
      <c r="AF144" s="47"/>
      <c r="AG144" s="48"/>
    </row>
    <row r="145" spans="2:33" s="38" customFormat="1" x14ac:dyDescent="0.25">
      <c r="B145" s="49"/>
      <c r="C145" s="70"/>
      <c r="D145" s="42"/>
      <c r="F145" s="33"/>
      <c r="G145" s="47"/>
      <c r="H145" s="42"/>
      <c r="I145" s="27"/>
      <c r="J145" s="47"/>
      <c r="K145" s="42"/>
      <c r="L145" s="27"/>
      <c r="M145" s="47"/>
      <c r="N145" s="42"/>
      <c r="O145" s="27"/>
      <c r="P145" s="47"/>
      <c r="Q145" s="42"/>
      <c r="R145" s="27"/>
      <c r="S145" s="47"/>
      <c r="T145" s="42"/>
      <c r="U145" s="27"/>
      <c r="V145" s="47"/>
      <c r="W145" s="42"/>
      <c r="X145" s="27"/>
      <c r="Y145" s="47"/>
      <c r="Z145" s="42"/>
      <c r="AA145" s="27"/>
      <c r="AB145" s="47"/>
      <c r="AC145" s="42"/>
      <c r="AD145" s="27"/>
      <c r="AE145" s="33"/>
      <c r="AF145" s="47"/>
      <c r="AG145" s="48"/>
    </row>
    <row r="146" spans="2:33" s="38" customFormat="1" x14ac:dyDescent="0.25">
      <c r="B146" s="49"/>
      <c r="C146" s="70"/>
      <c r="D146" s="42"/>
      <c r="F146" s="33"/>
      <c r="G146" s="47"/>
      <c r="H146" s="42"/>
      <c r="I146" s="27"/>
      <c r="J146" s="47"/>
      <c r="K146" s="42"/>
      <c r="L146" s="27"/>
      <c r="M146" s="47"/>
      <c r="N146" s="42"/>
      <c r="O146" s="27"/>
      <c r="P146" s="47"/>
      <c r="Q146" s="42"/>
      <c r="R146" s="27"/>
      <c r="S146" s="47"/>
      <c r="T146" s="42"/>
      <c r="U146" s="27"/>
      <c r="V146" s="47"/>
      <c r="W146" s="42"/>
      <c r="X146" s="27"/>
      <c r="Y146" s="47"/>
      <c r="Z146" s="42"/>
      <c r="AA146" s="27"/>
      <c r="AB146" s="47"/>
      <c r="AC146" s="42"/>
      <c r="AD146" s="27"/>
      <c r="AE146" s="33"/>
      <c r="AF146" s="47"/>
      <c r="AG146" s="48"/>
    </row>
    <row r="147" spans="2:33" s="38" customFormat="1" x14ac:dyDescent="0.25">
      <c r="B147" s="49"/>
      <c r="C147" s="70"/>
      <c r="D147" s="42"/>
      <c r="F147" s="33"/>
      <c r="G147" s="47"/>
      <c r="H147" s="42"/>
      <c r="I147" s="27"/>
      <c r="J147" s="47"/>
      <c r="K147" s="42"/>
      <c r="L147" s="27"/>
      <c r="M147" s="47"/>
      <c r="N147" s="42"/>
      <c r="O147" s="27"/>
      <c r="P147" s="47"/>
      <c r="Q147" s="42"/>
      <c r="R147" s="27"/>
      <c r="S147" s="47"/>
      <c r="T147" s="42"/>
      <c r="U147" s="27"/>
      <c r="V147" s="47"/>
      <c r="W147" s="42"/>
      <c r="X147" s="27"/>
      <c r="Y147" s="47"/>
      <c r="Z147" s="42"/>
      <c r="AA147" s="27"/>
      <c r="AB147" s="47"/>
      <c r="AC147" s="42"/>
      <c r="AD147" s="27"/>
      <c r="AE147" s="33"/>
      <c r="AF147" s="47"/>
      <c r="AG147" s="48"/>
    </row>
    <row r="148" spans="2:33" s="38" customFormat="1" x14ac:dyDescent="0.25">
      <c r="B148" s="49"/>
      <c r="C148" s="70"/>
      <c r="D148" s="42"/>
      <c r="F148" s="33"/>
      <c r="G148" s="47"/>
      <c r="H148" s="42"/>
      <c r="I148" s="27"/>
      <c r="J148" s="47"/>
      <c r="K148" s="42"/>
      <c r="L148" s="27"/>
      <c r="M148" s="47"/>
      <c r="N148" s="42"/>
      <c r="O148" s="27"/>
      <c r="P148" s="47"/>
      <c r="Q148" s="42"/>
      <c r="R148" s="27"/>
      <c r="S148" s="47"/>
      <c r="T148" s="42"/>
      <c r="U148" s="27"/>
      <c r="V148" s="47"/>
      <c r="W148" s="42"/>
      <c r="X148" s="27"/>
      <c r="Y148" s="47"/>
      <c r="Z148" s="42"/>
      <c r="AA148" s="27"/>
      <c r="AB148" s="47"/>
      <c r="AC148" s="42"/>
      <c r="AD148" s="27"/>
      <c r="AE148" s="33"/>
      <c r="AF148" s="47"/>
      <c r="AG148" s="48"/>
    </row>
    <row r="149" spans="2:33" s="38" customFormat="1" x14ac:dyDescent="0.25">
      <c r="B149" s="49"/>
      <c r="C149" s="70"/>
      <c r="D149" s="42"/>
      <c r="F149" s="33"/>
      <c r="G149" s="47"/>
      <c r="H149" s="42"/>
      <c r="I149" s="27"/>
      <c r="J149" s="47"/>
      <c r="K149" s="42"/>
      <c r="L149" s="27"/>
      <c r="M149" s="47"/>
      <c r="N149" s="42"/>
      <c r="O149" s="27"/>
      <c r="P149" s="47"/>
      <c r="Q149" s="42"/>
      <c r="R149" s="27"/>
      <c r="S149" s="47"/>
      <c r="T149" s="42"/>
      <c r="U149" s="27"/>
      <c r="V149" s="47"/>
      <c r="W149" s="42"/>
      <c r="X149" s="27"/>
      <c r="Y149" s="47"/>
      <c r="Z149" s="42"/>
      <c r="AA149" s="27"/>
      <c r="AB149" s="47"/>
      <c r="AC149" s="42"/>
      <c r="AD149" s="27"/>
      <c r="AE149" s="33"/>
      <c r="AF149" s="47"/>
      <c r="AG149" s="48"/>
    </row>
    <row r="150" spans="2:33" s="38" customFormat="1" x14ac:dyDescent="0.25">
      <c r="B150" s="49"/>
      <c r="C150" s="70"/>
      <c r="D150" s="42"/>
      <c r="F150" s="33"/>
      <c r="G150" s="47"/>
      <c r="H150" s="42"/>
      <c r="I150" s="27"/>
      <c r="J150" s="47"/>
      <c r="K150" s="42"/>
      <c r="L150" s="27"/>
      <c r="M150" s="47"/>
      <c r="N150" s="42"/>
      <c r="O150" s="27"/>
      <c r="P150" s="47"/>
      <c r="Q150" s="42"/>
      <c r="R150" s="27"/>
      <c r="S150" s="47"/>
      <c r="T150" s="42"/>
      <c r="U150" s="27"/>
      <c r="V150" s="47"/>
      <c r="W150" s="42"/>
      <c r="X150" s="27"/>
      <c r="Y150" s="47"/>
      <c r="Z150" s="42"/>
      <c r="AA150" s="27"/>
      <c r="AB150" s="47"/>
      <c r="AC150" s="42"/>
      <c r="AD150" s="27"/>
      <c r="AE150" s="33"/>
      <c r="AF150" s="47"/>
      <c r="AG150" s="48"/>
    </row>
    <row r="151" spans="2:33" s="38" customFormat="1" x14ac:dyDescent="0.25">
      <c r="B151" s="49"/>
      <c r="C151" s="70"/>
      <c r="D151" s="42"/>
      <c r="F151" s="33"/>
      <c r="G151" s="47"/>
      <c r="H151" s="42"/>
      <c r="I151" s="27"/>
      <c r="J151" s="47"/>
      <c r="K151" s="42"/>
      <c r="L151" s="27"/>
      <c r="M151" s="47"/>
      <c r="N151" s="42"/>
      <c r="O151" s="27"/>
      <c r="P151" s="47"/>
      <c r="Q151" s="42"/>
      <c r="R151" s="27"/>
      <c r="S151" s="47"/>
      <c r="T151" s="42"/>
      <c r="U151" s="27"/>
      <c r="V151" s="47"/>
      <c r="W151" s="42"/>
      <c r="X151" s="27"/>
      <c r="Y151" s="47"/>
      <c r="Z151" s="42"/>
      <c r="AA151" s="27"/>
      <c r="AB151" s="47"/>
      <c r="AC151" s="42"/>
      <c r="AD151" s="27"/>
      <c r="AE151" s="33"/>
      <c r="AF151" s="47"/>
      <c r="AG151" s="48"/>
    </row>
    <row r="152" spans="2:33" s="38" customFormat="1" x14ac:dyDescent="0.25">
      <c r="B152" s="49"/>
      <c r="C152" s="70"/>
      <c r="D152" s="42"/>
      <c r="F152" s="33"/>
      <c r="G152" s="47"/>
      <c r="H152" s="42"/>
      <c r="I152" s="27"/>
      <c r="J152" s="47"/>
      <c r="K152" s="42"/>
      <c r="L152" s="27"/>
      <c r="M152" s="47"/>
      <c r="N152" s="42"/>
      <c r="O152" s="27"/>
      <c r="P152" s="47"/>
      <c r="Q152" s="42"/>
      <c r="R152" s="27"/>
      <c r="S152" s="47"/>
      <c r="T152" s="42"/>
      <c r="U152" s="27"/>
      <c r="V152" s="47"/>
      <c r="W152" s="42"/>
      <c r="X152" s="27"/>
      <c r="Y152" s="47"/>
      <c r="Z152" s="42"/>
      <c r="AA152" s="27"/>
      <c r="AB152" s="47"/>
      <c r="AC152" s="42"/>
      <c r="AD152" s="27"/>
      <c r="AE152" s="33"/>
      <c r="AF152" s="47"/>
      <c r="AG152" s="48"/>
    </row>
    <row r="153" spans="2:33" s="38" customFormat="1" x14ac:dyDescent="0.25">
      <c r="B153" s="49"/>
      <c r="C153" s="70"/>
      <c r="D153" s="42"/>
      <c r="F153" s="33"/>
      <c r="G153" s="47"/>
      <c r="H153" s="42"/>
      <c r="I153" s="27"/>
      <c r="J153" s="47"/>
      <c r="K153" s="42"/>
      <c r="L153" s="27"/>
      <c r="M153" s="47"/>
      <c r="N153" s="42"/>
      <c r="O153" s="27"/>
      <c r="P153" s="47"/>
      <c r="Q153" s="42"/>
      <c r="R153" s="27"/>
      <c r="S153" s="47"/>
      <c r="T153" s="42"/>
      <c r="U153" s="27"/>
      <c r="V153" s="47"/>
      <c r="W153" s="42"/>
      <c r="X153" s="27"/>
      <c r="Y153" s="47"/>
      <c r="Z153" s="42"/>
      <c r="AA153" s="27"/>
      <c r="AB153" s="47"/>
      <c r="AC153" s="42"/>
      <c r="AD153" s="27"/>
      <c r="AE153" s="33"/>
      <c r="AF153" s="47"/>
      <c r="AG153" s="48"/>
    </row>
    <row r="154" spans="2:33" s="38" customFormat="1" x14ac:dyDescent="0.25">
      <c r="B154" s="49"/>
      <c r="C154" s="70"/>
      <c r="D154" s="42"/>
      <c r="F154" s="33"/>
      <c r="G154" s="47"/>
      <c r="H154" s="42"/>
      <c r="I154" s="27"/>
      <c r="J154" s="47"/>
      <c r="K154" s="42"/>
      <c r="L154" s="27"/>
      <c r="M154" s="47"/>
      <c r="N154" s="42"/>
      <c r="O154" s="27"/>
      <c r="P154" s="47"/>
      <c r="Q154" s="42"/>
      <c r="R154" s="27"/>
      <c r="S154" s="47"/>
      <c r="T154" s="42"/>
      <c r="U154" s="27"/>
      <c r="V154" s="47"/>
      <c r="W154" s="42"/>
      <c r="X154" s="27"/>
      <c r="Y154" s="47"/>
      <c r="Z154" s="42"/>
      <c r="AA154" s="27"/>
      <c r="AB154" s="47"/>
      <c r="AC154" s="42"/>
      <c r="AD154" s="27"/>
      <c r="AE154" s="33"/>
      <c r="AF154" s="47"/>
      <c r="AG154" s="48"/>
    </row>
    <row r="155" spans="2:33" s="38" customFormat="1" x14ac:dyDescent="0.25">
      <c r="B155" s="49"/>
      <c r="C155" s="70"/>
      <c r="D155" s="42"/>
      <c r="F155" s="33"/>
      <c r="G155" s="47"/>
      <c r="H155" s="42"/>
      <c r="I155" s="27"/>
      <c r="J155" s="47"/>
      <c r="K155" s="42"/>
      <c r="L155" s="27"/>
      <c r="M155" s="47"/>
      <c r="N155" s="42"/>
      <c r="O155" s="27"/>
      <c r="P155" s="47"/>
      <c r="Q155" s="42"/>
      <c r="R155" s="27"/>
      <c r="S155" s="47"/>
      <c r="T155" s="42"/>
      <c r="U155" s="27"/>
      <c r="V155" s="47"/>
      <c r="W155" s="42"/>
      <c r="X155" s="27"/>
      <c r="Y155" s="47"/>
      <c r="Z155" s="42"/>
      <c r="AA155" s="27"/>
      <c r="AB155" s="47"/>
      <c r="AC155" s="42"/>
      <c r="AD155" s="27"/>
      <c r="AE155" s="33"/>
      <c r="AF155" s="47"/>
      <c r="AG155" s="48"/>
    </row>
    <row r="156" spans="2:33" s="38" customFormat="1" x14ac:dyDescent="0.25">
      <c r="B156" s="49"/>
      <c r="C156" s="70"/>
      <c r="D156" s="42"/>
      <c r="F156" s="33"/>
      <c r="G156" s="47"/>
      <c r="H156" s="42"/>
      <c r="I156" s="27"/>
      <c r="J156" s="47"/>
      <c r="K156" s="42"/>
      <c r="L156" s="27"/>
      <c r="M156" s="47"/>
      <c r="N156" s="42"/>
      <c r="O156" s="27"/>
      <c r="P156" s="47"/>
      <c r="Q156" s="42"/>
      <c r="R156" s="27"/>
      <c r="S156" s="47"/>
      <c r="T156" s="42"/>
      <c r="U156" s="27"/>
      <c r="V156" s="47"/>
      <c r="W156" s="42"/>
      <c r="X156" s="27"/>
      <c r="Y156" s="47"/>
      <c r="Z156" s="42"/>
      <c r="AA156" s="27"/>
      <c r="AB156" s="47"/>
      <c r="AC156" s="42"/>
      <c r="AD156" s="27"/>
      <c r="AE156" s="33"/>
      <c r="AF156" s="47"/>
      <c r="AG156" s="48"/>
    </row>
    <row r="157" spans="2:33" s="38" customFormat="1" x14ac:dyDescent="0.25">
      <c r="B157" s="49"/>
      <c r="C157" s="70"/>
      <c r="D157" s="42"/>
      <c r="F157" s="33"/>
      <c r="G157" s="47"/>
      <c r="H157" s="42"/>
      <c r="I157" s="27"/>
      <c r="J157" s="47"/>
      <c r="K157" s="42"/>
      <c r="L157" s="27"/>
      <c r="M157" s="47"/>
      <c r="N157" s="42"/>
      <c r="O157" s="27"/>
      <c r="P157" s="47"/>
      <c r="Q157" s="42"/>
      <c r="R157" s="27"/>
      <c r="S157" s="47"/>
      <c r="T157" s="42"/>
      <c r="U157" s="27"/>
      <c r="V157" s="47"/>
      <c r="W157" s="42"/>
      <c r="X157" s="27"/>
      <c r="Y157" s="47"/>
      <c r="Z157" s="42"/>
      <c r="AA157" s="27"/>
      <c r="AB157" s="47"/>
      <c r="AC157" s="42"/>
      <c r="AD157" s="27"/>
      <c r="AE157" s="33"/>
      <c r="AF157" s="47"/>
      <c r="AG157" s="48"/>
    </row>
    <row r="158" spans="2:33" s="38" customFormat="1" x14ac:dyDescent="0.25">
      <c r="B158" s="49"/>
      <c r="C158" s="70"/>
      <c r="D158" s="42"/>
      <c r="F158" s="33"/>
      <c r="G158" s="47"/>
      <c r="H158" s="42"/>
      <c r="I158" s="27"/>
      <c r="J158" s="47"/>
      <c r="K158" s="42"/>
      <c r="L158" s="27"/>
      <c r="M158" s="47"/>
      <c r="N158" s="42"/>
      <c r="O158" s="27"/>
      <c r="P158" s="47"/>
      <c r="Q158" s="42"/>
      <c r="R158" s="27"/>
      <c r="S158" s="47"/>
      <c r="T158" s="42"/>
      <c r="U158" s="27"/>
      <c r="V158" s="47"/>
      <c r="W158" s="42"/>
      <c r="X158" s="27"/>
      <c r="Y158" s="47"/>
      <c r="Z158" s="42"/>
      <c r="AA158" s="27"/>
      <c r="AB158" s="47"/>
      <c r="AC158" s="42"/>
      <c r="AD158" s="27"/>
      <c r="AE158" s="33"/>
      <c r="AF158" s="47"/>
      <c r="AG158" s="48"/>
    </row>
    <row r="159" spans="2:33" s="38" customFormat="1" x14ac:dyDescent="0.25">
      <c r="B159" s="49"/>
      <c r="C159" s="70"/>
      <c r="D159" s="42"/>
      <c r="F159" s="33"/>
      <c r="G159" s="47"/>
      <c r="H159" s="42"/>
      <c r="I159" s="27"/>
      <c r="J159" s="47"/>
      <c r="K159" s="42"/>
      <c r="L159" s="27"/>
      <c r="M159" s="47"/>
      <c r="N159" s="42"/>
      <c r="O159" s="27"/>
      <c r="P159" s="47"/>
      <c r="Q159" s="42"/>
      <c r="R159" s="27"/>
      <c r="S159" s="47"/>
      <c r="T159" s="42"/>
      <c r="U159" s="27"/>
      <c r="V159" s="47"/>
      <c r="W159" s="42"/>
      <c r="X159" s="27"/>
      <c r="Y159" s="47"/>
      <c r="Z159" s="42"/>
      <c r="AA159" s="27"/>
      <c r="AB159" s="47"/>
      <c r="AC159" s="42"/>
      <c r="AD159" s="27"/>
      <c r="AE159" s="33"/>
      <c r="AF159" s="47"/>
      <c r="AG159" s="48"/>
    </row>
    <row r="160" spans="2:33" s="38" customFormat="1" x14ac:dyDescent="0.25">
      <c r="B160" s="49"/>
      <c r="C160" s="70"/>
      <c r="D160" s="42"/>
      <c r="F160" s="33"/>
      <c r="G160" s="47"/>
      <c r="H160" s="42"/>
      <c r="I160" s="27"/>
      <c r="J160" s="47"/>
      <c r="K160" s="42"/>
      <c r="L160" s="27"/>
      <c r="M160" s="47"/>
      <c r="N160" s="42"/>
      <c r="O160" s="27"/>
      <c r="P160" s="47"/>
      <c r="Q160" s="42"/>
      <c r="R160" s="27"/>
      <c r="S160" s="47"/>
      <c r="T160" s="42"/>
      <c r="U160" s="27"/>
      <c r="V160" s="47"/>
      <c r="W160" s="42"/>
      <c r="X160" s="27"/>
      <c r="Y160" s="47"/>
      <c r="Z160" s="42"/>
      <c r="AA160" s="27"/>
      <c r="AB160" s="47"/>
      <c r="AC160" s="42"/>
      <c r="AD160" s="27"/>
      <c r="AE160" s="33"/>
      <c r="AF160" s="47"/>
      <c r="AG160" s="48"/>
    </row>
    <row r="161" spans="2:33" s="38" customFormat="1" x14ac:dyDescent="0.25">
      <c r="B161" s="49"/>
      <c r="C161" s="70"/>
      <c r="D161" s="42"/>
      <c r="F161" s="33"/>
      <c r="G161" s="47"/>
      <c r="H161" s="42"/>
      <c r="I161" s="27"/>
      <c r="J161" s="47"/>
      <c r="K161" s="42"/>
      <c r="L161" s="27"/>
      <c r="M161" s="47"/>
      <c r="N161" s="42"/>
      <c r="O161" s="27"/>
      <c r="P161" s="47"/>
      <c r="Q161" s="42"/>
      <c r="R161" s="27"/>
      <c r="S161" s="47"/>
      <c r="T161" s="42"/>
      <c r="U161" s="27"/>
      <c r="V161" s="47"/>
      <c r="W161" s="42"/>
      <c r="X161" s="27"/>
      <c r="Y161" s="47"/>
      <c r="Z161" s="42"/>
      <c r="AA161" s="27"/>
      <c r="AB161" s="47"/>
      <c r="AC161" s="42"/>
      <c r="AD161" s="27"/>
      <c r="AE161" s="33"/>
      <c r="AF161" s="47"/>
      <c r="AG161" s="48"/>
    </row>
    <row r="162" spans="2:33" s="38" customFormat="1" x14ac:dyDescent="0.25">
      <c r="B162" s="49"/>
      <c r="C162" s="70"/>
      <c r="D162" s="42"/>
      <c r="F162" s="33"/>
      <c r="G162" s="47"/>
      <c r="H162" s="42"/>
      <c r="I162" s="27"/>
      <c r="J162" s="47"/>
      <c r="K162" s="42"/>
      <c r="L162" s="27"/>
      <c r="M162" s="47"/>
      <c r="N162" s="42"/>
      <c r="O162" s="27"/>
      <c r="P162" s="47"/>
      <c r="Q162" s="42"/>
      <c r="R162" s="27"/>
      <c r="S162" s="47"/>
      <c r="T162" s="42"/>
      <c r="U162" s="27"/>
      <c r="V162" s="47"/>
      <c r="W162" s="42"/>
      <c r="X162" s="27"/>
      <c r="Y162" s="47"/>
      <c r="Z162" s="42"/>
      <c r="AA162" s="27"/>
      <c r="AB162" s="47"/>
      <c r="AC162" s="42"/>
      <c r="AD162" s="27"/>
      <c r="AE162" s="33"/>
      <c r="AF162" s="47"/>
      <c r="AG162" s="48"/>
    </row>
    <row r="163" spans="2:33" s="38" customFormat="1" x14ac:dyDescent="0.25">
      <c r="B163" s="49"/>
      <c r="C163" s="70"/>
      <c r="D163" s="42"/>
      <c r="F163" s="33"/>
      <c r="G163" s="47"/>
      <c r="H163" s="42"/>
      <c r="I163" s="27"/>
      <c r="J163" s="47"/>
      <c r="K163" s="42"/>
      <c r="L163" s="27"/>
      <c r="M163" s="47"/>
      <c r="N163" s="42"/>
      <c r="O163" s="27"/>
      <c r="P163" s="47"/>
      <c r="Q163" s="42"/>
      <c r="R163" s="27"/>
      <c r="S163" s="47"/>
      <c r="T163" s="42"/>
      <c r="U163" s="27"/>
      <c r="V163" s="47"/>
      <c r="W163" s="42"/>
      <c r="X163" s="27"/>
      <c r="Y163" s="47"/>
      <c r="Z163" s="42"/>
      <c r="AA163" s="27"/>
      <c r="AB163" s="47"/>
      <c r="AC163" s="42"/>
      <c r="AD163" s="27"/>
      <c r="AE163" s="33"/>
      <c r="AF163" s="47"/>
      <c r="AG163" s="48"/>
    </row>
    <row r="164" spans="2:33" s="38" customFormat="1" x14ac:dyDescent="0.25">
      <c r="B164" s="49"/>
      <c r="C164" s="70"/>
      <c r="D164" s="42"/>
      <c r="F164" s="33"/>
      <c r="G164" s="47"/>
      <c r="H164" s="42"/>
      <c r="I164" s="27"/>
      <c r="J164" s="47"/>
      <c r="K164" s="42"/>
      <c r="L164" s="27"/>
      <c r="M164" s="47"/>
      <c r="N164" s="42"/>
      <c r="O164" s="27"/>
      <c r="P164" s="47"/>
      <c r="Q164" s="42"/>
      <c r="R164" s="27"/>
      <c r="S164" s="47"/>
      <c r="T164" s="42"/>
      <c r="U164" s="27"/>
      <c r="V164" s="47"/>
      <c r="W164" s="42"/>
      <c r="X164" s="27"/>
      <c r="Y164" s="47"/>
      <c r="Z164" s="42"/>
      <c r="AA164" s="27"/>
      <c r="AB164" s="47"/>
      <c r="AC164" s="42"/>
      <c r="AD164" s="27"/>
      <c r="AE164" s="33"/>
      <c r="AF164" s="47"/>
      <c r="AG164" s="48"/>
    </row>
    <row r="165" spans="2:33" s="38" customFormat="1" x14ac:dyDescent="0.25">
      <c r="B165" s="49"/>
      <c r="C165" s="70"/>
      <c r="D165" s="42"/>
      <c r="F165" s="33"/>
      <c r="G165" s="47"/>
      <c r="H165" s="42"/>
      <c r="I165" s="27"/>
      <c r="J165" s="47"/>
      <c r="K165" s="42"/>
      <c r="L165" s="27"/>
      <c r="M165" s="47"/>
      <c r="N165" s="42"/>
      <c r="O165" s="27"/>
      <c r="P165" s="47"/>
      <c r="Q165" s="42"/>
      <c r="R165" s="27"/>
      <c r="S165" s="47"/>
      <c r="T165" s="42"/>
      <c r="U165" s="27"/>
      <c r="V165" s="47"/>
      <c r="W165" s="42"/>
      <c r="X165" s="27"/>
      <c r="Y165" s="47"/>
      <c r="Z165" s="42"/>
      <c r="AA165" s="27"/>
      <c r="AB165" s="47"/>
      <c r="AC165" s="42"/>
      <c r="AD165" s="27"/>
      <c r="AE165" s="33"/>
      <c r="AF165" s="47"/>
      <c r="AG165" s="48"/>
    </row>
    <row r="166" spans="2:33" s="38" customFormat="1" x14ac:dyDescent="0.25">
      <c r="B166" s="49"/>
      <c r="C166" s="70"/>
      <c r="D166" s="42"/>
      <c r="F166" s="33"/>
      <c r="G166" s="47"/>
      <c r="H166" s="42"/>
      <c r="I166" s="27"/>
      <c r="J166" s="47"/>
      <c r="K166" s="42"/>
      <c r="L166" s="27"/>
      <c r="M166" s="47"/>
      <c r="N166" s="42"/>
      <c r="O166" s="27"/>
      <c r="P166" s="47"/>
      <c r="Q166" s="42"/>
      <c r="R166" s="27"/>
      <c r="S166" s="47"/>
      <c r="T166" s="42"/>
      <c r="U166" s="27"/>
      <c r="V166" s="47"/>
      <c r="W166" s="42"/>
      <c r="X166" s="27"/>
      <c r="Y166" s="47"/>
      <c r="Z166" s="42"/>
      <c r="AA166" s="27"/>
      <c r="AB166" s="47"/>
      <c r="AC166" s="42"/>
      <c r="AD166" s="27"/>
      <c r="AE166" s="33"/>
      <c r="AF166" s="47"/>
      <c r="AG166" s="48"/>
    </row>
    <row r="167" spans="2:33" s="38" customFormat="1" x14ac:dyDescent="0.25">
      <c r="B167" s="49"/>
      <c r="C167" s="70"/>
      <c r="D167" s="42"/>
      <c r="F167" s="33"/>
      <c r="G167" s="47"/>
      <c r="H167" s="42"/>
      <c r="I167" s="27"/>
      <c r="J167" s="47"/>
      <c r="K167" s="42"/>
      <c r="L167" s="27"/>
      <c r="M167" s="47"/>
      <c r="N167" s="42"/>
      <c r="O167" s="27"/>
      <c r="P167" s="47"/>
      <c r="Q167" s="42"/>
      <c r="R167" s="27"/>
      <c r="S167" s="47"/>
      <c r="T167" s="42"/>
      <c r="U167" s="27"/>
      <c r="V167" s="47"/>
      <c r="W167" s="42"/>
      <c r="X167" s="27"/>
      <c r="Y167" s="47"/>
      <c r="Z167" s="42"/>
      <c r="AA167" s="27"/>
      <c r="AB167" s="47"/>
      <c r="AC167" s="42"/>
      <c r="AD167" s="27"/>
      <c r="AE167" s="33"/>
      <c r="AF167" s="47"/>
      <c r="AG167" s="48"/>
    </row>
    <row r="168" spans="2:33" s="38" customFormat="1" x14ac:dyDescent="0.25">
      <c r="B168" s="49"/>
      <c r="C168" s="70"/>
      <c r="D168" s="42"/>
      <c r="F168" s="33"/>
      <c r="G168" s="47"/>
      <c r="H168" s="42"/>
      <c r="I168" s="27"/>
      <c r="J168" s="47"/>
      <c r="K168" s="42"/>
      <c r="L168" s="27"/>
      <c r="M168" s="47"/>
      <c r="N168" s="42"/>
      <c r="O168" s="27"/>
      <c r="P168" s="47"/>
      <c r="Q168" s="42"/>
      <c r="R168" s="27"/>
      <c r="S168" s="47"/>
      <c r="T168" s="42"/>
      <c r="U168" s="27"/>
      <c r="V168" s="47"/>
      <c r="W168" s="42"/>
      <c r="X168" s="27"/>
      <c r="Y168" s="47"/>
      <c r="Z168" s="42"/>
      <c r="AA168" s="27"/>
      <c r="AB168" s="47"/>
      <c r="AC168" s="42"/>
      <c r="AD168" s="27"/>
      <c r="AE168" s="33"/>
      <c r="AF168" s="47"/>
      <c r="AG168" s="48"/>
    </row>
    <row r="169" spans="2:33" s="38" customFormat="1" x14ac:dyDescent="0.25">
      <c r="B169" s="49"/>
      <c r="C169" s="70"/>
      <c r="D169" s="42"/>
      <c r="F169" s="33"/>
      <c r="G169" s="47"/>
      <c r="H169" s="42"/>
      <c r="I169" s="27"/>
      <c r="J169" s="47"/>
      <c r="K169" s="42"/>
      <c r="L169" s="27"/>
      <c r="M169" s="47"/>
      <c r="N169" s="42"/>
      <c r="O169" s="27"/>
      <c r="P169" s="47"/>
      <c r="Q169" s="42"/>
      <c r="R169" s="27"/>
      <c r="S169" s="47"/>
      <c r="T169" s="42"/>
      <c r="U169" s="27"/>
      <c r="V169" s="47"/>
      <c r="W169" s="42"/>
      <c r="X169" s="27"/>
      <c r="Y169" s="47"/>
      <c r="Z169" s="42"/>
      <c r="AA169" s="27"/>
      <c r="AB169" s="47"/>
      <c r="AC169" s="42"/>
      <c r="AD169" s="27"/>
      <c r="AE169" s="33"/>
      <c r="AF169" s="47"/>
      <c r="AG169" s="48"/>
    </row>
    <row r="170" spans="2:33" s="38" customFormat="1" x14ac:dyDescent="0.25">
      <c r="B170" s="49"/>
      <c r="C170" s="70"/>
      <c r="D170" s="42"/>
      <c r="F170" s="33"/>
      <c r="G170" s="47"/>
      <c r="H170" s="42"/>
      <c r="I170" s="27"/>
      <c r="J170" s="47"/>
      <c r="K170" s="42"/>
      <c r="L170" s="27"/>
      <c r="M170" s="47"/>
      <c r="N170" s="42"/>
      <c r="O170" s="27"/>
      <c r="P170" s="47"/>
      <c r="Q170" s="42"/>
      <c r="R170" s="27"/>
      <c r="S170" s="47"/>
      <c r="T170" s="42"/>
      <c r="U170" s="27"/>
      <c r="V170" s="47"/>
      <c r="W170" s="42"/>
      <c r="X170" s="27"/>
      <c r="Y170" s="47"/>
      <c r="Z170" s="42"/>
      <c r="AA170" s="27"/>
      <c r="AB170" s="47"/>
      <c r="AC170" s="42"/>
      <c r="AD170" s="27"/>
      <c r="AE170" s="33"/>
      <c r="AF170" s="47"/>
      <c r="AG170" s="48"/>
    </row>
    <row r="171" spans="2:33" s="38" customFormat="1" x14ac:dyDescent="0.25">
      <c r="B171" s="49"/>
      <c r="C171" s="70"/>
      <c r="D171" s="42"/>
      <c r="F171" s="33"/>
      <c r="G171" s="47"/>
      <c r="H171" s="42"/>
      <c r="I171" s="27"/>
      <c r="J171" s="47"/>
      <c r="K171" s="42"/>
      <c r="L171" s="27"/>
      <c r="M171" s="47"/>
      <c r="N171" s="42"/>
      <c r="O171" s="27"/>
      <c r="P171" s="47"/>
      <c r="Q171" s="42"/>
      <c r="R171" s="27"/>
      <c r="S171" s="47"/>
      <c r="T171" s="42"/>
      <c r="U171" s="27"/>
      <c r="V171" s="47"/>
      <c r="W171" s="42"/>
      <c r="X171" s="27"/>
      <c r="Y171" s="47"/>
      <c r="Z171" s="42"/>
      <c r="AA171" s="27"/>
      <c r="AB171" s="47"/>
      <c r="AC171" s="42"/>
      <c r="AD171" s="27"/>
      <c r="AE171" s="33"/>
      <c r="AF171" s="47"/>
      <c r="AG171" s="48"/>
    </row>
    <row r="172" spans="2:33" s="38" customFormat="1" x14ac:dyDescent="0.25">
      <c r="B172" s="49"/>
      <c r="C172" s="70"/>
      <c r="D172" s="42"/>
      <c r="F172" s="33"/>
      <c r="G172" s="47"/>
      <c r="H172" s="42"/>
      <c r="I172" s="27"/>
      <c r="J172" s="47"/>
      <c r="K172" s="42"/>
      <c r="L172" s="27"/>
      <c r="M172" s="47"/>
      <c r="N172" s="42"/>
      <c r="O172" s="27"/>
      <c r="P172" s="47"/>
      <c r="Q172" s="42"/>
      <c r="R172" s="27"/>
      <c r="S172" s="47"/>
      <c r="T172" s="42"/>
      <c r="U172" s="27"/>
      <c r="V172" s="47"/>
      <c r="W172" s="42"/>
      <c r="X172" s="27"/>
      <c r="Y172" s="47"/>
      <c r="Z172" s="42"/>
      <c r="AA172" s="27"/>
      <c r="AB172" s="47"/>
      <c r="AC172" s="42"/>
      <c r="AD172" s="27"/>
      <c r="AE172" s="33"/>
      <c r="AF172" s="47"/>
      <c r="AG172" s="48"/>
    </row>
    <row r="173" spans="2:33" s="38" customFormat="1" x14ac:dyDescent="0.25">
      <c r="B173" s="49"/>
      <c r="C173" s="70"/>
      <c r="D173" s="42"/>
      <c r="F173" s="33"/>
      <c r="G173" s="47"/>
      <c r="H173" s="42"/>
      <c r="I173" s="27"/>
      <c r="J173" s="47"/>
      <c r="K173" s="42"/>
      <c r="L173" s="27"/>
      <c r="M173" s="47"/>
      <c r="N173" s="42"/>
      <c r="O173" s="27"/>
      <c r="P173" s="47"/>
      <c r="Q173" s="42"/>
      <c r="R173" s="27"/>
      <c r="S173" s="47"/>
      <c r="T173" s="42"/>
      <c r="U173" s="27"/>
      <c r="V173" s="47"/>
      <c r="W173" s="42"/>
      <c r="X173" s="27"/>
      <c r="Y173" s="47"/>
      <c r="Z173" s="42"/>
      <c r="AA173" s="27"/>
      <c r="AB173" s="47"/>
      <c r="AC173" s="42"/>
      <c r="AD173" s="27"/>
      <c r="AE173" s="33"/>
      <c r="AF173" s="47"/>
      <c r="AG173" s="48"/>
    </row>
    <row r="174" spans="2:33" s="38" customFormat="1" x14ac:dyDescent="0.25">
      <c r="B174" s="49"/>
      <c r="C174" s="70"/>
      <c r="D174" s="42"/>
      <c r="F174" s="33"/>
      <c r="G174" s="47"/>
      <c r="H174" s="42"/>
      <c r="I174" s="27"/>
      <c r="J174" s="47"/>
      <c r="K174" s="42"/>
      <c r="L174" s="27"/>
      <c r="M174" s="47"/>
      <c r="N174" s="42"/>
      <c r="O174" s="27"/>
      <c r="P174" s="47"/>
      <c r="Q174" s="42"/>
      <c r="R174" s="27"/>
      <c r="S174" s="47"/>
      <c r="T174" s="42"/>
      <c r="U174" s="27"/>
      <c r="V174" s="47"/>
      <c r="W174" s="42"/>
      <c r="X174" s="27"/>
      <c r="Y174" s="47"/>
      <c r="Z174" s="42"/>
      <c r="AA174" s="27"/>
      <c r="AB174" s="47"/>
      <c r="AC174" s="42"/>
      <c r="AD174" s="27"/>
      <c r="AE174" s="33"/>
      <c r="AF174" s="47"/>
      <c r="AG174" s="48"/>
    </row>
    <row r="175" spans="2:33" s="38" customFormat="1" x14ac:dyDescent="0.25">
      <c r="B175" s="49"/>
      <c r="C175" s="70"/>
      <c r="D175" s="42"/>
      <c r="F175" s="33"/>
      <c r="G175" s="47"/>
      <c r="H175" s="42"/>
      <c r="I175" s="27"/>
      <c r="J175" s="47"/>
      <c r="K175" s="42"/>
      <c r="L175" s="27"/>
      <c r="M175" s="47"/>
      <c r="N175" s="42"/>
      <c r="O175" s="27"/>
      <c r="P175" s="47"/>
      <c r="Q175" s="42"/>
      <c r="R175" s="27"/>
      <c r="S175" s="47"/>
      <c r="T175" s="42"/>
      <c r="U175" s="27"/>
      <c r="V175" s="47"/>
      <c r="W175" s="42"/>
      <c r="X175" s="27"/>
      <c r="Y175" s="47"/>
      <c r="Z175" s="42"/>
      <c r="AA175" s="27"/>
      <c r="AB175" s="47"/>
      <c r="AC175" s="42"/>
      <c r="AD175" s="27"/>
      <c r="AE175" s="33"/>
      <c r="AF175" s="47"/>
      <c r="AG175" s="48"/>
    </row>
    <row r="176" spans="2:33" s="38" customFormat="1" x14ac:dyDescent="0.25">
      <c r="B176" s="49"/>
      <c r="C176" s="70"/>
      <c r="D176" s="42"/>
      <c r="F176" s="33"/>
      <c r="G176" s="47"/>
      <c r="H176" s="42"/>
      <c r="I176" s="27"/>
      <c r="J176" s="47"/>
      <c r="K176" s="42"/>
      <c r="L176" s="27"/>
      <c r="M176" s="47"/>
      <c r="N176" s="42"/>
      <c r="O176" s="27"/>
      <c r="P176" s="47"/>
      <c r="Q176" s="42"/>
      <c r="R176" s="27"/>
      <c r="S176" s="47"/>
      <c r="T176" s="42"/>
      <c r="U176" s="27"/>
      <c r="V176" s="47"/>
      <c r="W176" s="42"/>
      <c r="X176" s="27"/>
      <c r="Y176" s="47"/>
      <c r="Z176" s="42"/>
      <c r="AA176" s="27"/>
      <c r="AB176" s="47"/>
      <c r="AC176" s="42"/>
      <c r="AD176" s="27"/>
      <c r="AE176" s="33"/>
      <c r="AF176" s="47"/>
      <c r="AG176" s="48"/>
    </row>
    <row r="177" spans="2:33" s="38" customFormat="1" x14ac:dyDescent="0.25">
      <c r="B177" s="49"/>
      <c r="C177" s="70"/>
      <c r="D177" s="42"/>
      <c r="F177" s="33"/>
      <c r="G177" s="47"/>
      <c r="H177" s="42"/>
      <c r="I177" s="27"/>
      <c r="J177" s="47"/>
      <c r="K177" s="42"/>
      <c r="L177" s="27"/>
      <c r="M177" s="47"/>
      <c r="N177" s="42"/>
      <c r="O177" s="27"/>
      <c r="P177" s="47"/>
      <c r="Q177" s="42"/>
      <c r="R177" s="27"/>
      <c r="S177" s="47"/>
      <c r="T177" s="42"/>
      <c r="U177" s="27"/>
      <c r="V177" s="47"/>
      <c r="W177" s="42"/>
      <c r="X177" s="27"/>
      <c r="Y177" s="47"/>
      <c r="Z177" s="42"/>
      <c r="AA177" s="27"/>
      <c r="AB177" s="47"/>
      <c r="AC177" s="42"/>
      <c r="AD177" s="27"/>
      <c r="AE177" s="33"/>
      <c r="AF177" s="47"/>
      <c r="AG177" s="48"/>
    </row>
    <row r="178" spans="2:33" s="38" customFormat="1" x14ac:dyDescent="0.25">
      <c r="B178" s="49"/>
      <c r="C178" s="70"/>
      <c r="D178" s="42"/>
      <c r="F178" s="33"/>
      <c r="G178" s="47"/>
      <c r="H178" s="42"/>
      <c r="I178" s="27"/>
      <c r="J178" s="47"/>
      <c r="K178" s="42"/>
      <c r="L178" s="27"/>
      <c r="M178" s="47"/>
      <c r="N178" s="42"/>
      <c r="O178" s="27"/>
      <c r="P178" s="47"/>
      <c r="Q178" s="42"/>
      <c r="R178" s="27"/>
      <c r="S178" s="47"/>
      <c r="T178" s="42"/>
      <c r="U178" s="27"/>
      <c r="V178" s="47"/>
      <c r="W178" s="42"/>
      <c r="X178" s="27"/>
      <c r="Y178" s="47"/>
      <c r="Z178" s="42"/>
      <c r="AA178" s="27"/>
      <c r="AB178" s="47"/>
      <c r="AC178" s="42"/>
      <c r="AD178" s="27"/>
      <c r="AE178" s="33"/>
      <c r="AF178" s="47"/>
      <c r="AG178" s="48"/>
    </row>
    <row r="179" spans="2:33" s="38" customFormat="1" x14ac:dyDescent="0.25">
      <c r="B179" s="49"/>
      <c r="C179" s="70"/>
      <c r="D179" s="42"/>
      <c r="F179" s="33"/>
      <c r="G179" s="47"/>
      <c r="H179" s="42"/>
      <c r="I179" s="27"/>
      <c r="J179" s="47"/>
      <c r="K179" s="42"/>
      <c r="L179" s="27"/>
      <c r="M179" s="47"/>
      <c r="N179" s="42"/>
      <c r="O179" s="27"/>
      <c r="P179" s="47"/>
      <c r="Q179" s="42"/>
      <c r="R179" s="27"/>
      <c r="S179" s="47"/>
      <c r="T179" s="42"/>
      <c r="U179" s="27"/>
      <c r="V179" s="47"/>
      <c r="W179" s="42"/>
      <c r="X179" s="27"/>
      <c r="Y179" s="47"/>
      <c r="Z179" s="42"/>
      <c r="AA179" s="27"/>
      <c r="AB179" s="47"/>
      <c r="AC179" s="42"/>
      <c r="AD179" s="27"/>
      <c r="AE179" s="33"/>
      <c r="AF179" s="47"/>
      <c r="AG179" s="48"/>
    </row>
    <row r="180" spans="2:33" s="38" customFormat="1" x14ac:dyDescent="0.25">
      <c r="B180" s="49"/>
      <c r="C180" s="70"/>
      <c r="D180" s="42"/>
      <c r="F180" s="33"/>
      <c r="G180" s="47"/>
      <c r="H180" s="42"/>
      <c r="I180" s="27"/>
      <c r="J180" s="47"/>
      <c r="K180" s="42"/>
      <c r="L180" s="27"/>
      <c r="M180" s="47"/>
      <c r="N180" s="42"/>
      <c r="O180" s="27"/>
      <c r="P180" s="47"/>
      <c r="Q180" s="42"/>
      <c r="R180" s="27"/>
      <c r="S180" s="47"/>
      <c r="T180" s="42"/>
      <c r="U180" s="27"/>
      <c r="V180" s="47"/>
      <c r="W180" s="42"/>
      <c r="X180" s="27"/>
      <c r="Y180" s="47"/>
      <c r="Z180" s="42"/>
      <c r="AA180" s="27"/>
      <c r="AB180" s="47"/>
      <c r="AC180" s="42"/>
      <c r="AD180" s="27"/>
      <c r="AE180" s="33"/>
      <c r="AF180" s="47"/>
      <c r="AG180" s="48"/>
    </row>
    <row r="181" spans="2:33" s="38" customFormat="1" x14ac:dyDescent="0.25">
      <c r="B181" s="49"/>
      <c r="C181" s="70"/>
      <c r="D181" s="42"/>
      <c r="F181" s="33"/>
      <c r="G181" s="47"/>
      <c r="H181" s="42"/>
      <c r="I181" s="27"/>
      <c r="J181" s="47"/>
      <c r="K181" s="42"/>
      <c r="L181" s="27"/>
      <c r="M181" s="47"/>
      <c r="N181" s="42"/>
      <c r="O181" s="27"/>
      <c r="P181" s="47"/>
      <c r="Q181" s="42"/>
      <c r="R181" s="27"/>
      <c r="S181" s="47"/>
      <c r="T181" s="42"/>
      <c r="U181" s="27"/>
      <c r="V181" s="47"/>
      <c r="W181" s="42"/>
      <c r="X181" s="27"/>
      <c r="Y181" s="47"/>
      <c r="Z181" s="42"/>
      <c r="AA181" s="27"/>
      <c r="AB181" s="47"/>
      <c r="AC181" s="42"/>
      <c r="AD181" s="27"/>
      <c r="AE181" s="33"/>
      <c r="AF181" s="47"/>
      <c r="AG181" s="48"/>
    </row>
    <row r="182" spans="2:33" s="38" customFormat="1" x14ac:dyDescent="0.25">
      <c r="B182" s="49"/>
      <c r="C182" s="70"/>
      <c r="D182" s="42"/>
      <c r="F182" s="33"/>
      <c r="G182" s="47"/>
      <c r="H182" s="42"/>
      <c r="I182" s="27"/>
      <c r="J182" s="47"/>
      <c r="K182" s="42"/>
      <c r="L182" s="27"/>
      <c r="M182" s="47"/>
      <c r="N182" s="42"/>
      <c r="O182" s="27"/>
      <c r="P182" s="47"/>
      <c r="Q182" s="42"/>
      <c r="R182" s="27"/>
      <c r="S182" s="47"/>
      <c r="T182" s="42"/>
      <c r="U182" s="27"/>
      <c r="V182" s="47"/>
      <c r="W182" s="42"/>
      <c r="X182" s="27"/>
      <c r="Y182" s="47"/>
      <c r="Z182" s="42"/>
      <c r="AA182" s="27"/>
      <c r="AB182" s="47"/>
      <c r="AC182" s="42"/>
      <c r="AD182" s="27"/>
      <c r="AE182" s="33"/>
      <c r="AF182" s="47"/>
      <c r="AG182" s="48"/>
    </row>
    <row r="183" spans="2:33" s="38" customFormat="1" x14ac:dyDescent="0.25">
      <c r="B183" s="49"/>
      <c r="C183" s="70"/>
      <c r="D183" s="42"/>
      <c r="F183" s="33"/>
      <c r="G183" s="47"/>
      <c r="H183" s="42"/>
      <c r="I183" s="27"/>
      <c r="J183" s="47"/>
      <c r="K183" s="42"/>
      <c r="L183" s="27"/>
      <c r="M183" s="47"/>
      <c r="N183" s="42"/>
      <c r="O183" s="27"/>
      <c r="P183" s="47"/>
      <c r="Q183" s="42"/>
      <c r="R183" s="27"/>
      <c r="S183" s="47"/>
      <c r="T183" s="42"/>
      <c r="U183" s="27"/>
      <c r="V183" s="47"/>
      <c r="W183" s="42"/>
      <c r="X183" s="27"/>
      <c r="Y183" s="47"/>
      <c r="Z183" s="42"/>
      <c r="AA183" s="27"/>
      <c r="AB183" s="47"/>
      <c r="AC183" s="42"/>
      <c r="AD183" s="27"/>
      <c r="AE183" s="33"/>
      <c r="AF183" s="47"/>
      <c r="AG183" s="48"/>
    </row>
    <row r="184" spans="2:33" s="38" customFormat="1" x14ac:dyDescent="0.25">
      <c r="B184" s="49"/>
      <c r="C184" s="70"/>
      <c r="D184" s="42"/>
      <c r="F184" s="33"/>
      <c r="G184" s="47"/>
      <c r="H184" s="42"/>
      <c r="I184" s="27"/>
      <c r="J184" s="47"/>
      <c r="K184" s="42"/>
      <c r="L184" s="27"/>
      <c r="M184" s="47"/>
      <c r="N184" s="42"/>
      <c r="O184" s="27"/>
      <c r="P184" s="47"/>
      <c r="Q184" s="42"/>
      <c r="R184" s="27"/>
      <c r="S184" s="47"/>
      <c r="T184" s="42"/>
      <c r="U184" s="27"/>
      <c r="V184" s="47"/>
      <c r="W184" s="42"/>
      <c r="X184" s="27"/>
      <c r="Y184" s="47"/>
      <c r="Z184" s="42"/>
      <c r="AA184" s="27"/>
      <c r="AB184" s="47"/>
      <c r="AC184" s="42"/>
      <c r="AD184" s="27"/>
      <c r="AE184" s="33"/>
      <c r="AF184" s="47"/>
      <c r="AG184" s="48"/>
    </row>
    <row r="185" spans="2:33" s="38" customFormat="1" x14ac:dyDescent="0.25">
      <c r="B185" s="49"/>
      <c r="C185" s="70"/>
      <c r="D185" s="42"/>
      <c r="F185" s="33"/>
      <c r="G185" s="47"/>
      <c r="H185" s="42"/>
      <c r="I185" s="27"/>
      <c r="J185" s="47"/>
      <c r="K185" s="42"/>
      <c r="L185" s="27"/>
      <c r="M185" s="47"/>
      <c r="N185" s="42"/>
      <c r="O185" s="27"/>
      <c r="P185" s="47"/>
      <c r="Q185" s="42"/>
      <c r="R185" s="27"/>
      <c r="S185" s="47"/>
      <c r="T185" s="42"/>
      <c r="U185" s="27"/>
      <c r="V185" s="47"/>
      <c r="W185" s="42"/>
      <c r="X185" s="27"/>
      <c r="Y185" s="47"/>
      <c r="Z185" s="42"/>
      <c r="AA185" s="27"/>
      <c r="AB185" s="47"/>
      <c r="AC185" s="42"/>
      <c r="AD185" s="27"/>
      <c r="AE185" s="33"/>
      <c r="AF185" s="47"/>
      <c r="AG185" s="48"/>
    </row>
    <row r="186" spans="2:33" s="38" customFormat="1" x14ac:dyDescent="0.25">
      <c r="B186" s="49"/>
      <c r="C186" s="70"/>
      <c r="D186" s="42"/>
      <c r="F186" s="33"/>
      <c r="G186" s="47"/>
      <c r="H186" s="42"/>
      <c r="I186" s="27"/>
      <c r="J186" s="47"/>
      <c r="K186" s="42"/>
      <c r="L186" s="27"/>
      <c r="M186" s="47"/>
      <c r="N186" s="42"/>
      <c r="O186" s="27"/>
      <c r="P186" s="47"/>
      <c r="Q186" s="42"/>
      <c r="R186" s="27"/>
      <c r="S186" s="47"/>
      <c r="T186" s="42"/>
      <c r="U186" s="27"/>
      <c r="V186" s="47"/>
      <c r="W186" s="42"/>
      <c r="X186" s="27"/>
      <c r="Y186" s="47"/>
      <c r="Z186" s="42"/>
      <c r="AA186" s="27"/>
      <c r="AB186" s="47"/>
      <c r="AC186" s="42"/>
      <c r="AD186" s="27"/>
      <c r="AE186" s="33"/>
      <c r="AF186" s="47"/>
      <c r="AG186" s="48"/>
    </row>
    <row r="187" spans="2:33" s="38" customFormat="1" x14ac:dyDescent="0.25">
      <c r="B187" s="49"/>
      <c r="C187" s="70"/>
      <c r="D187" s="42"/>
      <c r="F187" s="33"/>
      <c r="G187" s="47"/>
      <c r="H187" s="42"/>
      <c r="I187" s="27"/>
      <c r="J187" s="47"/>
      <c r="K187" s="42"/>
      <c r="L187" s="27"/>
      <c r="M187" s="47"/>
      <c r="N187" s="42"/>
      <c r="O187" s="27"/>
      <c r="P187" s="47"/>
      <c r="Q187" s="42"/>
      <c r="R187" s="27"/>
      <c r="S187" s="47"/>
      <c r="T187" s="42"/>
      <c r="U187" s="27"/>
      <c r="V187" s="47"/>
      <c r="W187" s="42"/>
      <c r="X187" s="27"/>
      <c r="Y187" s="47"/>
      <c r="Z187" s="42"/>
      <c r="AA187" s="27"/>
      <c r="AB187" s="47"/>
      <c r="AC187" s="42"/>
      <c r="AD187" s="27"/>
      <c r="AE187" s="33"/>
      <c r="AF187" s="47"/>
      <c r="AG187" s="48"/>
    </row>
    <row r="188" spans="2:33" s="38" customFormat="1" x14ac:dyDescent="0.25">
      <c r="B188" s="49"/>
      <c r="C188" s="70"/>
      <c r="D188" s="42"/>
      <c r="F188" s="33"/>
      <c r="G188" s="47"/>
      <c r="H188" s="42"/>
      <c r="I188" s="27"/>
      <c r="J188" s="47"/>
      <c r="K188" s="42"/>
      <c r="L188" s="27"/>
      <c r="M188" s="47"/>
      <c r="N188" s="42"/>
      <c r="O188" s="27"/>
      <c r="P188" s="47"/>
      <c r="Q188" s="42"/>
      <c r="R188" s="27"/>
      <c r="S188" s="47"/>
      <c r="T188" s="42"/>
      <c r="U188" s="27"/>
      <c r="V188" s="47"/>
      <c r="W188" s="42"/>
      <c r="X188" s="27"/>
      <c r="Y188" s="47"/>
      <c r="Z188" s="42"/>
      <c r="AA188" s="27"/>
      <c r="AB188" s="47"/>
      <c r="AC188" s="42"/>
      <c r="AD188" s="27"/>
      <c r="AE188" s="33"/>
      <c r="AF188" s="47"/>
      <c r="AG188" s="48"/>
    </row>
    <row r="189" spans="2:33" s="38" customFormat="1" x14ac:dyDescent="0.25">
      <c r="B189" s="49"/>
      <c r="C189" s="70"/>
      <c r="D189" s="42"/>
      <c r="F189" s="33"/>
      <c r="G189" s="47"/>
      <c r="H189" s="42"/>
      <c r="I189" s="27"/>
      <c r="J189" s="47"/>
      <c r="K189" s="42"/>
      <c r="L189" s="27"/>
      <c r="M189" s="47"/>
      <c r="N189" s="42"/>
      <c r="O189" s="27"/>
      <c r="P189" s="47"/>
      <c r="Q189" s="42"/>
      <c r="R189" s="27"/>
      <c r="S189" s="47"/>
      <c r="T189" s="42"/>
      <c r="U189" s="27"/>
      <c r="V189" s="47"/>
      <c r="W189" s="42"/>
      <c r="X189" s="27"/>
      <c r="Y189" s="47"/>
      <c r="Z189" s="42"/>
      <c r="AA189" s="27"/>
      <c r="AB189" s="47"/>
      <c r="AC189" s="42"/>
      <c r="AD189" s="27"/>
      <c r="AE189" s="33"/>
      <c r="AF189" s="47"/>
      <c r="AG189" s="48"/>
    </row>
    <row r="190" spans="2:33" s="38" customFormat="1" x14ac:dyDescent="0.25">
      <c r="B190" s="49"/>
      <c r="C190" s="70"/>
      <c r="D190" s="42"/>
      <c r="F190" s="33"/>
      <c r="G190" s="47"/>
      <c r="H190" s="42"/>
      <c r="I190" s="27"/>
      <c r="J190" s="47"/>
      <c r="K190" s="42"/>
      <c r="L190" s="27"/>
      <c r="M190" s="47"/>
      <c r="N190" s="42"/>
      <c r="O190" s="27"/>
      <c r="P190" s="47"/>
      <c r="Q190" s="42"/>
      <c r="R190" s="27"/>
      <c r="S190" s="47"/>
      <c r="T190" s="42"/>
      <c r="U190" s="27"/>
      <c r="V190" s="47"/>
      <c r="W190" s="42"/>
      <c r="X190" s="27"/>
      <c r="Y190" s="47"/>
      <c r="Z190" s="42"/>
      <c r="AA190" s="27"/>
      <c r="AB190" s="47"/>
      <c r="AC190" s="42"/>
      <c r="AD190" s="27"/>
      <c r="AE190" s="33"/>
      <c r="AF190" s="47"/>
      <c r="AG190" s="48"/>
    </row>
    <row r="191" spans="2:33" s="38" customFormat="1" x14ac:dyDescent="0.25">
      <c r="B191" s="49"/>
      <c r="C191" s="70"/>
      <c r="D191" s="42"/>
      <c r="F191" s="33"/>
      <c r="G191" s="47"/>
      <c r="H191" s="42"/>
      <c r="I191" s="27"/>
      <c r="J191" s="47"/>
      <c r="K191" s="42"/>
      <c r="L191" s="27"/>
      <c r="M191" s="47"/>
      <c r="N191" s="42"/>
      <c r="O191" s="27"/>
      <c r="P191" s="47"/>
      <c r="Q191" s="42"/>
      <c r="R191" s="27"/>
      <c r="S191" s="47"/>
      <c r="T191" s="42"/>
      <c r="U191" s="27"/>
      <c r="V191" s="47"/>
      <c r="W191" s="42"/>
      <c r="X191" s="27"/>
      <c r="Y191" s="47"/>
      <c r="Z191" s="42"/>
      <c r="AA191" s="27"/>
      <c r="AB191" s="47"/>
      <c r="AC191" s="42"/>
      <c r="AD191" s="27"/>
      <c r="AE191" s="33"/>
      <c r="AF191" s="47"/>
      <c r="AG191" s="48"/>
    </row>
    <row r="192" spans="2:33" s="38" customFormat="1" x14ac:dyDescent="0.25">
      <c r="B192" s="49"/>
      <c r="C192" s="70"/>
      <c r="D192" s="42"/>
      <c r="F192" s="33"/>
      <c r="G192" s="47"/>
      <c r="H192" s="42"/>
      <c r="I192" s="27"/>
      <c r="J192" s="47"/>
      <c r="K192" s="42"/>
      <c r="L192" s="27"/>
      <c r="M192" s="47"/>
      <c r="N192" s="42"/>
      <c r="O192" s="27"/>
      <c r="P192" s="47"/>
      <c r="Q192" s="42"/>
      <c r="R192" s="27"/>
      <c r="S192" s="47"/>
      <c r="T192" s="42"/>
      <c r="U192" s="27"/>
      <c r="V192" s="47"/>
      <c r="W192" s="42"/>
      <c r="X192" s="27"/>
      <c r="Y192" s="47"/>
      <c r="Z192" s="42"/>
      <c r="AA192" s="27"/>
      <c r="AB192" s="47"/>
      <c r="AC192" s="42"/>
      <c r="AD192" s="27"/>
      <c r="AE192" s="33"/>
      <c r="AF192" s="47"/>
      <c r="AG192" s="48"/>
    </row>
    <row r="193" spans="2:33" s="38" customFormat="1" x14ac:dyDescent="0.25">
      <c r="B193" s="49"/>
      <c r="C193" s="70"/>
      <c r="D193" s="42"/>
      <c r="F193" s="33"/>
      <c r="G193" s="47"/>
      <c r="H193" s="42"/>
      <c r="I193" s="27"/>
      <c r="J193" s="47"/>
      <c r="K193" s="42"/>
      <c r="L193" s="27"/>
      <c r="M193" s="47"/>
      <c r="N193" s="42"/>
      <c r="O193" s="27"/>
      <c r="P193" s="47"/>
      <c r="Q193" s="42"/>
      <c r="R193" s="27"/>
      <c r="S193" s="47"/>
      <c r="T193" s="42"/>
      <c r="U193" s="27"/>
      <c r="V193" s="47"/>
      <c r="W193" s="42"/>
      <c r="X193" s="27"/>
      <c r="Y193" s="47"/>
      <c r="Z193" s="42"/>
      <c r="AA193" s="27"/>
      <c r="AB193" s="47"/>
      <c r="AC193" s="42"/>
      <c r="AD193" s="27"/>
      <c r="AE193" s="33"/>
      <c r="AF193" s="47"/>
      <c r="AG193" s="48"/>
    </row>
    <row r="194" spans="2:33" s="38" customFormat="1" x14ac:dyDescent="0.25">
      <c r="B194" s="49"/>
      <c r="C194" s="70"/>
      <c r="D194" s="42"/>
      <c r="F194" s="33"/>
      <c r="G194" s="47"/>
      <c r="H194" s="42"/>
      <c r="I194" s="27"/>
      <c r="J194" s="47"/>
      <c r="K194" s="42"/>
      <c r="L194" s="27"/>
      <c r="M194" s="47"/>
      <c r="N194" s="42"/>
      <c r="O194" s="27"/>
      <c r="P194" s="47"/>
      <c r="Q194" s="42"/>
      <c r="R194" s="27"/>
      <c r="S194" s="47"/>
      <c r="T194" s="42"/>
      <c r="U194" s="27"/>
      <c r="V194" s="47"/>
      <c r="W194" s="42"/>
      <c r="X194" s="27"/>
      <c r="Y194" s="47"/>
      <c r="Z194" s="42"/>
      <c r="AA194" s="27"/>
      <c r="AB194" s="47"/>
      <c r="AC194" s="42"/>
      <c r="AD194" s="27"/>
      <c r="AE194" s="33"/>
      <c r="AF194" s="47"/>
      <c r="AG194" s="48"/>
    </row>
    <row r="195" spans="2:33" s="38" customFormat="1" x14ac:dyDescent="0.25">
      <c r="B195" s="49"/>
      <c r="C195" s="70"/>
      <c r="D195" s="42"/>
      <c r="F195" s="33"/>
      <c r="G195" s="47"/>
      <c r="H195" s="42"/>
      <c r="I195" s="27"/>
      <c r="J195" s="47"/>
      <c r="K195" s="42"/>
      <c r="L195" s="27"/>
      <c r="M195" s="47"/>
      <c r="N195" s="42"/>
      <c r="O195" s="27"/>
      <c r="P195" s="47"/>
      <c r="Q195" s="42"/>
      <c r="R195" s="27"/>
      <c r="S195" s="47"/>
      <c r="T195" s="42"/>
      <c r="U195" s="27"/>
      <c r="V195" s="47"/>
      <c r="W195" s="42"/>
      <c r="X195" s="27"/>
      <c r="Y195" s="47"/>
      <c r="Z195" s="42"/>
      <c r="AA195" s="27"/>
      <c r="AB195" s="47"/>
      <c r="AC195" s="42"/>
      <c r="AD195" s="27"/>
      <c r="AE195" s="33"/>
      <c r="AF195" s="47"/>
      <c r="AG195" s="48"/>
    </row>
    <row r="196" spans="2:33" s="38" customFormat="1" x14ac:dyDescent="0.25">
      <c r="B196" s="49"/>
      <c r="C196" s="70"/>
      <c r="D196" s="42"/>
      <c r="F196" s="33"/>
      <c r="G196" s="47"/>
      <c r="H196" s="42"/>
      <c r="I196" s="27"/>
      <c r="J196" s="47"/>
      <c r="K196" s="42"/>
      <c r="L196" s="27"/>
      <c r="M196" s="47"/>
      <c r="N196" s="42"/>
      <c r="O196" s="27"/>
      <c r="P196" s="47"/>
      <c r="Q196" s="42"/>
      <c r="R196" s="27"/>
      <c r="S196" s="47"/>
      <c r="T196" s="42"/>
      <c r="U196" s="27"/>
      <c r="V196" s="47"/>
      <c r="W196" s="42"/>
      <c r="X196" s="27"/>
      <c r="Y196" s="47"/>
      <c r="Z196" s="42"/>
      <c r="AA196" s="27"/>
      <c r="AB196" s="47"/>
      <c r="AC196" s="42"/>
      <c r="AD196" s="27"/>
      <c r="AE196" s="33"/>
      <c r="AF196" s="47"/>
      <c r="AG196" s="48"/>
    </row>
    <row r="197" spans="2:33" s="38" customFormat="1" x14ac:dyDescent="0.25">
      <c r="B197" s="49"/>
      <c r="C197" s="70"/>
      <c r="D197" s="42"/>
      <c r="F197" s="33"/>
      <c r="G197" s="47"/>
      <c r="H197" s="42"/>
      <c r="I197" s="27"/>
      <c r="J197" s="47"/>
      <c r="K197" s="42"/>
      <c r="L197" s="27"/>
      <c r="M197" s="47"/>
      <c r="N197" s="42"/>
      <c r="O197" s="27"/>
      <c r="P197" s="47"/>
      <c r="Q197" s="42"/>
      <c r="R197" s="27"/>
      <c r="S197" s="47"/>
      <c r="T197" s="42"/>
      <c r="U197" s="27"/>
      <c r="V197" s="47"/>
      <c r="W197" s="42"/>
      <c r="X197" s="27"/>
      <c r="Y197" s="47"/>
      <c r="Z197" s="42"/>
      <c r="AA197" s="27"/>
      <c r="AB197" s="47"/>
      <c r="AC197" s="42"/>
      <c r="AD197" s="27"/>
      <c r="AE197" s="33"/>
      <c r="AF197" s="47"/>
      <c r="AG197" s="48"/>
    </row>
    <row r="198" spans="2:33" s="38" customFormat="1" x14ac:dyDescent="0.25">
      <c r="B198" s="49"/>
      <c r="C198" s="70"/>
      <c r="D198" s="42"/>
      <c r="F198" s="33"/>
      <c r="G198" s="47"/>
      <c r="H198" s="42"/>
      <c r="I198" s="27"/>
      <c r="J198" s="47"/>
      <c r="K198" s="42"/>
      <c r="L198" s="27"/>
      <c r="M198" s="47"/>
      <c r="N198" s="42"/>
      <c r="O198" s="27"/>
      <c r="P198" s="47"/>
      <c r="Q198" s="42"/>
      <c r="R198" s="27"/>
      <c r="S198" s="47"/>
      <c r="T198" s="42"/>
      <c r="U198" s="27"/>
      <c r="V198" s="47"/>
      <c r="W198" s="42"/>
      <c r="X198" s="27"/>
      <c r="Y198" s="47"/>
      <c r="Z198" s="42"/>
      <c r="AA198" s="27"/>
      <c r="AB198" s="47"/>
      <c r="AC198" s="42"/>
      <c r="AD198" s="27"/>
      <c r="AE198" s="33"/>
      <c r="AF198" s="47"/>
      <c r="AG198" s="48"/>
    </row>
    <row r="199" spans="2:33" s="38" customFormat="1" x14ac:dyDescent="0.25">
      <c r="B199" s="49"/>
      <c r="C199" s="70"/>
      <c r="D199" s="42"/>
      <c r="F199" s="33"/>
      <c r="G199" s="47"/>
      <c r="H199" s="42"/>
      <c r="I199" s="27"/>
      <c r="J199" s="47"/>
      <c r="K199" s="42"/>
      <c r="L199" s="27"/>
      <c r="M199" s="47"/>
      <c r="N199" s="42"/>
      <c r="O199" s="27"/>
      <c r="P199" s="47"/>
      <c r="Q199" s="42"/>
      <c r="R199" s="27"/>
      <c r="S199" s="47"/>
      <c r="T199" s="42"/>
      <c r="U199" s="27"/>
      <c r="V199" s="47"/>
      <c r="W199" s="42"/>
      <c r="X199" s="27"/>
      <c r="Y199" s="47"/>
      <c r="Z199" s="42"/>
      <c r="AA199" s="27"/>
      <c r="AB199" s="47"/>
      <c r="AC199" s="42"/>
      <c r="AD199" s="27"/>
      <c r="AE199" s="33"/>
      <c r="AF199" s="47"/>
      <c r="AG199" s="48"/>
    </row>
    <row r="200" spans="2:33" s="38" customFormat="1" x14ac:dyDescent="0.25">
      <c r="B200" s="49"/>
      <c r="C200" s="70"/>
      <c r="D200" s="42"/>
      <c r="F200" s="33"/>
      <c r="G200" s="47"/>
      <c r="H200" s="42"/>
      <c r="I200" s="27"/>
      <c r="J200" s="47"/>
      <c r="K200" s="42"/>
      <c r="L200" s="27"/>
      <c r="M200" s="47"/>
      <c r="N200" s="42"/>
      <c r="O200" s="27"/>
      <c r="P200" s="47"/>
      <c r="Q200" s="42"/>
      <c r="R200" s="27"/>
      <c r="S200" s="47"/>
      <c r="T200" s="42"/>
      <c r="U200" s="27"/>
      <c r="V200" s="47"/>
      <c r="W200" s="42"/>
      <c r="X200" s="27"/>
      <c r="Y200" s="47"/>
      <c r="Z200" s="42"/>
      <c r="AA200" s="27"/>
      <c r="AB200" s="47"/>
      <c r="AC200" s="42"/>
      <c r="AD200" s="27"/>
      <c r="AE200" s="33"/>
      <c r="AF200" s="47"/>
      <c r="AG200" s="48"/>
    </row>
    <row r="201" spans="2:33" s="38" customFormat="1" x14ac:dyDescent="0.25">
      <c r="B201" s="49"/>
      <c r="C201" s="70"/>
      <c r="D201" s="42"/>
      <c r="F201" s="33"/>
      <c r="G201" s="47"/>
      <c r="H201" s="42"/>
      <c r="I201" s="27"/>
      <c r="J201" s="47"/>
      <c r="K201" s="42"/>
      <c r="L201" s="27"/>
      <c r="M201" s="47"/>
      <c r="N201" s="42"/>
      <c r="O201" s="27"/>
      <c r="P201" s="47"/>
      <c r="Q201" s="42"/>
      <c r="R201" s="27"/>
      <c r="S201" s="47"/>
      <c r="T201" s="42"/>
      <c r="U201" s="27"/>
      <c r="V201" s="47"/>
      <c r="W201" s="42"/>
      <c r="X201" s="27"/>
      <c r="Y201" s="47"/>
      <c r="Z201" s="42"/>
      <c r="AA201" s="27"/>
      <c r="AB201" s="47"/>
      <c r="AC201" s="42"/>
      <c r="AD201" s="27"/>
      <c r="AE201" s="33"/>
      <c r="AF201" s="47"/>
      <c r="AG201" s="48"/>
    </row>
    <row r="202" spans="2:33" s="38" customFormat="1" x14ac:dyDescent="0.25">
      <c r="B202" s="49"/>
      <c r="C202" s="70"/>
      <c r="D202" s="42"/>
      <c r="F202" s="33"/>
      <c r="G202" s="47"/>
      <c r="H202" s="42"/>
      <c r="I202" s="27"/>
      <c r="J202" s="47"/>
      <c r="K202" s="42"/>
      <c r="L202" s="27"/>
      <c r="M202" s="47"/>
      <c r="N202" s="42"/>
      <c r="O202" s="27"/>
      <c r="P202" s="47"/>
      <c r="Q202" s="42"/>
      <c r="R202" s="27"/>
      <c r="S202" s="47"/>
      <c r="T202" s="42"/>
      <c r="U202" s="27"/>
      <c r="V202" s="47"/>
      <c r="W202" s="42"/>
      <c r="X202" s="27"/>
      <c r="Y202" s="47"/>
      <c r="Z202" s="42"/>
      <c r="AA202" s="27"/>
      <c r="AB202" s="47"/>
      <c r="AC202" s="42"/>
      <c r="AD202" s="27"/>
      <c r="AE202" s="33"/>
      <c r="AF202" s="47"/>
      <c r="AG202" s="48"/>
    </row>
    <row r="203" spans="2:33" s="38" customFormat="1" x14ac:dyDescent="0.25">
      <c r="B203" s="49"/>
      <c r="C203" s="70"/>
      <c r="D203" s="42"/>
      <c r="F203" s="33"/>
      <c r="G203" s="47"/>
      <c r="H203" s="42"/>
      <c r="I203" s="27"/>
      <c r="J203" s="47"/>
      <c r="K203" s="42"/>
      <c r="L203" s="27"/>
      <c r="M203" s="47"/>
      <c r="N203" s="42"/>
      <c r="O203" s="27"/>
      <c r="P203" s="47"/>
      <c r="Q203" s="42"/>
      <c r="R203" s="27"/>
      <c r="S203" s="47"/>
      <c r="T203" s="42"/>
      <c r="U203" s="27"/>
      <c r="V203" s="47"/>
      <c r="W203" s="42"/>
      <c r="X203" s="27"/>
      <c r="Y203" s="47"/>
      <c r="Z203" s="42"/>
      <c r="AA203" s="27"/>
      <c r="AB203" s="47"/>
      <c r="AC203" s="42"/>
      <c r="AD203" s="27"/>
      <c r="AE203" s="33"/>
      <c r="AF203" s="47"/>
      <c r="AG203" s="48"/>
    </row>
    <row r="204" spans="2:33" s="38" customFormat="1" x14ac:dyDescent="0.25">
      <c r="B204" s="49"/>
      <c r="C204" s="70"/>
      <c r="D204" s="42"/>
      <c r="F204" s="33"/>
      <c r="G204" s="47"/>
      <c r="H204" s="42"/>
      <c r="I204" s="27"/>
      <c r="J204" s="47"/>
      <c r="K204" s="42"/>
      <c r="L204" s="27"/>
      <c r="M204" s="47"/>
      <c r="N204" s="42"/>
      <c r="O204" s="27"/>
      <c r="P204" s="47"/>
      <c r="Q204" s="42"/>
      <c r="R204" s="27"/>
      <c r="S204" s="47"/>
      <c r="T204" s="42"/>
      <c r="U204" s="27"/>
      <c r="V204" s="47"/>
      <c r="W204" s="42"/>
      <c r="X204" s="27"/>
      <c r="Y204" s="47"/>
      <c r="Z204" s="42"/>
      <c r="AA204" s="27"/>
      <c r="AB204" s="47"/>
      <c r="AC204" s="42"/>
      <c r="AD204" s="27"/>
      <c r="AE204" s="33"/>
      <c r="AF204" s="47"/>
      <c r="AG204" s="48"/>
    </row>
    <row r="205" spans="2:33" s="38" customFormat="1" x14ac:dyDescent="0.25">
      <c r="B205" s="49"/>
      <c r="C205" s="70"/>
      <c r="D205" s="42"/>
      <c r="F205" s="33"/>
      <c r="G205" s="47"/>
      <c r="H205" s="42"/>
      <c r="I205" s="27"/>
      <c r="J205" s="47"/>
      <c r="K205" s="42"/>
      <c r="L205" s="27"/>
      <c r="M205" s="47"/>
      <c r="N205" s="42"/>
      <c r="O205" s="27"/>
      <c r="P205" s="47"/>
      <c r="Q205" s="42"/>
      <c r="R205" s="27"/>
      <c r="S205" s="47"/>
      <c r="T205" s="42"/>
      <c r="U205" s="27"/>
      <c r="V205" s="47"/>
      <c r="W205" s="42"/>
      <c r="X205" s="27"/>
      <c r="Y205" s="47"/>
      <c r="Z205" s="42"/>
      <c r="AA205" s="27"/>
      <c r="AB205" s="47"/>
      <c r="AC205" s="42"/>
      <c r="AD205" s="27"/>
      <c r="AE205" s="33"/>
      <c r="AF205" s="47"/>
      <c r="AG205" s="48"/>
    </row>
    <row r="206" spans="2:33" s="38" customFormat="1" x14ac:dyDescent="0.25">
      <c r="B206" s="49"/>
      <c r="C206" s="70"/>
      <c r="D206" s="42"/>
      <c r="F206" s="33"/>
      <c r="G206" s="47"/>
      <c r="H206" s="42"/>
      <c r="I206" s="27"/>
      <c r="J206" s="47"/>
      <c r="K206" s="42"/>
      <c r="L206" s="27"/>
      <c r="M206" s="47"/>
      <c r="N206" s="42"/>
      <c r="O206" s="27"/>
      <c r="P206" s="47"/>
      <c r="Q206" s="42"/>
      <c r="R206" s="27"/>
      <c r="S206" s="47"/>
      <c r="T206" s="42"/>
      <c r="U206" s="27"/>
      <c r="V206" s="47"/>
      <c r="W206" s="42"/>
      <c r="X206" s="27"/>
      <c r="Y206" s="47"/>
      <c r="Z206" s="42"/>
      <c r="AA206" s="27"/>
      <c r="AB206" s="47"/>
      <c r="AC206" s="42"/>
      <c r="AD206" s="27"/>
      <c r="AE206" s="33"/>
      <c r="AF206" s="47"/>
      <c r="AG206" s="48"/>
    </row>
    <row r="207" spans="2:33" s="38" customFormat="1" x14ac:dyDescent="0.25">
      <c r="B207" s="49"/>
      <c r="C207" s="70"/>
      <c r="D207" s="42"/>
      <c r="F207" s="33"/>
      <c r="G207" s="47"/>
      <c r="H207" s="42"/>
      <c r="I207" s="27"/>
      <c r="J207" s="47"/>
      <c r="K207" s="42"/>
      <c r="L207" s="27"/>
      <c r="M207" s="47"/>
      <c r="N207" s="42"/>
      <c r="O207" s="27"/>
      <c r="P207" s="47"/>
      <c r="Q207" s="42"/>
      <c r="R207" s="27"/>
      <c r="S207" s="47"/>
      <c r="T207" s="42"/>
      <c r="U207" s="27"/>
      <c r="V207" s="47"/>
      <c r="W207" s="42"/>
      <c r="X207" s="27"/>
      <c r="Y207" s="47"/>
      <c r="Z207" s="42"/>
      <c r="AA207" s="27"/>
      <c r="AB207" s="47"/>
      <c r="AC207" s="42"/>
      <c r="AD207" s="27"/>
      <c r="AE207" s="33"/>
      <c r="AF207" s="47"/>
      <c r="AG207" s="48"/>
    </row>
    <row r="208" spans="2:33" s="38" customFormat="1" x14ac:dyDescent="0.25">
      <c r="B208" s="49"/>
      <c r="C208" s="70"/>
      <c r="D208" s="42"/>
      <c r="F208" s="33"/>
      <c r="G208" s="47"/>
      <c r="H208" s="42"/>
      <c r="I208" s="27"/>
      <c r="J208" s="47"/>
      <c r="K208" s="42"/>
      <c r="L208" s="27"/>
      <c r="M208" s="47"/>
      <c r="N208" s="42"/>
      <c r="O208" s="27"/>
      <c r="P208" s="47"/>
      <c r="Q208" s="42"/>
      <c r="R208" s="27"/>
      <c r="S208" s="47"/>
      <c r="T208" s="42"/>
      <c r="U208" s="27"/>
      <c r="V208" s="47"/>
      <c r="W208" s="42"/>
      <c r="X208" s="27"/>
      <c r="Y208" s="47"/>
      <c r="Z208" s="42"/>
      <c r="AA208" s="27"/>
      <c r="AB208" s="47"/>
      <c r="AC208" s="42"/>
      <c r="AD208" s="27"/>
      <c r="AE208" s="33"/>
      <c r="AF208" s="47"/>
      <c r="AG208" s="48"/>
    </row>
    <row r="209" spans="2:33" s="38" customFormat="1" x14ac:dyDescent="0.25">
      <c r="B209" s="49"/>
      <c r="C209" s="70"/>
      <c r="D209" s="42"/>
      <c r="F209" s="33"/>
      <c r="G209" s="47"/>
      <c r="H209" s="42"/>
      <c r="I209" s="27"/>
      <c r="J209" s="47"/>
      <c r="K209" s="42"/>
      <c r="L209" s="27"/>
      <c r="M209" s="47"/>
      <c r="N209" s="42"/>
      <c r="O209" s="27"/>
      <c r="P209" s="47"/>
      <c r="Q209" s="42"/>
      <c r="R209" s="27"/>
      <c r="S209" s="47"/>
      <c r="T209" s="42"/>
      <c r="U209" s="27"/>
      <c r="V209" s="47"/>
      <c r="W209" s="42"/>
      <c r="X209" s="27"/>
      <c r="Y209" s="47"/>
      <c r="Z209" s="42"/>
      <c r="AA209" s="27"/>
      <c r="AB209" s="47"/>
      <c r="AC209" s="42"/>
      <c r="AD209" s="27"/>
      <c r="AE209" s="33"/>
      <c r="AF209" s="47"/>
      <c r="AG209" s="48"/>
    </row>
    <row r="210" spans="2:33" s="38" customFormat="1" x14ac:dyDescent="0.25">
      <c r="B210" s="49"/>
      <c r="C210" s="70"/>
      <c r="D210" s="42"/>
      <c r="F210" s="33"/>
      <c r="G210" s="47"/>
      <c r="H210" s="42"/>
      <c r="I210" s="27"/>
      <c r="J210" s="47"/>
      <c r="K210" s="42"/>
      <c r="L210" s="27"/>
      <c r="M210" s="47"/>
      <c r="N210" s="42"/>
      <c r="O210" s="27"/>
      <c r="P210" s="47"/>
      <c r="Q210" s="42"/>
      <c r="R210" s="27"/>
      <c r="S210" s="47"/>
      <c r="T210" s="42"/>
      <c r="U210" s="27"/>
      <c r="V210" s="47"/>
      <c r="W210" s="42"/>
      <c r="X210" s="27"/>
      <c r="Y210" s="47"/>
      <c r="Z210" s="42"/>
      <c r="AA210" s="27"/>
      <c r="AB210" s="47"/>
      <c r="AC210" s="42"/>
      <c r="AD210" s="27"/>
      <c r="AE210" s="33"/>
      <c r="AF210" s="47"/>
      <c r="AG210" s="48"/>
    </row>
    <row r="211" spans="2:33" s="38" customFormat="1" x14ac:dyDescent="0.25">
      <c r="B211" s="49"/>
      <c r="C211" s="70"/>
      <c r="D211" s="42"/>
      <c r="F211" s="33"/>
      <c r="G211" s="47"/>
      <c r="H211" s="42"/>
      <c r="I211" s="27"/>
      <c r="J211" s="47"/>
      <c r="K211" s="42"/>
      <c r="L211" s="27"/>
      <c r="M211" s="47"/>
      <c r="N211" s="42"/>
      <c r="O211" s="27"/>
      <c r="P211" s="47"/>
      <c r="Q211" s="42"/>
      <c r="R211" s="27"/>
      <c r="S211" s="47"/>
      <c r="T211" s="42"/>
      <c r="U211" s="27"/>
      <c r="V211" s="47"/>
      <c r="W211" s="42"/>
      <c r="X211" s="27"/>
      <c r="Y211" s="47"/>
      <c r="Z211" s="42"/>
      <c r="AA211" s="27"/>
      <c r="AB211" s="47"/>
      <c r="AC211" s="42"/>
      <c r="AD211" s="27"/>
      <c r="AE211" s="33"/>
      <c r="AF211" s="47"/>
      <c r="AG211" s="48"/>
    </row>
    <row r="212" spans="2:33" s="38" customFormat="1" x14ac:dyDescent="0.25">
      <c r="B212" s="49"/>
      <c r="C212" s="70"/>
      <c r="D212" s="42"/>
      <c r="F212" s="33"/>
      <c r="G212" s="47"/>
      <c r="H212" s="42"/>
      <c r="I212" s="27"/>
      <c r="J212" s="47"/>
      <c r="K212" s="42"/>
      <c r="L212" s="27"/>
      <c r="M212" s="47"/>
      <c r="N212" s="42"/>
      <c r="O212" s="27"/>
      <c r="P212" s="47"/>
      <c r="Q212" s="42"/>
      <c r="R212" s="27"/>
      <c r="S212" s="47"/>
      <c r="T212" s="42"/>
      <c r="U212" s="27"/>
      <c r="V212" s="47"/>
      <c r="W212" s="42"/>
      <c r="X212" s="27"/>
      <c r="Y212" s="47"/>
      <c r="Z212" s="42"/>
      <c r="AA212" s="27"/>
      <c r="AB212" s="47"/>
      <c r="AC212" s="42"/>
      <c r="AD212" s="27"/>
      <c r="AE212" s="33"/>
      <c r="AF212" s="47"/>
      <c r="AG212" s="48"/>
    </row>
    <row r="213" spans="2:33" s="38" customFormat="1" x14ac:dyDescent="0.25">
      <c r="B213" s="49"/>
      <c r="C213" s="70"/>
      <c r="D213" s="42"/>
      <c r="F213" s="33"/>
      <c r="G213" s="47"/>
      <c r="H213" s="42"/>
      <c r="I213" s="27"/>
      <c r="J213" s="47"/>
      <c r="K213" s="42"/>
      <c r="L213" s="27"/>
      <c r="M213" s="47"/>
      <c r="N213" s="42"/>
      <c r="O213" s="27"/>
      <c r="P213" s="47"/>
      <c r="Q213" s="42"/>
      <c r="R213" s="27"/>
      <c r="S213" s="47"/>
      <c r="T213" s="42"/>
      <c r="U213" s="27"/>
      <c r="V213" s="47"/>
      <c r="W213" s="42"/>
      <c r="X213" s="27"/>
      <c r="Y213" s="47"/>
      <c r="Z213" s="42"/>
      <c r="AA213" s="27"/>
      <c r="AB213" s="47"/>
      <c r="AC213" s="42"/>
      <c r="AD213" s="27"/>
      <c r="AE213" s="33"/>
      <c r="AF213" s="47"/>
      <c r="AG213" s="48"/>
    </row>
    <row r="214" spans="2:33" s="38" customFormat="1" x14ac:dyDescent="0.25">
      <c r="B214" s="49"/>
      <c r="C214" s="70"/>
      <c r="D214" s="42"/>
      <c r="F214" s="33"/>
      <c r="G214" s="47"/>
      <c r="H214" s="42"/>
      <c r="I214" s="27"/>
      <c r="J214" s="47"/>
      <c r="K214" s="42"/>
      <c r="L214" s="27"/>
      <c r="M214" s="47"/>
      <c r="N214" s="42"/>
      <c r="O214" s="27"/>
      <c r="P214" s="47"/>
      <c r="Q214" s="42"/>
      <c r="R214" s="27"/>
      <c r="S214" s="47"/>
      <c r="T214" s="42"/>
      <c r="U214" s="27"/>
      <c r="V214" s="47"/>
      <c r="W214" s="42"/>
      <c r="X214" s="27"/>
      <c r="Y214" s="47"/>
      <c r="Z214" s="42"/>
      <c r="AA214" s="27"/>
      <c r="AB214" s="47"/>
      <c r="AC214" s="42"/>
      <c r="AD214" s="27"/>
      <c r="AE214" s="33"/>
      <c r="AF214" s="47"/>
      <c r="AG214" s="48"/>
    </row>
    <row r="215" spans="2:33" s="38" customFormat="1" x14ac:dyDescent="0.25">
      <c r="B215" s="49"/>
      <c r="C215" s="70"/>
      <c r="D215" s="42"/>
      <c r="F215" s="33"/>
      <c r="G215" s="47"/>
      <c r="H215" s="42"/>
      <c r="I215" s="27"/>
      <c r="J215" s="47"/>
      <c r="K215" s="42"/>
      <c r="L215" s="27"/>
      <c r="M215" s="47"/>
      <c r="N215" s="42"/>
      <c r="O215" s="27"/>
      <c r="P215" s="47"/>
      <c r="Q215" s="42"/>
      <c r="R215" s="27"/>
      <c r="S215" s="47"/>
      <c r="T215" s="42"/>
      <c r="U215" s="27"/>
      <c r="V215" s="47"/>
      <c r="W215" s="42"/>
      <c r="X215" s="27"/>
      <c r="Y215" s="47"/>
      <c r="Z215" s="42"/>
      <c r="AA215" s="27"/>
      <c r="AB215" s="47"/>
      <c r="AC215" s="42"/>
      <c r="AD215" s="27"/>
      <c r="AE215" s="33"/>
      <c r="AF215" s="47"/>
      <c r="AG215" s="48"/>
    </row>
    <row r="216" spans="2:33" s="38" customFormat="1" x14ac:dyDescent="0.25">
      <c r="B216" s="49"/>
      <c r="C216" s="70"/>
      <c r="D216" s="42"/>
      <c r="F216" s="33"/>
      <c r="G216" s="47"/>
      <c r="H216" s="42"/>
      <c r="I216" s="27"/>
      <c r="J216" s="47"/>
      <c r="K216" s="42"/>
      <c r="L216" s="27"/>
      <c r="M216" s="47"/>
      <c r="N216" s="42"/>
      <c r="O216" s="27"/>
      <c r="P216" s="47"/>
      <c r="Q216" s="42"/>
      <c r="R216" s="27"/>
      <c r="S216" s="47"/>
      <c r="T216" s="42"/>
      <c r="U216" s="27"/>
      <c r="V216" s="47"/>
      <c r="W216" s="42"/>
      <c r="X216" s="27"/>
      <c r="Y216" s="47"/>
      <c r="Z216" s="42"/>
      <c r="AA216" s="27"/>
      <c r="AB216" s="47"/>
      <c r="AC216" s="42"/>
      <c r="AD216" s="27"/>
      <c r="AE216" s="33"/>
      <c r="AF216" s="47"/>
      <c r="AG216" s="48"/>
    </row>
    <row r="217" spans="2:33" s="38" customFormat="1" x14ac:dyDescent="0.25">
      <c r="B217" s="49"/>
      <c r="C217" s="70"/>
      <c r="D217" s="42"/>
      <c r="F217" s="33"/>
      <c r="G217" s="47"/>
      <c r="H217" s="42"/>
      <c r="I217" s="27"/>
      <c r="J217" s="47"/>
      <c r="K217" s="42"/>
      <c r="L217" s="27"/>
      <c r="M217" s="47"/>
      <c r="N217" s="42"/>
      <c r="O217" s="27"/>
      <c r="P217" s="47"/>
      <c r="Q217" s="42"/>
      <c r="R217" s="27"/>
      <c r="S217" s="47"/>
      <c r="T217" s="42"/>
      <c r="U217" s="27"/>
      <c r="V217" s="47"/>
      <c r="W217" s="42"/>
      <c r="X217" s="27"/>
      <c r="Y217" s="47"/>
      <c r="Z217" s="42"/>
      <c r="AA217" s="27"/>
      <c r="AB217" s="47"/>
      <c r="AC217" s="42"/>
      <c r="AD217" s="27"/>
      <c r="AE217" s="33"/>
      <c r="AF217" s="47"/>
      <c r="AG217" s="48"/>
    </row>
    <row r="218" spans="2:33" s="38" customFormat="1" x14ac:dyDescent="0.25">
      <c r="B218" s="49"/>
      <c r="C218" s="70"/>
      <c r="D218" s="42"/>
      <c r="F218" s="33"/>
      <c r="G218" s="47"/>
      <c r="H218" s="42"/>
      <c r="I218" s="27"/>
      <c r="J218" s="47"/>
      <c r="K218" s="42"/>
      <c r="L218" s="27"/>
      <c r="M218" s="47"/>
      <c r="N218" s="42"/>
      <c r="O218" s="27"/>
      <c r="P218" s="47"/>
      <c r="Q218" s="42"/>
      <c r="R218" s="27"/>
      <c r="S218" s="47"/>
      <c r="T218" s="42"/>
      <c r="U218" s="27"/>
      <c r="V218" s="47"/>
      <c r="W218" s="42"/>
      <c r="X218" s="27"/>
      <c r="Y218" s="47"/>
      <c r="Z218" s="42"/>
      <c r="AA218" s="27"/>
      <c r="AB218" s="47"/>
      <c r="AC218" s="42"/>
      <c r="AD218" s="27"/>
      <c r="AE218" s="33"/>
      <c r="AF218" s="47"/>
      <c r="AG218" s="48"/>
    </row>
    <row r="219" spans="2:33" s="38" customFormat="1" x14ac:dyDescent="0.25">
      <c r="B219" s="49"/>
      <c r="C219" s="70"/>
      <c r="D219" s="42"/>
      <c r="F219" s="33"/>
      <c r="G219" s="47"/>
      <c r="H219" s="42"/>
      <c r="I219" s="27"/>
      <c r="J219" s="47"/>
      <c r="K219" s="42"/>
      <c r="L219" s="27"/>
      <c r="M219" s="47"/>
      <c r="N219" s="42"/>
      <c r="O219" s="27"/>
      <c r="P219" s="47"/>
      <c r="Q219" s="42"/>
      <c r="R219" s="27"/>
      <c r="S219" s="47"/>
      <c r="T219" s="42"/>
      <c r="U219" s="27"/>
      <c r="V219" s="47"/>
      <c r="W219" s="42"/>
      <c r="X219" s="27"/>
      <c r="Y219" s="47"/>
      <c r="Z219" s="42"/>
      <c r="AA219" s="27"/>
      <c r="AB219" s="47"/>
      <c r="AC219" s="42"/>
      <c r="AD219" s="27"/>
      <c r="AE219" s="33"/>
      <c r="AF219" s="47"/>
      <c r="AG219" s="48"/>
    </row>
    <row r="220" spans="2:33" s="38" customFormat="1" x14ac:dyDescent="0.25">
      <c r="B220" s="49"/>
      <c r="C220" s="70"/>
      <c r="D220" s="42"/>
      <c r="F220" s="33"/>
      <c r="G220" s="47"/>
      <c r="H220" s="42"/>
      <c r="I220" s="27"/>
      <c r="J220" s="47"/>
      <c r="K220" s="42"/>
      <c r="L220" s="27"/>
      <c r="M220" s="47"/>
      <c r="N220" s="42"/>
      <c r="O220" s="27"/>
      <c r="P220" s="47"/>
      <c r="Q220" s="42"/>
      <c r="R220" s="27"/>
      <c r="S220" s="47"/>
      <c r="T220" s="42"/>
      <c r="U220" s="27"/>
      <c r="V220" s="47"/>
      <c r="W220" s="42"/>
      <c r="X220" s="27"/>
      <c r="Y220" s="47"/>
      <c r="Z220" s="42"/>
      <c r="AA220" s="27"/>
      <c r="AB220" s="47"/>
      <c r="AC220" s="42"/>
      <c r="AD220" s="27"/>
      <c r="AE220" s="33"/>
      <c r="AF220" s="47"/>
      <c r="AG220" s="48"/>
    </row>
    <row r="221" spans="2:33" s="38" customFormat="1" x14ac:dyDescent="0.25">
      <c r="B221" s="49"/>
      <c r="C221" s="70"/>
      <c r="D221" s="42"/>
      <c r="F221" s="33"/>
      <c r="G221" s="47"/>
      <c r="H221" s="42"/>
      <c r="I221" s="27"/>
      <c r="J221" s="47"/>
      <c r="K221" s="42"/>
      <c r="L221" s="27"/>
      <c r="M221" s="47"/>
      <c r="N221" s="42"/>
      <c r="O221" s="27"/>
      <c r="P221" s="47"/>
      <c r="Q221" s="42"/>
      <c r="R221" s="27"/>
      <c r="S221" s="47"/>
      <c r="T221" s="42"/>
      <c r="U221" s="27"/>
      <c r="V221" s="47"/>
      <c r="W221" s="42"/>
      <c r="X221" s="27"/>
      <c r="Y221" s="47"/>
      <c r="Z221" s="42"/>
      <c r="AA221" s="27"/>
      <c r="AB221" s="47"/>
      <c r="AC221" s="42"/>
      <c r="AD221" s="27"/>
      <c r="AE221" s="33"/>
      <c r="AF221" s="47"/>
      <c r="AG221" s="48"/>
    </row>
    <row r="222" spans="2:33" s="38" customFormat="1" x14ac:dyDescent="0.25">
      <c r="B222" s="49"/>
      <c r="C222" s="70"/>
      <c r="D222" s="42"/>
      <c r="F222" s="33"/>
      <c r="G222" s="47"/>
      <c r="H222" s="42"/>
      <c r="I222" s="27"/>
      <c r="J222" s="47"/>
      <c r="K222" s="42"/>
      <c r="L222" s="27"/>
      <c r="M222" s="47"/>
      <c r="N222" s="42"/>
      <c r="O222" s="27"/>
      <c r="P222" s="47"/>
      <c r="Q222" s="42"/>
      <c r="R222" s="27"/>
      <c r="S222" s="47"/>
      <c r="T222" s="42"/>
      <c r="U222" s="27"/>
      <c r="V222" s="47"/>
      <c r="W222" s="42"/>
      <c r="X222" s="27"/>
      <c r="Y222" s="47"/>
      <c r="Z222" s="42"/>
      <c r="AA222" s="27"/>
      <c r="AB222" s="47"/>
      <c r="AC222" s="42"/>
      <c r="AD222" s="27"/>
      <c r="AE222" s="33"/>
      <c r="AF222" s="47"/>
      <c r="AG222" s="48"/>
    </row>
    <row r="223" spans="2:33" s="38" customFormat="1" x14ac:dyDescent="0.25">
      <c r="B223" s="49"/>
      <c r="C223" s="70"/>
      <c r="D223" s="42"/>
      <c r="F223" s="33"/>
      <c r="G223" s="47"/>
      <c r="H223" s="42"/>
      <c r="I223" s="27"/>
      <c r="J223" s="47"/>
      <c r="K223" s="42"/>
      <c r="L223" s="27"/>
      <c r="M223" s="47"/>
      <c r="N223" s="42"/>
      <c r="O223" s="27"/>
      <c r="P223" s="47"/>
      <c r="Q223" s="42"/>
      <c r="R223" s="27"/>
      <c r="S223" s="47"/>
      <c r="T223" s="42"/>
      <c r="U223" s="27"/>
      <c r="V223" s="47"/>
      <c r="W223" s="42"/>
      <c r="X223" s="27"/>
      <c r="Y223" s="47"/>
      <c r="Z223" s="42"/>
      <c r="AA223" s="27"/>
      <c r="AB223" s="47"/>
      <c r="AC223" s="42"/>
      <c r="AD223" s="27"/>
      <c r="AE223" s="33"/>
      <c r="AF223" s="47"/>
      <c r="AG223" s="48"/>
    </row>
    <row r="224" spans="2:33" s="38" customFormat="1" x14ac:dyDescent="0.25">
      <c r="B224" s="49"/>
      <c r="C224" s="70"/>
      <c r="D224" s="42"/>
      <c r="F224" s="33"/>
      <c r="G224" s="47"/>
      <c r="H224" s="42"/>
      <c r="I224" s="27"/>
      <c r="J224" s="47"/>
      <c r="K224" s="42"/>
      <c r="L224" s="27"/>
      <c r="M224" s="47"/>
      <c r="N224" s="42"/>
      <c r="O224" s="27"/>
      <c r="P224" s="47"/>
      <c r="Q224" s="42"/>
      <c r="R224" s="27"/>
      <c r="S224" s="47"/>
      <c r="T224" s="42"/>
      <c r="U224" s="27"/>
      <c r="V224" s="47"/>
      <c r="W224" s="42"/>
      <c r="X224" s="27"/>
      <c r="Y224" s="47"/>
      <c r="Z224" s="42"/>
      <c r="AA224" s="27"/>
      <c r="AB224" s="47"/>
      <c r="AC224" s="42"/>
      <c r="AD224" s="27"/>
      <c r="AE224" s="33"/>
      <c r="AF224" s="47"/>
      <c r="AG224" s="48"/>
    </row>
    <row r="225" spans="2:33" s="38" customFormat="1" x14ac:dyDescent="0.25">
      <c r="B225" s="49"/>
      <c r="C225" s="70"/>
      <c r="D225" s="42"/>
      <c r="F225" s="33"/>
      <c r="G225" s="47"/>
      <c r="H225" s="42"/>
      <c r="I225" s="27"/>
      <c r="J225" s="47"/>
      <c r="K225" s="42"/>
      <c r="L225" s="27"/>
      <c r="M225" s="47"/>
      <c r="N225" s="42"/>
      <c r="O225" s="27"/>
      <c r="P225" s="47"/>
      <c r="Q225" s="42"/>
      <c r="R225" s="27"/>
      <c r="S225" s="47"/>
      <c r="T225" s="42"/>
      <c r="U225" s="27"/>
      <c r="V225" s="47"/>
      <c r="W225" s="42"/>
      <c r="X225" s="27"/>
      <c r="Y225" s="47"/>
      <c r="Z225" s="42"/>
      <c r="AA225" s="27"/>
      <c r="AB225" s="47"/>
      <c r="AC225" s="42"/>
      <c r="AD225" s="27"/>
      <c r="AE225" s="33"/>
      <c r="AF225" s="47"/>
      <c r="AG225" s="48"/>
    </row>
    <row r="226" spans="2:33" s="38" customFormat="1" x14ac:dyDescent="0.25">
      <c r="B226" s="49"/>
      <c r="C226" s="70"/>
      <c r="D226" s="42"/>
      <c r="F226" s="33"/>
      <c r="G226" s="47"/>
      <c r="H226" s="42"/>
      <c r="I226" s="27"/>
      <c r="J226" s="47"/>
      <c r="K226" s="42"/>
      <c r="L226" s="27"/>
      <c r="M226" s="47"/>
      <c r="N226" s="42"/>
      <c r="O226" s="27"/>
      <c r="P226" s="47"/>
      <c r="Q226" s="42"/>
      <c r="R226" s="27"/>
      <c r="S226" s="47"/>
      <c r="T226" s="42"/>
      <c r="U226" s="27"/>
      <c r="V226" s="47"/>
      <c r="W226" s="42"/>
      <c r="X226" s="27"/>
      <c r="Y226" s="47"/>
      <c r="Z226" s="42"/>
      <c r="AA226" s="27"/>
      <c r="AB226" s="47"/>
      <c r="AC226" s="42"/>
      <c r="AD226" s="27"/>
      <c r="AE226" s="33"/>
      <c r="AF226" s="47"/>
      <c r="AG226" s="48"/>
    </row>
    <row r="227" spans="2:33" s="38" customFormat="1" x14ac:dyDescent="0.25">
      <c r="B227" s="49"/>
      <c r="C227" s="70"/>
      <c r="D227" s="42"/>
      <c r="F227" s="33"/>
      <c r="G227" s="47"/>
      <c r="H227" s="42"/>
      <c r="I227" s="27"/>
      <c r="J227" s="47"/>
      <c r="K227" s="42"/>
      <c r="L227" s="27"/>
      <c r="M227" s="47"/>
      <c r="N227" s="42"/>
      <c r="O227" s="27"/>
      <c r="P227" s="47"/>
      <c r="Q227" s="42"/>
      <c r="R227" s="27"/>
      <c r="S227" s="47"/>
      <c r="T227" s="42"/>
      <c r="U227" s="27"/>
      <c r="V227" s="47"/>
      <c r="W227" s="42"/>
      <c r="X227" s="27"/>
      <c r="Y227" s="47"/>
      <c r="Z227" s="42"/>
      <c r="AA227" s="27"/>
      <c r="AB227" s="47"/>
      <c r="AC227" s="42"/>
      <c r="AD227" s="27"/>
      <c r="AE227" s="33"/>
      <c r="AF227" s="47"/>
      <c r="AG227" s="48"/>
    </row>
    <row r="228" spans="2:33" s="38" customFormat="1" x14ac:dyDescent="0.25">
      <c r="B228" s="49"/>
      <c r="C228" s="70"/>
      <c r="D228" s="42"/>
      <c r="F228" s="33"/>
      <c r="G228" s="47"/>
      <c r="H228" s="42"/>
      <c r="I228" s="27"/>
      <c r="J228" s="47"/>
      <c r="K228" s="42"/>
      <c r="L228" s="27"/>
      <c r="M228" s="47"/>
      <c r="N228" s="42"/>
      <c r="O228" s="27"/>
      <c r="P228" s="47"/>
      <c r="Q228" s="42"/>
      <c r="R228" s="27"/>
      <c r="S228" s="47"/>
      <c r="T228" s="42"/>
      <c r="U228" s="27"/>
      <c r="V228" s="47"/>
      <c r="W228" s="42"/>
      <c r="X228" s="27"/>
      <c r="Y228" s="47"/>
      <c r="Z228" s="42"/>
      <c r="AA228" s="27"/>
      <c r="AB228" s="47"/>
      <c r="AC228" s="42"/>
      <c r="AD228" s="27"/>
      <c r="AE228" s="33"/>
      <c r="AF228" s="47"/>
      <c r="AG228" s="48"/>
    </row>
    <row r="229" spans="2:33" s="38" customFormat="1" x14ac:dyDescent="0.25">
      <c r="B229" s="49"/>
      <c r="C229" s="70"/>
      <c r="D229" s="42"/>
      <c r="F229" s="33"/>
      <c r="G229" s="47"/>
      <c r="H229" s="42"/>
      <c r="I229" s="27"/>
      <c r="J229" s="47"/>
      <c r="K229" s="42"/>
      <c r="L229" s="27"/>
      <c r="M229" s="47"/>
      <c r="N229" s="42"/>
      <c r="O229" s="27"/>
      <c r="P229" s="47"/>
      <c r="Q229" s="42"/>
      <c r="R229" s="27"/>
      <c r="S229" s="47"/>
      <c r="T229" s="42"/>
      <c r="U229" s="27"/>
      <c r="V229" s="47"/>
      <c r="W229" s="42"/>
      <c r="X229" s="27"/>
      <c r="Y229" s="47"/>
      <c r="Z229" s="42"/>
      <c r="AA229" s="27"/>
      <c r="AB229" s="47"/>
      <c r="AC229" s="42"/>
      <c r="AD229" s="27"/>
      <c r="AE229" s="33"/>
      <c r="AF229" s="47"/>
      <c r="AG229" s="48"/>
    </row>
    <row r="230" spans="2:33" s="38" customFormat="1" x14ac:dyDescent="0.25">
      <c r="B230" s="49"/>
      <c r="C230" s="70"/>
      <c r="D230" s="42"/>
      <c r="F230" s="33"/>
      <c r="G230" s="47"/>
      <c r="H230" s="42"/>
      <c r="I230" s="27"/>
      <c r="J230" s="47"/>
      <c r="K230" s="42"/>
      <c r="L230" s="27"/>
      <c r="M230" s="47"/>
      <c r="N230" s="42"/>
      <c r="O230" s="27"/>
      <c r="P230" s="47"/>
      <c r="Q230" s="42"/>
      <c r="R230" s="27"/>
      <c r="S230" s="47"/>
      <c r="T230" s="42"/>
      <c r="U230" s="27"/>
      <c r="V230" s="47"/>
      <c r="W230" s="42"/>
      <c r="X230" s="27"/>
      <c r="Y230" s="47"/>
      <c r="Z230" s="42"/>
      <c r="AA230" s="27"/>
      <c r="AB230" s="47"/>
      <c r="AC230" s="42"/>
      <c r="AD230" s="27"/>
      <c r="AE230" s="33"/>
      <c r="AF230" s="47"/>
      <c r="AG230" s="48"/>
    </row>
    <row r="231" spans="2:33" s="38" customFormat="1" x14ac:dyDescent="0.25">
      <c r="B231" s="49"/>
      <c r="C231" s="70"/>
      <c r="D231" s="42"/>
      <c r="F231" s="33"/>
      <c r="G231" s="47"/>
      <c r="H231" s="42"/>
      <c r="I231" s="27"/>
      <c r="J231" s="47"/>
      <c r="K231" s="42"/>
      <c r="L231" s="27"/>
      <c r="M231" s="47"/>
      <c r="N231" s="42"/>
      <c r="O231" s="27"/>
      <c r="P231" s="47"/>
      <c r="Q231" s="42"/>
      <c r="R231" s="27"/>
      <c r="S231" s="47"/>
      <c r="T231" s="42"/>
      <c r="U231" s="27"/>
      <c r="V231" s="47"/>
      <c r="W231" s="42"/>
      <c r="X231" s="27"/>
      <c r="Y231" s="47"/>
      <c r="Z231" s="42"/>
      <c r="AA231" s="27"/>
      <c r="AB231" s="47"/>
      <c r="AC231" s="42"/>
      <c r="AD231" s="27"/>
      <c r="AE231" s="33"/>
      <c r="AF231" s="47"/>
      <c r="AG231" s="48"/>
    </row>
    <row r="232" spans="2:33" s="38" customFormat="1" x14ac:dyDescent="0.25">
      <c r="B232" s="49"/>
      <c r="C232" s="70"/>
      <c r="D232" s="42"/>
      <c r="F232" s="33"/>
      <c r="G232" s="47"/>
      <c r="H232" s="42"/>
      <c r="I232" s="27"/>
      <c r="J232" s="47"/>
      <c r="K232" s="42"/>
      <c r="L232" s="27"/>
      <c r="M232" s="47"/>
      <c r="N232" s="42"/>
      <c r="O232" s="27"/>
      <c r="P232" s="47"/>
      <c r="Q232" s="42"/>
      <c r="R232" s="27"/>
      <c r="S232" s="47"/>
      <c r="T232" s="42"/>
      <c r="U232" s="27"/>
      <c r="V232" s="47"/>
      <c r="W232" s="42"/>
      <c r="X232" s="27"/>
      <c r="Y232" s="47"/>
      <c r="Z232" s="42"/>
      <c r="AA232" s="27"/>
      <c r="AB232" s="47"/>
      <c r="AC232" s="42"/>
      <c r="AD232" s="27"/>
      <c r="AE232" s="33"/>
      <c r="AF232" s="47"/>
      <c r="AG232" s="48"/>
    </row>
    <row r="233" spans="2:33" s="38" customFormat="1" x14ac:dyDescent="0.25">
      <c r="B233" s="49"/>
      <c r="C233" s="70"/>
      <c r="D233" s="42"/>
      <c r="F233" s="33"/>
      <c r="G233" s="47"/>
      <c r="H233" s="42"/>
      <c r="I233" s="27"/>
      <c r="J233" s="47"/>
      <c r="K233" s="42"/>
      <c r="L233" s="27"/>
      <c r="M233" s="47"/>
      <c r="N233" s="42"/>
      <c r="O233" s="27"/>
      <c r="P233" s="47"/>
      <c r="Q233" s="42"/>
      <c r="R233" s="27"/>
      <c r="S233" s="47"/>
      <c r="T233" s="42"/>
      <c r="U233" s="27"/>
      <c r="V233" s="47"/>
      <c r="W233" s="42"/>
      <c r="X233" s="27"/>
      <c r="Y233" s="47"/>
      <c r="Z233" s="42"/>
      <c r="AA233" s="27"/>
      <c r="AB233" s="47"/>
      <c r="AC233" s="42"/>
      <c r="AD233" s="27"/>
      <c r="AE233" s="33"/>
      <c r="AF233" s="47"/>
      <c r="AG233" s="48"/>
    </row>
    <row r="234" spans="2:33" s="38" customFormat="1" x14ac:dyDescent="0.25">
      <c r="B234" s="49"/>
      <c r="C234" s="70"/>
      <c r="D234" s="42"/>
      <c r="F234" s="33"/>
      <c r="G234" s="47"/>
      <c r="H234" s="42"/>
      <c r="I234" s="27"/>
      <c r="J234" s="47"/>
      <c r="K234" s="42"/>
      <c r="L234" s="27"/>
      <c r="M234" s="47"/>
      <c r="N234" s="42"/>
      <c r="O234" s="27"/>
      <c r="P234" s="47"/>
      <c r="Q234" s="42"/>
      <c r="R234" s="27"/>
      <c r="S234" s="47"/>
      <c r="T234" s="42"/>
      <c r="U234" s="27"/>
      <c r="V234" s="47"/>
      <c r="W234" s="42"/>
      <c r="X234" s="27"/>
      <c r="Y234" s="47"/>
      <c r="Z234" s="42"/>
      <c r="AA234" s="27"/>
      <c r="AB234" s="47"/>
      <c r="AC234" s="42"/>
      <c r="AD234" s="27"/>
      <c r="AE234" s="33"/>
      <c r="AF234" s="47"/>
      <c r="AG234" s="48"/>
    </row>
    <row r="235" spans="2:33" s="38" customFormat="1" x14ac:dyDescent="0.25">
      <c r="B235" s="49"/>
      <c r="C235" s="70"/>
      <c r="D235" s="42"/>
      <c r="F235" s="33"/>
      <c r="G235" s="47"/>
      <c r="H235" s="42"/>
      <c r="I235" s="27"/>
      <c r="J235" s="47"/>
      <c r="K235" s="42"/>
      <c r="L235" s="27"/>
      <c r="M235" s="47"/>
      <c r="N235" s="42"/>
      <c r="O235" s="27"/>
      <c r="P235" s="47"/>
      <c r="Q235" s="42"/>
      <c r="R235" s="27"/>
      <c r="S235" s="47"/>
      <c r="T235" s="42"/>
      <c r="U235" s="27"/>
      <c r="V235" s="47"/>
      <c r="W235" s="42"/>
      <c r="X235" s="27"/>
      <c r="Y235" s="47"/>
      <c r="Z235" s="42"/>
      <c r="AA235" s="27"/>
      <c r="AB235" s="47"/>
      <c r="AC235" s="42"/>
      <c r="AD235" s="27"/>
      <c r="AE235" s="33"/>
      <c r="AF235" s="47"/>
      <c r="AG235" s="48"/>
    </row>
    <row r="236" spans="2:33" s="38" customFormat="1" x14ac:dyDescent="0.25">
      <c r="B236" s="49"/>
      <c r="C236" s="70"/>
      <c r="D236" s="42"/>
      <c r="F236" s="33"/>
      <c r="G236" s="47"/>
      <c r="H236" s="42"/>
      <c r="I236" s="27"/>
      <c r="J236" s="47"/>
      <c r="K236" s="42"/>
      <c r="L236" s="27"/>
      <c r="M236" s="47"/>
      <c r="N236" s="42"/>
      <c r="O236" s="27"/>
      <c r="P236" s="47"/>
      <c r="Q236" s="42"/>
      <c r="R236" s="27"/>
      <c r="S236" s="47"/>
      <c r="T236" s="42"/>
      <c r="U236" s="27"/>
      <c r="V236" s="47"/>
      <c r="W236" s="42"/>
      <c r="X236" s="27"/>
      <c r="Y236" s="47"/>
      <c r="Z236" s="42"/>
      <c r="AA236" s="27"/>
      <c r="AB236" s="47"/>
      <c r="AC236" s="42"/>
      <c r="AD236" s="27"/>
      <c r="AE236" s="33"/>
      <c r="AF236" s="47"/>
      <c r="AG236" s="48"/>
    </row>
    <row r="237" spans="2:33" s="38" customFormat="1" x14ac:dyDescent="0.25">
      <c r="B237" s="49"/>
      <c r="C237" s="70"/>
      <c r="D237" s="42"/>
      <c r="F237" s="33"/>
      <c r="G237" s="47"/>
      <c r="H237" s="42"/>
      <c r="I237" s="27"/>
      <c r="J237" s="47"/>
      <c r="K237" s="42"/>
      <c r="L237" s="27"/>
      <c r="M237" s="47"/>
      <c r="N237" s="42"/>
      <c r="O237" s="27"/>
      <c r="P237" s="47"/>
      <c r="Q237" s="42"/>
      <c r="R237" s="27"/>
      <c r="S237" s="47"/>
      <c r="T237" s="42"/>
      <c r="U237" s="27"/>
      <c r="V237" s="47"/>
      <c r="W237" s="42"/>
      <c r="X237" s="27"/>
      <c r="Y237" s="47"/>
      <c r="Z237" s="42"/>
      <c r="AA237" s="27"/>
      <c r="AB237" s="47"/>
      <c r="AC237" s="42"/>
      <c r="AD237" s="27"/>
      <c r="AE237" s="33"/>
      <c r="AF237" s="47"/>
      <c r="AG237" s="48"/>
    </row>
    <row r="238" spans="2:33" s="38" customFormat="1" x14ac:dyDescent="0.25">
      <c r="B238" s="49"/>
      <c r="C238" s="70"/>
      <c r="D238" s="42"/>
      <c r="F238" s="33"/>
      <c r="G238" s="47"/>
      <c r="H238" s="42"/>
      <c r="I238" s="27"/>
      <c r="J238" s="47"/>
      <c r="K238" s="42"/>
      <c r="L238" s="27"/>
      <c r="M238" s="47"/>
      <c r="N238" s="42"/>
      <c r="O238" s="27"/>
      <c r="P238" s="47"/>
      <c r="Q238" s="42"/>
      <c r="R238" s="27"/>
      <c r="S238" s="47"/>
      <c r="T238" s="42"/>
      <c r="U238" s="27"/>
      <c r="V238" s="47"/>
      <c r="W238" s="42"/>
      <c r="X238" s="27"/>
      <c r="Y238" s="47"/>
      <c r="Z238" s="42"/>
      <c r="AA238" s="27"/>
      <c r="AB238" s="47"/>
      <c r="AC238" s="42"/>
      <c r="AD238" s="27"/>
      <c r="AE238" s="33"/>
      <c r="AF238" s="47"/>
      <c r="AG238" s="48"/>
    </row>
    <row r="239" spans="2:33" s="38" customFormat="1" x14ac:dyDescent="0.25">
      <c r="B239" s="49"/>
      <c r="C239" s="70"/>
      <c r="D239" s="42"/>
      <c r="F239" s="33"/>
      <c r="G239" s="47"/>
      <c r="H239" s="42"/>
      <c r="I239" s="27"/>
      <c r="J239" s="47"/>
      <c r="K239" s="42"/>
      <c r="L239" s="27"/>
      <c r="M239" s="47"/>
      <c r="N239" s="42"/>
      <c r="O239" s="27"/>
      <c r="P239" s="47"/>
      <c r="Q239" s="42"/>
      <c r="R239" s="27"/>
      <c r="S239" s="47"/>
      <c r="T239" s="42"/>
      <c r="U239" s="27"/>
      <c r="V239" s="47"/>
      <c r="W239" s="42"/>
      <c r="X239" s="27"/>
      <c r="Y239" s="47"/>
      <c r="Z239" s="42"/>
      <c r="AA239" s="27"/>
      <c r="AB239" s="47"/>
      <c r="AC239" s="42"/>
      <c r="AD239" s="27"/>
      <c r="AE239" s="33"/>
      <c r="AF239" s="47"/>
      <c r="AG239" s="48"/>
    </row>
    <row r="240" spans="2:33" s="38" customFormat="1" x14ac:dyDescent="0.25">
      <c r="B240" s="49"/>
      <c r="C240" s="70"/>
      <c r="D240" s="42"/>
      <c r="F240" s="33"/>
      <c r="G240" s="47"/>
      <c r="H240" s="42"/>
      <c r="I240" s="27"/>
      <c r="J240" s="47"/>
      <c r="K240" s="42"/>
      <c r="L240" s="27"/>
      <c r="M240" s="47"/>
      <c r="N240" s="42"/>
      <c r="O240" s="27"/>
      <c r="P240" s="47"/>
      <c r="Q240" s="42"/>
      <c r="R240" s="27"/>
      <c r="S240" s="47"/>
      <c r="T240" s="42"/>
      <c r="U240" s="27"/>
      <c r="V240" s="47"/>
      <c r="W240" s="42"/>
      <c r="X240" s="27"/>
      <c r="Y240" s="47"/>
      <c r="Z240" s="42"/>
      <c r="AA240" s="27"/>
      <c r="AB240" s="47"/>
      <c r="AC240" s="42"/>
      <c r="AD240" s="27"/>
      <c r="AE240" s="33"/>
      <c r="AF240" s="47"/>
      <c r="AG240" s="48"/>
    </row>
    <row r="241" spans="2:33" s="38" customFormat="1" x14ac:dyDescent="0.25">
      <c r="B241" s="49"/>
      <c r="C241" s="70"/>
      <c r="D241" s="42"/>
      <c r="F241" s="33"/>
      <c r="G241" s="47"/>
      <c r="H241" s="42"/>
      <c r="I241" s="27"/>
      <c r="J241" s="47"/>
      <c r="K241" s="42"/>
      <c r="L241" s="27"/>
      <c r="M241" s="47"/>
      <c r="N241" s="42"/>
      <c r="O241" s="27"/>
      <c r="P241" s="47"/>
      <c r="Q241" s="42"/>
      <c r="R241" s="27"/>
      <c r="S241" s="47"/>
      <c r="T241" s="42"/>
      <c r="U241" s="27"/>
      <c r="V241" s="47"/>
      <c r="W241" s="42"/>
      <c r="X241" s="27"/>
      <c r="Y241" s="47"/>
      <c r="Z241" s="42"/>
      <c r="AA241" s="27"/>
      <c r="AB241" s="47"/>
      <c r="AC241" s="42"/>
      <c r="AD241" s="27"/>
      <c r="AE241" s="33"/>
      <c r="AF241" s="47"/>
      <c r="AG241" s="48"/>
    </row>
    <row r="242" spans="2:33" s="38" customFormat="1" x14ac:dyDescent="0.25">
      <c r="B242" s="49"/>
      <c r="C242" s="70"/>
      <c r="D242" s="42"/>
      <c r="F242" s="33"/>
      <c r="G242" s="47"/>
      <c r="H242" s="42"/>
      <c r="I242" s="27"/>
      <c r="J242" s="47"/>
      <c r="K242" s="42"/>
      <c r="L242" s="27"/>
      <c r="M242" s="47"/>
      <c r="N242" s="42"/>
      <c r="O242" s="27"/>
      <c r="P242" s="47"/>
      <c r="Q242" s="42"/>
      <c r="R242" s="27"/>
      <c r="S242" s="47"/>
      <c r="T242" s="42"/>
      <c r="U242" s="27"/>
      <c r="V242" s="47"/>
      <c r="W242" s="42"/>
      <c r="X242" s="27"/>
      <c r="Y242" s="47"/>
      <c r="Z242" s="42"/>
      <c r="AA242" s="27"/>
      <c r="AB242" s="47"/>
      <c r="AC242" s="42"/>
      <c r="AD242" s="27"/>
      <c r="AE242" s="33"/>
      <c r="AF242" s="47"/>
      <c r="AG242" s="48"/>
    </row>
    <row r="243" spans="2:33" s="38" customFormat="1" x14ac:dyDescent="0.25">
      <c r="B243" s="49"/>
      <c r="C243" s="70"/>
      <c r="D243" s="42"/>
      <c r="F243" s="33"/>
      <c r="G243" s="47"/>
      <c r="H243" s="42"/>
      <c r="I243" s="27"/>
      <c r="J243" s="47"/>
      <c r="K243" s="42"/>
      <c r="L243" s="27"/>
      <c r="M243" s="47"/>
      <c r="N243" s="42"/>
      <c r="O243" s="27"/>
      <c r="P243" s="47"/>
      <c r="Q243" s="42"/>
      <c r="R243" s="27"/>
      <c r="S243" s="47"/>
      <c r="T243" s="42"/>
      <c r="U243" s="27"/>
      <c r="V243" s="47"/>
      <c r="W243" s="42"/>
      <c r="X243" s="27"/>
      <c r="Y243" s="47"/>
      <c r="Z243" s="42"/>
      <c r="AA243" s="27"/>
      <c r="AB243" s="47"/>
      <c r="AC243" s="42"/>
      <c r="AD243" s="27"/>
      <c r="AE243" s="33"/>
      <c r="AF243" s="47"/>
      <c r="AG243" s="48"/>
    </row>
    <row r="244" spans="2:33" s="38" customFormat="1" x14ac:dyDescent="0.25">
      <c r="B244" s="49"/>
      <c r="C244" s="70"/>
      <c r="D244" s="42"/>
      <c r="F244" s="33"/>
      <c r="G244" s="47"/>
      <c r="H244" s="42"/>
      <c r="I244" s="27"/>
      <c r="J244" s="47"/>
      <c r="K244" s="42"/>
      <c r="L244" s="27"/>
      <c r="M244" s="47"/>
      <c r="N244" s="42"/>
      <c r="O244" s="27"/>
      <c r="P244" s="47"/>
      <c r="Q244" s="42"/>
      <c r="R244" s="27"/>
      <c r="S244" s="47"/>
      <c r="T244" s="42"/>
      <c r="U244" s="27"/>
      <c r="V244" s="47"/>
      <c r="W244" s="42"/>
      <c r="X244" s="27"/>
      <c r="Y244" s="47"/>
      <c r="Z244" s="42"/>
      <c r="AA244" s="27"/>
      <c r="AB244" s="47"/>
      <c r="AC244" s="42"/>
      <c r="AD244" s="27"/>
      <c r="AE244" s="33"/>
      <c r="AF244" s="47"/>
      <c r="AG244" s="48"/>
    </row>
    <row r="245" spans="2:33" s="38" customFormat="1" x14ac:dyDescent="0.25">
      <c r="B245" s="49"/>
      <c r="C245" s="70"/>
      <c r="D245" s="42"/>
      <c r="F245" s="33"/>
      <c r="G245" s="47"/>
      <c r="H245" s="42"/>
      <c r="I245" s="27"/>
      <c r="J245" s="47"/>
      <c r="K245" s="42"/>
      <c r="L245" s="27"/>
      <c r="M245" s="47"/>
      <c r="N245" s="42"/>
      <c r="O245" s="27"/>
      <c r="P245" s="47"/>
      <c r="Q245" s="42"/>
      <c r="R245" s="27"/>
      <c r="S245" s="47"/>
      <c r="T245" s="42"/>
      <c r="U245" s="27"/>
      <c r="V245" s="47"/>
      <c r="W245" s="42"/>
      <c r="X245" s="27"/>
      <c r="Y245" s="47"/>
      <c r="Z245" s="42"/>
      <c r="AA245" s="27"/>
      <c r="AB245" s="47"/>
      <c r="AC245" s="42"/>
      <c r="AD245" s="27"/>
      <c r="AE245" s="33"/>
      <c r="AF245" s="47"/>
      <c r="AG245" s="48"/>
    </row>
    <row r="246" spans="2:33" s="38" customFormat="1" x14ac:dyDescent="0.25">
      <c r="B246" s="49"/>
      <c r="C246" s="70"/>
      <c r="D246" s="42"/>
      <c r="F246" s="33"/>
      <c r="G246" s="47"/>
      <c r="H246" s="42"/>
      <c r="I246" s="27"/>
      <c r="J246" s="47"/>
      <c r="K246" s="42"/>
      <c r="L246" s="27"/>
      <c r="M246" s="47"/>
      <c r="N246" s="42"/>
      <c r="O246" s="27"/>
      <c r="P246" s="47"/>
      <c r="Q246" s="42"/>
      <c r="R246" s="27"/>
      <c r="S246" s="47"/>
      <c r="T246" s="42"/>
      <c r="U246" s="27"/>
      <c r="V246" s="47"/>
      <c r="W246" s="42"/>
      <c r="X246" s="27"/>
      <c r="Y246" s="47"/>
      <c r="Z246" s="42"/>
      <c r="AA246" s="27"/>
      <c r="AB246" s="47"/>
      <c r="AC246" s="42"/>
      <c r="AD246" s="27"/>
      <c r="AE246" s="33"/>
      <c r="AF246" s="47"/>
      <c r="AG246" s="48"/>
    </row>
    <row r="247" spans="2:33" s="38" customFormat="1" x14ac:dyDescent="0.25">
      <c r="B247" s="49"/>
      <c r="C247" s="70"/>
      <c r="D247" s="42"/>
      <c r="F247" s="33"/>
      <c r="G247" s="47"/>
      <c r="H247" s="42"/>
      <c r="I247" s="27"/>
      <c r="J247" s="47"/>
      <c r="K247" s="42"/>
      <c r="L247" s="27"/>
      <c r="M247" s="47"/>
      <c r="N247" s="42"/>
      <c r="O247" s="27"/>
      <c r="P247" s="47"/>
      <c r="Q247" s="42"/>
      <c r="R247" s="27"/>
      <c r="S247" s="47"/>
      <c r="T247" s="42"/>
      <c r="U247" s="27"/>
      <c r="V247" s="47"/>
      <c r="W247" s="42"/>
      <c r="X247" s="27"/>
      <c r="Y247" s="47"/>
      <c r="Z247" s="42"/>
      <c r="AA247" s="27"/>
      <c r="AB247" s="47"/>
      <c r="AC247" s="42"/>
      <c r="AD247" s="27"/>
      <c r="AE247" s="33"/>
      <c r="AF247" s="47"/>
      <c r="AG247" s="48"/>
    </row>
    <row r="248" spans="2:33" s="38" customFormat="1" x14ac:dyDescent="0.25">
      <c r="B248" s="49"/>
      <c r="C248" s="70"/>
      <c r="D248" s="42"/>
      <c r="F248" s="33"/>
      <c r="G248" s="47"/>
      <c r="H248" s="42"/>
      <c r="I248" s="27"/>
      <c r="J248" s="47"/>
      <c r="K248" s="42"/>
      <c r="L248" s="27"/>
      <c r="M248" s="47"/>
      <c r="N248" s="42"/>
      <c r="O248" s="27"/>
      <c r="P248" s="47"/>
      <c r="Q248" s="42"/>
      <c r="R248" s="27"/>
      <c r="S248" s="47"/>
      <c r="T248" s="42"/>
      <c r="U248" s="27"/>
      <c r="V248" s="47"/>
      <c r="W248" s="42"/>
      <c r="X248" s="27"/>
      <c r="Y248" s="47"/>
      <c r="Z248" s="42"/>
      <c r="AA248" s="27"/>
      <c r="AB248" s="47"/>
      <c r="AC248" s="42"/>
      <c r="AD248" s="27"/>
      <c r="AE248" s="33"/>
      <c r="AF248" s="47"/>
      <c r="AG248" s="48"/>
    </row>
    <row r="249" spans="2:33" s="38" customFormat="1" x14ac:dyDescent="0.25">
      <c r="B249" s="49"/>
      <c r="C249" s="70"/>
      <c r="D249" s="42"/>
      <c r="F249" s="33"/>
      <c r="G249" s="47"/>
      <c r="H249" s="42"/>
      <c r="I249" s="27"/>
      <c r="J249" s="47"/>
      <c r="K249" s="42"/>
      <c r="L249" s="27"/>
      <c r="M249" s="47"/>
      <c r="N249" s="42"/>
      <c r="O249" s="27"/>
      <c r="P249" s="47"/>
      <c r="Q249" s="42"/>
      <c r="R249" s="27"/>
      <c r="S249" s="47"/>
      <c r="T249" s="42"/>
      <c r="U249" s="27"/>
      <c r="V249" s="47"/>
      <c r="W249" s="42"/>
      <c r="X249" s="27"/>
      <c r="Y249" s="47"/>
      <c r="Z249" s="42"/>
      <c r="AA249" s="27"/>
      <c r="AB249" s="47"/>
      <c r="AC249" s="42"/>
      <c r="AD249" s="27"/>
      <c r="AE249" s="33"/>
      <c r="AF249" s="47"/>
      <c r="AG249" s="48"/>
    </row>
    <row r="250" spans="2:33" s="38" customFormat="1" x14ac:dyDescent="0.25">
      <c r="B250" s="49"/>
      <c r="C250" s="70"/>
      <c r="D250" s="42"/>
      <c r="F250" s="33"/>
      <c r="G250" s="47"/>
      <c r="H250" s="42"/>
      <c r="I250" s="27"/>
      <c r="J250" s="47"/>
      <c r="K250" s="42"/>
      <c r="L250" s="27"/>
      <c r="M250" s="47"/>
      <c r="N250" s="42"/>
      <c r="O250" s="27"/>
      <c r="P250" s="47"/>
      <c r="Q250" s="42"/>
      <c r="R250" s="27"/>
      <c r="S250" s="47"/>
      <c r="T250" s="42"/>
      <c r="U250" s="27"/>
      <c r="V250" s="47"/>
      <c r="W250" s="42"/>
      <c r="X250" s="27"/>
      <c r="Y250" s="47"/>
      <c r="Z250" s="42"/>
      <c r="AA250" s="27"/>
      <c r="AB250" s="47"/>
      <c r="AC250" s="42"/>
      <c r="AD250" s="27"/>
      <c r="AE250" s="33"/>
      <c r="AF250" s="47"/>
      <c r="AG250" s="48"/>
    </row>
    <row r="251" spans="2:33" s="38" customFormat="1" x14ac:dyDescent="0.25">
      <c r="B251" s="49"/>
      <c r="C251" s="70"/>
      <c r="D251" s="42"/>
      <c r="F251" s="33"/>
      <c r="G251" s="47"/>
      <c r="H251" s="42"/>
      <c r="I251" s="27"/>
      <c r="J251" s="47"/>
      <c r="K251" s="42"/>
      <c r="L251" s="27"/>
      <c r="M251" s="47"/>
      <c r="N251" s="42"/>
      <c r="O251" s="27"/>
      <c r="P251" s="47"/>
      <c r="Q251" s="42"/>
      <c r="R251" s="27"/>
      <c r="S251" s="47"/>
      <c r="T251" s="42"/>
      <c r="U251" s="27"/>
      <c r="V251" s="47"/>
      <c r="W251" s="42"/>
      <c r="X251" s="27"/>
      <c r="Y251" s="47"/>
      <c r="Z251" s="42"/>
      <c r="AA251" s="27"/>
      <c r="AB251" s="47"/>
      <c r="AC251" s="42"/>
      <c r="AD251" s="27"/>
      <c r="AE251" s="33"/>
      <c r="AF251" s="47"/>
      <c r="AG251" s="48"/>
    </row>
    <row r="252" spans="2:33" s="38" customFormat="1" x14ac:dyDescent="0.25">
      <c r="B252" s="49"/>
      <c r="C252" s="70"/>
      <c r="D252" s="42"/>
      <c r="F252" s="33"/>
      <c r="G252" s="47"/>
      <c r="H252" s="42"/>
      <c r="I252" s="27"/>
      <c r="J252" s="47"/>
      <c r="K252" s="42"/>
      <c r="L252" s="27"/>
      <c r="M252" s="47"/>
      <c r="N252" s="42"/>
      <c r="O252" s="27"/>
      <c r="P252" s="47"/>
      <c r="Q252" s="42"/>
      <c r="R252" s="27"/>
      <c r="S252" s="47"/>
      <c r="T252" s="42"/>
      <c r="U252" s="27"/>
      <c r="V252" s="47"/>
      <c r="W252" s="42"/>
      <c r="X252" s="27"/>
      <c r="Y252" s="47"/>
      <c r="Z252" s="42"/>
      <c r="AA252" s="27"/>
      <c r="AB252" s="47"/>
      <c r="AC252" s="42"/>
      <c r="AD252" s="27"/>
      <c r="AE252" s="33"/>
      <c r="AF252" s="47"/>
      <c r="AG252" s="48"/>
    </row>
    <row r="253" spans="2:33" s="38" customFormat="1" x14ac:dyDescent="0.25">
      <c r="B253" s="49"/>
      <c r="C253" s="70"/>
      <c r="D253" s="42"/>
      <c r="F253" s="33"/>
      <c r="G253" s="47"/>
      <c r="H253" s="42"/>
      <c r="I253" s="27"/>
      <c r="J253" s="47"/>
      <c r="K253" s="42"/>
      <c r="L253" s="27"/>
      <c r="M253" s="47"/>
      <c r="N253" s="42"/>
      <c r="O253" s="27"/>
      <c r="P253" s="47"/>
      <c r="Q253" s="42"/>
      <c r="R253" s="27"/>
      <c r="S253" s="47"/>
      <c r="T253" s="42"/>
      <c r="U253" s="27"/>
      <c r="V253" s="47"/>
      <c r="W253" s="42"/>
      <c r="X253" s="27"/>
      <c r="Y253" s="47"/>
      <c r="Z253" s="42"/>
      <c r="AA253" s="27"/>
      <c r="AB253" s="47"/>
      <c r="AC253" s="42"/>
      <c r="AD253" s="27"/>
      <c r="AE253" s="33"/>
      <c r="AF253" s="47"/>
      <c r="AG253" s="48"/>
    </row>
    <row r="254" spans="2:33" s="38" customFormat="1" x14ac:dyDescent="0.25">
      <c r="B254" s="49"/>
      <c r="C254" s="70"/>
      <c r="D254" s="42"/>
      <c r="F254" s="33"/>
      <c r="G254" s="47"/>
      <c r="H254" s="42"/>
      <c r="I254" s="27"/>
      <c r="J254" s="47"/>
      <c r="K254" s="42"/>
      <c r="L254" s="27"/>
      <c r="M254" s="47"/>
      <c r="N254" s="42"/>
      <c r="O254" s="27"/>
      <c r="P254" s="47"/>
      <c r="Q254" s="42"/>
      <c r="R254" s="27"/>
      <c r="S254" s="47"/>
      <c r="T254" s="42"/>
      <c r="U254" s="27"/>
      <c r="V254" s="47"/>
      <c r="W254" s="42"/>
      <c r="X254" s="27"/>
      <c r="Y254" s="47"/>
      <c r="Z254" s="42"/>
      <c r="AA254" s="27"/>
      <c r="AB254" s="47"/>
      <c r="AC254" s="42"/>
      <c r="AD254" s="27"/>
      <c r="AE254" s="33"/>
      <c r="AF254" s="47"/>
      <c r="AG254" s="48"/>
    </row>
    <row r="255" spans="2:33" s="38" customFormat="1" x14ac:dyDescent="0.25">
      <c r="B255" s="49"/>
      <c r="C255" s="70"/>
      <c r="D255" s="42"/>
      <c r="F255" s="33"/>
      <c r="G255" s="47"/>
      <c r="H255" s="42"/>
      <c r="I255" s="27"/>
      <c r="J255" s="47"/>
      <c r="K255" s="42"/>
      <c r="L255" s="27"/>
      <c r="M255" s="47"/>
      <c r="N255" s="42"/>
      <c r="O255" s="27"/>
      <c r="P255" s="47"/>
      <c r="Q255" s="42"/>
      <c r="R255" s="27"/>
      <c r="S255" s="47"/>
      <c r="T255" s="42"/>
      <c r="U255" s="27"/>
      <c r="V255" s="47"/>
      <c r="W255" s="42"/>
      <c r="X255" s="27"/>
      <c r="Y255" s="47"/>
      <c r="Z255" s="42"/>
      <c r="AA255" s="27"/>
      <c r="AB255" s="47"/>
      <c r="AC255" s="42"/>
      <c r="AD255" s="27"/>
      <c r="AE255" s="33"/>
      <c r="AF255" s="47"/>
      <c r="AG255" s="48"/>
    </row>
    <row r="256" spans="2:33" s="38" customFormat="1" x14ac:dyDescent="0.25">
      <c r="B256" s="49"/>
      <c r="C256" s="70"/>
      <c r="D256" s="42"/>
      <c r="F256" s="33"/>
      <c r="G256" s="47"/>
      <c r="H256" s="42"/>
      <c r="I256" s="27"/>
      <c r="J256" s="47"/>
      <c r="K256" s="42"/>
      <c r="L256" s="27"/>
      <c r="M256" s="47"/>
      <c r="N256" s="42"/>
      <c r="O256" s="27"/>
      <c r="P256" s="47"/>
      <c r="Q256" s="42"/>
      <c r="R256" s="27"/>
      <c r="S256" s="47"/>
      <c r="T256" s="42"/>
      <c r="U256" s="27"/>
      <c r="V256" s="47"/>
      <c r="W256" s="42"/>
      <c r="X256" s="27"/>
      <c r="Y256" s="47"/>
      <c r="Z256" s="42"/>
      <c r="AA256" s="27"/>
      <c r="AB256" s="47"/>
      <c r="AC256" s="42"/>
      <c r="AD256" s="27"/>
      <c r="AE256" s="33"/>
      <c r="AF256" s="47"/>
      <c r="AG256" s="48"/>
    </row>
    <row r="257" spans="2:33" s="38" customFormat="1" x14ac:dyDescent="0.25">
      <c r="B257" s="49"/>
      <c r="C257" s="70"/>
      <c r="D257" s="42"/>
      <c r="F257" s="33"/>
      <c r="G257" s="47"/>
      <c r="H257" s="42"/>
      <c r="I257" s="27"/>
      <c r="J257" s="47"/>
      <c r="K257" s="42"/>
      <c r="L257" s="27"/>
      <c r="M257" s="47"/>
      <c r="N257" s="42"/>
      <c r="O257" s="27"/>
      <c r="P257" s="47"/>
      <c r="Q257" s="42"/>
      <c r="R257" s="27"/>
      <c r="S257" s="47"/>
      <c r="T257" s="42"/>
      <c r="U257" s="27"/>
      <c r="V257" s="47"/>
      <c r="W257" s="42"/>
      <c r="X257" s="27"/>
      <c r="Y257" s="47"/>
      <c r="Z257" s="42"/>
      <c r="AA257" s="27"/>
      <c r="AB257" s="47"/>
      <c r="AC257" s="42"/>
      <c r="AD257" s="27"/>
      <c r="AE257" s="33"/>
      <c r="AF257" s="47"/>
      <c r="AG257" s="48"/>
    </row>
    <row r="258" spans="2:33" s="38" customFormat="1" x14ac:dyDescent="0.25">
      <c r="B258" s="49"/>
      <c r="C258" s="70"/>
      <c r="D258" s="42"/>
      <c r="F258" s="33"/>
      <c r="G258" s="47"/>
      <c r="H258" s="42"/>
      <c r="I258" s="27"/>
      <c r="J258" s="47"/>
      <c r="K258" s="42"/>
      <c r="L258" s="27"/>
      <c r="M258" s="47"/>
      <c r="N258" s="42"/>
      <c r="O258" s="27"/>
      <c r="P258" s="47"/>
      <c r="Q258" s="42"/>
      <c r="R258" s="27"/>
      <c r="S258" s="47"/>
      <c r="T258" s="42"/>
      <c r="U258" s="27"/>
      <c r="V258" s="47"/>
      <c r="W258" s="42"/>
      <c r="X258" s="27"/>
      <c r="Y258" s="47"/>
      <c r="Z258" s="42"/>
      <c r="AA258" s="27"/>
      <c r="AB258" s="47"/>
      <c r="AC258" s="42"/>
      <c r="AD258" s="27"/>
      <c r="AE258" s="33"/>
      <c r="AF258" s="47"/>
      <c r="AG258" s="48"/>
    </row>
    <row r="259" spans="2:33" s="38" customFormat="1" x14ac:dyDescent="0.25">
      <c r="B259" s="49"/>
      <c r="C259" s="70"/>
      <c r="D259" s="42"/>
      <c r="F259" s="33"/>
      <c r="G259" s="47"/>
      <c r="H259" s="42"/>
      <c r="I259" s="27"/>
      <c r="J259" s="47"/>
      <c r="K259" s="42"/>
      <c r="L259" s="27"/>
      <c r="M259" s="47"/>
      <c r="N259" s="42"/>
      <c r="O259" s="27"/>
      <c r="P259" s="47"/>
      <c r="Q259" s="42"/>
      <c r="R259" s="27"/>
      <c r="S259" s="47"/>
      <c r="T259" s="42"/>
      <c r="U259" s="27"/>
      <c r="V259" s="47"/>
      <c r="W259" s="42"/>
      <c r="X259" s="27"/>
      <c r="Y259" s="47"/>
      <c r="Z259" s="42"/>
      <c r="AA259" s="27"/>
      <c r="AB259" s="47"/>
      <c r="AC259" s="42"/>
      <c r="AD259" s="27"/>
      <c r="AE259" s="33"/>
      <c r="AF259" s="47"/>
      <c r="AG259" s="48"/>
    </row>
    <row r="260" spans="2:33" s="38" customFormat="1" x14ac:dyDescent="0.25">
      <c r="B260" s="49"/>
      <c r="C260" s="70"/>
      <c r="D260" s="42"/>
      <c r="F260" s="33"/>
      <c r="G260" s="47"/>
      <c r="H260" s="42"/>
      <c r="I260" s="27"/>
      <c r="J260" s="47"/>
      <c r="K260" s="42"/>
      <c r="L260" s="27"/>
      <c r="M260" s="47"/>
      <c r="N260" s="42"/>
      <c r="O260" s="27"/>
      <c r="P260" s="47"/>
      <c r="Q260" s="42"/>
      <c r="R260" s="27"/>
      <c r="S260" s="47"/>
      <c r="T260" s="42"/>
      <c r="U260" s="27"/>
      <c r="V260" s="47"/>
      <c r="W260" s="42"/>
      <c r="X260" s="27"/>
      <c r="Y260" s="47"/>
      <c r="Z260" s="42"/>
      <c r="AA260" s="27"/>
      <c r="AB260" s="47"/>
      <c r="AC260" s="42"/>
      <c r="AD260" s="27"/>
      <c r="AE260" s="33"/>
      <c r="AF260" s="47"/>
      <c r="AG260" s="48"/>
    </row>
    <row r="261" spans="2:33" s="38" customFormat="1" x14ac:dyDescent="0.25">
      <c r="B261" s="49"/>
      <c r="C261" s="70"/>
      <c r="D261" s="42"/>
      <c r="F261" s="33"/>
      <c r="G261" s="47"/>
      <c r="H261" s="42"/>
      <c r="I261" s="27"/>
      <c r="J261" s="47"/>
      <c r="K261" s="42"/>
      <c r="L261" s="27"/>
      <c r="M261" s="47"/>
      <c r="N261" s="42"/>
      <c r="O261" s="27"/>
      <c r="P261" s="47"/>
      <c r="Q261" s="42"/>
      <c r="R261" s="27"/>
      <c r="S261" s="47"/>
      <c r="T261" s="42"/>
      <c r="U261" s="27"/>
      <c r="V261" s="47"/>
      <c r="W261" s="42"/>
      <c r="X261" s="27"/>
      <c r="Y261" s="47"/>
      <c r="Z261" s="42"/>
      <c r="AA261" s="27"/>
      <c r="AB261" s="47"/>
      <c r="AC261" s="42"/>
      <c r="AD261" s="27"/>
      <c r="AE261" s="33"/>
      <c r="AF261" s="47"/>
      <c r="AG261" s="48"/>
    </row>
    <row r="262" spans="2:33" s="38" customFormat="1" x14ac:dyDescent="0.25">
      <c r="B262" s="49"/>
      <c r="C262" s="70"/>
      <c r="D262" s="42"/>
      <c r="F262" s="33"/>
      <c r="G262" s="47"/>
      <c r="H262" s="42"/>
      <c r="I262" s="27"/>
      <c r="J262" s="47"/>
      <c r="K262" s="42"/>
      <c r="L262" s="27"/>
      <c r="M262" s="47"/>
      <c r="N262" s="42"/>
      <c r="O262" s="27"/>
      <c r="P262" s="47"/>
      <c r="Q262" s="42"/>
      <c r="R262" s="27"/>
      <c r="S262" s="47"/>
      <c r="T262" s="42"/>
      <c r="U262" s="27"/>
      <c r="V262" s="47"/>
      <c r="W262" s="42"/>
      <c r="X262" s="27"/>
      <c r="Y262" s="47"/>
      <c r="Z262" s="42"/>
      <c r="AA262" s="27"/>
      <c r="AB262" s="47"/>
      <c r="AC262" s="42"/>
      <c r="AD262" s="27"/>
      <c r="AE262" s="33"/>
      <c r="AF262" s="47"/>
      <c r="AG262" s="48"/>
    </row>
    <row r="263" spans="2:33" s="38" customFormat="1" x14ac:dyDescent="0.25">
      <c r="B263" s="49"/>
      <c r="C263" s="70"/>
      <c r="D263" s="42"/>
      <c r="F263" s="33"/>
      <c r="G263" s="47"/>
      <c r="H263" s="42"/>
      <c r="I263" s="27"/>
      <c r="J263" s="47"/>
      <c r="K263" s="42"/>
      <c r="L263" s="27"/>
      <c r="M263" s="47"/>
      <c r="N263" s="42"/>
      <c r="O263" s="27"/>
      <c r="P263" s="47"/>
      <c r="Q263" s="42"/>
      <c r="R263" s="27"/>
      <c r="S263" s="47"/>
      <c r="T263" s="42"/>
      <c r="U263" s="27"/>
      <c r="V263" s="47"/>
      <c r="W263" s="42"/>
      <c r="X263" s="27"/>
      <c r="Y263" s="47"/>
      <c r="Z263" s="42"/>
      <c r="AA263" s="27"/>
      <c r="AB263" s="47"/>
      <c r="AC263" s="42"/>
      <c r="AD263" s="27"/>
      <c r="AE263" s="33"/>
      <c r="AF263" s="47"/>
      <c r="AG263" s="48"/>
    </row>
    <row r="264" spans="2:33" s="38" customFormat="1" x14ac:dyDescent="0.25">
      <c r="B264" s="49"/>
      <c r="C264" s="70"/>
      <c r="D264" s="42"/>
      <c r="F264" s="33"/>
      <c r="G264" s="47"/>
      <c r="H264" s="42"/>
      <c r="I264" s="27"/>
      <c r="J264" s="47"/>
      <c r="K264" s="42"/>
      <c r="L264" s="27"/>
      <c r="M264" s="47"/>
      <c r="N264" s="42"/>
      <c r="O264" s="27"/>
      <c r="P264" s="47"/>
      <c r="Q264" s="42"/>
      <c r="R264" s="27"/>
      <c r="S264" s="47"/>
      <c r="T264" s="42"/>
      <c r="U264" s="27"/>
      <c r="V264" s="47"/>
      <c r="W264" s="42"/>
      <c r="X264" s="27"/>
      <c r="Y264" s="47"/>
      <c r="Z264" s="42"/>
      <c r="AA264" s="27"/>
      <c r="AB264" s="47"/>
      <c r="AC264" s="42"/>
      <c r="AD264" s="27"/>
      <c r="AE264" s="33"/>
      <c r="AF264" s="47"/>
      <c r="AG264" s="48"/>
    </row>
    <row r="265" spans="2:33" s="38" customFormat="1" x14ac:dyDescent="0.25">
      <c r="B265" s="49"/>
      <c r="C265" s="70"/>
      <c r="D265" s="42"/>
      <c r="F265" s="33"/>
      <c r="G265" s="47"/>
      <c r="H265" s="42"/>
      <c r="I265" s="27"/>
      <c r="J265" s="47"/>
      <c r="K265" s="42"/>
      <c r="L265" s="27"/>
      <c r="M265" s="47"/>
      <c r="N265" s="42"/>
      <c r="O265" s="27"/>
      <c r="P265" s="47"/>
      <c r="Q265" s="42"/>
      <c r="R265" s="27"/>
      <c r="S265" s="47"/>
      <c r="T265" s="42"/>
      <c r="U265" s="27"/>
      <c r="V265" s="47"/>
      <c r="W265" s="42"/>
      <c r="X265" s="27"/>
      <c r="Y265" s="47"/>
      <c r="Z265" s="42"/>
      <c r="AA265" s="27"/>
      <c r="AB265" s="47"/>
      <c r="AC265" s="42"/>
      <c r="AD265" s="27"/>
      <c r="AE265" s="33"/>
      <c r="AF265" s="47"/>
      <c r="AG265" s="48"/>
    </row>
    <row r="266" spans="2:33" s="38" customFormat="1" x14ac:dyDescent="0.25">
      <c r="B266" s="49"/>
      <c r="C266" s="70"/>
      <c r="D266" s="42"/>
      <c r="F266" s="33"/>
      <c r="G266" s="47"/>
      <c r="H266" s="42"/>
      <c r="I266" s="27"/>
      <c r="J266" s="47"/>
      <c r="K266" s="42"/>
      <c r="L266" s="27"/>
      <c r="M266" s="47"/>
      <c r="N266" s="42"/>
      <c r="O266" s="27"/>
      <c r="P266" s="47"/>
      <c r="Q266" s="42"/>
      <c r="R266" s="27"/>
      <c r="S266" s="47"/>
      <c r="T266" s="42"/>
      <c r="U266" s="27"/>
      <c r="V266" s="47"/>
      <c r="W266" s="42"/>
      <c r="X266" s="27"/>
      <c r="Y266" s="47"/>
      <c r="Z266" s="42"/>
      <c r="AA266" s="27"/>
      <c r="AB266" s="47"/>
      <c r="AC266" s="42"/>
      <c r="AD266" s="27"/>
      <c r="AE266" s="33"/>
      <c r="AF266" s="47"/>
      <c r="AG266" s="48"/>
    </row>
    <row r="267" spans="2:33" s="38" customFormat="1" x14ac:dyDescent="0.25">
      <c r="B267" s="49"/>
      <c r="C267" s="70"/>
      <c r="D267" s="42"/>
      <c r="F267" s="33"/>
      <c r="G267" s="47"/>
      <c r="H267" s="42"/>
      <c r="I267" s="27"/>
      <c r="J267" s="47"/>
      <c r="K267" s="42"/>
      <c r="L267" s="27"/>
      <c r="M267" s="47"/>
      <c r="N267" s="42"/>
      <c r="O267" s="27"/>
      <c r="P267" s="47"/>
      <c r="Q267" s="42"/>
      <c r="R267" s="27"/>
      <c r="S267" s="47"/>
      <c r="T267" s="42"/>
      <c r="U267" s="27"/>
      <c r="V267" s="47"/>
      <c r="W267" s="42"/>
      <c r="X267" s="27"/>
      <c r="Y267" s="47"/>
      <c r="Z267" s="42"/>
      <c r="AA267" s="27"/>
      <c r="AB267" s="47"/>
      <c r="AC267" s="42"/>
      <c r="AD267" s="27"/>
      <c r="AE267" s="33"/>
      <c r="AF267" s="47"/>
      <c r="AG267" s="48"/>
    </row>
    <row r="268" spans="2:33" s="38" customFormat="1" x14ac:dyDescent="0.25">
      <c r="B268" s="49"/>
      <c r="C268" s="70"/>
      <c r="D268" s="42"/>
      <c r="F268" s="33"/>
      <c r="G268" s="47"/>
      <c r="H268" s="42"/>
      <c r="I268" s="27"/>
      <c r="J268" s="47"/>
      <c r="K268" s="42"/>
      <c r="L268" s="27"/>
      <c r="M268" s="47"/>
      <c r="N268" s="42"/>
      <c r="O268" s="27"/>
      <c r="P268" s="47"/>
      <c r="Q268" s="42"/>
      <c r="R268" s="27"/>
      <c r="S268" s="47"/>
      <c r="T268" s="42"/>
      <c r="U268" s="27"/>
      <c r="V268" s="47"/>
      <c r="W268" s="42"/>
      <c r="X268" s="27"/>
      <c r="Y268" s="47"/>
      <c r="Z268" s="42"/>
      <c r="AA268" s="27"/>
      <c r="AB268" s="47"/>
      <c r="AC268" s="42"/>
      <c r="AD268" s="27"/>
      <c r="AE268" s="33"/>
      <c r="AF268" s="47"/>
      <c r="AG268" s="48"/>
    </row>
    <row r="269" spans="2:33" s="38" customFormat="1" x14ac:dyDescent="0.25">
      <c r="B269" s="49"/>
      <c r="C269" s="70"/>
      <c r="D269" s="42"/>
      <c r="F269" s="33"/>
      <c r="G269" s="47"/>
      <c r="H269" s="42"/>
      <c r="I269" s="27"/>
      <c r="J269" s="47"/>
      <c r="K269" s="42"/>
      <c r="L269" s="27"/>
      <c r="M269" s="47"/>
      <c r="N269" s="42"/>
      <c r="O269" s="27"/>
      <c r="P269" s="47"/>
      <c r="Q269" s="42"/>
      <c r="R269" s="27"/>
      <c r="S269" s="47"/>
      <c r="T269" s="42"/>
      <c r="U269" s="27"/>
      <c r="V269" s="47"/>
      <c r="W269" s="42"/>
      <c r="X269" s="27"/>
      <c r="Y269" s="47"/>
      <c r="Z269" s="42"/>
      <c r="AA269" s="27"/>
      <c r="AB269" s="47"/>
      <c r="AC269" s="42"/>
      <c r="AD269" s="27"/>
      <c r="AE269" s="33"/>
      <c r="AF269" s="47"/>
      <c r="AG269" s="48"/>
    </row>
    <row r="270" spans="2:33" s="38" customFormat="1" x14ac:dyDescent="0.25">
      <c r="B270" s="49"/>
      <c r="C270" s="70"/>
      <c r="D270" s="42"/>
      <c r="F270" s="33"/>
      <c r="G270" s="47"/>
      <c r="H270" s="42"/>
      <c r="I270" s="27"/>
      <c r="J270" s="47"/>
      <c r="K270" s="42"/>
      <c r="L270" s="27"/>
      <c r="M270" s="47"/>
      <c r="N270" s="42"/>
      <c r="O270" s="27"/>
      <c r="P270" s="47"/>
      <c r="Q270" s="42"/>
      <c r="R270" s="27"/>
      <c r="S270" s="47"/>
      <c r="T270" s="42"/>
      <c r="U270" s="27"/>
      <c r="V270" s="47"/>
      <c r="W270" s="42"/>
      <c r="X270" s="27"/>
      <c r="Y270" s="47"/>
      <c r="Z270" s="42"/>
      <c r="AA270" s="27"/>
      <c r="AB270" s="47"/>
      <c r="AC270" s="42"/>
      <c r="AD270" s="27"/>
      <c r="AE270" s="33"/>
      <c r="AF270" s="47"/>
      <c r="AG270" s="48"/>
    </row>
    <row r="271" spans="2:33" s="38" customFormat="1" x14ac:dyDescent="0.25">
      <c r="B271" s="49"/>
      <c r="C271" s="70"/>
      <c r="D271" s="42"/>
      <c r="F271" s="33"/>
      <c r="G271" s="47"/>
      <c r="H271" s="42"/>
      <c r="I271" s="27"/>
      <c r="J271" s="47"/>
      <c r="K271" s="42"/>
      <c r="L271" s="27"/>
      <c r="M271" s="47"/>
      <c r="N271" s="42"/>
      <c r="O271" s="27"/>
      <c r="P271" s="47"/>
      <c r="Q271" s="42"/>
      <c r="R271" s="27"/>
      <c r="S271" s="47"/>
      <c r="T271" s="42"/>
      <c r="U271" s="27"/>
      <c r="V271" s="47"/>
      <c r="W271" s="42"/>
      <c r="X271" s="27"/>
      <c r="Y271" s="47"/>
      <c r="Z271" s="42"/>
      <c r="AA271" s="27"/>
      <c r="AB271" s="47"/>
      <c r="AC271" s="42"/>
      <c r="AD271" s="27"/>
      <c r="AE271" s="33"/>
      <c r="AF271" s="47"/>
      <c r="AG271" s="48"/>
    </row>
    <row r="272" spans="2:33" s="38" customFormat="1" x14ac:dyDescent="0.25">
      <c r="B272" s="49"/>
      <c r="C272" s="70"/>
      <c r="D272" s="42"/>
      <c r="F272" s="33"/>
      <c r="G272" s="47"/>
      <c r="H272" s="42"/>
      <c r="I272" s="27"/>
      <c r="J272" s="47"/>
      <c r="K272" s="42"/>
      <c r="L272" s="27"/>
      <c r="M272" s="47"/>
      <c r="N272" s="42"/>
      <c r="O272" s="27"/>
      <c r="P272" s="47"/>
      <c r="Q272" s="42"/>
      <c r="R272" s="27"/>
      <c r="S272" s="47"/>
      <c r="T272" s="42"/>
      <c r="U272" s="27"/>
      <c r="V272" s="47"/>
      <c r="W272" s="42"/>
      <c r="X272" s="27"/>
      <c r="Y272" s="47"/>
      <c r="Z272" s="42"/>
      <c r="AA272" s="27"/>
      <c r="AB272" s="47"/>
      <c r="AC272" s="42"/>
      <c r="AD272" s="27"/>
      <c r="AE272" s="33"/>
      <c r="AF272" s="47"/>
      <c r="AG272" s="48"/>
    </row>
    <row r="273" spans="2:33" s="38" customFormat="1" x14ac:dyDescent="0.25">
      <c r="B273" s="49"/>
      <c r="C273" s="70"/>
      <c r="D273" s="42"/>
      <c r="F273" s="33"/>
      <c r="G273" s="47"/>
      <c r="H273" s="42"/>
      <c r="I273" s="27"/>
      <c r="J273" s="47"/>
      <c r="K273" s="42"/>
      <c r="L273" s="27"/>
      <c r="M273" s="47"/>
      <c r="N273" s="42"/>
      <c r="O273" s="27"/>
      <c r="P273" s="47"/>
      <c r="Q273" s="42"/>
      <c r="R273" s="27"/>
      <c r="S273" s="47"/>
      <c r="T273" s="42"/>
      <c r="U273" s="27"/>
      <c r="V273" s="47"/>
      <c r="W273" s="42"/>
      <c r="X273" s="27"/>
      <c r="Y273" s="47"/>
      <c r="Z273" s="42"/>
      <c r="AA273" s="27"/>
      <c r="AB273" s="47"/>
      <c r="AC273" s="42"/>
      <c r="AD273" s="27"/>
      <c r="AE273" s="33"/>
      <c r="AF273" s="47"/>
      <c r="AG273" s="48"/>
    </row>
    <row r="274" spans="2:33" s="38" customFormat="1" x14ac:dyDescent="0.25">
      <c r="B274" s="49"/>
      <c r="C274" s="70"/>
      <c r="D274" s="42"/>
      <c r="F274" s="33"/>
      <c r="G274" s="47"/>
      <c r="H274" s="42"/>
      <c r="I274" s="27"/>
      <c r="J274" s="47"/>
      <c r="K274" s="42"/>
      <c r="L274" s="27"/>
      <c r="M274" s="47"/>
      <c r="N274" s="42"/>
      <c r="O274" s="27"/>
      <c r="P274" s="47"/>
      <c r="Q274" s="42"/>
      <c r="R274" s="27"/>
      <c r="S274" s="47"/>
      <c r="T274" s="42"/>
      <c r="U274" s="27"/>
      <c r="V274" s="47"/>
      <c r="W274" s="42"/>
      <c r="X274" s="27"/>
      <c r="Y274" s="47"/>
      <c r="Z274" s="42"/>
      <c r="AA274" s="27"/>
      <c r="AB274" s="47"/>
      <c r="AC274" s="42"/>
      <c r="AD274" s="27"/>
      <c r="AE274" s="33"/>
      <c r="AF274" s="47"/>
      <c r="AG274" s="48"/>
    </row>
    <row r="275" spans="2:33" s="38" customFormat="1" x14ac:dyDescent="0.25">
      <c r="B275" s="49"/>
      <c r="C275" s="70"/>
      <c r="D275" s="42"/>
      <c r="F275" s="33"/>
      <c r="G275" s="47"/>
      <c r="H275" s="42"/>
      <c r="I275" s="27"/>
      <c r="J275" s="47"/>
      <c r="K275" s="42"/>
      <c r="L275" s="27"/>
      <c r="M275" s="47"/>
      <c r="N275" s="42"/>
      <c r="O275" s="27"/>
      <c r="P275" s="47"/>
      <c r="Q275" s="42"/>
      <c r="R275" s="27"/>
      <c r="S275" s="47"/>
      <c r="T275" s="42"/>
      <c r="U275" s="27"/>
      <c r="V275" s="47"/>
      <c r="W275" s="42"/>
      <c r="X275" s="27"/>
      <c r="Y275" s="47"/>
      <c r="Z275" s="42"/>
      <c r="AA275" s="27"/>
      <c r="AB275" s="47"/>
      <c r="AC275" s="42"/>
      <c r="AD275" s="27"/>
      <c r="AE275" s="33"/>
      <c r="AF275" s="47"/>
      <c r="AG275" s="48"/>
    </row>
    <row r="276" spans="2:33" s="38" customFormat="1" x14ac:dyDescent="0.25">
      <c r="B276" s="49"/>
      <c r="C276" s="70"/>
      <c r="D276" s="42"/>
      <c r="F276" s="33"/>
      <c r="G276" s="47"/>
      <c r="H276" s="42"/>
      <c r="I276" s="27"/>
      <c r="J276" s="47"/>
      <c r="K276" s="42"/>
      <c r="L276" s="27"/>
      <c r="M276" s="47"/>
      <c r="N276" s="42"/>
      <c r="O276" s="27"/>
      <c r="P276" s="47"/>
      <c r="Q276" s="42"/>
      <c r="R276" s="27"/>
      <c r="S276" s="47"/>
      <c r="T276" s="42"/>
      <c r="U276" s="27"/>
      <c r="V276" s="47"/>
      <c r="W276" s="42"/>
      <c r="X276" s="27"/>
      <c r="Y276" s="47"/>
      <c r="Z276" s="42"/>
      <c r="AA276" s="27"/>
      <c r="AB276" s="47"/>
      <c r="AC276" s="42"/>
      <c r="AD276" s="27"/>
      <c r="AE276" s="33"/>
      <c r="AF276" s="47"/>
      <c r="AG276" s="48"/>
    </row>
    <row r="277" spans="2:33" s="38" customFormat="1" x14ac:dyDescent="0.25">
      <c r="B277" s="49"/>
      <c r="C277" s="70"/>
      <c r="D277" s="42"/>
      <c r="F277" s="33"/>
      <c r="G277" s="47"/>
      <c r="H277" s="42"/>
      <c r="I277" s="27"/>
      <c r="J277" s="47"/>
      <c r="K277" s="42"/>
      <c r="L277" s="27"/>
      <c r="M277" s="47"/>
      <c r="N277" s="42"/>
      <c r="O277" s="27"/>
      <c r="P277" s="47"/>
      <c r="Q277" s="42"/>
      <c r="R277" s="27"/>
      <c r="S277" s="47"/>
      <c r="T277" s="42"/>
      <c r="U277" s="27"/>
      <c r="V277" s="47"/>
      <c r="W277" s="42"/>
      <c r="X277" s="27"/>
      <c r="Y277" s="47"/>
      <c r="Z277" s="42"/>
      <c r="AA277" s="27"/>
      <c r="AB277" s="47"/>
      <c r="AC277" s="42"/>
      <c r="AD277" s="27"/>
      <c r="AE277" s="33"/>
      <c r="AF277" s="47"/>
      <c r="AG277" s="48"/>
    </row>
    <row r="278" spans="2:33" s="38" customFormat="1" x14ac:dyDescent="0.25">
      <c r="B278" s="49"/>
      <c r="C278" s="70"/>
      <c r="D278" s="42"/>
      <c r="F278" s="33"/>
      <c r="G278" s="47"/>
      <c r="H278" s="42"/>
      <c r="I278" s="27"/>
      <c r="J278" s="47"/>
      <c r="K278" s="42"/>
      <c r="L278" s="27"/>
      <c r="M278" s="47"/>
      <c r="N278" s="42"/>
      <c r="O278" s="27"/>
      <c r="P278" s="47"/>
      <c r="Q278" s="42"/>
      <c r="R278" s="27"/>
      <c r="S278" s="47"/>
      <c r="T278" s="42"/>
      <c r="U278" s="27"/>
      <c r="V278" s="47"/>
      <c r="W278" s="42"/>
      <c r="X278" s="27"/>
      <c r="Y278" s="47"/>
      <c r="Z278" s="42"/>
      <c r="AA278" s="27"/>
      <c r="AB278" s="47"/>
      <c r="AC278" s="42"/>
      <c r="AD278" s="27"/>
      <c r="AE278" s="33"/>
      <c r="AF278" s="47"/>
      <c r="AG278" s="48"/>
    </row>
    <row r="279" spans="2:33" s="38" customFormat="1" x14ac:dyDescent="0.25">
      <c r="B279" s="49"/>
      <c r="C279" s="70"/>
      <c r="D279" s="42"/>
      <c r="F279" s="33"/>
      <c r="G279" s="47"/>
      <c r="H279" s="42"/>
      <c r="I279" s="27"/>
      <c r="J279" s="47"/>
      <c r="K279" s="42"/>
      <c r="L279" s="27"/>
      <c r="M279" s="47"/>
      <c r="N279" s="42"/>
      <c r="O279" s="27"/>
      <c r="P279" s="47"/>
      <c r="Q279" s="42"/>
      <c r="R279" s="27"/>
      <c r="S279" s="47"/>
      <c r="T279" s="42"/>
      <c r="U279" s="27"/>
      <c r="V279" s="47"/>
      <c r="W279" s="42"/>
      <c r="X279" s="27"/>
      <c r="Y279" s="47"/>
      <c r="Z279" s="42"/>
      <c r="AA279" s="27"/>
      <c r="AB279" s="47"/>
      <c r="AC279" s="42"/>
      <c r="AD279" s="27"/>
      <c r="AE279" s="33"/>
      <c r="AF279" s="47"/>
      <c r="AG279" s="48"/>
    </row>
    <row r="280" spans="2:33" s="38" customFormat="1" x14ac:dyDescent="0.25">
      <c r="B280" s="49"/>
      <c r="C280" s="70"/>
      <c r="D280" s="42"/>
      <c r="F280" s="33"/>
      <c r="G280" s="47"/>
      <c r="H280" s="42"/>
      <c r="I280" s="27"/>
      <c r="J280" s="47"/>
      <c r="K280" s="42"/>
      <c r="L280" s="27"/>
      <c r="M280" s="47"/>
      <c r="N280" s="42"/>
      <c r="O280" s="27"/>
      <c r="P280" s="47"/>
      <c r="Q280" s="42"/>
      <c r="R280" s="27"/>
      <c r="S280" s="47"/>
      <c r="T280" s="42"/>
      <c r="U280" s="27"/>
      <c r="V280" s="47"/>
      <c r="W280" s="42"/>
      <c r="X280" s="27"/>
      <c r="Y280" s="47"/>
      <c r="Z280" s="42"/>
      <c r="AA280" s="27"/>
      <c r="AB280" s="47"/>
      <c r="AC280" s="42"/>
      <c r="AD280" s="27"/>
      <c r="AE280" s="33"/>
      <c r="AF280" s="47"/>
      <c r="AG280" s="48"/>
    </row>
    <row r="281" spans="2:33" s="38" customFormat="1" x14ac:dyDescent="0.25">
      <c r="B281" s="49"/>
      <c r="C281" s="70"/>
      <c r="D281" s="42"/>
      <c r="F281" s="33"/>
      <c r="G281" s="47"/>
      <c r="H281" s="42"/>
      <c r="I281" s="27"/>
      <c r="J281" s="47"/>
      <c r="K281" s="42"/>
      <c r="L281" s="27"/>
      <c r="M281" s="47"/>
      <c r="N281" s="42"/>
      <c r="O281" s="27"/>
      <c r="P281" s="47"/>
      <c r="Q281" s="42"/>
      <c r="R281" s="27"/>
      <c r="S281" s="47"/>
      <c r="T281" s="42"/>
      <c r="U281" s="27"/>
      <c r="V281" s="47"/>
      <c r="W281" s="42"/>
      <c r="X281" s="27"/>
      <c r="Y281" s="47"/>
      <c r="Z281" s="42"/>
      <c r="AA281" s="27"/>
      <c r="AB281" s="47"/>
      <c r="AC281" s="42"/>
      <c r="AD281" s="27"/>
      <c r="AE281" s="33"/>
      <c r="AF281" s="47"/>
      <c r="AG281" s="48"/>
    </row>
    <row r="282" spans="2:33" s="38" customFormat="1" x14ac:dyDescent="0.25">
      <c r="B282" s="49"/>
      <c r="C282" s="70"/>
      <c r="D282" s="42"/>
      <c r="F282" s="33"/>
      <c r="G282" s="47"/>
      <c r="H282" s="42"/>
      <c r="I282" s="27"/>
      <c r="J282" s="47"/>
      <c r="K282" s="42"/>
      <c r="L282" s="27"/>
      <c r="M282" s="47"/>
      <c r="N282" s="42"/>
      <c r="O282" s="27"/>
      <c r="P282" s="47"/>
      <c r="Q282" s="42"/>
      <c r="R282" s="27"/>
      <c r="S282" s="47"/>
      <c r="T282" s="42"/>
      <c r="U282" s="27"/>
      <c r="V282" s="47"/>
      <c r="W282" s="42"/>
      <c r="X282" s="27"/>
      <c r="Y282" s="47"/>
      <c r="Z282" s="42"/>
      <c r="AA282" s="27"/>
      <c r="AB282" s="47"/>
      <c r="AC282" s="42"/>
      <c r="AD282" s="27"/>
      <c r="AE282" s="33"/>
      <c r="AF282" s="47"/>
      <c r="AG282" s="48"/>
    </row>
    <row r="283" spans="2:33" s="38" customFormat="1" x14ac:dyDescent="0.25">
      <c r="B283" s="49"/>
      <c r="C283" s="70"/>
      <c r="D283" s="42"/>
      <c r="F283" s="33"/>
      <c r="G283" s="47"/>
      <c r="H283" s="42"/>
      <c r="I283" s="27"/>
      <c r="J283" s="47"/>
      <c r="K283" s="42"/>
      <c r="L283" s="27"/>
      <c r="M283" s="47"/>
      <c r="N283" s="42"/>
      <c r="O283" s="27"/>
      <c r="P283" s="47"/>
      <c r="Q283" s="42"/>
      <c r="R283" s="27"/>
      <c r="S283" s="47"/>
      <c r="T283" s="42"/>
      <c r="U283" s="27"/>
      <c r="V283" s="47"/>
      <c r="W283" s="42"/>
      <c r="X283" s="27"/>
      <c r="Y283" s="47"/>
      <c r="Z283" s="42"/>
      <c r="AA283" s="27"/>
      <c r="AB283" s="47"/>
      <c r="AC283" s="42"/>
      <c r="AD283" s="27"/>
      <c r="AE283" s="33"/>
      <c r="AF283" s="47"/>
      <c r="AG283" s="48"/>
    </row>
    <row r="284" spans="2:33" s="38" customFormat="1" x14ac:dyDescent="0.25">
      <c r="B284" s="49"/>
      <c r="C284" s="70"/>
      <c r="D284" s="42"/>
      <c r="F284" s="33"/>
      <c r="G284" s="47"/>
      <c r="H284" s="42"/>
      <c r="I284" s="27"/>
      <c r="J284" s="47"/>
      <c r="K284" s="42"/>
      <c r="L284" s="27"/>
      <c r="M284" s="47"/>
      <c r="N284" s="42"/>
      <c r="O284" s="27"/>
      <c r="P284" s="47"/>
      <c r="Q284" s="42"/>
      <c r="R284" s="27"/>
      <c r="S284" s="47"/>
      <c r="T284" s="42"/>
      <c r="U284" s="27"/>
      <c r="V284" s="47"/>
      <c r="W284" s="42"/>
      <c r="X284" s="27"/>
      <c r="Y284" s="47"/>
      <c r="Z284" s="42"/>
      <c r="AA284" s="27"/>
      <c r="AB284" s="47"/>
      <c r="AC284" s="42"/>
      <c r="AD284" s="27"/>
      <c r="AE284" s="33"/>
      <c r="AF284" s="47"/>
      <c r="AG284" s="48"/>
    </row>
    <row r="285" spans="2:33" s="38" customFormat="1" x14ac:dyDescent="0.25">
      <c r="B285" s="49"/>
      <c r="C285" s="70"/>
      <c r="D285" s="42"/>
      <c r="F285" s="33"/>
      <c r="G285" s="47"/>
      <c r="H285" s="42"/>
      <c r="I285" s="27"/>
      <c r="J285" s="47"/>
      <c r="K285" s="42"/>
      <c r="L285" s="27"/>
      <c r="M285" s="47"/>
      <c r="N285" s="42"/>
      <c r="O285" s="27"/>
      <c r="P285" s="47"/>
      <c r="Q285" s="42"/>
      <c r="R285" s="27"/>
      <c r="S285" s="47"/>
      <c r="T285" s="42"/>
      <c r="U285" s="27"/>
      <c r="V285" s="47"/>
      <c r="W285" s="42"/>
      <c r="X285" s="27"/>
      <c r="Y285" s="47"/>
      <c r="Z285" s="42"/>
      <c r="AA285" s="27"/>
      <c r="AB285" s="47"/>
      <c r="AC285" s="42"/>
      <c r="AD285" s="27"/>
      <c r="AE285" s="33"/>
      <c r="AF285" s="47"/>
      <c r="AG285" s="48"/>
    </row>
    <row r="286" spans="2:33" s="38" customFormat="1" x14ac:dyDescent="0.25">
      <c r="B286" s="49"/>
      <c r="C286" s="70"/>
      <c r="D286" s="42"/>
      <c r="F286" s="33"/>
      <c r="G286" s="47"/>
      <c r="H286" s="42"/>
      <c r="I286" s="27"/>
      <c r="J286" s="47"/>
      <c r="K286" s="42"/>
      <c r="L286" s="27"/>
      <c r="M286" s="47"/>
      <c r="N286" s="42"/>
      <c r="O286" s="27"/>
      <c r="P286" s="47"/>
      <c r="Q286" s="42"/>
      <c r="R286" s="27"/>
      <c r="S286" s="47"/>
      <c r="T286" s="42"/>
      <c r="U286" s="27"/>
      <c r="V286" s="47"/>
      <c r="W286" s="42"/>
      <c r="X286" s="27"/>
      <c r="Y286" s="47"/>
      <c r="Z286" s="42"/>
      <c r="AA286" s="27"/>
      <c r="AB286" s="47"/>
      <c r="AC286" s="42"/>
      <c r="AD286" s="27"/>
      <c r="AE286" s="33"/>
      <c r="AF286" s="47"/>
      <c r="AG286" s="48"/>
    </row>
    <row r="287" spans="2:33" s="38" customFormat="1" x14ac:dyDescent="0.25">
      <c r="B287" s="49"/>
      <c r="C287" s="70"/>
      <c r="D287" s="42"/>
      <c r="F287" s="33"/>
      <c r="G287" s="47"/>
      <c r="H287" s="42"/>
      <c r="I287" s="27"/>
      <c r="J287" s="47"/>
      <c r="K287" s="42"/>
      <c r="L287" s="27"/>
      <c r="M287" s="47"/>
      <c r="N287" s="42"/>
      <c r="O287" s="27"/>
      <c r="P287" s="47"/>
      <c r="Q287" s="42"/>
      <c r="R287" s="27"/>
      <c r="S287" s="47"/>
      <c r="T287" s="42"/>
      <c r="U287" s="27"/>
      <c r="V287" s="47"/>
      <c r="W287" s="42"/>
      <c r="X287" s="27"/>
      <c r="Y287" s="47"/>
      <c r="Z287" s="42"/>
      <c r="AA287" s="27"/>
      <c r="AB287" s="47"/>
      <c r="AC287" s="42"/>
      <c r="AD287" s="27"/>
      <c r="AE287" s="33"/>
      <c r="AF287" s="47"/>
      <c r="AG287" s="48"/>
    </row>
    <row r="288" spans="2:33" s="38" customFormat="1" x14ac:dyDescent="0.25">
      <c r="B288" s="49"/>
      <c r="C288" s="70"/>
      <c r="D288" s="42"/>
      <c r="F288" s="33"/>
      <c r="G288" s="47"/>
      <c r="H288" s="42"/>
      <c r="I288" s="27"/>
      <c r="J288" s="47"/>
      <c r="K288" s="42"/>
      <c r="L288" s="27"/>
      <c r="M288" s="47"/>
      <c r="N288" s="42"/>
      <c r="O288" s="27"/>
      <c r="P288" s="47"/>
      <c r="Q288" s="42"/>
      <c r="R288" s="27"/>
      <c r="S288" s="47"/>
      <c r="T288" s="42"/>
      <c r="U288" s="27"/>
      <c r="V288" s="47"/>
      <c r="W288" s="42"/>
      <c r="X288" s="27"/>
      <c r="Y288" s="47"/>
      <c r="Z288" s="42"/>
      <c r="AA288" s="27"/>
      <c r="AB288" s="47"/>
      <c r="AC288" s="42"/>
      <c r="AD288" s="27"/>
      <c r="AE288" s="33"/>
      <c r="AF288" s="47"/>
      <c r="AG288" s="48"/>
    </row>
    <row r="289" spans="2:33" s="38" customFormat="1" x14ac:dyDescent="0.25">
      <c r="B289" s="49"/>
      <c r="C289" s="70"/>
      <c r="D289" s="42"/>
      <c r="F289" s="33"/>
      <c r="G289" s="47"/>
      <c r="H289" s="42"/>
      <c r="I289" s="27"/>
      <c r="J289" s="47"/>
      <c r="K289" s="42"/>
      <c r="L289" s="27"/>
      <c r="M289" s="47"/>
      <c r="N289" s="42"/>
      <c r="O289" s="27"/>
      <c r="P289" s="47"/>
      <c r="Q289" s="42"/>
      <c r="R289" s="27"/>
      <c r="S289" s="47"/>
      <c r="T289" s="42"/>
      <c r="U289" s="27"/>
      <c r="V289" s="47"/>
      <c r="W289" s="42"/>
      <c r="X289" s="27"/>
      <c r="Y289" s="47"/>
      <c r="Z289" s="42"/>
      <c r="AA289" s="27"/>
      <c r="AB289" s="47"/>
      <c r="AC289" s="42"/>
      <c r="AD289" s="27"/>
      <c r="AE289" s="33"/>
      <c r="AF289" s="47"/>
      <c r="AG289" s="48"/>
    </row>
    <row r="290" spans="2:33" s="38" customFormat="1" x14ac:dyDescent="0.25">
      <c r="B290" s="49"/>
      <c r="C290" s="70"/>
      <c r="D290" s="42"/>
      <c r="F290" s="33"/>
      <c r="G290" s="47"/>
      <c r="H290" s="42"/>
      <c r="I290" s="27"/>
      <c r="J290" s="47"/>
      <c r="K290" s="42"/>
      <c r="L290" s="27"/>
      <c r="M290" s="47"/>
      <c r="N290" s="42"/>
      <c r="O290" s="27"/>
      <c r="P290" s="47"/>
      <c r="Q290" s="42"/>
      <c r="R290" s="27"/>
      <c r="S290" s="47"/>
      <c r="T290" s="42"/>
      <c r="U290" s="27"/>
      <c r="V290" s="47"/>
      <c r="W290" s="42"/>
      <c r="X290" s="27"/>
      <c r="Y290" s="47"/>
      <c r="Z290" s="42"/>
      <c r="AA290" s="27"/>
      <c r="AB290" s="47"/>
      <c r="AC290" s="42"/>
      <c r="AD290" s="27"/>
      <c r="AE290" s="33"/>
      <c r="AF290" s="47"/>
      <c r="AG290" s="48"/>
    </row>
    <row r="291" spans="2:33" s="38" customFormat="1" x14ac:dyDescent="0.25">
      <c r="B291" s="49"/>
      <c r="C291" s="70"/>
      <c r="D291" s="42"/>
      <c r="F291" s="33"/>
      <c r="G291" s="47"/>
      <c r="H291" s="42"/>
      <c r="I291" s="27"/>
      <c r="J291" s="47"/>
      <c r="K291" s="42"/>
      <c r="L291" s="27"/>
      <c r="M291" s="47"/>
      <c r="N291" s="42"/>
      <c r="O291" s="27"/>
      <c r="P291" s="47"/>
      <c r="Q291" s="42"/>
      <c r="R291" s="27"/>
      <c r="S291" s="47"/>
      <c r="T291" s="42"/>
      <c r="U291" s="27"/>
      <c r="V291" s="47"/>
      <c r="W291" s="42"/>
      <c r="X291" s="27"/>
      <c r="Y291" s="47"/>
      <c r="Z291" s="42"/>
      <c r="AA291" s="27"/>
      <c r="AB291" s="47"/>
      <c r="AC291" s="42"/>
      <c r="AD291" s="27"/>
      <c r="AE291" s="33"/>
      <c r="AF291" s="47"/>
      <c r="AG291" s="48"/>
    </row>
    <row r="292" spans="2:33" s="38" customFormat="1" x14ac:dyDescent="0.25">
      <c r="B292" s="49"/>
      <c r="C292" s="70"/>
      <c r="D292" s="42"/>
      <c r="F292" s="33"/>
      <c r="G292" s="47"/>
      <c r="H292" s="42"/>
      <c r="I292" s="27"/>
      <c r="J292" s="47"/>
      <c r="K292" s="42"/>
      <c r="L292" s="27"/>
      <c r="M292" s="47"/>
      <c r="N292" s="42"/>
      <c r="O292" s="27"/>
      <c r="P292" s="47"/>
      <c r="Q292" s="42"/>
      <c r="R292" s="27"/>
      <c r="S292" s="47"/>
      <c r="T292" s="42"/>
      <c r="U292" s="27"/>
      <c r="V292" s="47"/>
      <c r="W292" s="42"/>
      <c r="X292" s="27"/>
      <c r="Y292" s="47"/>
      <c r="Z292" s="42"/>
      <c r="AA292" s="27"/>
      <c r="AB292" s="47"/>
      <c r="AC292" s="42"/>
      <c r="AD292" s="27"/>
      <c r="AE292" s="33"/>
      <c r="AF292" s="47"/>
      <c r="AG292" s="48"/>
    </row>
    <row r="293" spans="2:33" s="38" customFormat="1" x14ac:dyDescent="0.25">
      <c r="B293" s="49"/>
      <c r="C293" s="70"/>
      <c r="D293" s="42"/>
      <c r="F293" s="33"/>
      <c r="G293" s="47"/>
      <c r="H293" s="42"/>
      <c r="I293" s="27"/>
      <c r="J293" s="47"/>
      <c r="K293" s="42"/>
      <c r="L293" s="27"/>
      <c r="M293" s="47"/>
      <c r="N293" s="42"/>
      <c r="O293" s="27"/>
      <c r="P293" s="47"/>
      <c r="Q293" s="42"/>
      <c r="R293" s="27"/>
      <c r="S293" s="47"/>
      <c r="T293" s="42"/>
      <c r="U293" s="27"/>
      <c r="V293" s="47"/>
      <c r="W293" s="42"/>
      <c r="X293" s="27"/>
      <c r="Y293" s="47"/>
      <c r="Z293" s="42"/>
      <c r="AA293" s="27"/>
      <c r="AB293" s="47"/>
      <c r="AC293" s="42"/>
      <c r="AD293" s="27"/>
      <c r="AE293" s="33"/>
      <c r="AF293" s="47"/>
      <c r="AG293" s="48"/>
    </row>
    <row r="294" spans="2:33" s="38" customFormat="1" x14ac:dyDescent="0.25">
      <c r="B294" s="49"/>
      <c r="C294" s="70"/>
      <c r="D294" s="42"/>
      <c r="F294" s="33"/>
      <c r="G294" s="47"/>
      <c r="H294" s="42"/>
      <c r="I294" s="27"/>
      <c r="J294" s="47"/>
      <c r="K294" s="42"/>
      <c r="L294" s="27"/>
      <c r="M294" s="47"/>
      <c r="N294" s="42"/>
      <c r="O294" s="27"/>
      <c r="P294" s="47"/>
      <c r="Q294" s="42"/>
      <c r="R294" s="27"/>
      <c r="S294" s="47"/>
      <c r="T294" s="42"/>
      <c r="U294" s="27"/>
      <c r="V294" s="47"/>
      <c r="W294" s="42"/>
      <c r="X294" s="27"/>
      <c r="Y294" s="47"/>
      <c r="Z294" s="42"/>
      <c r="AA294" s="27"/>
      <c r="AB294" s="47"/>
      <c r="AC294" s="42"/>
      <c r="AD294" s="27"/>
      <c r="AE294" s="33"/>
      <c r="AF294" s="47"/>
      <c r="AG294" s="48"/>
    </row>
    <row r="295" spans="2:33" s="38" customFormat="1" x14ac:dyDescent="0.25">
      <c r="B295" s="49"/>
      <c r="C295" s="70"/>
      <c r="D295" s="42"/>
      <c r="F295" s="33"/>
      <c r="G295" s="47"/>
      <c r="H295" s="42"/>
      <c r="I295" s="27"/>
      <c r="J295" s="47"/>
      <c r="K295" s="42"/>
      <c r="L295" s="27"/>
      <c r="M295" s="47"/>
      <c r="N295" s="42"/>
      <c r="O295" s="27"/>
      <c r="P295" s="47"/>
      <c r="Q295" s="42"/>
      <c r="R295" s="27"/>
      <c r="S295" s="47"/>
      <c r="T295" s="42"/>
      <c r="U295" s="27"/>
      <c r="V295" s="47"/>
      <c r="W295" s="42"/>
      <c r="X295" s="27"/>
      <c r="Y295" s="47"/>
      <c r="Z295" s="42"/>
      <c r="AA295" s="27"/>
      <c r="AB295" s="47"/>
      <c r="AC295" s="42"/>
      <c r="AD295" s="27"/>
      <c r="AE295" s="33"/>
      <c r="AF295" s="47"/>
      <c r="AG295" s="48"/>
    </row>
    <row r="296" spans="2:33" s="38" customFormat="1" x14ac:dyDescent="0.25">
      <c r="B296" s="49"/>
      <c r="C296" s="70"/>
      <c r="D296" s="42"/>
      <c r="F296" s="33"/>
      <c r="G296" s="47"/>
      <c r="H296" s="42"/>
      <c r="I296" s="27"/>
      <c r="J296" s="47"/>
      <c r="K296" s="42"/>
      <c r="L296" s="27"/>
      <c r="M296" s="47"/>
      <c r="N296" s="42"/>
      <c r="O296" s="27"/>
      <c r="P296" s="47"/>
      <c r="Q296" s="42"/>
      <c r="R296" s="27"/>
      <c r="S296" s="47"/>
      <c r="T296" s="42"/>
      <c r="U296" s="27"/>
      <c r="V296" s="47"/>
      <c r="W296" s="42"/>
      <c r="X296" s="27"/>
      <c r="Y296" s="47"/>
      <c r="Z296" s="42"/>
      <c r="AA296" s="27"/>
      <c r="AB296" s="47"/>
      <c r="AC296" s="42"/>
      <c r="AD296" s="27"/>
      <c r="AE296" s="33"/>
      <c r="AF296" s="47"/>
      <c r="AG296" s="48"/>
    </row>
    <row r="297" spans="2:33" s="38" customFormat="1" x14ac:dyDescent="0.25">
      <c r="B297" s="49"/>
      <c r="C297" s="70"/>
      <c r="D297" s="42"/>
      <c r="F297" s="33"/>
      <c r="G297" s="47"/>
      <c r="H297" s="42"/>
      <c r="I297" s="27"/>
      <c r="J297" s="47"/>
      <c r="K297" s="42"/>
      <c r="L297" s="27"/>
      <c r="M297" s="47"/>
      <c r="N297" s="42"/>
      <c r="O297" s="27"/>
      <c r="P297" s="47"/>
      <c r="Q297" s="42"/>
      <c r="R297" s="27"/>
      <c r="S297" s="47"/>
      <c r="T297" s="42"/>
      <c r="U297" s="27"/>
      <c r="V297" s="47"/>
      <c r="W297" s="42"/>
      <c r="X297" s="27"/>
      <c r="Y297" s="47"/>
      <c r="Z297" s="42"/>
      <c r="AA297" s="27"/>
      <c r="AB297" s="47"/>
      <c r="AC297" s="42"/>
      <c r="AD297" s="27"/>
      <c r="AE297" s="33"/>
      <c r="AF297" s="47"/>
      <c r="AG297" s="48"/>
    </row>
    <row r="298" spans="2:33" s="38" customFormat="1" x14ac:dyDescent="0.25">
      <c r="B298" s="49"/>
      <c r="C298" s="70"/>
      <c r="D298" s="42"/>
      <c r="F298" s="33"/>
      <c r="G298" s="47"/>
      <c r="H298" s="42"/>
      <c r="I298" s="27"/>
      <c r="J298" s="47"/>
      <c r="K298" s="42"/>
      <c r="L298" s="27"/>
      <c r="M298" s="47"/>
      <c r="N298" s="42"/>
      <c r="O298" s="27"/>
      <c r="P298" s="47"/>
      <c r="Q298" s="42"/>
      <c r="R298" s="27"/>
      <c r="S298" s="47"/>
      <c r="T298" s="42"/>
      <c r="U298" s="27"/>
      <c r="V298" s="47"/>
      <c r="W298" s="42"/>
      <c r="X298" s="27"/>
      <c r="Y298" s="47"/>
      <c r="Z298" s="42"/>
      <c r="AA298" s="27"/>
      <c r="AB298" s="47"/>
      <c r="AC298" s="42"/>
      <c r="AD298" s="27"/>
      <c r="AE298" s="33"/>
      <c r="AF298" s="47"/>
      <c r="AG298" s="48"/>
    </row>
    <row r="299" spans="2:33" s="38" customFormat="1" x14ac:dyDescent="0.25">
      <c r="B299" s="49"/>
      <c r="C299" s="70"/>
      <c r="D299" s="42"/>
      <c r="F299" s="33"/>
      <c r="G299" s="47"/>
      <c r="H299" s="42"/>
      <c r="I299" s="27"/>
      <c r="J299" s="47"/>
      <c r="K299" s="42"/>
      <c r="L299" s="27"/>
      <c r="M299" s="47"/>
      <c r="N299" s="42"/>
      <c r="O299" s="27"/>
      <c r="P299" s="47"/>
      <c r="Q299" s="42"/>
      <c r="R299" s="27"/>
      <c r="S299" s="47"/>
      <c r="T299" s="42"/>
      <c r="U299" s="27"/>
      <c r="V299" s="47"/>
      <c r="W299" s="42"/>
      <c r="X299" s="27"/>
      <c r="Y299" s="47"/>
      <c r="Z299" s="42"/>
      <c r="AA299" s="27"/>
      <c r="AB299" s="47"/>
      <c r="AC299" s="42"/>
      <c r="AD299" s="27"/>
      <c r="AE299" s="33"/>
      <c r="AF299" s="47"/>
      <c r="AG299" s="48"/>
    </row>
    <row r="300" spans="2:33" s="38" customFormat="1" x14ac:dyDescent="0.25">
      <c r="B300" s="49"/>
      <c r="C300" s="70"/>
      <c r="D300" s="42"/>
      <c r="F300" s="33"/>
      <c r="G300" s="47"/>
      <c r="H300" s="42"/>
      <c r="I300" s="27"/>
      <c r="J300" s="47"/>
      <c r="K300" s="42"/>
      <c r="L300" s="27"/>
      <c r="M300" s="47"/>
      <c r="N300" s="42"/>
      <c r="O300" s="27"/>
      <c r="P300" s="47"/>
      <c r="Q300" s="42"/>
      <c r="R300" s="27"/>
      <c r="S300" s="47"/>
      <c r="T300" s="42"/>
      <c r="U300" s="27"/>
      <c r="V300" s="47"/>
      <c r="W300" s="42"/>
      <c r="X300" s="27"/>
      <c r="Y300" s="47"/>
      <c r="Z300" s="42"/>
      <c r="AA300" s="27"/>
      <c r="AB300" s="47"/>
      <c r="AC300" s="42"/>
      <c r="AD300" s="27"/>
      <c r="AE300" s="33"/>
      <c r="AF300" s="47"/>
      <c r="AG300" s="48"/>
    </row>
    <row r="301" spans="2:33" s="38" customFormat="1" x14ac:dyDescent="0.25">
      <c r="B301" s="49"/>
      <c r="C301" s="70"/>
      <c r="D301" s="42"/>
      <c r="F301" s="33"/>
      <c r="G301" s="47"/>
      <c r="H301" s="42"/>
      <c r="I301" s="27"/>
      <c r="J301" s="47"/>
      <c r="K301" s="42"/>
      <c r="L301" s="27"/>
      <c r="M301" s="47"/>
      <c r="N301" s="42"/>
      <c r="O301" s="27"/>
      <c r="P301" s="47"/>
      <c r="Q301" s="42"/>
      <c r="R301" s="27"/>
      <c r="S301" s="47"/>
      <c r="T301" s="42"/>
      <c r="U301" s="27"/>
      <c r="V301" s="47"/>
      <c r="W301" s="42"/>
      <c r="X301" s="27"/>
      <c r="Y301" s="47"/>
      <c r="Z301" s="42"/>
      <c r="AA301" s="27"/>
      <c r="AB301" s="47"/>
      <c r="AC301" s="42"/>
      <c r="AD301" s="27"/>
      <c r="AE301" s="33"/>
      <c r="AF301" s="47"/>
      <c r="AG301" s="48"/>
    </row>
    <row r="302" spans="2:33" s="38" customFormat="1" x14ac:dyDescent="0.25">
      <c r="B302" s="49"/>
      <c r="C302" s="70"/>
      <c r="D302" s="42"/>
      <c r="F302" s="33"/>
      <c r="G302" s="47"/>
      <c r="H302" s="42"/>
      <c r="I302" s="27"/>
      <c r="J302" s="47"/>
      <c r="K302" s="42"/>
      <c r="L302" s="27"/>
      <c r="M302" s="47"/>
      <c r="N302" s="42"/>
      <c r="O302" s="27"/>
      <c r="P302" s="47"/>
      <c r="Q302" s="42"/>
      <c r="R302" s="27"/>
      <c r="S302" s="47"/>
      <c r="T302" s="42"/>
      <c r="U302" s="27"/>
      <c r="V302" s="47"/>
      <c r="W302" s="42"/>
      <c r="X302" s="27"/>
      <c r="Y302" s="47"/>
      <c r="Z302" s="42"/>
      <c r="AA302" s="27"/>
      <c r="AB302" s="47"/>
      <c r="AC302" s="42"/>
      <c r="AD302" s="27"/>
      <c r="AE302" s="33"/>
      <c r="AF302" s="47"/>
      <c r="AG302" s="48"/>
    </row>
    <row r="303" spans="2:33" s="38" customFormat="1" x14ac:dyDescent="0.25">
      <c r="B303" s="49"/>
      <c r="C303" s="70"/>
      <c r="D303" s="42"/>
      <c r="F303" s="33"/>
      <c r="G303" s="47"/>
      <c r="H303" s="42"/>
      <c r="I303" s="27"/>
      <c r="J303" s="47"/>
      <c r="K303" s="42"/>
      <c r="L303" s="27"/>
      <c r="M303" s="47"/>
      <c r="N303" s="42"/>
      <c r="O303" s="27"/>
      <c r="P303" s="47"/>
      <c r="Q303" s="42"/>
      <c r="R303" s="27"/>
      <c r="S303" s="47"/>
      <c r="T303" s="42"/>
      <c r="U303" s="27"/>
      <c r="V303" s="47"/>
      <c r="W303" s="42"/>
      <c r="X303" s="27"/>
      <c r="Y303" s="47"/>
      <c r="Z303" s="42"/>
      <c r="AA303" s="27"/>
      <c r="AB303" s="47"/>
      <c r="AC303" s="42"/>
      <c r="AD303" s="27"/>
      <c r="AE303" s="33"/>
      <c r="AF303" s="47"/>
      <c r="AG303" s="48"/>
    </row>
    <row r="304" spans="2:33" s="38" customFormat="1" x14ac:dyDescent="0.25">
      <c r="B304" s="49"/>
      <c r="C304" s="70"/>
      <c r="D304" s="42"/>
      <c r="F304" s="33"/>
      <c r="G304" s="47"/>
      <c r="H304" s="42"/>
      <c r="I304" s="27"/>
      <c r="J304" s="47"/>
      <c r="K304" s="42"/>
      <c r="L304" s="27"/>
      <c r="M304" s="47"/>
      <c r="N304" s="42"/>
      <c r="O304" s="27"/>
      <c r="P304" s="47"/>
      <c r="Q304" s="42"/>
      <c r="R304" s="27"/>
      <c r="S304" s="47"/>
      <c r="T304" s="42"/>
      <c r="U304" s="27"/>
      <c r="V304" s="47"/>
      <c r="W304" s="42"/>
      <c r="X304" s="27"/>
      <c r="Y304" s="47"/>
      <c r="Z304" s="42"/>
      <c r="AA304" s="27"/>
      <c r="AB304" s="47"/>
      <c r="AC304" s="42"/>
      <c r="AD304" s="27"/>
      <c r="AE304" s="33"/>
      <c r="AF304" s="47"/>
      <c r="AG304" s="48"/>
    </row>
    <row r="305" spans="2:33" s="38" customFormat="1" x14ac:dyDescent="0.25">
      <c r="B305" s="49"/>
      <c r="C305" s="70"/>
      <c r="D305" s="42"/>
      <c r="F305" s="33"/>
      <c r="G305" s="47"/>
      <c r="H305" s="42"/>
      <c r="I305" s="27"/>
      <c r="J305" s="47"/>
      <c r="K305" s="42"/>
      <c r="L305" s="27"/>
      <c r="M305" s="47"/>
      <c r="N305" s="42"/>
      <c r="O305" s="27"/>
      <c r="P305" s="47"/>
      <c r="Q305" s="42"/>
      <c r="R305" s="27"/>
      <c r="S305" s="47"/>
      <c r="T305" s="42"/>
      <c r="U305" s="27"/>
      <c r="V305" s="47"/>
      <c r="W305" s="42"/>
      <c r="X305" s="27"/>
      <c r="Y305" s="47"/>
      <c r="Z305" s="42"/>
      <c r="AA305" s="27"/>
      <c r="AB305" s="47"/>
      <c r="AC305" s="42"/>
      <c r="AD305" s="27"/>
      <c r="AE305" s="33"/>
      <c r="AF305" s="47"/>
      <c r="AG305" s="48"/>
    </row>
    <row r="306" spans="2:33" s="38" customFormat="1" x14ac:dyDescent="0.25">
      <c r="B306" s="49"/>
      <c r="C306" s="70"/>
      <c r="D306" s="42"/>
      <c r="F306" s="33"/>
      <c r="G306" s="47"/>
      <c r="H306" s="42"/>
      <c r="I306" s="27"/>
      <c r="J306" s="47"/>
      <c r="K306" s="42"/>
      <c r="L306" s="27"/>
      <c r="M306" s="47"/>
      <c r="N306" s="42"/>
      <c r="O306" s="27"/>
      <c r="P306" s="47"/>
      <c r="Q306" s="42"/>
      <c r="R306" s="27"/>
      <c r="S306" s="47"/>
      <c r="T306" s="42"/>
      <c r="U306" s="27"/>
      <c r="V306" s="47"/>
      <c r="W306" s="42"/>
      <c r="X306" s="27"/>
      <c r="Y306" s="47"/>
      <c r="Z306" s="42"/>
      <c r="AA306" s="27"/>
      <c r="AB306" s="47"/>
      <c r="AC306" s="42"/>
      <c r="AD306" s="27"/>
      <c r="AE306" s="33"/>
      <c r="AF306" s="47"/>
      <c r="AG306" s="48"/>
    </row>
    <row r="307" spans="2:33" s="38" customFormat="1" x14ac:dyDescent="0.25">
      <c r="B307" s="49"/>
      <c r="C307" s="70"/>
      <c r="D307" s="42"/>
      <c r="F307" s="33"/>
      <c r="G307" s="47"/>
      <c r="H307" s="42"/>
      <c r="I307" s="27"/>
      <c r="J307" s="47"/>
      <c r="K307" s="42"/>
      <c r="L307" s="27"/>
      <c r="M307" s="47"/>
      <c r="N307" s="42"/>
      <c r="O307" s="27"/>
      <c r="P307" s="47"/>
      <c r="Q307" s="42"/>
      <c r="R307" s="27"/>
      <c r="S307" s="47"/>
      <c r="T307" s="42"/>
      <c r="U307" s="27"/>
      <c r="V307" s="47"/>
      <c r="W307" s="42"/>
      <c r="X307" s="27"/>
      <c r="Y307" s="47"/>
      <c r="Z307" s="42"/>
      <c r="AA307" s="27"/>
      <c r="AB307" s="47"/>
      <c r="AC307" s="42"/>
      <c r="AD307" s="27"/>
      <c r="AE307" s="33"/>
      <c r="AF307" s="47"/>
      <c r="AG307" s="48"/>
    </row>
    <row r="308" spans="2:33" s="38" customFormat="1" x14ac:dyDescent="0.25">
      <c r="B308" s="49"/>
      <c r="C308" s="70"/>
      <c r="D308" s="42"/>
      <c r="F308" s="33"/>
      <c r="G308" s="47"/>
      <c r="H308" s="42"/>
      <c r="I308" s="27"/>
      <c r="J308" s="47"/>
      <c r="K308" s="42"/>
      <c r="L308" s="27"/>
      <c r="M308" s="47"/>
      <c r="N308" s="42"/>
      <c r="O308" s="27"/>
      <c r="P308" s="47"/>
      <c r="Q308" s="42"/>
      <c r="R308" s="27"/>
      <c r="S308" s="47"/>
      <c r="T308" s="42"/>
      <c r="U308" s="27"/>
      <c r="V308" s="47"/>
      <c r="W308" s="42"/>
      <c r="X308" s="27"/>
      <c r="Y308" s="47"/>
      <c r="Z308" s="42"/>
      <c r="AA308" s="27"/>
      <c r="AB308" s="47"/>
      <c r="AC308" s="42"/>
      <c r="AD308" s="27"/>
      <c r="AE308" s="33"/>
      <c r="AF308" s="47"/>
      <c r="AG308" s="48"/>
    </row>
    <row r="309" spans="2:33" s="38" customFormat="1" x14ac:dyDescent="0.25">
      <c r="B309" s="49"/>
      <c r="C309" s="70"/>
      <c r="D309" s="42"/>
      <c r="F309" s="33"/>
      <c r="G309" s="47"/>
      <c r="H309" s="42"/>
      <c r="I309" s="27"/>
      <c r="J309" s="47"/>
      <c r="K309" s="42"/>
      <c r="L309" s="27"/>
      <c r="M309" s="47"/>
      <c r="N309" s="42"/>
      <c r="O309" s="27"/>
      <c r="P309" s="47"/>
      <c r="Q309" s="42"/>
      <c r="R309" s="27"/>
      <c r="S309" s="47"/>
      <c r="T309" s="42"/>
      <c r="U309" s="27"/>
      <c r="V309" s="47"/>
      <c r="W309" s="42"/>
      <c r="X309" s="27"/>
      <c r="Y309" s="47"/>
      <c r="Z309" s="42"/>
      <c r="AA309" s="27"/>
      <c r="AB309" s="47"/>
      <c r="AC309" s="42"/>
      <c r="AD309" s="27"/>
      <c r="AE309" s="33"/>
      <c r="AF309" s="47"/>
      <c r="AG309" s="48"/>
    </row>
    <row r="310" spans="2:33" s="38" customFormat="1" x14ac:dyDescent="0.25">
      <c r="B310" s="49"/>
      <c r="C310" s="70"/>
      <c r="D310" s="42"/>
      <c r="F310" s="33"/>
      <c r="G310" s="47"/>
      <c r="H310" s="42"/>
      <c r="I310" s="27"/>
      <c r="J310" s="47"/>
      <c r="K310" s="42"/>
      <c r="L310" s="27"/>
      <c r="M310" s="47"/>
      <c r="N310" s="42"/>
      <c r="O310" s="27"/>
      <c r="P310" s="47"/>
      <c r="Q310" s="42"/>
      <c r="R310" s="27"/>
      <c r="S310" s="47"/>
      <c r="T310" s="42"/>
      <c r="U310" s="27"/>
      <c r="V310" s="47"/>
      <c r="W310" s="42"/>
      <c r="X310" s="27"/>
      <c r="Y310" s="47"/>
      <c r="Z310" s="42"/>
      <c r="AA310" s="27"/>
      <c r="AB310" s="47"/>
      <c r="AC310" s="42"/>
      <c r="AD310" s="27"/>
      <c r="AE310" s="33"/>
      <c r="AF310" s="47"/>
      <c r="AG310" s="48"/>
    </row>
    <row r="311" spans="2:33" s="38" customFormat="1" x14ac:dyDescent="0.25">
      <c r="B311" s="49"/>
      <c r="C311" s="70"/>
      <c r="D311" s="42"/>
      <c r="F311" s="33"/>
      <c r="G311" s="47"/>
      <c r="H311" s="42"/>
      <c r="I311" s="27"/>
      <c r="J311" s="47"/>
      <c r="K311" s="42"/>
      <c r="L311" s="27"/>
      <c r="M311" s="47"/>
      <c r="N311" s="42"/>
      <c r="O311" s="27"/>
      <c r="P311" s="47"/>
      <c r="Q311" s="42"/>
      <c r="R311" s="27"/>
      <c r="S311" s="47"/>
      <c r="T311" s="42"/>
      <c r="U311" s="27"/>
      <c r="V311" s="47"/>
      <c r="W311" s="42"/>
      <c r="X311" s="27"/>
      <c r="Y311" s="47"/>
      <c r="Z311" s="42"/>
      <c r="AA311" s="27"/>
      <c r="AB311" s="47"/>
      <c r="AC311" s="42"/>
      <c r="AD311" s="27"/>
      <c r="AE311" s="33"/>
      <c r="AF311" s="47"/>
      <c r="AG311" s="48"/>
    </row>
    <row r="312" spans="2:33" s="38" customFormat="1" x14ac:dyDescent="0.25">
      <c r="B312" s="49"/>
      <c r="C312" s="70"/>
      <c r="D312" s="42"/>
      <c r="F312" s="33"/>
      <c r="G312" s="47"/>
      <c r="H312" s="42"/>
      <c r="I312" s="27"/>
      <c r="J312" s="47"/>
      <c r="K312" s="42"/>
      <c r="L312" s="27"/>
      <c r="M312" s="47"/>
      <c r="N312" s="42"/>
      <c r="O312" s="27"/>
      <c r="P312" s="47"/>
      <c r="Q312" s="42"/>
      <c r="R312" s="27"/>
      <c r="S312" s="47"/>
      <c r="T312" s="42"/>
      <c r="U312" s="27"/>
      <c r="V312" s="47"/>
      <c r="W312" s="42"/>
      <c r="X312" s="27"/>
      <c r="Y312" s="47"/>
      <c r="Z312" s="42"/>
      <c r="AA312" s="27"/>
      <c r="AB312" s="47"/>
      <c r="AC312" s="42"/>
      <c r="AD312" s="27"/>
      <c r="AE312" s="33"/>
      <c r="AF312" s="47"/>
      <c r="AG312" s="48"/>
    </row>
    <row r="313" spans="2:33" s="38" customFormat="1" x14ac:dyDescent="0.25">
      <c r="B313" s="49"/>
      <c r="C313" s="70"/>
      <c r="D313" s="42"/>
      <c r="F313" s="33"/>
      <c r="G313" s="47"/>
      <c r="H313" s="42"/>
      <c r="I313" s="27"/>
      <c r="J313" s="47"/>
      <c r="K313" s="42"/>
      <c r="L313" s="27"/>
      <c r="M313" s="47"/>
      <c r="N313" s="42"/>
      <c r="O313" s="27"/>
      <c r="P313" s="47"/>
      <c r="Q313" s="42"/>
      <c r="R313" s="27"/>
      <c r="S313" s="47"/>
      <c r="T313" s="42"/>
      <c r="U313" s="27"/>
      <c r="V313" s="47"/>
      <c r="W313" s="42"/>
      <c r="X313" s="27"/>
      <c r="Y313" s="47"/>
      <c r="Z313" s="42"/>
      <c r="AA313" s="27"/>
      <c r="AB313" s="47"/>
      <c r="AC313" s="42"/>
      <c r="AD313" s="27"/>
      <c r="AE313" s="33"/>
      <c r="AF313" s="47"/>
      <c r="AG313" s="48"/>
    </row>
    <row r="314" spans="2:33" s="38" customFormat="1" x14ac:dyDescent="0.25">
      <c r="B314" s="49"/>
      <c r="C314" s="70"/>
      <c r="D314" s="42"/>
      <c r="F314" s="33"/>
      <c r="G314" s="47"/>
      <c r="H314" s="42"/>
      <c r="I314" s="27"/>
      <c r="J314" s="47"/>
      <c r="K314" s="42"/>
      <c r="L314" s="27"/>
      <c r="M314" s="47"/>
      <c r="N314" s="42"/>
      <c r="O314" s="27"/>
      <c r="P314" s="47"/>
      <c r="Q314" s="42"/>
      <c r="R314" s="27"/>
      <c r="S314" s="47"/>
      <c r="T314" s="42"/>
      <c r="U314" s="27"/>
      <c r="V314" s="47"/>
      <c r="W314" s="42"/>
      <c r="X314" s="27"/>
      <c r="Y314" s="47"/>
      <c r="Z314" s="42"/>
      <c r="AA314" s="27"/>
      <c r="AB314" s="47"/>
      <c r="AC314" s="42"/>
      <c r="AD314" s="27"/>
      <c r="AE314" s="33"/>
      <c r="AF314" s="47"/>
      <c r="AG314" s="48"/>
    </row>
    <row r="315" spans="2:33" s="38" customFormat="1" x14ac:dyDescent="0.25">
      <c r="B315" s="49"/>
      <c r="C315" s="70"/>
      <c r="D315" s="42"/>
      <c r="F315" s="33"/>
      <c r="G315" s="47"/>
      <c r="H315" s="42"/>
      <c r="I315" s="27"/>
      <c r="J315" s="47"/>
      <c r="K315" s="42"/>
      <c r="L315" s="27"/>
      <c r="M315" s="47"/>
      <c r="N315" s="42"/>
      <c r="O315" s="27"/>
      <c r="P315" s="47"/>
      <c r="Q315" s="42"/>
      <c r="R315" s="27"/>
      <c r="S315" s="47"/>
      <c r="T315" s="42"/>
      <c r="U315" s="27"/>
      <c r="V315" s="47"/>
      <c r="W315" s="42"/>
      <c r="X315" s="27"/>
      <c r="Y315" s="47"/>
      <c r="Z315" s="42"/>
      <c r="AA315" s="27"/>
      <c r="AB315" s="47"/>
      <c r="AC315" s="42"/>
      <c r="AD315" s="27"/>
      <c r="AE315" s="33"/>
      <c r="AF315" s="47"/>
      <c r="AG315" s="48"/>
    </row>
    <row r="316" spans="2:33" s="38" customFormat="1" x14ac:dyDescent="0.25">
      <c r="B316" s="49"/>
      <c r="C316" s="70"/>
      <c r="D316" s="42"/>
      <c r="F316" s="33"/>
      <c r="G316" s="47"/>
      <c r="H316" s="42"/>
      <c r="I316" s="27"/>
      <c r="J316" s="47"/>
      <c r="K316" s="42"/>
      <c r="L316" s="27"/>
      <c r="M316" s="47"/>
      <c r="N316" s="42"/>
      <c r="O316" s="27"/>
      <c r="P316" s="47"/>
      <c r="Q316" s="42"/>
      <c r="R316" s="27"/>
      <c r="S316" s="47"/>
      <c r="T316" s="42"/>
      <c r="U316" s="27"/>
      <c r="V316" s="47"/>
      <c r="W316" s="42"/>
      <c r="X316" s="27"/>
      <c r="Y316" s="47"/>
      <c r="Z316" s="42"/>
      <c r="AA316" s="27"/>
      <c r="AB316" s="47"/>
      <c r="AC316" s="42"/>
      <c r="AD316" s="27"/>
      <c r="AE316" s="33"/>
      <c r="AF316" s="47"/>
      <c r="AG316" s="48"/>
    </row>
    <row r="317" spans="2:33" s="38" customFormat="1" x14ac:dyDescent="0.25">
      <c r="B317" s="49"/>
      <c r="C317" s="70"/>
      <c r="D317" s="42"/>
      <c r="F317" s="33"/>
      <c r="G317" s="47"/>
      <c r="H317" s="42"/>
      <c r="I317" s="27"/>
      <c r="J317" s="47"/>
      <c r="K317" s="42"/>
      <c r="L317" s="27"/>
      <c r="M317" s="47"/>
      <c r="N317" s="42"/>
      <c r="O317" s="27"/>
      <c r="P317" s="47"/>
      <c r="Q317" s="42"/>
      <c r="R317" s="27"/>
      <c r="S317" s="47"/>
      <c r="T317" s="42"/>
      <c r="U317" s="27"/>
      <c r="V317" s="47"/>
      <c r="W317" s="42"/>
      <c r="X317" s="27"/>
      <c r="Y317" s="47"/>
      <c r="Z317" s="42"/>
      <c r="AA317" s="27"/>
      <c r="AB317" s="47"/>
      <c r="AC317" s="42"/>
      <c r="AD317" s="27"/>
      <c r="AE317" s="33"/>
      <c r="AF317" s="47"/>
      <c r="AG317" s="48"/>
    </row>
    <row r="318" spans="2:33" s="38" customFormat="1" x14ac:dyDescent="0.25">
      <c r="B318" s="49"/>
      <c r="C318" s="70"/>
      <c r="D318" s="42"/>
      <c r="F318" s="33"/>
      <c r="G318" s="47"/>
      <c r="H318" s="42"/>
      <c r="I318" s="27"/>
      <c r="J318" s="47"/>
      <c r="K318" s="42"/>
      <c r="L318" s="27"/>
      <c r="M318" s="47"/>
      <c r="N318" s="42"/>
      <c r="O318" s="27"/>
      <c r="P318" s="47"/>
      <c r="Q318" s="42"/>
      <c r="R318" s="27"/>
      <c r="S318" s="47"/>
      <c r="T318" s="42"/>
      <c r="U318" s="27"/>
      <c r="V318" s="47"/>
      <c r="W318" s="42"/>
      <c r="X318" s="27"/>
      <c r="Y318" s="47"/>
      <c r="Z318" s="42"/>
      <c r="AA318" s="27"/>
      <c r="AB318" s="47"/>
      <c r="AC318" s="42"/>
      <c r="AD318" s="27"/>
      <c r="AE318" s="33"/>
      <c r="AF318" s="47"/>
      <c r="AG318" s="48"/>
    </row>
    <row r="319" spans="2:33" s="38" customFormat="1" x14ac:dyDescent="0.25">
      <c r="B319" s="49"/>
      <c r="C319" s="70"/>
      <c r="D319" s="42"/>
      <c r="F319" s="33"/>
      <c r="G319" s="47"/>
      <c r="H319" s="42"/>
      <c r="I319" s="27"/>
      <c r="J319" s="47"/>
      <c r="K319" s="42"/>
      <c r="L319" s="27"/>
      <c r="M319" s="47"/>
      <c r="N319" s="42"/>
      <c r="O319" s="27"/>
      <c r="P319" s="47"/>
      <c r="Q319" s="42"/>
      <c r="R319" s="27"/>
      <c r="S319" s="47"/>
      <c r="T319" s="42"/>
      <c r="U319" s="27"/>
      <c r="V319" s="47"/>
      <c r="W319" s="42"/>
      <c r="X319" s="27"/>
      <c r="Y319" s="47"/>
      <c r="Z319" s="42"/>
      <c r="AA319" s="27"/>
      <c r="AB319" s="47"/>
      <c r="AC319" s="42"/>
      <c r="AD319" s="27"/>
      <c r="AE319" s="33"/>
      <c r="AF319" s="47"/>
      <c r="AG319" s="48"/>
    </row>
    <row r="320" spans="2:33" s="38" customFormat="1" x14ac:dyDescent="0.25">
      <c r="B320" s="49"/>
      <c r="C320" s="70"/>
      <c r="D320" s="42"/>
      <c r="F320" s="33"/>
      <c r="G320" s="47"/>
      <c r="H320" s="42"/>
      <c r="I320" s="27"/>
      <c r="J320" s="47"/>
      <c r="K320" s="42"/>
      <c r="L320" s="27"/>
      <c r="M320" s="47"/>
      <c r="N320" s="42"/>
      <c r="O320" s="27"/>
      <c r="P320" s="47"/>
      <c r="Q320" s="42"/>
      <c r="R320" s="27"/>
      <c r="S320" s="47"/>
      <c r="T320" s="42"/>
      <c r="U320" s="27"/>
      <c r="V320" s="47"/>
      <c r="W320" s="42"/>
      <c r="X320" s="27"/>
      <c r="Y320" s="47"/>
      <c r="Z320" s="42"/>
      <c r="AA320" s="27"/>
      <c r="AB320" s="47"/>
      <c r="AC320" s="42"/>
      <c r="AD320" s="27"/>
      <c r="AE320" s="33"/>
      <c r="AF320" s="47"/>
      <c r="AG320" s="48"/>
    </row>
    <row r="321" spans="2:33" s="38" customFormat="1" x14ac:dyDescent="0.25">
      <c r="B321" s="49"/>
      <c r="C321" s="70"/>
      <c r="D321" s="42"/>
      <c r="F321" s="33"/>
      <c r="G321" s="47"/>
      <c r="H321" s="42"/>
      <c r="I321" s="27"/>
      <c r="J321" s="47"/>
      <c r="K321" s="42"/>
      <c r="L321" s="27"/>
      <c r="M321" s="47"/>
      <c r="N321" s="42"/>
      <c r="O321" s="27"/>
      <c r="P321" s="47"/>
      <c r="Q321" s="42"/>
      <c r="R321" s="27"/>
      <c r="S321" s="47"/>
      <c r="T321" s="42"/>
      <c r="U321" s="27"/>
      <c r="V321" s="47"/>
      <c r="W321" s="42"/>
      <c r="X321" s="27"/>
      <c r="Y321" s="47"/>
      <c r="Z321" s="42"/>
      <c r="AA321" s="27"/>
      <c r="AB321" s="47"/>
      <c r="AC321" s="42"/>
      <c r="AD321" s="27"/>
      <c r="AE321" s="33"/>
      <c r="AF321" s="47"/>
      <c r="AG321" s="48"/>
    </row>
    <row r="322" spans="2:33" s="38" customFormat="1" x14ac:dyDescent="0.25">
      <c r="B322" s="49"/>
      <c r="C322" s="70"/>
      <c r="D322" s="42"/>
      <c r="F322" s="33"/>
      <c r="G322" s="47"/>
      <c r="H322" s="42"/>
      <c r="I322" s="27"/>
      <c r="J322" s="47"/>
      <c r="K322" s="42"/>
      <c r="L322" s="27"/>
      <c r="M322" s="47"/>
      <c r="N322" s="42"/>
      <c r="O322" s="27"/>
      <c r="P322" s="47"/>
      <c r="Q322" s="42"/>
      <c r="R322" s="27"/>
      <c r="S322" s="47"/>
      <c r="T322" s="42"/>
      <c r="U322" s="27"/>
      <c r="V322" s="47"/>
      <c r="W322" s="42"/>
      <c r="X322" s="27"/>
      <c r="Y322" s="47"/>
      <c r="Z322" s="42"/>
      <c r="AA322" s="27"/>
      <c r="AB322" s="47"/>
      <c r="AC322" s="42"/>
      <c r="AD322" s="27"/>
      <c r="AE322" s="33"/>
      <c r="AF322" s="47"/>
      <c r="AG322" s="48"/>
    </row>
    <row r="323" spans="2:33" s="38" customFormat="1" x14ac:dyDescent="0.25">
      <c r="B323" s="49"/>
      <c r="C323" s="70"/>
      <c r="D323" s="42"/>
      <c r="F323" s="33"/>
      <c r="G323" s="47"/>
      <c r="H323" s="42"/>
      <c r="I323" s="27"/>
      <c r="J323" s="47"/>
      <c r="K323" s="42"/>
      <c r="L323" s="27"/>
      <c r="M323" s="47"/>
      <c r="N323" s="42"/>
      <c r="O323" s="27"/>
      <c r="P323" s="47"/>
      <c r="Q323" s="42"/>
      <c r="R323" s="27"/>
      <c r="S323" s="47"/>
      <c r="T323" s="42"/>
      <c r="U323" s="27"/>
      <c r="V323" s="47"/>
      <c r="W323" s="42"/>
      <c r="X323" s="27"/>
      <c r="Y323" s="47"/>
      <c r="Z323" s="42"/>
      <c r="AA323" s="27"/>
      <c r="AB323" s="47"/>
      <c r="AC323" s="42"/>
      <c r="AD323" s="27"/>
      <c r="AE323" s="33"/>
      <c r="AF323" s="47"/>
      <c r="AG323" s="48"/>
    </row>
    <row r="324" spans="2:33" s="38" customFormat="1" x14ac:dyDescent="0.25">
      <c r="B324" s="49"/>
      <c r="C324" s="70"/>
      <c r="D324" s="42"/>
      <c r="F324" s="33"/>
      <c r="G324" s="47"/>
      <c r="H324" s="42"/>
      <c r="I324" s="27"/>
      <c r="J324" s="47"/>
      <c r="K324" s="42"/>
      <c r="L324" s="27"/>
      <c r="M324" s="47"/>
      <c r="N324" s="42"/>
      <c r="O324" s="27"/>
      <c r="P324" s="47"/>
      <c r="Q324" s="42"/>
      <c r="R324" s="27"/>
      <c r="S324" s="47"/>
      <c r="T324" s="42"/>
      <c r="U324" s="27"/>
      <c r="V324" s="47"/>
      <c r="W324" s="42"/>
      <c r="X324" s="27"/>
      <c r="Y324" s="47"/>
      <c r="Z324" s="42"/>
      <c r="AA324" s="27"/>
      <c r="AB324" s="47"/>
      <c r="AC324" s="42"/>
      <c r="AD324" s="27"/>
      <c r="AE324" s="33"/>
      <c r="AF324" s="47"/>
      <c r="AG324" s="48"/>
    </row>
    <row r="325" spans="2:33" s="38" customFormat="1" x14ac:dyDescent="0.25">
      <c r="B325" s="49"/>
      <c r="C325" s="70"/>
      <c r="D325" s="42"/>
      <c r="F325" s="33"/>
      <c r="G325" s="47"/>
      <c r="H325" s="42"/>
      <c r="I325" s="27"/>
      <c r="J325" s="47"/>
      <c r="K325" s="42"/>
      <c r="L325" s="27"/>
      <c r="M325" s="47"/>
      <c r="N325" s="42"/>
      <c r="O325" s="27"/>
      <c r="P325" s="47"/>
      <c r="Q325" s="42"/>
      <c r="R325" s="27"/>
      <c r="S325" s="47"/>
      <c r="T325" s="42"/>
      <c r="U325" s="27"/>
      <c r="V325" s="47"/>
      <c r="W325" s="42"/>
      <c r="X325" s="27"/>
      <c r="Y325" s="47"/>
      <c r="Z325" s="42"/>
      <c r="AA325" s="27"/>
      <c r="AB325" s="47"/>
      <c r="AC325" s="42"/>
      <c r="AD325" s="27"/>
      <c r="AE325" s="33"/>
      <c r="AF325" s="47"/>
      <c r="AG325" s="48"/>
    </row>
    <row r="326" spans="2:33" s="38" customFormat="1" x14ac:dyDescent="0.25">
      <c r="B326" s="49"/>
      <c r="C326" s="70"/>
      <c r="D326" s="42"/>
      <c r="F326" s="33"/>
      <c r="G326" s="47"/>
      <c r="H326" s="42"/>
      <c r="I326" s="27"/>
      <c r="J326" s="47"/>
      <c r="K326" s="42"/>
      <c r="L326" s="27"/>
      <c r="M326" s="47"/>
      <c r="N326" s="42"/>
      <c r="O326" s="27"/>
      <c r="P326" s="47"/>
      <c r="Q326" s="42"/>
      <c r="R326" s="27"/>
      <c r="S326" s="47"/>
      <c r="T326" s="42"/>
      <c r="U326" s="27"/>
      <c r="V326" s="47"/>
      <c r="W326" s="42"/>
      <c r="X326" s="27"/>
      <c r="Y326" s="47"/>
      <c r="Z326" s="42"/>
      <c r="AA326" s="27"/>
      <c r="AB326" s="47"/>
      <c r="AC326" s="42"/>
      <c r="AD326" s="27"/>
      <c r="AE326" s="33"/>
      <c r="AF326" s="47"/>
      <c r="AG326" s="48"/>
    </row>
    <row r="327" spans="2:33" s="38" customFormat="1" x14ac:dyDescent="0.25">
      <c r="B327" s="49"/>
      <c r="C327" s="70"/>
      <c r="D327" s="42"/>
      <c r="F327" s="33"/>
      <c r="G327" s="47"/>
      <c r="H327" s="42"/>
      <c r="I327" s="27"/>
      <c r="J327" s="47"/>
      <c r="K327" s="42"/>
      <c r="L327" s="27"/>
      <c r="M327" s="47"/>
      <c r="N327" s="42"/>
      <c r="O327" s="27"/>
      <c r="P327" s="47"/>
      <c r="Q327" s="42"/>
      <c r="R327" s="27"/>
      <c r="S327" s="47"/>
      <c r="T327" s="42"/>
      <c r="U327" s="27"/>
      <c r="V327" s="47"/>
      <c r="W327" s="42"/>
      <c r="X327" s="27"/>
      <c r="Y327" s="47"/>
      <c r="Z327" s="42"/>
      <c r="AA327" s="27"/>
      <c r="AB327" s="47"/>
      <c r="AC327" s="42"/>
      <c r="AD327" s="27"/>
      <c r="AE327" s="33"/>
      <c r="AF327" s="47"/>
      <c r="AG327" s="48"/>
    </row>
    <row r="328" spans="2:33" s="38" customFormat="1" x14ac:dyDescent="0.25">
      <c r="B328" s="49"/>
      <c r="C328" s="70"/>
      <c r="D328" s="42"/>
      <c r="F328" s="33"/>
      <c r="G328" s="47"/>
      <c r="H328" s="42"/>
      <c r="I328" s="27"/>
      <c r="J328" s="47"/>
      <c r="K328" s="42"/>
      <c r="L328" s="27"/>
      <c r="M328" s="47"/>
      <c r="N328" s="42"/>
      <c r="O328" s="27"/>
      <c r="P328" s="47"/>
      <c r="Q328" s="42"/>
      <c r="R328" s="27"/>
      <c r="S328" s="47"/>
      <c r="T328" s="42"/>
      <c r="U328" s="27"/>
      <c r="V328" s="47"/>
      <c r="W328" s="42"/>
      <c r="X328" s="27"/>
      <c r="Y328" s="47"/>
      <c r="Z328" s="42"/>
      <c r="AA328" s="27"/>
      <c r="AB328" s="47"/>
      <c r="AC328" s="42"/>
      <c r="AD328" s="27"/>
      <c r="AE328" s="33"/>
      <c r="AF328" s="47"/>
      <c r="AG328" s="48"/>
    </row>
    <row r="329" spans="2:33" s="38" customFormat="1" x14ac:dyDescent="0.25">
      <c r="B329" s="49"/>
      <c r="C329" s="70"/>
      <c r="D329" s="42"/>
      <c r="F329" s="33"/>
      <c r="G329" s="47"/>
      <c r="H329" s="42"/>
      <c r="I329" s="27"/>
      <c r="J329" s="47"/>
      <c r="K329" s="42"/>
      <c r="L329" s="27"/>
      <c r="M329" s="47"/>
      <c r="N329" s="42"/>
      <c r="O329" s="27"/>
      <c r="P329" s="47"/>
      <c r="Q329" s="42"/>
      <c r="R329" s="27"/>
      <c r="S329" s="47"/>
      <c r="T329" s="42"/>
      <c r="U329" s="27"/>
      <c r="V329" s="47"/>
      <c r="W329" s="42"/>
      <c r="X329" s="27"/>
      <c r="Y329" s="47"/>
      <c r="Z329" s="42"/>
      <c r="AA329" s="27"/>
      <c r="AB329" s="47"/>
      <c r="AC329" s="42"/>
      <c r="AD329" s="27"/>
      <c r="AE329" s="33"/>
      <c r="AF329" s="47"/>
      <c r="AG329" s="48"/>
    </row>
    <row r="330" spans="2:33" s="38" customFormat="1" x14ac:dyDescent="0.25">
      <c r="B330" s="49"/>
      <c r="C330" s="70"/>
      <c r="D330" s="42"/>
      <c r="F330" s="33"/>
      <c r="G330" s="47"/>
      <c r="H330" s="42"/>
      <c r="I330" s="27"/>
      <c r="J330" s="47"/>
      <c r="K330" s="42"/>
      <c r="L330" s="27"/>
      <c r="M330" s="47"/>
      <c r="N330" s="42"/>
      <c r="O330" s="27"/>
      <c r="P330" s="47"/>
      <c r="Q330" s="42"/>
      <c r="R330" s="27"/>
      <c r="S330" s="47"/>
      <c r="T330" s="42"/>
      <c r="U330" s="27"/>
      <c r="V330" s="47"/>
      <c r="W330" s="42"/>
      <c r="X330" s="27"/>
      <c r="Y330" s="47"/>
      <c r="Z330" s="42"/>
      <c r="AA330" s="27"/>
      <c r="AB330" s="47"/>
      <c r="AC330" s="42"/>
      <c r="AD330" s="27"/>
      <c r="AE330" s="33"/>
      <c r="AF330" s="47"/>
      <c r="AG330" s="48"/>
    </row>
    <row r="331" spans="2:33" s="38" customFormat="1" x14ac:dyDescent="0.25">
      <c r="B331" s="49"/>
      <c r="C331" s="70"/>
      <c r="D331" s="42"/>
      <c r="F331" s="33"/>
      <c r="G331" s="47"/>
      <c r="H331" s="42"/>
      <c r="I331" s="27"/>
      <c r="J331" s="47"/>
      <c r="K331" s="42"/>
      <c r="L331" s="27"/>
      <c r="M331" s="47"/>
      <c r="N331" s="42"/>
      <c r="O331" s="27"/>
      <c r="P331" s="47"/>
      <c r="Q331" s="42"/>
      <c r="R331" s="27"/>
      <c r="S331" s="47"/>
      <c r="T331" s="42"/>
      <c r="U331" s="27"/>
      <c r="V331" s="47"/>
      <c r="W331" s="42"/>
      <c r="X331" s="27"/>
      <c r="Y331" s="47"/>
      <c r="Z331" s="42"/>
      <c r="AA331" s="27"/>
      <c r="AB331" s="47"/>
      <c r="AC331" s="42"/>
      <c r="AD331" s="27"/>
      <c r="AE331" s="33"/>
      <c r="AF331" s="47"/>
      <c r="AG331" s="48"/>
    </row>
    <row r="332" spans="2:33" s="38" customFormat="1" x14ac:dyDescent="0.25">
      <c r="B332" s="49"/>
      <c r="C332" s="70"/>
      <c r="D332" s="42"/>
      <c r="F332" s="33"/>
      <c r="G332" s="47"/>
      <c r="H332" s="42"/>
      <c r="I332" s="27"/>
      <c r="J332" s="47"/>
      <c r="K332" s="42"/>
      <c r="L332" s="27"/>
      <c r="M332" s="47"/>
      <c r="N332" s="42"/>
      <c r="O332" s="27"/>
      <c r="P332" s="47"/>
      <c r="Q332" s="42"/>
      <c r="R332" s="27"/>
      <c r="S332" s="47"/>
      <c r="T332" s="42"/>
      <c r="U332" s="27"/>
      <c r="V332" s="47"/>
      <c r="W332" s="42"/>
      <c r="X332" s="27"/>
      <c r="Y332" s="47"/>
      <c r="Z332" s="42"/>
      <c r="AA332" s="27"/>
      <c r="AB332" s="47"/>
      <c r="AC332" s="42"/>
      <c r="AD332" s="27"/>
      <c r="AE332" s="33"/>
      <c r="AF332" s="47"/>
      <c r="AG332" s="48"/>
    </row>
    <row r="333" spans="2:33" s="38" customFormat="1" x14ac:dyDescent="0.25">
      <c r="B333" s="49"/>
      <c r="C333" s="70"/>
      <c r="D333" s="42"/>
      <c r="F333" s="33"/>
      <c r="G333" s="47"/>
      <c r="H333" s="42"/>
      <c r="I333" s="27"/>
      <c r="J333" s="47"/>
      <c r="K333" s="42"/>
      <c r="L333" s="27"/>
      <c r="M333" s="47"/>
      <c r="N333" s="42"/>
      <c r="O333" s="27"/>
      <c r="P333" s="47"/>
      <c r="Q333" s="42"/>
      <c r="R333" s="27"/>
      <c r="S333" s="47"/>
      <c r="T333" s="42"/>
      <c r="U333" s="27"/>
      <c r="V333" s="47"/>
      <c r="W333" s="42"/>
      <c r="X333" s="27"/>
      <c r="Y333" s="47"/>
      <c r="Z333" s="42"/>
      <c r="AA333" s="27"/>
      <c r="AB333" s="47"/>
      <c r="AC333" s="42"/>
      <c r="AD333" s="27"/>
      <c r="AE333" s="33"/>
      <c r="AF333" s="47"/>
      <c r="AG333" s="48"/>
    </row>
    <row r="334" spans="2:33" s="38" customFormat="1" x14ac:dyDescent="0.25">
      <c r="B334" s="49"/>
      <c r="C334" s="70"/>
      <c r="D334" s="42"/>
      <c r="F334" s="33"/>
      <c r="G334" s="47"/>
      <c r="H334" s="42"/>
      <c r="I334" s="27"/>
      <c r="J334" s="47"/>
      <c r="K334" s="42"/>
      <c r="L334" s="27"/>
      <c r="M334" s="47"/>
      <c r="N334" s="42"/>
      <c r="O334" s="27"/>
      <c r="P334" s="47"/>
      <c r="Q334" s="42"/>
      <c r="R334" s="27"/>
      <c r="S334" s="47"/>
      <c r="T334" s="42"/>
      <c r="U334" s="27"/>
      <c r="V334" s="47"/>
      <c r="W334" s="42"/>
      <c r="X334" s="27"/>
      <c r="Y334" s="47"/>
      <c r="Z334" s="42"/>
      <c r="AA334" s="27"/>
      <c r="AB334" s="47"/>
      <c r="AC334" s="42"/>
      <c r="AD334" s="27"/>
      <c r="AE334" s="33"/>
      <c r="AF334" s="47"/>
      <c r="AG334" s="48"/>
    </row>
    <row r="335" spans="2:33" s="38" customFormat="1" x14ac:dyDescent="0.25">
      <c r="B335" s="49"/>
      <c r="C335" s="70"/>
      <c r="D335" s="42"/>
      <c r="F335" s="33"/>
      <c r="G335" s="47"/>
      <c r="H335" s="42"/>
      <c r="I335" s="27"/>
      <c r="J335" s="47"/>
      <c r="K335" s="42"/>
      <c r="L335" s="27"/>
      <c r="M335" s="47"/>
      <c r="N335" s="42"/>
      <c r="O335" s="27"/>
      <c r="P335" s="47"/>
      <c r="Q335" s="42"/>
      <c r="R335" s="27"/>
      <c r="S335" s="47"/>
      <c r="T335" s="42"/>
      <c r="U335" s="27"/>
      <c r="V335" s="47"/>
      <c r="W335" s="42"/>
      <c r="X335" s="27"/>
      <c r="Y335" s="47"/>
      <c r="Z335" s="42"/>
      <c r="AA335" s="27"/>
      <c r="AB335" s="47"/>
      <c r="AC335" s="42"/>
      <c r="AD335" s="27"/>
      <c r="AE335" s="33"/>
      <c r="AF335" s="47"/>
      <c r="AG335" s="48"/>
    </row>
    <row r="336" spans="2:33" s="38" customFormat="1" x14ac:dyDescent="0.25">
      <c r="B336" s="49"/>
      <c r="C336" s="70"/>
      <c r="D336" s="42"/>
      <c r="F336" s="33"/>
      <c r="G336" s="47"/>
      <c r="H336" s="42"/>
      <c r="I336" s="27"/>
      <c r="J336" s="47"/>
      <c r="K336" s="42"/>
      <c r="L336" s="27"/>
      <c r="M336" s="47"/>
      <c r="N336" s="42"/>
      <c r="O336" s="27"/>
      <c r="P336" s="47"/>
      <c r="Q336" s="42"/>
      <c r="R336" s="27"/>
      <c r="S336" s="47"/>
      <c r="T336" s="42"/>
      <c r="U336" s="27"/>
      <c r="V336" s="47"/>
      <c r="W336" s="42"/>
      <c r="X336" s="27"/>
      <c r="Y336" s="47"/>
      <c r="Z336" s="42"/>
      <c r="AA336" s="27"/>
      <c r="AB336" s="47"/>
      <c r="AC336" s="42"/>
      <c r="AD336" s="27"/>
      <c r="AE336" s="33"/>
      <c r="AF336" s="47"/>
      <c r="AG336" s="48"/>
    </row>
    <row r="337" spans="2:33" s="38" customFormat="1" x14ac:dyDescent="0.25">
      <c r="B337" s="49"/>
      <c r="C337" s="70"/>
      <c r="D337" s="42"/>
      <c r="F337" s="33"/>
      <c r="G337" s="47"/>
      <c r="H337" s="42"/>
      <c r="I337" s="27"/>
      <c r="J337" s="47"/>
      <c r="K337" s="42"/>
      <c r="L337" s="27"/>
      <c r="M337" s="47"/>
      <c r="N337" s="42"/>
      <c r="O337" s="27"/>
      <c r="P337" s="47"/>
      <c r="Q337" s="42"/>
      <c r="R337" s="27"/>
      <c r="S337" s="47"/>
      <c r="T337" s="42"/>
      <c r="U337" s="27"/>
      <c r="V337" s="47"/>
      <c r="W337" s="42"/>
      <c r="X337" s="27"/>
      <c r="Y337" s="47"/>
      <c r="Z337" s="42"/>
      <c r="AA337" s="27"/>
      <c r="AB337" s="47"/>
      <c r="AC337" s="42"/>
      <c r="AD337" s="27"/>
      <c r="AE337" s="33"/>
      <c r="AF337" s="47"/>
      <c r="AG337" s="48"/>
    </row>
    <row r="338" spans="2:33" s="38" customFormat="1" x14ac:dyDescent="0.25">
      <c r="B338" s="49"/>
      <c r="C338" s="70"/>
      <c r="D338" s="42"/>
      <c r="F338" s="33"/>
      <c r="G338" s="47"/>
      <c r="H338" s="42"/>
      <c r="I338" s="27"/>
      <c r="J338" s="47"/>
      <c r="K338" s="42"/>
      <c r="L338" s="27"/>
      <c r="M338" s="47"/>
      <c r="N338" s="42"/>
      <c r="O338" s="27"/>
      <c r="P338" s="47"/>
      <c r="Q338" s="42"/>
      <c r="R338" s="27"/>
      <c r="S338" s="47"/>
      <c r="T338" s="42"/>
      <c r="U338" s="27"/>
      <c r="V338" s="47"/>
      <c r="W338" s="42"/>
      <c r="X338" s="27"/>
      <c r="Y338" s="47"/>
      <c r="Z338" s="42"/>
      <c r="AA338" s="27"/>
      <c r="AB338" s="47"/>
      <c r="AC338" s="42"/>
      <c r="AD338" s="27"/>
      <c r="AE338" s="33"/>
      <c r="AF338" s="47"/>
      <c r="AG338" s="48"/>
    </row>
    <row r="339" spans="2:33" s="38" customFormat="1" x14ac:dyDescent="0.25">
      <c r="B339" s="49"/>
      <c r="C339" s="70"/>
      <c r="D339" s="42"/>
      <c r="F339" s="33"/>
      <c r="G339" s="47"/>
      <c r="H339" s="42"/>
      <c r="I339" s="27"/>
      <c r="J339" s="47"/>
      <c r="K339" s="42"/>
      <c r="L339" s="27"/>
      <c r="M339" s="47"/>
      <c r="N339" s="42"/>
      <c r="O339" s="27"/>
      <c r="P339" s="47"/>
      <c r="Q339" s="42"/>
      <c r="R339" s="27"/>
      <c r="S339" s="47"/>
      <c r="T339" s="42"/>
      <c r="U339" s="27"/>
      <c r="V339" s="47"/>
      <c r="W339" s="42"/>
      <c r="X339" s="27"/>
      <c r="Y339" s="47"/>
      <c r="Z339" s="42"/>
      <c r="AA339" s="27"/>
      <c r="AB339" s="47"/>
      <c r="AC339" s="42"/>
      <c r="AD339" s="27"/>
      <c r="AE339" s="33"/>
      <c r="AF339" s="47"/>
      <c r="AG339" s="48"/>
    </row>
    <row r="340" spans="2:33" s="38" customFormat="1" x14ac:dyDescent="0.25">
      <c r="B340" s="49"/>
      <c r="C340" s="70"/>
      <c r="D340" s="42"/>
      <c r="F340" s="33"/>
      <c r="G340" s="47"/>
      <c r="H340" s="42"/>
      <c r="I340" s="27"/>
      <c r="J340" s="47"/>
      <c r="K340" s="42"/>
      <c r="L340" s="27"/>
      <c r="M340" s="47"/>
      <c r="N340" s="42"/>
      <c r="O340" s="27"/>
      <c r="P340" s="47"/>
      <c r="Q340" s="42"/>
      <c r="R340" s="27"/>
      <c r="S340" s="47"/>
      <c r="T340" s="42"/>
      <c r="U340" s="27"/>
      <c r="V340" s="47"/>
      <c r="W340" s="42"/>
      <c r="X340" s="27"/>
      <c r="Y340" s="47"/>
      <c r="Z340" s="42"/>
      <c r="AA340" s="27"/>
      <c r="AB340" s="47"/>
      <c r="AC340" s="42"/>
      <c r="AD340" s="27"/>
      <c r="AE340" s="33"/>
      <c r="AF340" s="47"/>
      <c r="AG340" s="48"/>
    </row>
    <row r="341" spans="2:33" s="38" customFormat="1" x14ac:dyDescent="0.25">
      <c r="B341" s="49"/>
      <c r="C341" s="70"/>
      <c r="D341" s="42"/>
      <c r="F341" s="33"/>
      <c r="G341" s="47"/>
      <c r="H341" s="42"/>
      <c r="I341" s="27"/>
      <c r="J341" s="47"/>
      <c r="K341" s="42"/>
      <c r="L341" s="27"/>
      <c r="M341" s="47"/>
      <c r="N341" s="42"/>
      <c r="O341" s="27"/>
      <c r="P341" s="47"/>
      <c r="Q341" s="42"/>
      <c r="R341" s="27"/>
      <c r="S341" s="47"/>
      <c r="T341" s="42"/>
      <c r="U341" s="27"/>
      <c r="V341" s="47"/>
      <c r="W341" s="42"/>
      <c r="X341" s="27"/>
      <c r="Y341" s="47"/>
      <c r="Z341" s="42"/>
      <c r="AA341" s="27"/>
      <c r="AB341" s="47"/>
      <c r="AC341" s="42"/>
      <c r="AD341" s="27"/>
      <c r="AE341" s="33"/>
      <c r="AF341" s="47"/>
      <c r="AG341" s="48"/>
    </row>
    <row r="342" spans="2:33" s="38" customFormat="1" x14ac:dyDescent="0.25">
      <c r="B342" s="49"/>
      <c r="C342" s="70"/>
      <c r="D342" s="42"/>
      <c r="F342" s="33"/>
      <c r="G342" s="47"/>
      <c r="H342" s="42"/>
      <c r="I342" s="27"/>
      <c r="J342" s="47"/>
      <c r="K342" s="42"/>
      <c r="L342" s="27"/>
      <c r="M342" s="47"/>
      <c r="N342" s="42"/>
      <c r="O342" s="27"/>
      <c r="P342" s="47"/>
      <c r="Q342" s="42"/>
      <c r="R342" s="27"/>
      <c r="S342" s="47"/>
      <c r="T342" s="42"/>
      <c r="U342" s="27"/>
      <c r="V342" s="47"/>
      <c r="W342" s="42"/>
      <c r="X342" s="27"/>
      <c r="Y342" s="47"/>
      <c r="Z342" s="42"/>
      <c r="AA342" s="27"/>
      <c r="AB342" s="47"/>
      <c r="AC342" s="42"/>
      <c r="AD342" s="27"/>
      <c r="AE342" s="33"/>
      <c r="AF342" s="47"/>
      <c r="AG342" s="48"/>
    </row>
    <row r="343" spans="2:33" s="38" customFormat="1" x14ac:dyDescent="0.25">
      <c r="B343" s="49"/>
      <c r="C343" s="70"/>
      <c r="D343" s="42"/>
      <c r="F343" s="33"/>
      <c r="G343" s="47"/>
      <c r="H343" s="42"/>
      <c r="I343" s="27"/>
      <c r="J343" s="47"/>
      <c r="K343" s="42"/>
      <c r="L343" s="27"/>
      <c r="M343" s="47"/>
      <c r="N343" s="42"/>
      <c r="O343" s="27"/>
      <c r="P343" s="47"/>
      <c r="Q343" s="42"/>
      <c r="R343" s="27"/>
      <c r="S343" s="47"/>
      <c r="T343" s="42"/>
      <c r="U343" s="27"/>
      <c r="V343" s="47"/>
      <c r="W343" s="42"/>
      <c r="X343" s="27"/>
      <c r="Y343" s="47"/>
      <c r="Z343" s="42"/>
      <c r="AA343" s="27"/>
      <c r="AB343" s="47"/>
      <c r="AC343" s="42"/>
      <c r="AD343" s="27"/>
      <c r="AE343" s="33"/>
      <c r="AF343" s="47"/>
      <c r="AG343" s="48"/>
    </row>
    <row r="344" spans="2:33" s="38" customFormat="1" x14ac:dyDescent="0.25">
      <c r="B344" s="49"/>
      <c r="C344" s="70"/>
      <c r="D344" s="42"/>
      <c r="F344" s="33"/>
      <c r="G344" s="47"/>
      <c r="H344" s="42"/>
      <c r="I344" s="27"/>
      <c r="J344" s="47"/>
      <c r="K344" s="42"/>
      <c r="L344" s="27"/>
      <c r="M344" s="47"/>
      <c r="N344" s="42"/>
      <c r="O344" s="27"/>
      <c r="P344" s="47"/>
      <c r="Q344" s="42"/>
      <c r="R344" s="27"/>
      <c r="S344" s="47"/>
      <c r="T344" s="42"/>
      <c r="U344" s="27"/>
      <c r="V344" s="47"/>
      <c r="W344" s="42"/>
      <c r="X344" s="27"/>
      <c r="Y344" s="47"/>
      <c r="Z344" s="42"/>
      <c r="AA344" s="27"/>
      <c r="AB344" s="47"/>
      <c r="AC344" s="42"/>
      <c r="AD344" s="27"/>
      <c r="AE344" s="33"/>
      <c r="AF344" s="47"/>
      <c r="AG344" s="48"/>
    </row>
    <row r="345" spans="2:33" s="38" customFormat="1" x14ac:dyDescent="0.25">
      <c r="B345" s="49"/>
      <c r="C345" s="70"/>
      <c r="D345" s="42"/>
      <c r="F345" s="33"/>
      <c r="G345" s="47"/>
      <c r="H345" s="42"/>
      <c r="I345" s="27"/>
      <c r="J345" s="47"/>
      <c r="K345" s="42"/>
      <c r="L345" s="27"/>
      <c r="M345" s="47"/>
      <c r="N345" s="42"/>
      <c r="O345" s="27"/>
      <c r="P345" s="47"/>
      <c r="Q345" s="42"/>
      <c r="R345" s="27"/>
      <c r="S345" s="47"/>
      <c r="T345" s="42"/>
      <c r="U345" s="27"/>
      <c r="V345" s="47"/>
      <c r="W345" s="42"/>
      <c r="X345" s="27"/>
      <c r="Y345" s="47"/>
      <c r="Z345" s="42"/>
      <c r="AA345" s="27"/>
      <c r="AB345" s="47"/>
      <c r="AC345" s="42"/>
      <c r="AD345" s="27"/>
      <c r="AE345" s="33"/>
      <c r="AF345" s="47"/>
      <c r="AG345" s="48"/>
    </row>
    <row r="346" spans="2:33" s="38" customFormat="1" x14ac:dyDescent="0.25">
      <c r="B346" s="49"/>
      <c r="C346" s="70"/>
      <c r="D346" s="42"/>
      <c r="F346" s="33"/>
      <c r="G346" s="47"/>
      <c r="H346" s="42"/>
      <c r="I346" s="27"/>
      <c r="J346" s="47"/>
      <c r="K346" s="42"/>
      <c r="L346" s="27"/>
      <c r="M346" s="47"/>
      <c r="N346" s="42"/>
      <c r="O346" s="27"/>
      <c r="P346" s="47"/>
      <c r="Q346" s="42"/>
      <c r="R346" s="27"/>
      <c r="S346" s="47"/>
      <c r="T346" s="42"/>
      <c r="U346" s="27"/>
      <c r="V346" s="47"/>
      <c r="W346" s="42"/>
      <c r="X346" s="27"/>
      <c r="Y346" s="47"/>
      <c r="Z346" s="42"/>
      <c r="AA346" s="27"/>
      <c r="AB346" s="47"/>
      <c r="AC346" s="42"/>
      <c r="AD346" s="27"/>
      <c r="AE346" s="33"/>
      <c r="AF346" s="47"/>
      <c r="AG346" s="48"/>
    </row>
    <row r="347" spans="2:33" s="38" customFormat="1" x14ac:dyDescent="0.25">
      <c r="B347" s="49"/>
      <c r="C347" s="70"/>
      <c r="D347" s="42"/>
      <c r="F347" s="33"/>
      <c r="G347" s="47"/>
      <c r="H347" s="42"/>
      <c r="I347" s="27"/>
      <c r="J347" s="47"/>
      <c r="K347" s="42"/>
      <c r="L347" s="27"/>
      <c r="M347" s="47"/>
      <c r="N347" s="42"/>
      <c r="O347" s="27"/>
      <c r="P347" s="47"/>
      <c r="Q347" s="42"/>
      <c r="R347" s="27"/>
      <c r="S347" s="47"/>
      <c r="T347" s="42"/>
      <c r="U347" s="27"/>
      <c r="V347" s="47"/>
      <c r="W347" s="42"/>
      <c r="X347" s="27"/>
      <c r="Y347" s="47"/>
      <c r="Z347" s="42"/>
      <c r="AA347" s="27"/>
      <c r="AB347" s="47"/>
      <c r="AC347" s="42"/>
      <c r="AD347" s="27"/>
      <c r="AE347" s="33"/>
      <c r="AF347" s="47"/>
      <c r="AG347" s="48"/>
    </row>
    <row r="348" spans="2:33" s="38" customFormat="1" x14ac:dyDescent="0.25">
      <c r="B348" s="49"/>
      <c r="C348" s="70"/>
      <c r="D348" s="42"/>
      <c r="F348" s="33"/>
      <c r="G348" s="47"/>
      <c r="H348" s="42"/>
      <c r="I348" s="27"/>
      <c r="J348" s="47"/>
      <c r="K348" s="42"/>
      <c r="L348" s="27"/>
      <c r="M348" s="47"/>
      <c r="N348" s="42"/>
      <c r="O348" s="27"/>
      <c r="P348" s="47"/>
      <c r="Q348" s="42"/>
      <c r="R348" s="27"/>
      <c r="S348" s="47"/>
      <c r="T348" s="42"/>
      <c r="U348" s="27"/>
      <c r="V348" s="47"/>
      <c r="W348" s="42"/>
      <c r="X348" s="27"/>
      <c r="Y348" s="47"/>
      <c r="Z348" s="42"/>
      <c r="AA348" s="27"/>
      <c r="AB348" s="47"/>
      <c r="AC348" s="42"/>
      <c r="AD348" s="27"/>
      <c r="AE348" s="33"/>
      <c r="AF348" s="47"/>
      <c r="AG348" s="48"/>
    </row>
    <row r="349" spans="2:33" s="38" customFormat="1" x14ac:dyDescent="0.25">
      <c r="B349" s="49"/>
      <c r="C349" s="70"/>
      <c r="D349" s="42"/>
      <c r="F349" s="33"/>
      <c r="G349" s="47"/>
      <c r="H349" s="42"/>
      <c r="I349" s="27"/>
      <c r="J349" s="47"/>
      <c r="K349" s="42"/>
      <c r="L349" s="27"/>
      <c r="M349" s="47"/>
      <c r="N349" s="42"/>
      <c r="O349" s="27"/>
      <c r="P349" s="47"/>
      <c r="Q349" s="42"/>
      <c r="R349" s="27"/>
      <c r="S349" s="47"/>
      <c r="T349" s="42"/>
      <c r="U349" s="27"/>
      <c r="V349" s="47"/>
      <c r="W349" s="42"/>
      <c r="X349" s="27"/>
      <c r="Y349" s="47"/>
      <c r="Z349" s="42"/>
      <c r="AA349" s="27"/>
      <c r="AB349" s="47"/>
      <c r="AC349" s="42"/>
      <c r="AD349" s="27"/>
      <c r="AE349" s="33"/>
      <c r="AF349" s="47"/>
      <c r="AG349" s="48"/>
    </row>
    <row r="350" spans="2:33" s="38" customFormat="1" x14ac:dyDescent="0.25">
      <c r="B350" s="49"/>
      <c r="C350" s="70"/>
      <c r="D350" s="42"/>
      <c r="F350" s="33"/>
      <c r="G350" s="47"/>
      <c r="H350" s="42"/>
      <c r="I350" s="27"/>
      <c r="J350" s="47"/>
      <c r="K350" s="42"/>
      <c r="L350" s="27"/>
      <c r="M350" s="47"/>
      <c r="N350" s="42"/>
      <c r="O350" s="27"/>
      <c r="P350" s="47"/>
      <c r="Q350" s="42"/>
      <c r="R350" s="27"/>
      <c r="S350" s="47"/>
      <c r="T350" s="42"/>
      <c r="U350" s="27"/>
      <c r="V350" s="47"/>
      <c r="W350" s="42"/>
      <c r="X350" s="27"/>
      <c r="Y350" s="47"/>
      <c r="Z350" s="42"/>
      <c r="AA350" s="27"/>
      <c r="AB350" s="47"/>
      <c r="AC350" s="42"/>
      <c r="AD350" s="27"/>
      <c r="AE350" s="33"/>
      <c r="AF350" s="47"/>
      <c r="AG350" s="48"/>
    </row>
    <row r="351" spans="2:33" s="38" customFormat="1" x14ac:dyDescent="0.25">
      <c r="B351" s="49"/>
      <c r="C351" s="70"/>
      <c r="D351" s="42"/>
      <c r="F351" s="33"/>
      <c r="G351" s="47"/>
      <c r="H351" s="42"/>
      <c r="I351" s="27"/>
      <c r="J351" s="47"/>
      <c r="K351" s="42"/>
      <c r="L351" s="27"/>
      <c r="M351" s="47"/>
      <c r="N351" s="42"/>
      <c r="O351" s="27"/>
      <c r="P351" s="47"/>
      <c r="Q351" s="42"/>
      <c r="R351" s="27"/>
      <c r="S351" s="47"/>
      <c r="T351" s="42"/>
      <c r="U351" s="27"/>
      <c r="V351" s="47"/>
      <c r="W351" s="42"/>
      <c r="X351" s="27"/>
      <c r="Y351" s="47"/>
      <c r="Z351" s="42"/>
      <c r="AA351" s="27"/>
      <c r="AB351" s="47"/>
      <c r="AC351" s="42"/>
      <c r="AD351" s="27"/>
      <c r="AE351" s="33"/>
      <c r="AF351" s="47"/>
      <c r="AG351" s="48"/>
    </row>
    <row r="352" spans="2:33" s="38" customFormat="1" x14ac:dyDescent="0.25">
      <c r="B352" s="49"/>
      <c r="C352" s="70"/>
      <c r="D352" s="42"/>
      <c r="F352" s="33"/>
      <c r="G352" s="47"/>
      <c r="H352" s="42"/>
      <c r="I352" s="27"/>
      <c r="J352" s="47"/>
      <c r="K352" s="42"/>
      <c r="L352" s="27"/>
      <c r="M352" s="47"/>
      <c r="N352" s="42"/>
      <c r="O352" s="27"/>
      <c r="P352" s="47"/>
      <c r="Q352" s="42"/>
      <c r="R352" s="27"/>
      <c r="S352" s="47"/>
      <c r="T352" s="42"/>
      <c r="U352" s="27"/>
      <c r="V352" s="47"/>
      <c r="W352" s="42"/>
      <c r="X352" s="27"/>
      <c r="Y352" s="47"/>
      <c r="Z352" s="42"/>
      <c r="AA352" s="27"/>
      <c r="AB352" s="47"/>
      <c r="AC352" s="42"/>
      <c r="AD352" s="27"/>
      <c r="AE352" s="33"/>
      <c r="AF352" s="47"/>
      <c r="AG352" s="48"/>
    </row>
    <row r="353" spans="2:33" s="38" customFormat="1" x14ac:dyDescent="0.25">
      <c r="B353" s="49"/>
      <c r="C353" s="70"/>
      <c r="D353" s="42"/>
      <c r="F353" s="33"/>
      <c r="G353" s="47"/>
      <c r="H353" s="42"/>
      <c r="I353" s="27"/>
      <c r="J353" s="47"/>
      <c r="K353" s="42"/>
      <c r="L353" s="27"/>
      <c r="M353" s="47"/>
      <c r="N353" s="42"/>
      <c r="O353" s="27"/>
      <c r="P353" s="47"/>
      <c r="Q353" s="42"/>
      <c r="R353" s="27"/>
      <c r="S353" s="47"/>
      <c r="T353" s="42"/>
      <c r="U353" s="27"/>
      <c r="V353" s="47"/>
      <c r="W353" s="42"/>
      <c r="X353" s="27"/>
      <c r="Y353" s="47"/>
      <c r="Z353" s="42"/>
      <c r="AA353" s="27"/>
      <c r="AB353" s="47"/>
      <c r="AC353" s="42"/>
      <c r="AD353" s="27"/>
      <c r="AE353" s="33"/>
      <c r="AF353" s="47"/>
      <c r="AG353" s="48"/>
    </row>
    <row r="354" spans="2:33" s="38" customFormat="1" x14ac:dyDescent="0.25">
      <c r="B354" s="49"/>
      <c r="C354" s="70"/>
      <c r="D354" s="42"/>
      <c r="F354" s="33"/>
      <c r="G354" s="47"/>
      <c r="H354" s="42"/>
      <c r="I354" s="27"/>
      <c r="J354" s="47"/>
      <c r="K354" s="42"/>
      <c r="L354" s="27"/>
      <c r="M354" s="47"/>
      <c r="N354" s="42"/>
      <c r="O354" s="27"/>
      <c r="P354" s="47"/>
      <c r="Q354" s="42"/>
      <c r="R354" s="27"/>
      <c r="S354" s="47"/>
      <c r="T354" s="42"/>
      <c r="U354" s="27"/>
      <c r="V354" s="47"/>
      <c r="W354" s="42"/>
      <c r="X354" s="27"/>
      <c r="Y354" s="47"/>
      <c r="Z354" s="42"/>
      <c r="AA354" s="27"/>
      <c r="AB354" s="47"/>
      <c r="AC354" s="42"/>
      <c r="AD354" s="27"/>
      <c r="AE354" s="33"/>
      <c r="AF354" s="47"/>
      <c r="AG354" s="48"/>
    </row>
    <row r="355" spans="2:33" s="38" customFormat="1" x14ac:dyDescent="0.25">
      <c r="B355" s="49"/>
      <c r="C355" s="70"/>
      <c r="D355" s="42"/>
      <c r="F355" s="33"/>
      <c r="G355" s="47"/>
      <c r="H355" s="42"/>
      <c r="I355" s="27"/>
      <c r="J355" s="47"/>
      <c r="K355" s="42"/>
      <c r="L355" s="27"/>
      <c r="M355" s="47"/>
      <c r="N355" s="42"/>
      <c r="O355" s="27"/>
      <c r="P355" s="47"/>
      <c r="Q355" s="42"/>
      <c r="R355" s="27"/>
      <c r="S355" s="47"/>
      <c r="T355" s="42"/>
      <c r="U355" s="27"/>
      <c r="V355" s="47"/>
      <c r="W355" s="42"/>
      <c r="X355" s="27"/>
      <c r="Y355" s="47"/>
      <c r="Z355" s="42"/>
      <c r="AA355" s="27"/>
      <c r="AB355" s="47"/>
      <c r="AC355" s="42"/>
      <c r="AD355" s="27"/>
      <c r="AE355" s="33"/>
      <c r="AF355" s="47"/>
      <c r="AG355" s="48"/>
    </row>
    <row r="356" spans="2:33" s="38" customFormat="1" x14ac:dyDescent="0.25">
      <c r="B356" s="49"/>
      <c r="C356" s="70"/>
      <c r="D356" s="42"/>
      <c r="F356" s="33"/>
      <c r="G356" s="47"/>
      <c r="H356" s="42"/>
      <c r="I356" s="27"/>
      <c r="J356" s="47"/>
      <c r="K356" s="42"/>
      <c r="L356" s="27"/>
      <c r="M356" s="47"/>
      <c r="N356" s="42"/>
      <c r="O356" s="27"/>
      <c r="P356" s="47"/>
      <c r="Q356" s="42"/>
      <c r="R356" s="27"/>
      <c r="S356" s="47"/>
      <c r="T356" s="42"/>
      <c r="U356" s="27"/>
      <c r="V356" s="47"/>
      <c r="W356" s="42"/>
      <c r="X356" s="27"/>
      <c r="Y356" s="47"/>
      <c r="Z356" s="42"/>
      <c r="AA356" s="27"/>
      <c r="AB356" s="47"/>
      <c r="AC356" s="42"/>
      <c r="AD356" s="27"/>
      <c r="AE356" s="33"/>
      <c r="AF356" s="47"/>
      <c r="AG356" s="48"/>
    </row>
    <row r="357" spans="2:33" s="38" customFormat="1" x14ac:dyDescent="0.25">
      <c r="B357" s="49"/>
      <c r="C357" s="70"/>
      <c r="D357" s="42"/>
      <c r="F357" s="33"/>
      <c r="G357" s="47"/>
      <c r="H357" s="42"/>
      <c r="I357" s="27"/>
      <c r="J357" s="47"/>
      <c r="K357" s="42"/>
      <c r="L357" s="27"/>
      <c r="M357" s="47"/>
      <c r="N357" s="42"/>
      <c r="O357" s="27"/>
      <c r="P357" s="47"/>
      <c r="Q357" s="42"/>
      <c r="R357" s="27"/>
      <c r="S357" s="47"/>
      <c r="T357" s="42"/>
      <c r="U357" s="27"/>
      <c r="V357" s="47"/>
      <c r="W357" s="42"/>
      <c r="X357" s="27"/>
      <c r="Y357" s="47"/>
      <c r="Z357" s="42"/>
      <c r="AA357" s="27"/>
      <c r="AB357" s="47"/>
      <c r="AC357" s="42"/>
      <c r="AD357" s="27"/>
      <c r="AE357" s="33"/>
      <c r="AF357" s="47"/>
      <c r="AG357" s="48"/>
    </row>
    <row r="358" spans="2:33" s="38" customFormat="1" x14ac:dyDescent="0.25">
      <c r="B358" s="49"/>
      <c r="C358" s="70"/>
      <c r="D358" s="42"/>
      <c r="F358" s="33"/>
      <c r="G358" s="47"/>
      <c r="H358" s="42"/>
      <c r="I358" s="27"/>
      <c r="J358" s="47"/>
      <c r="K358" s="42"/>
      <c r="L358" s="27"/>
      <c r="M358" s="47"/>
      <c r="N358" s="42"/>
      <c r="O358" s="27"/>
      <c r="P358" s="47"/>
      <c r="Q358" s="42"/>
      <c r="R358" s="27"/>
      <c r="S358" s="47"/>
      <c r="T358" s="42"/>
      <c r="U358" s="27"/>
      <c r="V358" s="47"/>
      <c r="W358" s="42"/>
      <c r="X358" s="27"/>
      <c r="Y358" s="47"/>
      <c r="Z358" s="42"/>
      <c r="AA358" s="27"/>
      <c r="AB358" s="47"/>
      <c r="AC358" s="42"/>
      <c r="AD358" s="27"/>
      <c r="AE358" s="33"/>
      <c r="AF358" s="47"/>
      <c r="AG358" s="48"/>
    </row>
    <row r="359" spans="2:33" s="38" customFormat="1" x14ac:dyDescent="0.25">
      <c r="B359" s="49"/>
      <c r="C359" s="70"/>
      <c r="D359" s="42"/>
      <c r="F359" s="33"/>
      <c r="G359" s="47"/>
      <c r="H359" s="42"/>
      <c r="I359" s="27"/>
      <c r="J359" s="47"/>
      <c r="K359" s="42"/>
      <c r="L359" s="27"/>
      <c r="M359" s="47"/>
      <c r="N359" s="42"/>
      <c r="O359" s="27"/>
      <c r="P359" s="47"/>
      <c r="Q359" s="42"/>
      <c r="R359" s="27"/>
      <c r="S359" s="47"/>
      <c r="T359" s="42"/>
      <c r="U359" s="27"/>
      <c r="V359" s="47"/>
      <c r="W359" s="42"/>
      <c r="X359" s="27"/>
      <c r="Y359" s="47"/>
      <c r="Z359" s="42"/>
      <c r="AA359" s="27"/>
      <c r="AB359" s="47"/>
      <c r="AC359" s="42"/>
      <c r="AD359" s="27"/>
      <c r="AE359" s="33"/>
      <c r="AF359" s="47"/>
      <c r="AG359" s="48"/>
    </row>
    <row r="360" spans="2:33" s="38" customFormat="1" x14ac:dyDescent="0.25">
      <c r="B360" s="49"/>
      <c r="C360" s="70"/>
      <c r="D360" s="42"/>
      <c r="F360" s="33"/>
      <c r="G360" s="47"/>
      <c r="H360" s="42"/>
      <c r="I360" s="27"/>
      <c r="J360" s="47"/>
      <c r="K360" s="42"/>
      <c r="L360" s="27"/>
      <c r="M360" s="47"/>
      <c r="N360" s="42"/>
      <c r="O360" s="27"/>
      <c r="P360" s="47"/>
      <c r="Q360" s="42"/>
      <c r="R360" s="27"/>
      <c r="S360" s="47"/>
      <c r="T360" s="42"/>
      <c r="U360" s="27"/>
      <c r="V360" s="47"/>
      <c r="W360" s="42"/>
      <c r="X360" s="27"/>
      <c r="Y360" s="47"/>
      <c r="Z360" s="42"/>
      <c r="AA360" s="27"/>
      <c r="AB360" s="47"/>
      <c r="AC360" s="42"/>
      <c r="AD360" s="27"/>
      <c r="AE360" s="33"/>
      <c r="AF360" s="47"/>
      <c r="AG360" s="48"/>
    </row>
    <row r="361" spans="2:33" s="38" customFormat="1" x14ac:dyDescent="0.25">
      <c r="B361" s="49"/>
      <c r="C361" s="70"/>
      <c r="D361" s="42"/>
      <c r="F361" s="33"/>
      <c r="G361" s="47"/>
      <c r="H361" s="42"/>
      <c r="I361" s="27"/>
      <c r="J361" s="47"/>
      <c r="K361" s="42"/>
      <c r="L361" s="27"/>
      <c r="M361" s="47"/>
      <c r="N361" s="42"/>
      <c r="O361" s="27"/>
      <c r="P361" s="47"/>
      <c r="Q361" s="42"/>
      <c r="R361" s="27"/>
      <c r="S361" s="47"/>
      <c r="T361" s="42"/>
      <c r="U361" s="27"/>
      <c r="V361" s="47"/>
      <c r="W361" s="42"/>
      <c r="X361" s="27"/>
      <c r="Y361" s="47"/>
      <c r="Z361" s="42"/>
      <c r="AA361" s="27"/>
      <c r="AB361" s="47"/>
      <c r="AC361" s="42"/>
      <c r="AD361" s="27"/>
      <c r="AE361" s="33"/>
      <c r="AF361" s="47"/>
      <c r="AG361" s="48"/>
    </row>
    <row r="362" spans="2:33" s="38" customFormat="1" x14ac:dyDescent="0.25">
      <c r="B362" s="49"/>
      <c r="C362" s="70"/>
      <c r="D362" s="42"/>
      <c r="F362" s="33"/>
      <c r="G362" s="47"/>
      <c r="H362" s="42"/>
      <c r="I362" s="27"/>
      <c r="J362" s="47"/>
      <c r="K362" s="42"/>
      <c r="L362" s="27"/>
      <c r="M362" s="47"/>
      <c r="N362" s="42"/>
      <c r="O362" s="27"/>
      <c r="P362" s="47"/>
      <c r="Q362" s="42"/>
      <c r="R362" s="27"/>
      <c r="S362" s="47"/>
      <c r="T362" s="42"/>
      <c r="U362" s="27"/>
      <c r="V362" s="47"/>
      <c r="W362" s="42"/>
      <c r="X362" s="27"/>
      <c r="Y362" s="47"/>
      <c r="Z362" s="42"/>
      <c r="AA362" s="27"/>
      <c r="AB362" s="47"/>
      <c r="AC362" s="42"/>
      <c r="AD362" s="27"/>
      <c r="AE362" s="33"/>
      <c r="AF362" s="47"/>
      <c r="AG362" s="48"/>
    </row>
    <row r="363" spans="2:33" s="38" customFormat="1" x14ac:dyDescent="0.25">
      <c r="B363" s="49"/>
      <c r="C363" s="70"/>
      <c r="D363" s="42"/>
      <c r="F363" s="33"/>
      <c r="G363" s="47"/>
      <c r="H363" s="42"/>
      <c r="I363" s="27"/>
      <c r="J363" s="47"/>
      <c r="K363" s="42"/>
      <c r="L363" s="27"/>
      <c r="M363" s="47"/>
      <c r="N363" s="42"/>
      <c r="O363" s="27"/>
      <c r="P363" s="47"/>
      <c r="Q363" s="42"/>
      <c r="R363" s="27"/>
      <c r="S363" s="47"/>
      <c r="T363" s="42"/>
      <c r="U363" s="27"/>
      <c r="V363" s="47"/>
      <c r="W363" s="42"/>
      <c r="X363" s="27"/>
      <c r="Y363" s="47"/>
      <c r="Z363" s="42"/>
      <c r="AA363" s="27"/>
      <c r="AB363" s="47"/>
      <c r="AC363" s="42"/>
      <c r="AD363" s="27"/>
      <c r="AE363" s="33"/>
      <c r="AF363" s="47"/>
      <c r="AG363" s="48"/>
    </row>
    <row r="364" spans="2:33" s="38" customFormat="1" x14ac:dyDescent="0.25">
      <c r="B364" s="49"/>
      <c r="C364" s="70"/>
      <c r="D364" s="42"/>
      <c r="F364" s="33"/>
      <c r="G364" s="47"/>
      <c r="H364" s="42"/>
      <c r="I364" s="27"/>
      <c r="J364" s="47"/>
      <c r="K364" s="42"/>
      <c r="L364" s="27"/>
      <c r="M364" s="47"/>
      <c r="N364" s="42"/>
      <c r="O364" s="27"/>
      <c r="P364" s="47"/>
      <c r="Q364" s="42"/>
      <c r="R364" s="27"/>
      <c r="S364" s="47"/>
      <c r="T364" s="42"/>
      <c r="U364" s="27"/>
      <c r="V364" s="47"/>
      <c r="W364" s="42"/>
      <c r="X364" s="27"/>
      <c r="Y364" s="47"/>
      <c r="Z364" s="42"/>
      <c r="AA364" s="27"/>
      <c r="AB364" s="47"/>
      <c r="AC364" s="42"/>
      <c r="AD364" s="27"/>
      <c r="AE364" s="33"/>
      <c r="AF364" s="47"/>
      <c r="AG364" s="48"/>
    </row>
    <row r="365" spans="2:33" s="38" customFormat="1" x14ac:dyDescent="0.25">
      <c r="B365" s="49"/>
      <c r="C365" s="70"/>
      <c r="D365" s="42"/>
      <c r="F365" s="33"/>
      <c r="G365" s="47"/>
      <c r="H365" s="42"/>
      <c r="I365" s="27"/>
      <c r="J365" s="47"/>
      <c r="K365" s="42"/>
      <c r="L365" s="27"/>
      <c r="M365" s="47"/>
      <c r="N365" s="42"/>
      <c r="O365" s="27"/>
      <c r="P365" s="47"/>
      <c r="Q365" s="42"/>
      <c r="R365" s="27"/>
      <c r="S365" s="47"/>
      <c r="T365" s="42"/>
      <c r="U365" s="27"/>
      <c r="V365" s="47"/>
      <c r="W365" s="42"/>
      <c r="X365" s="27"/>
      <c r="Y365" s="47"/>
      <c r="Z365" s="42"/>
      <c r="AA365" s="27"/>
      <c r="AB365" s="47"/>
      <c r="AC365" s="42"/>
      <c r="AD365" s="27"/>
      <c r="AE365" s="33"/>
      <c r="AF365" s="47"/>
      <c r="AG365" s="48"/>
    </row>
    <row r="366" spans="2:33" s="38" customFormat="1" x14ac:dyDescent="0.25">
      <c r="B366" s="49"/>
      <c r="C366" s="70"/>
      <c r="D366" s="42"/>
      <c r="F366" s="33"/>
      <c r="G366" s="47"/>
      <c r="H366" s="42"/>
      <c r="I366" s="27"/>
      <c r="J366" s="47"/>
      <c r="K366" s="42"/>
      <c r="L366" s="27"/>
      <c r="M366" s="47"/>
      <c r="N366" s="42"/>
      <c r="O366" s="27"/>
      <c r="P366" s="47"/>
      <c r="Q366" s="42"/>
      <c r="R366" s="27"/>
      <c r="S366" s="47"/>
      <c r="T366" s="42"/>
      <c r="U366" s="27"/>
      <c r="V366" s="47"/>
      <c r="W366" s="42"/>
      <c r="X366" s="27"/>
      <c r="Y366" s="47"/>
      <c r="Z366" s="42"/>
      <c r="AA366" s="27"/>
      <c r="AB366" s="47"/>
      <c r="AC366" s="42"/>
      <c r="AD366" s="27"/>
      <c r="AE366" s="33"/>
      <c r="AF366" s="47"/>
      <c r="AG366" s="48"/>
    </row>
    <row r="367" spans="2:33" s="38" customFormat="1" x14ac:dyDescent="0.25">
      <c r="B367" s="49"/>
      <c r="C367" s="70"/>
      <c r="D367" s="42"/>
      <c r="F367" s="33"/>
      <c r="G367" s="47"/>
      <c r="H367" s="42"/>
      <c r="I367" s="27"/>
      <c r="J367" s="47"/>
      <c r="K367" s="42"/>
      <c r="L367" s="27"/>
      <c r="M367" s="47"/>
      <c r="N367" s="42"/>
      <c r="O367" s="27"/>
      <c r="P367" s="47"/>
      <c r="Q367" s="42"/>
      <c r="R367" s="27"/>
      <c r="S367" s="47"/>
      <c r="T367" s="42"/>
      <c r="U367" s="27"/>
      <c r="V367" s="47"/>
      <c r="W367" s="42"/>
      <c r="X367" s="27"/>
      <c r="Y367" s="47"/>
      <c r="Z367" s="42"/>
      <c r="AA367" s="27"/>
      <c r="AB367" s="47"/>
      <c r="AC367" s="42"/>
      <c r="AD367" s="27"/>
      <c r="AE367" s="33"/>
      <c r="AF367" s="47"/>
      <c r="AG367" s="48"/>
    </row>
    <row r="368" spans="2:33" s="38" customFormat="1" x14ac:dyDescent="0.25">
      <c r="B368" s="49"/>
      <c r="C368" s="70"/>
      <c r="D368" s="42"/>
      <c r="F368" s="33"/>
      <c r="G368" s="47"/>
      <c r="H368" s="42"/>
      <c r="I368" s="27"/>
      <c r="J368" s="47"/>
      <c r="K368" s="42"/>
      <c r="L368" s="27"/>
      <c r="M368" s="47"/>
      <c r="N368" s="42"/>
      <c r="O368" s="27"/>
      <c r="P368" s="47"/>
      <c r="Q368" s="42"/>
      <c r="R368" s="27"/>
      <c r="S368" s="47"/>
      <c r="T368" s="42"/>
      <c r="U368" s="27"/>
      <c r="V368" s="47"/>
      <c r="W368" s="42"/>
      <c r="X368" s="27"/>
      <c r="Y368" s="47"/>
      <c r="Z368" s="42"/>
      <c r="AA368" s="27"/>
      <c r="AB368" s="47"/>
      <c r="AC368" s="42"/>
      <c r="AD368" s="27"/>
      <c r="AE368" s="33"/>
      <c r="AF368" s="47"/>
      <c r="AG368" s="48"/>
    </row>
    <row r="369" spans="2:33" s="38" customFormat="1" x14ac:dyDescent="0.25">
      <c r="B369" s="49"/>
      <c r="C369" s="70"/>
      <c r="D369" s="42"/>
      <c r="F369" s="33"/>
      <c r="G369" s="47"/>
      <c r="H369" s="42"/>
      <c r="I369" s="27"/>
      <c r="J369" s="47"/>
      <c r="K369" s="42"/>
      <c r="L369" s="27"/>
      <c r="M369" s="47"/>
      <c r="N369" s="42"/>
      <c r="O369" s="27"/>
      <c r="P369" s="47"/>
      <c r="Q369" s="42"/>
      <c r="R369" s="27"/>
      <c r="S369" s="47"/>
      <c r="T369" s="42"/>
      <c r="U369" s="27"/>
      <c r="V369" s="47"/>
      <c r="W369" s="42"/>
      <c r="X369" s="27"/>
      <c r="Y369" s="47"/>
      <c r="Z369" s="42"/>
      <c r="AA369" s="27"/>
      <c r="AB369" s="47"/>
      <c r="AC369" s="42"/>
      <c r="AD369" s="27"/>
      <c r="AE369" s="33"/>
      <c r="AF369" s="47"/>
      <c r="AG369" s="48"/>
    </row>
    <row r="370" spans="2:33" s="38" customFormat="1" x14ac:dyDescent="0.25">
      <c r="B370" s="49"/>
      <c r="C370" s="70"/>
      <c r="D370" s="42"/>
      <c r="F370" s="33"/>
      <c r="G370" s="47"/>
      <c r="H370" s="42"/>
      <c r="I370" s="27"/>
      <c r="J370" s="47"/>
      <c r="K370" s="42"/>
      <c r="L370" s="27"/>
      <c r="M370" s="47"/>
      <c r="N370" s="42"/>
      <c r="O370" s="27"/>
      <c r="P370" s="47"/>
      <c r="Q370" s="42"/>
      <c r="R370" s="27"/>
      <c r="S370" s="47"/>
      <c r="T370" s="42"/>
      <c r="U370" s="27"/>
      <c r="V370" s="47"/>
      <c r="W370" s="42"/>
      <c r="X370" s="27"/>
      <c r="Y370" s="47"/>
      <c r="Z370" s="42"/>
      <c r="AA370" s="27"/>
      <c r="AB370" s="47"/>
      <c r="AC370" s="42"/>
      <c r="AD370" s="27"/>
      <c r="AE370" s="33"/>
      <c r="AF370" s="47"/>
      <c r="AG370" s="48"/>
    </row>
    <row r="371" spans="2:33" s="38" customFormat="1" x14ac:dyDescent="0.25">
      <c r="B371" s="49"/>
      <c r="C371" s="70"/>
      <c r="D371" s="42"/>
      <c r="F371" s="33"/>
      <c r="G371" s="47"/>
      <c r="H371" s="42"/>
      <c r="I371" s="27"/>
      <c r="J371" s="47"/>
      <c r="K371" s="42"/>
      <c r="L371" s="27"/>
      <c r="M371" s="47"/>
      <c r="N371" s="42"/>
      <c r="O371" s="27"/>
      <c r="P371" s="47"/>
      <c r="Q371" s="42"/>
      <c r="R371" s="27"/>
      <c r="S371" s="47"/>
      <c r="T371" s="42"/>
      <c r="U371" s="27"/>
      <c r="V371" s="47"/>
      <c r="W371" s="42"/>
      <c r="X371" s="27"/>
      <c r="Y371" s="47"/>
      <c r="Z371" s="42"/>
      <c r="AA371" s="27"/>
      <c r="AB371" s="47"/>
      <c r="AC371" s="42"/>
      <c r="AD371" s="27"/>
      <c r="AE371" s="33"/>
      <c r="AF371" s="47"/>
      <c r="AG371" s="48"/>
    </row>
    <row r="372" spans="2:33" s="38" customFormat="1" x14ac:dyDescent="0.25">
      <c r="B372" s="49"/>
      <c r="C372" s="70"/>
      <c r="D372" s="42"/>
      <c r="F372" s="33"/>
      <c r="G372" s="47"/>
      <c r="H372" s="42"/>
      <c r="I372" s="27"/>
      <c r="J372" s="47"/>
      <c r="K372" s="42"/>
      <c r="L372" s="27"/>
      <c r="M372" s="47"/>
      <c r="N372" s="42"/>
      <c r="O372" s="27"/>
      <c r="P372" s="47"/>
      <c r="Q372" s="42"/>
      <c r="R372" s="27"/>
      <c r="S372" s="47"/>
      <c r="T372" s="42"/>
      <c r="U372" s="27"/>
      <c r="V372" s="47"/>
      <c r="W372" s="42"/>
      <c r="X372" s="27"/>
      <c r="Y372" s="47"/>
      <c r="Z372" s="42"/>
      <c r="AA372" s="27"/>
      <c r="AB372" s="47"/>
      <c r="AC372" s="42"/>
      <c r="AD372" s="27"/>
      <c r="AE372" s="33"/>
      <c r="AF372" s="47"/>
      <c r="AG372" s="48"/>
    </row>
    <row r="373" spans="2:33" s="38" customFormat="1" x14ac:dyDescent="0.25">
      <c r="B373" s="49"/>
      <c r="C373" s="70"/>
      <c r="D373" s="42"/>
      <c r="F373" s="33"/>
      <c r="G373" s="47"/>
      <c r="H373" s="42"/>
      <c r="I373" s="27"/>
      <c r="J373" s="47"/>
      <c r="K373" s="42"/>
      <c r="L373" s="27"/>
      <c r="M373" s="47"/>
      <c r="N373" s="42"/>
      <c r="O373" s="27"/>
      <c r="P373" s="47"/>
      <c r="Q373" s="42"/>
      <c r="R373" s="27"/>
      <c r="S373" s="47"/>
      <c r="T373" s="42"/>
      <c r="U373" s="27"/>
      <c r="V373" s="47"/>
      <c r="W373" s="42"/>
      <c r="X373" s="27"/>
      <c r="Y373" s="47"/>
      <c r="Z373" s="42"/>
      <c r="AA373" s="27"/>
      <c r="AB373" s="47"/>
      <c r="AC373" s="42"/>
      <c r="AD373" s="27"/>
      <c r="AE373" s="33"/>
      <c r="AF373" s="47"/>
      <c r="AG373" s="48"/>
    </row>
    <row r="374" spans="2:33" s="38" customFormat="1" x14ac:dyDescent="0.25">
      <c r="B374" s="49"/>
      <c r="C374" s="70"/>
      <c r="D374" s="42"/>
      <c r="F374" s="33"/>
      <c r="G374" s="47"/>
      <c r="H374" s="42"/>
      <c r="I374" s="27"/>
      <c r="J374" s="47"/>
      <c r="K374" s="42"/>
      <c r="L374" s="27"/>
      <c r="M374" s="47"/>
      <c r="N374" s="42"/>
      <c r="O374" s="27"/>
      <c r="P374" s="47"/>
      <c r="Q374" s="42"/>
      <c r="R374" s="27"/>
      <c r="S374" s="47"/>
      <c r="T374" s="42"/>
      <c r="U374" s="27"/>
      <c r="V374" s="47"/>
      <c r="W374" s="42"/>
      <c r="X374" s="27"/>
      <c r="Y374" s="47"/>
      <c r="Z374" s="42"/>
      <c r="AA374" s="27"/>
      <c r="AB374" s="47"/>
      <c r="AC374" s="42"/>
      <c r="AD374" s="27"/>
      <c r="AE374" s="33"/>
      <c r="AF374" s="47"/>
      <c r="AG374" s="48"/>
    </row>
    <row r="375" spans="2:33" s="38" customFormat="1" x14ac:dyDescent="0.25">
      <c r="B375" s="49"/>
      <c r="C375" s="70"/>
      <c r="D375" s="42"/>
      <c r="F375" s="33"/>
      <c r="G375" s="47"/>
      <c r="H375" s="42"/>
      <c r="I375" s="27"/>
      <c r="J375" s="47"/>
      <c r="K375" s="42"/>
      <c r="L375" s="27"/>
      <c r="M375" s="47"/>
      <c r="N375" s="42"/>
      <c r="O375" s="27"/>
      <c r="P375" s="47"/>
      <c r="Q375" s="42"/>
      <c r="R375" s="27"/>
      <c r="S375" s="47"/>
      <c r="T375" s="42"/>
      <c r="U375" s="27"/>
      <c r="V375" s="47"/>
      <c r="W375" s="42"/>
      <c r="X375" s="27"/>
      <c r="Y375" s="47"/>
      <c r="Z375" s="42"/>
      <c r="AA375" s="27"/>
      <c r="AB375" s="47"/>
      <c r="AC375" s="42"/>
      <c r="AD375" s="27"/>
      <c r="AE375" s="33"/>
      <c r="AF375" s="47"/>
      <c r="AG375" s="48"/>
    </row>
    <row r="376" spans="2:33" s="38" customFormat="1" x14ac:dyDescent="0.25">
      <c r="B376" s="49"/>
      <c r="C376" s="70"/>
      <c r="D376" s="42"/>
      <c r="F376" s="33"/>
      <c r="G376" s="47"/>
      <c r="H376" s="42"/>
      <c r="I376" s="27"/>
      <c r="J376" s="47"/>
      <c r="K376" s="42"/>
      <c r="L376" s="27"/>
      <c r="M376" s="47"/>
      <c r="N376" s="42"/>
      <c r="O376" s="27"/>
      <c r="P376" s="47"/>
      <c r="Q376" s="42"/>
      <c r="R376" s="27"/>
      <c r="S376" s="47"/>
      <c r="T376" s="42"/>
      <c r="U376" s="27"/>
      <c r="V376" s="47"/>
      <c r="W376" s="42"/>
      <c r="X376" s="27"/>
      <c r="Y376" s="47"/>
      <c r="Z376" s="42"/>
      <c r="AA376" s="27"/>
      <c r="AB376" s="47"/>
      <c r="AC376" s="42"/>
      <c r="AD376" s="27"/>
      <c r="AE376" s="33"/>
      <c r="AF376" s="47"/>
      <c r="AG376" s="48"/>
    </row>
    <row r="377" spans="2:33" s="38" customFormat="1" x14ac:dyDescent="0.25">
      <c r="B377" s="49"/>
      <c r="C377" s="70"/>
      <c r="D377" s="42"/>
      <c r="F377" s="33"/>
      <c r="G377" s="47"/>
      <c r="H377" s="42"/>
      <c r="I377" s="27"/>
      <c r="J377" s="47"/>
      <c r="K377" s="42"/>
      <c r="L377" s="27"/>
      <c r="M377" s="47"/>
      <c r="N377" s="42"/>
      <c r="O377" s="27"/>
      <c r="P377" s="47"/>
      <c r="Q377" s="42"/>
      <c r="R377" s="27"/>
      <c r="S377" s="47"/>
      <c r="T377" s="42"/>
      <c r="U377" s="27"/>
      <c r="V377" s="47"/>
      <c r="W377" s="42"/>
      <c r="X377" s="27"/>
      <c r="Y377" s="47"/>
      <c r="Z377" s="42"/>
      <c r="AA377" s="27"/>
      <c r="AB377" s="47"/>
      <c r="AC377" s="42"/>
      <c r="AD377" s="27"/>
      <c r="AE377" s="33"/>
      <c r="AF377" s="47"/>
      <c r="AG377" s="48"/>
    </row>
    <row r="378" spans="2:33" s="38" customFormat="1" x14ac:dyDescent="0.25">
      <c r="B378" s="49"/>
      <c r="C378" s="70"/>
      <c r="D378" s="42"/>
      <c r="F378" s="33"/>
      <c r="G378" s="47"/>
      <c r="H378" s="42"/>
      <c r="I378" s="27"/>
      <c r="J378" s="47"/>
      <c r="K378" s="42"/>
      <c r="L378" s="27"/>
      <c r="M378" s="47"/>
      <c r="N378" s="42"/>
      <c r="O378" s="27"/>
      <c r="P378" s="47"/>
      <c r="Q378" s="42"/>
      <c r="R378" s="27"/>
      <c r="S378" s="47"/>
      <c r="T378" s="42"/>
      <c r="U378" s="27"/>
      <c r="V378" s="47"/>
      <c r="W378" s="42"/>
      <c r="X378" s="27"/>
      <c r="Y378" s="47"/>
      <c r="Z378" s="42"/>
      <c r="AA378" s="27"/>
      <c r="AB378" s="47"/>
      <c r="AC378" s="42"/>
      <c r="AD378" s="27"/>
      <c r="AE378" s="33"/>
      <c r="AF378" s="47"/>
      <c r="AG378" s="48"/>
    </row>
    <row r="379" spans="2:33" s="38" customFormat="1" x14ac:dyDescent="0.25">
      <c r="B379" s="49"/>
      <c r="C379" s="70"/>
      <c r="D379" s="42"/>
      <c r="F379" s="33"/>
      <c r="G379" s="47"/>
      <c r="H379" s="42"/>
      <c r="I379" s="27"/>
      <c r="J379" s="47"/>
      <c r="K379" s="42"/>
      <c r="L379" s="27"/>
      <c r="M379" s="47"/>
      <c r="N379" s="42"/>
      <c r="O379" s="27"/>
      <c r="P379" s="47"/>
      <c r="Q379" s="42"/>
      <c r="R379" s="27"/>
      <c r="S379" s="47"/>
      <c r="T379" s="42"/>
      <c r="U379" s="27"/>
      <c r="V379" s="47"/>
      <c r="W379" s="42"/>
      <c r="X379" s="27"/>
      <c r="Y379" s="47"/>
      <c r="Z379" s="42"/>
      <c r="AA379" s="27"/>
      <c r="AB379" s="47"/>
      <c r="AC379" s="42"/>
      <c r="AD379" s="27"/>
      <c r="AE379" s="33"/>
      <c r="AF379" s="47"/>
      <c r="AG379" s="48"/>
    </row>
    <row r="380" spans="2:33" s="38" customFormat="1" x14ac:dyDescent="0.25">
      <c r="B380" s="49"/>
      <c r="C380" s="70"/>
      <c r="D380" s="42"/>
      <c r="F380" s="33"/>
      <c r="G380" s="47"/>
      <c r="H380" s="42"/>
      <c r="I380" s="27"/>
      <c r="J380" s="47"/>
      <c r="K380" s="42"/>
      <c r="L380" s="27"/>
      <c r="M380" s="47"/>
      <c r="N380" s="42"/>
      <c r="O380" s="27"/>
      <c r="P380" s="47"/>
      <c r="Q380" s="42"/>
      <c r="R380" s="27"/>
      <c r="S380" s="47"/>
      <c r="T380" s="42"/>
      <c r="U380" s="27"/>
      <c r="V380" s="47"/>
      <c r="W380" s="42"/>
      <c r="X380" s="27"/>
      <c r="Y380" s="47"/>
      <c r="Z380" s="42"/>
      <c r="AA380" s="27"/>
      <c r="AB380" s="47"/>
      <c r="AC380" s="42"/>
      <c r="AD380" s="27"/>
      <c r="AE380" s="33"/>
      <c r="AF380" s="47"/>
      <c r="AG380" s="48"/>
    </row>
    <row r="381" spans="2:33" s="38" customFormat="1" x14ac:dyDescent="0.25">
      <c r="B381" s="49"/>
      <c r="C381" s="70"/>
      <c r="D381" s="42"/>
      <c r="F381" s="33"/>
      <c r="G381" s="47"/>
      <c r="H381" s="42"/>
      <c r="I381" s="27"/>
      <c r="J381" s="47"/>
      <c r="K381" s="42"/>
      <c r="L381" s="27"/>
      <c r="M381" s="47"/>
      <c r="N381" s="42"/>
      <c r="O381" s="27"/>
      <c r="P381" s="47"/>
      <c r="Q381" s="42"/>
      <c r="R381" s="27"/>
      <c r="S381" s="47"/>
      <c r="T381" s="42"/>
      <c r="U381" s="27"/>
      <c r="V381" s="47"/>
      <c r="W381" s="42"/>
      <c r="X381" s="27"/>
      <c r="Y381" s="47"/>
      <c r="Z381" s="42"/>
      <c r="AA381" s="27"/>
      <c r="AB381" s="47"/>
      <c r="AC381" s="42"/>
      <c r="AD381" s="27"/>
      <c r="AE381" s="33"/>
      <c r="AF381" s="47"/>
      <c r="AG381" s="48"/>
    </row>
    <row r="382" spans="2:33" s="38" customFormat="1" x14ac:dyDescent="0.25">
      <c r="B382" s="49"/>
      <c r="C382" s="70"/>
      <c r="D382" s="42"/>
      <c r="F382" s="33"/>
      <c r="G382" s="47"/>
      <c r="H382" s="42"/>
      <c r="I382" s="27"/>
      <c r="J382" s="47"/>
      <c r="K382" s="42"/>
      <c r="L382" s="27"/>
      <c r="M382" s="47"/>
      <c r="N382" s="42"/>
      <c r="O382" s="27"/>
      <c r="P382" s="47"/>
      <c r="Q382" s="42"/>
      <c r="R382" s="27"/>
      <c r="S382" s="47"/>
      <c r="T382" s="42"/>
      <c r="U382" s="27"/>
      <c r="V382" s="47"/>
      <c r="W382" s="42"/>
      <c r="X382" s="27"/>
      <c r="Y382" s="47"/>
      <c r="Z382" s="42"/>
      <c r="AA382" s="27"/>
      <c r="AB382" s="47"/>
      <c r="AC382" s="42"/>
      <c r="AD382" s="27"/>
      <c r="AE382" s="33"/>
      <c r="AF382" s="47"/>
      <c r="AG382" s="48"/>
    </row>
    <row r="383" spans="2:33" s="38" customFormat="1" x14ac:dyDescent="0.25">
      <c r="B383" s="49"/>
      <c r="C383" s="70"/>
      <c r="D383" s="42"/>
      <c r="F383" s="33"/>
      <c r="G383" s="47"/>
      <c r="H383" s="42"/>
      <c r="I383" s="27"/>
      <c r="J383" s="47"/>
      <c r="K383" s="42"/>
      <c r="L383" s="27"/>
      <c r="M383" s="47"/>
      <c r="N383" s="42"/>
      <c r="O383" s="27"/>
      <c r="P383" s="47"/>
      <c r="Q383" s="42"/>
      <c r="R383" s="27"/>
      <c r="S383" s="47"/>
      <c r="T383" s="42"/>
      <c r="U383" s="27"/>
      <c r="V383" s="47"/>
      <c r="W383" s="42"/>
      <c r="X383" s="27"/>
      <c r="Y383" s="47"/>
      <c r="Z383" s="42"/>
      <c r="AA383" s="27"/>
      <c r="AB383" s="47"/>
      <c r="AC383" s="42"/>
      <c r="AD383" s="27"/>
      <c r="AE383" s="33"/>
      <c r="AF383" s="47"/>
      <c r="AG383" s="48"/>
    </row>
    <row r="384" spans="2:33" s="38" customFormat="1" x14ac:dyDescent="0.25">
      <c r="B384" s="49"/>
      <c r="C384" s="70"/>
      <c r="D384" s="42"/>
      <c r="F384" s="33"/>
      <c r="G384" s="47"/>
      <c r="H384" s="42"/>
      <c r="I384" s="27"/>
      <c r="J384" s="47"/>
      <c r="K384" s="42"/>
      <c r="L384" s="27"/>
      <c r="M384" s="47"/>
      <c r="N384" s="42"/>
      <c r="O384" s="27"/>
      <c r="P384" s="47"/>
      <c r="Q384" s="42"/>
      <c r="R384" s="27"/>
      <c r="S384" s="47"/>
      <c r="T384" s="42"/>
      <c r="U384" s="27"/>
      <c r="V384" s="47"/>
      <c r="W384" s="42"/>
      <c r="X384" s="27"/>
      <c r="Y384" s="47"/>
      <c r="Z384" s="42"/>
      <c r="AA384" s="27"/>
      <c r="AB384" s="47"/>
      <c r="AC384" s="42"/>
      <c r="AD384" s="27"/>
      <c r="AE384" s="33"/>
      <c r="AF384" s="47"/>
      <c r="AG384" s="48"/>
    </row>
    <row r="385" spans="2:33" s="38" customFormat="1" x14ac:dyDescent="0.25">
      <c r="B385" s="49"/>
      <c r="C385" s="70"/>
      <c r="D385" s="42"/>
      <c r="F385" s="33"/>
      <c r="G385" s="47"/>
      <c r="H385" s="42"/>
      <c r="I385" s="27"/>
      <c r="J385" s="47"/>
      <c r="K385" s="42"/>
      <c r="L385" s="27"/>
      <c r="M385" s="47"/>
      <c r="N385" s="42"/>
      <c r="O385" s="27"/>
      <c r="P385" s="47"/>
      <c r="Q385" s="42"/>
      <c r="R385" s="27"/>
      <c r="S385" s="47"/>
      <c r="T385" s="42"/>
      <c r="U385" s="27"/>
      <c r="V385" s="47"/>
      <c r="W385" s="42"/>
      <c r="X385" s="27"/>
      <c r="Y385" s="47"/>
      <c r="Z385" s="42"/>
      <c r="AA385" s="27"/>
      <c r="AB385" s="47"/>
      <c r="AC385" s="42"/>
      <c r="AD385" s="27"/>
      <c r="AE385" s="33"/>
      <c r="AF385" s="47"/>
      <c r="AG385" s="48"/>
    </row>
    <row r="386" spans="2:33" s="38" customFormat="1" x14ac:dyDescent="0.25">
      <c r="B386" s="49"/>
      <c r="C386" s="70"/>
      <c r="D386" s="42"/>
      <c r="F386" s="33"/>
      <c r="G386" s="47"/>
      <c r="H386" s="42"/>
      <c r="I386" s="27"/>
      <c r="J386" s="47"/>
      <c r="K386" s="42"/>
      <c r="L386" s="27"/>
      <c r="M386" s="47"/>
      <c r="N386" s="42"/>
      <c r="O386" s="27"/>
      <c r="P386" s="47"/>
      <c r="Q386" s="42"/>
      <c r="R386" s="27"/>
      <c r="S386" s="47"/>
      <c r="T386" s="42"/>
      <c r="U386" s="27"/>
      <c r="V386" s="47"/>
      <c r="W386" s="42"/>
      <c r="X386" s="27"/>
      <c r="Y386" s="47"/>
      <c r="Z386" s="42"/>
      <c r="AA386" s="27"/>
      <c r="AB386" s="47"/>
      <c r="AC386" s="42"/>
      <c r="AD386" s="27"/>
      <c r="AE386" s="33"/>
      <c r="AF386" s="47"/>
      <c r="AG386" s="48"/>
    </row>
    <row r="387" spans="2:33" s="38" customFormat="1" x14ac:dyDescent="0.25">
      <c r="B387" s="49"/>
      <c r="C387" s="70"/>
      <c r="D387" s="42"/>
      <c r="F387" s="33"/>
      <c r="G387" s="47"/>
      <c r="H387" s="42"/>
      <c r="I387" s="27"/>
      <c r="J387" s="47"/>
      <c r="K387" s="42"/>
      <c r="L387" s="27"/>
      <c r="M387" s="47"/>
      <c r="N387" s="42"/>
      <c r="O387" s="27"/>
      <c r="P387" s="47"/>
      <c r="Q387" s="42"/>
      <c r="R387" s="27"/>
      <c r="S387" s="47"/>
      <c r="T387" s="42"/>
      <c r="U387" s="27"/>
      <c r="V387" s="47"/>
      <c r="W387" s="42"/>
      <c r="X387" s="27"/>
      <c r="Y387" s="47"/>
      <c r="Z387" s="42"/>
      <c r="AA387" s="27"/>
      <c r="AB387" s="47"/>
      <c r="AC387" s="42"/>
      <c r="AD387" s="27"/>
      <c r="AE387" s="33"/>
      <c r="AF387" s="47"/>
      <c r="AG387" s="48"/>
    </row>
    <row r="388" spans="2:33" s="38" customFormat="1" x14ac:dyDescent="0.25">
      <c r="B388" s="49"/>
      <c r="C388" s="70"/>
      <c r="D388" s="42"/>
      <c r="F388" s="33"/>
      <c r="G388" s="47"/>
      <c r="H388" s="42"/>
      <c r="I388" s="27"/>
      <c r="J388" s="47"/>
      <c r="K388" s="42"/>
      <c r="L388" s="27"/>
      <c r="M388" s="47"/>
      <c r="N388" s="42"/>
      <c r="O388" s="27"/>
      <c r="P388" s="47"/>
      <c r="Q388" s="42"/>
      <c r="R388" s="27"/>
      <c r="S388" s="47"/>
      <c r="T388" s="42"/>
      <c r="U388" s="27"/>
      <c r="V388" s="47"/>
      <c r="W388" s="42"/>
      <c r="X388" s="27"/>
      <c r="Y388" s="47"/>
      <c r="Z388" s="42"/>
      <c r="AA388" s="27"/>
      <c r="AB388" s="47"/>
      <c r="AC388" s="42"/>
      <c r="AD388" s="27"/>
      <c r="AE388" s="33"/>
      <c r="AF388" s="47"/>
      <c r="AG388" s="48"/>
    </row>
    <row r="389" spans="2:33" s="38" customFormat="1" x14ac:dyDescent="0.25">
      <c r="B389" s="49"/>
      <c r="C389" s="70"/>
      <c r="D389" s="42"/>
      <c r="F389" s="33"/>
      <c r="G389" s="47"/>
      <c r="H389" s="42"/>
      <c r="I389" s="27"/>
      <c r="J389" s="47"/>
      <c r="K389" s="42"/>
      <c r="L389" s="27"/>
      <c r="M389" s="47"/>
      <c r="N389" s="42"/>
      <c r="O389" s="27"/>
      <c r="P389" s="47"/>
      <c r="Q389" s="42"/>
      <c r="R389" s="27"/>
      <c r="S389" s="47"/>
      <c r="T389" s="42"/>
      <c r="U389" s="27"/>
      <c r="V389" s="47"/>
      <c r="W389" s="42"/>
      <c r="X389" s="27"/>
      <c r="Y389" s="47"/>
      <c r="Z389" s="42"/>
      <c r="AA389" s="27"/>
      <c r="AB389" s="47"/>
      <c r="AC389" s="42"/>
      <c r="AD389" s="27"/>
      <c r="AE389" s="33"/>
      <c r="AF389" s="47"/>
      <c r="AG389" s="48"/>
    </row>
    <row r="390" spans="2:33" s="38" customFormat="1" x14ac:dyDescent="0.25">
      <c r="B390" s="49"/>
      <c r="C390" s="70"/>
      <c r="D390" s="42"/>
      <c r="F390" s="33"/>
      <c r="G390" s="47"/>
      <c r="H390" s="42"/>
      <c r="I390" s="27"/>
      <c r="J390" s="47"/>
      <c r="K390" s="42"/>
      <c r="L390" s="27"/>
      <c r="M390" s="47"/>
      <c r="N390" s="42"/>
      <c r="O390" s="27"/>
      <c r="P390" s="47"/>
      <c r="Q390" s="42"/>
      <c r="R390" s="27"/>
      <c r="S390" s="47"/>
      <c r="T390" s="42"/>
      <c r="U390" s="27"/>
      <c r="V390" s="47"/>
      <c r="W390" s="42"/>
      <c r="X390" s="27"/>
      <c r="Y390" s="47"/>
      <c r="Z390" s="42"/>
      <c r="AA390" s="27"/>
      <c r="AB390" s="47"/>
      <c r="AC390" s="42"/>
      <c r="AD390" s="27"/>
      <c r="AE390" s="33"/>
      <c r="AF390" s="47"/>
      <c r="AG390" s="48"/>
    </row>
    <row r="391" spans="2:33" s="38" customFormat="1" x14ac:dyDescent="0.25">
      <c r="B391" s="49"/>
      <c r="C391" s="70"/>
      <c r="D391" s="42"/>
      <c r="F391" s="33"/>
      <c r="G391" s="47"/>
      <c r="H391" s="42"/>
      <c r="I391" s="27"/>
      <c r="J391" s="47"/>
      <c r="K391" s="42"/>
      <c r="L391" s="27"/>
      <c r="M391" s="47"/>
      <c r="N391" s="42"/>
      <c r="O391" s="27"/>
      <c r="P391" s="47"/>
      <c r="Q391" s="42"/>
      <c r="R391" s="27"/>
      <c r="S391" s="47"/>
      <c r="T391" s="42"/>
      <c r="U391" s="27"/>
      <c r="V391" s="47"/>
      <c r="W391" s="42"/>
      <c r="X391" s="27"/>
      <c r="Y391" s="47"/>
      <c r="Z391" s="42"/>
      <c r="AA391" s="27"/>
      <c r="AB391" s="47"/>
      <c r="AC391" s="42"/>
      <c r="AD391" s="27"/>
      <c r="AE391" s="33"/>
      <c r="AF391" s="47"/>
      <c r="AG391" s="48"/>
    </row>
    <row r="392" spans="2:33" s="38" customFormat="1" x14ac:dyDescent="0.25">
      <c r="B392" s="49"/>
      <c r="C392" s="70"/>
      <c r="D392" s="42"/>
      <c r="F392" s="33"/>
      <c r="G392" s="47"/>
      <c r="H392" s="42"/>
      <c r="I392" s="27"/>
      <c r="J392" s="47"/>
      <c r="K392" s="42"/>
      <c r="L392" s="27"/>
      <c r="M392" s="47"/>
      <c r="N392" s="42"/>
      <c r="O392" s="27"/>
      <c r="P392" s="47"/>
      <c r="Q392" s="42"/>
      <c r="R392" s="27"/>
      <c r="S392" s="47"/>
      <c r="T392" s="42"/>
      <c r="U392" s="27"/>
      <c r="V392" s="47"/>
      <c r="W392" s="42"/>
      <c r="X392" s="27"/>
      <c r="Y392" s="47"/>
      <c r="Z392" s="42"/>
      <c r="AA392" s="27"/>
      <c r="AB392" s="47"/>
      <c r="AC392" s="42"/>
      <c r="AD392" s="27"/>
      <c r="AE392" s="33"/>
      <c r="AF392" s="47"/>
      <c r="AG392" s="48"/>
    </row>
    <row r="393" spans="2:33" s="38" customFormat="1" x14ac:dyDescent="0.25">
      <c r="B393" s="49"/>
      <c r="C393" s="70"/>
      <c r="D393" s="42"/>
      <c r="F393" s="33"/>
      <c r="G393" s="47"/>
      <c r="H393" s="42"/>
      <c r="I393" s="27"/>
      <c r="J393" s="47"/>
      <c r="K393" s="42"/>
      <c r="L393" s="27"/>
      <c r="M393" s="47"/>
      <c r="N393" s="42"/>
      <c r="O393" s="27"/>
      <c r="P393" s="47"/>
      <c r="Q393" s="42"/>
      <c r="R393" s="27"/>
      <c r="S393" s="47"/>
      <c r="T393" s="42"/>
      <c r="U393" s="27"/>
      <c r="V393" s="47"/>
      <c r="W393" s="42"/>
      <c r="X393" s="27"/>
      <c r="Y393" s="47"/>
      <c r="Z393" s="42"/>
      <c r="AA393" s="27"/>
      <c r="AB393" s="47"/>
      <c r="AC393" s="42"/>
      <c r="AD393" s="27"/>
      <c r="AE393" s="33"/>
      <c r="AF393" s="47"/>
      <c r="AG393" s="48"/>
    </row>
    <row r="394" spans="2:33" s="38" customFormat="1" x14ac:dyDescent="0.25">
      <c r="B394" s="49"/>
      <c r="C394" s="70"/>
      <c r="D394" s="42"/>
      <c r="F394" s="33"/>
      <c r="G394" s="47"/>
      <c r="H394" s="42"/>
      <c r="I394" s="27"/>
      <c r="J394" s="47"/>
      <c r="K394" s="42"/>
      <c r="L394" s="27"/>
      <c r="M394" s="47"/>
      <c r="N394" s="42"/>
      <c r="O394" s="27"/>
      <c r="P394" s="47"/>
      <c r="Q394" s="42"/>
      <c r="R394" s="27"/>
      <c r="S394" s="47"/>
      <c r="T394" s="42"/>
      <c r="U394" s="27"/>
      <c r="V394" s="47"/>
      <c r="W394" s="42"/>
      <c r="X394" s="27"/>
      <c r="Y394" s="47"/>
      <c r="Z394" s="42"/>
      <c r="AA394" s="27"/>
      <c r="AB394" s="47"/>
      <c r="AC394" s="42"/>
      <c r="AD394" s="27"/>
      <c r="AE394" s="33"/>
      <c r="AF394" s="47"/>
      <c r="AG394" s="48"/>
    </row>
    <row r="395" spans="2:33" s="38" customFormat="1" x14ac:dyDescent="0.25">
      <c r="B395" s="49"/>
      <c r="C395" s="70"/>
      <c r="D395" s="42"/>
      <c r="F395" s="33"/>
      <c r="G395" s="47"/>
      <c r="H395" s="42"/>
      <c r="I395" s="27"/>
      <c r="J395" s="47"/>
      <c r="K395" s="42"/>
      <c r="L395" s="27"/>
      <c r="M395" s="47"/>
      <c r="N395" s="42"/>
      <c r="O395" s="27"/>
      <c r="P395" s="47"/>
      <c r="Q395" s="42"/>
      <c r="R395" s="27"/>
      <c r="S395" s="47"/>
      <c r="T395" s="42"/>
      <c r="U395" s="27"/>
      <c r="V395" s="47"/>
      <c r="W395" s="42"/>
      <c r="X395" s="27"/>
      <c r="Y395" s="47"/>
      <c r="Z395" s="42"/>
      <c r="AA395" s="27"/>
      <c r="AB395" s="47"/>
      <c r="AC395" s="42"/>
      <c r="AD395" s="27"/>
      <c r="AE395" s="33"/>
      <c r="AF395" s="47"/>
      <c r="AG395" s="48"/>
    </row>
    <row r="396" spans="2:33" s="38" customFormat="1" x14ac:dyDescent="0.25">
      <c r="B396" s="49"/>
      <c r="C396" s="70"/>
      <c r="D396" s="42"/>
      <c r="F396" s="33"/>
      <c r="G396" s="47"/>
      <c r="H396" s="42"/>
      <c r="I396" s="27"/>
      <c r="J396" s="47"/>
      <c r="K396" s="42"/>
      <c r="L396" s="27"/>
      <c r="M396" s="47"/>
      <c r="N396" s="42"/>
      <c r="O396" s="27"/>
      <c r="P396" s="47"/>
      <c r="Q396" s="42"/>
      <c r="R396" s="27"/>
      <c r="S396" s="47"/>
      <c r="T396" s="42"/>
      <c r="U396" s="27"/>
      <c r="V396" s="47"/>
      <c r="W396" s="42"/>
      <c r="X396" s="27"/>
      <c r="Y396" s="47"/>
      <c r="Z396" s="42"/>
      <c r="AA396" s="27"/>
      <c r="AB396" s="47"/>
      <c r="AC396" s="42"/>
      <c r="AD396" s="27"/>
      <c r="AE396" s="33"/>
      <c r="AF396" s="47"/>
      <c r="AG396" s="48"/>
    </row>
    <row r="397" spans="2:33" s="38" customFormat="1" x14ac:dyDescent="0.25">
      <c r="B397" s="49"/>
      <c r="C397" s="70"/>
      <c r="D397" s="42"/>
      <c r="F397" s="33"/>
      <c r="G397" s="47"/>
      <c r="H397" s="42"/>
      <c r="I397" s="27"/>
      <c r="J397" s="47"/>
      <c r="K397" s="42"/>
      <c r="L397" s="27"/>
      <c r="M397" s="47"/>
      <c r="N397" s="42"/>
      <c r="O397" s="27"/>
      <c r="P397" s="47"/>
      <c r="Q397" s="42"/>
      <c r="R397" s="27"/>
      <c r="S397" s="47"/>
      <c r="T397" s="42"/>
      <c r="U397" s="27"/>
      <c r="V397" s="47"/>
      <c r="W397" s="42"/>
      <c r="X397" s="27"/>
      <c r="Y397" s="47"/>
      <c r="Z397" s="42"/>
      <c r="AA397" s="27"/>
      <c r="AB397" s="47"/>
      <c r="AC397" s="42"/>
      <c r="AD397" s="27"/>
      <c r="AE397" s="33"/>
      <c r="AF397" s="47"/>
      <c r="AG397" s="48"/>
    </row>
    <row r="398" spans="2:33" s="38" customFormat="1" x14ac:dyDescent="0.25">
      <c r="B398" s="49"/>
      <c r="C398" s="70"/>
      <c r="D398" s="42"/>
      <c r="F398" s="33"/>
      <c r="G398" s="47"/>
      <c r="H398" s="42"/>
      <c r="I398" s="27"/>
      <c r="J398" s="47"/>
      <c r="K398" s="42"/>
      <c r="L398" s="27"/>
      <c r="M398" s="47"/>
      <c r="N398" s="42"/>
      <c r="O398" s="27"/>
      <c r="P398" s="47"/>
      <c r="Q398" s="42"/>
      <c r="R398" s="27"/>
      <c r="S398" s="47"/>
      <c r="T398" s="42"/>
      <c r="U398" s="27"/>
      <c r="V398" s="47"/>
      <c r="W398" s="42"/>
      <c r="X398" s="27"/>
      <c r="Y398" s="47"/>
      <c r="Z398" s="42"/>
      <c r="AA398" s="27"/>
      <c r="AB398" s="47"/>
      <c r="AC398" s="42"/>
      <c r="AD398" s="27"/>
      <c r="AE398" s="33"/>
      <c r="AF398" s="47"/>
      <c r="AG398" s="48"/>
    </row>
    <row r="399" spans="2:33" s="38" customFormat="1" x14ac:dyDescent="0.25">
      <c r="B399" s="49"/>
      <c r="C399" s="70"/>
      <c r="D399" s="42"/>
      <c r="F399" s="33"/>
      <c r="G399" s="47"/>
      <c r="H399" s="42"/>
      <c r="I399" s="27"/>
      <c r="J399" s="47"/>
      <c r="K399" s="42"/>
      <c r="L399" s="27"/>
      <c r="M399" s="47"/>
      <c r="N399" s="42"/>
      <c r="O399" s="27"/>
      <c r="P399" s="47"/>
      <c r="Q399" s="42"/>
      <c r="R399" s="27"/>
      <c r="S399" s="47"/>
      <c r="T399" s="42"/>
      <c r="U399" s="27"/>
      <c r="V399" s="47"/>
      <c r="W399" s="42"/>
      <c r="X399" s="27"/>
      <c r="Y399" s="47"/>
      <c r="Z399" s="42"/>
      <c r="AA399" s="27"/>
      <c r="AB399" s="47"/>
      <c r="AC399" s="42"/>
      <c r="AD399" s="27"/>
      <c r="AE399" s="33"/>
      <c r="AF399" s="47"/>
      <c r="AG399" s="48"/>
    </row>
    <row r="400" spans="2:33" s="38" customFormat="1" x14ac:dyDescent="0.25">
      <c r="B400" s="49"/>
      <c r="C400" s="70"/>
      <c r="D400" s="42"/>
      <c r="F400" s="33"/>
      <c r="G400" s="47"/>
      <c r="H400" s="42"/>
      <c r="I400" s="27"/>
      <c r="J400" s="47"/>
      <c r="K400" s="42"/>
      <c r="L400" s="27"/>
      <c r="M400" s="47"/>
      <c r="N400" s="42"/>
      <c r="O400" s="27"/>
      <c r="P400" s="47"/>
      <c r="Q400" s="42"/>
      <c r="R400" s="27"/>
      <c r="S400" s="47"/>
      <c r="T400" s="42"/>
      <c r="U400" s="27"/>
      <c r="V400" s="47"/>
      <c r="W400" s="42"/>
      <c r="X400" s="27"/>
      <c r="Y400" s="47"/>
      <c r="Z400" s="42"/>
      <c r="AA400" s="27"/>
      <c r="AB400" s="47"/>
      <c r="AC400" s="42"/>
      <c r="AD400" s="27"/>
      <c r="AE400" s="33"/>
      <c r="AF400" s="47"/>
      <c r="AG400" s="48"/>
    </row>
    <row r="401" spans="2:33" s="38" customFormat="1" x14ac:dyDescent="0.25">
      <c r="B401" s="49"/>
      <c r="C401" s="70"/>
      <c r="D401" s="42"/>
      <c r="F401" s="33"/>
      <c r="G401" s="47"/>
      <c r="H401" s="42"/>
      <c r="I401" s="27"/>
      <c r="J401" s="47"/>
      <c r="K401" s="42"/>
      <c r="L401" s="27"/>
      <c r="M401" s="47"/>
      <c r="N401" s="42"/>
      <c r="O401" s="27"/>
      <c r="P401" s="47"/>
      <c r="Q401" s="42"/>
      <c r="R401" s="27"/>
      <c r="S401" s="47"/>
      <c r="T401" s="42"/>
      <c r="U401" s="27"/>
      <c r="V401" s="47"/>
      <c r="W401" s="42"/>
      <c r="X401" s="27"/>
      <c r="Y401" s="47"/>
      <c r="Z401" s="42"/>
      <c r="AA401" s="27"/>
      <c r="AB401" s="47"/>
      <c r="AC401" s="42"/>
      <c r="AD401" s="27"/>
      <c r="AE401" s="33"/>
      <c r="AF401" s="47"/>
      <c r="AG401" s="48"/>
    </row>
    <row r="402" spans="2:33" s="38" customFormat="1" x14ac:dyDescent="0.25">
      <c r="B402" s="49"/>
      <c r="C402" s="70"/>
      <c r="D402" s="42"/>
      <c r="F402" s="33"/>
      <c r="G402" s="47"/>
      <c r="H402" s="42"/>
      <c r="I402" s="27"/>
      <c r="J402" s="47"/>
      <c r="K402" s="42"/>
      <c r="L402" s="27"/>
      <c r="M402" s="47"/>
      <c r="N402" s="42"/>
      <c r="O402" s="27"/>
      <c r="P402" s="47"/>
      <c r="Q402" s="42"/>
      <c r="R402" s="27"/>
      <c r="S402" s="47"/>
      <c r="T402" s="42"/>
      <c r="U402" s="27"/>
      <c r="V402" s="47"/>
      <c r="W402" s="42"/>
      <c r="X402" s="27"/>
      <c r="Y402" s="47"/>
      <c r="Z402" s="42"/>
      <c r="AA402" s="27"/>
      <c r="AB402" s="47"/>
      <c r="AC402" s="42"/>
      <c r="AD402" s="27"/>
      <c r="AE402" s="33"/>
      <c r="AF402" s="47"/>
      <c r="AG402" s="48"/>
    </row>
    <row r="403" spans="2:33" s="38" customFormat="1" x14ac:dyDescent="0.25">
      <c r="B403" s="49"/>
      <c r="C403" s="70"/>
      <c r="D403" s="42"/>
      <c r="F403" s="33"/>
      <c r="G403" s="47"/>
      <c r="H403" s="42"/>
      <c r="I403" s="27"/>
      <c r="J403" s="47"/>
      <c r="K403" s="42"/>
      <c r="L403" s="27"/>
      <c r="M403" s="47"/>
      <c r="N403" s="42"/>
      <c r="O403" s="27"/>
      <c r="P403" s="47"/>
      <c r="Q403" s="42"/>
      <c r="R403" s="27"/>
      <c r="S403" s="47"/>
      <c r="T403" s="42"/>
      <c r="U403" s="27"/>
      <c r="V403" s="47"/>
      <c r="W403" s="42"/>
      <c r="X403" s="27"/>
      <c r="Y403" s="47"/>
      <c r="Z403" s="42"/>
      <c r="AA403" s="27"/>
      <c r="AB403" s="47"/>
      <c r="AC403" s="42"/>
      <c r="AD403" s="27"/>
      <c r="AE403" s="33"/>
      <c r="AF403" s="47"/>
      <c r="AG403" s="48"/>
    </row>
    <row r="404" spans="2:33" s="38" customFormat="1" x14ac:dyDescent="0.25">
      <c r="B404" s="49"/>
      <c r="C404" s="70"/>
      <c r="D404" s="42"/>
      <c r="F404" s="33"/>
      <c r="G404" s="47"/>
      <c r="H404" s="42"/>
      <c r="I404" s="27"/>
      <c r="J404" s="47"/>
      <c r="K404" s="42"/>
      <c r="L404" s="27"/>
      <c r="M404" s="47"/>
      <c r="N404" s="42"/>
      <c r="O404" s="27"/>
      <c r="P404" s="47"/>
      <c r="Q404" s="42"/>
      <c r="R404" s="27"/>
      <c r="S404" s="47"/>
      <c r="T404" s="42"/>
      <c r="U404" s="27"/>
      <c r="V404" s="47"/>
      <c r="W404" s="42"/>
      <c r="X404" s="27"/>
      <c r="Y404" s="47"/>
      <c r="Z404" s="42"/>
      <c r="AA404" s="27"/>
      <c r="AB404" s="47"/>
      <c r="AC404" s="42"/>
      <c r="AD404" s="27"/>
      <c r="AE404" s="33"/>
      <c r="AF404" s="47"/>
      <c r="AG404" s="48"/>
    </row>
    <row r="405" spans="2:33" s="38" customFormat="1" x14ac:dyDescent="0.25">
      <c r="B405" s="49"/>
      <c r="C405" s="70"/>
      <c r="D405" s="42"/>
      <c r="F405" s="33"/>
      <c r="G405" s="47"/>
      <c r="H405" s="42"/>
      <c r="I405" s="27"/>
      <c r="J405" s="47"/>
      <c r="K405" s="42"/>
      <c r="L405" s="27"/>
      <c r="M405" s="47"/>
      <c r="N405" s="42"/>
      <c r="O405" s="27"/>
      <c r="P405" s="47"/>
      <c r="Q405" s="42"/>
      <c r="R405" s="27"/>
      <c r="S405" s="47"/>
      <c r="T405" s="42"/>
      <c r="U405" s="27"/>
      <c r="V405" s="47"/>
      <c r="W405" s="42"/>
      <c r="X405" s="27"/>
      <c r="Y405" s="47"/>
      <c r="Z405" s="42"/>
      <c r="AA405" s="27"/>
      <c r="AB405" s="47"/>
      <c r="AC405" s="42"/>
      <c r="AD405" s="27"/>
      <c r="AE405" s="33"/>
      <c r="AF405" s="47"/>
      <c r="AG405" s="48"/>
    </row>
    <row r="406" spans="2:33" s="38" customFormat="1" x14ac:dyDescent="0.25">
      <c r="B406" s="49"/>
      <c r="C406" s="70"/>
      <c r="D406" s="42"/>
      <c r="F406" s="33"/>
      <c r="G406" s="47"/>
      <c r="H406" s="42"/>
      <c r="I406" s="27"/>
      <c r="J406" s="47"/>
      <c r="K406" s="42"/>
      <c r="L406" s="27"/>
      <c r="M406" s="47"/>
      <c r="N406" s="42"/>
      <c r="O406" s="27"/>
      <c r="P406" s="47"/>
      <c r="Q406" s="42"/>
      <c r="R406" s="27"/>
      <c r="S406" s="47"/>
      <c r="T406" s="42"/>
      <c r="U406" s="27"/>
      <c r="V406" s="47"/>
      <c r="W406" s="42"/>
      <c r="X406" s="27"/>
      <c r="Y406" s="47"/>
      <c r="Z406" s="42"/>
      <c r="AA406" s="27"/>
      <c r="AB406" s="47"/>
      <c r="AC406" s="42"/>
      <c r="AD406" s="27"/>
      <c r="AE406" s="33"/>
      <c r="AF406" s="47"/>
      <c r="AG406" s="48"/>
    </row>
    <row r="407" spans="2:33" s="38" customFormat="1" x14ac:dyDescent="0.25">
      <c r="B407" s="49"/>
      <c r="C407" s="70"/>
      <c r="D407" s="42"/>
      <c r="F407" s="33"/>
      <c r="G407" s="47"/>
      <c r="H407" s="42"/>
      <c r="I407" s="27"/>
      <c r="J407" s="47"/>
      <c r="K407" s="42"/>
      <c r="L407" s="27"/>
      <c r="M407" s="47"/>
      <c r="N407" s="42"/>
      <c r="O407" s="27"/>
      <c r="P407" s="47"/>
      <c r="Q407" s="42"/>
      <c r="R407" s="27"/>
      <c r="S407" s="47"/>
      <c r="T407" s="42"/>
      <c r="U407" s="27"/>
      <c r="V407" s="47"/>
      <c r="W407" s="42"/>
      <c r="X407" s="27"/>
      <c r="Y407" s="47"/>
      <c r="Z407" s="42"/>
      <c r="AA407" s="27"/>
      <c r="AB407" s="47"/>
      <c r="AC407" s="42"/>
      <c r="AD407" s="27"/>
      <c r="AE407" s="33"/>
      <c r="AF407" s="47"/>
      <c r="AG407" s="48"/>
    </row>
    <row r="408" spans="2:33" s="38" customFormat="1" x14ac:dyDescent="0.25">
      <c r="B408" s="49"/>
      <c r="C408" s="70"/>
      <c r="D408" s="42"/>
      <c r="F408" s="33"/>
      <c r="G408" s="47"/>
      <c r="H408" s="42"/>
      <c r="I408" s="27"/>
      <c r="J408" s="47"/>
      <c r="K408" s="42"/>
      <c r="L408" s="27"/>
      <c r="M408" s="47"/>
      <c r="N408" s="42"/>
      <c r="O408" s="27"/>
      <c r="P408" s="47"/>
      <c r="Q408" s="42"/>
      <c r="R408" s="27"/>
      <c r="S408" s="47"/>
      <c r="T408" s="42"/>
      <c r="U408" s="27"/>
      <c r="V408" s="47"/>
      <c r="W408" s="42"/>
      <c r="X408" s="27"/>
      <c r="Y408" s="47"/>
      <c r="Z408" s="42"/>
      <c r="AA408" s="27"/>
      <c r="AB408" s="47"/>
      <c r="AC408" s="42"/>
      <c r="AD408" s="27"/>
      <c r="AE408" s="33"/>
      <c r="AF408" s="47"/>
      <c r="AG408" s="48"/>
    </row>
    <row r="409" spans="2:33" s="38" customFormat="1" x14ac:dyDescent="0.25">
      <c r="B409" s="49"/>
      <c r="C409" s="70"/>
      <c r="D409" s="42"/>
      <c r="F409" s="33"/>
      <c r="G409" s="47"/>
      <c r="H409" s="42"/>
      <c r="I409" s="27"/>
      <c r="J409" s="47"/>
      <c r="K409" s="42"/>
      <c r="L409" s="27"/>
      <c r="M409" s="47"/>
      <c r="N409" s="42"/>
      <c r="O409" s="27"/>
      <c r="P409" s="47"/>
      <c r="Q409" s="42"/>
      <c r="R409" s="27"/>
      <c r="S409" s="47"/>
      <c r="T409" s="42"/>
      <c r="U409" s="27"/>
      <c r="V409" s="47"/>
      <c r="W409" s="42"/>
      <c r="X409" s="27"/>
      <c r="Y409" s="47"/>
      <c r="Z409" s="42"/>
      <c r="AA409" s="27"/>
      <c r="AB409" s="47"/>
      <c r="AC409" s="42"/>
      <c r="AD409" s="27"/>
      <c r="AE409" s="33"/>
      <c r="AF409" s="47"/>
      <c r="AG409" s="48"/>
    </row>
    <row r="410" spans="2:33" s="38" customFormat="1" x14ac:dyDescent="0.25">
      <c r="B410" s="49"/>
      <c r="C410" s="70"/>
      <c r="D410" s="42"/>
      <c r="F410" s="33"/>
      <c r="G410" s="47"/>
      <c r="H410" s="42"/>
      <c r="I410" s="27"/>
      <c r="J410" s="47"/>
      <c r="K410" s="42"/>
      <c r="L410" s="27"/>
      <c r="M410" s="47"/>
      <c r="N410" s="42"/>
      <c r="O410" s="27"/>
      <c r="P410" s="47"/>
      <c r="Q410" s="42"/>
      <c r="R410" s="27"/>
      <c r="S410" s="47"/>
      <c r="T410" s="42"/>
      <c r="U410" s="27"/>
      <c r="V410" s="47"/>
      <c r="W410" s="42"/>
      <c r="X410" s="27"/>
      <c r="Y410" s="47"/>
      <c r="Z410" s="42"/>
      <c r="AA410" s="27"/>
      <c r="AB410" s="47"/>
      <c r="AC410" s="42"/>
      <c r="AD410" s="27"/>
      <c r="AE410" s="33"/>
      <c r="AF410" s="47"/>
      <c r="AG410" s="48"/>
    </row>
    <row r="411" spans="2:33" s="38" customFormat="1" x14ac:dyDescent="0.25">
      <c r="B411" s="49"/>
      <c r="C411" s="70"/>
      <c r="D411" s="42"/>
      <c r="F411" s="33"/>
      <c r="G411" s="47"/>
      <c r="H411" s="42"/>
      <c r="I411" s="27"/>
      <c r="J411" s="47"/>
      <c r="K411" s="42"/>
      <c r="L411" s="27"/>
      <c r="M411" s="47"/>
      <c r="N411" s="42"/>
      <c r="O411" s="27"/>
      <c r="P411" s="47"/>
      <c r="Q411" s="42"/>
      <c r="R411" s="27"/>
      <c r="S411" s="47"/>
      <c r="T411" s="42"/>
      <c r="U411" s="27"/>
      <c r="V411" s="47"/>
      <c r="W411" s="42"/>
      <c r="X411" s="27"/>
      <c r="Y411" s="47"/>
      <c r="Z411" s="42"/>
      <c r="AA411" s="27"/>
      <c r="AB411" s="47"/>
      <c r="AC411" s="42"/>
      <c r="AD411" s="27"/>
      <c r="AE411" s="33"/>
      <c r="AF411" s="47"/>
      <c r="AG411" s="48"/>
    </row>
    <row r="412" spans="2:33" s="38" customFormat="1" x14ac:dyDescent="0.25">
      <c r="B412" s="49"/>
      <c r="C412" s="70"/>
      <c r="D412" s="42"/>
      <c r="F412" s="33"/>
      <c r="G412" s="47"/>
      <c r="H412" s="42"/>
      <c r="I412" s="27"/>
      <c r="J412" s="47"/>
      <c r="K412" s="42"/>
      <c r="L412" s="27"/>
      <c r="M412" s="47"/>
      <c r="N412" s="42"/>
      <c r="O412" s="27"/>
      <c r="P412" s="47"/>
      <c r="Q412" s="42"/>
      <c r="R412" s="27"/>
      <c r="S412" s="47"/>
      <c r="T412" s="42"/>
      <c r="U412" s="27"/>
      <c r="V412" s="47"/>
      <c r="W412" s="42"/>
      <c r="X412" s="27"/>
      <c r="Y412" s="47"/>
      <c r="Z412" s="42"/>
      <c r="AA412" s="27"/>
      <c r="AB412" s="47"/>
      <c r="AC412" s="42"/>
      <c r="AD412" s="27"/>
      <c r="AE412" s="33"/>
      <c r="AF412" s="47"/>
      <c r="AG412" s="48"/>
    </row>
    <row r="413" spans="2:33" s="38" customFormat="1" x14ac:dyDescent="0.25">
      <c r="B413" s="49"/>
      <c r="C413" s="70"/>
      <c r="D413" s="42"/>
      <c r="F413" s="33"/>
      <c r="G413" s="47"/>
      <c r="H413" s="42"/>
      <c r="I413" s="27"/>
      <c r="J413" s="47"/>
      <c r="K413" s="42"/>
      <c r="L413" s="27"/>
      <c r="M413" s="47"/>
      <c r="N413" s="42"/>
      <c r="O413" s="27"/>
      <c r="P413" s="47"/>
      <c r="Q413" s="42"/>
      <c r="R413" s="27"/>
      <c r="S413" s="47"/>
      <c r="T413" s="42"/>
      <c r="U413" s="27"/>
      <c r="V413" s="47"/>
      <c r="W413" s="42"/>
      <c r="X413" s="27"/>
      <c r="Y413" s="47"/>
      <c r="Z413" s="42"/>
      <c r="AA413" s="27"/>
      <c r="AB413" s="47"/>
      <c r="AC413" s="42"/>
      <c r="AD413" s="27"/>
      <c r="AE413" s="33"/>
      <c r="AF413" s="47"/>
      <c r="AG413" s="48"/>
    </row>
    <row r="414" spans="2:33" s="38" customFormat="1" x14ac:dyDescent="0.25">
      <c r="B414" s="49"/>
      <c r="C414" s="70"/>
      <c r="D414" s="42"/>
      <c r="F414" s="33"/>
      <c r="G414" s="47"/>
      <c r="H414" s="42"/>
      <c r="I414" s="27"/>
      <c r="J414" s="47"/>
      <c r="K414" s="42"/>
      <c r="L414" s="27"/>
      <c r="M414" s="47"/>
      <c r="N414" s="42"/>
      <c r="O414" s="27"/>
      <c r="P414" s="47"/>
      <c r="Q414" s="42"/>
      <c r="R414" s="27"/>
      <c r="S414" s="47"/>
      <c r="T414" s="42"/>
      <c r="U414" s="27"/>
      <c r="V414" s="47"/>
      <c r="W414" s="42"/>
      <c r="X414" s="27"/>
      <c r="Y414" s="47"/>
      <c r="Z414" s="42"/>
      <c r="AA414" s="27"/>
      <c r="AB414" s="47"/>
      <c r="AC414" s="42"/>
      <c r="AD414" s="27"/>
      <c r="AE414" s="33"/>
      <c r="AF414" s="47"/>
      <c r="AG414" s="48"/>
    </row>
    <row r="415" spans="2:33" s="38" customFormat="1" x14ac:dyDescent="0.25">
      <c r="B415" s="49"/>
      <c r="C415" s="70"/>
      <c r="D415" s="42"/>
      <c r="F415" s="33"/>
      <c r="G415" s="47"/>
      <c r="H415" s="42"/>
      <c r="I415" s="27"/>
      <c r="J415" s="47"/>
      <c r="K415" s="42"/>
      <c r="L415" s="27"/>
      <c r="M415" s="47"/>
      <c r="N415" s="42"/>
      <c r="O415" s="27"/>
      <c r="P415" s="47"/>
      <c r="Q415" s="42"/>
      <c r="R415" s="27"/>
      <c r="S415" s="47"/>
      <c r="T415" s="42"/>
      <c r="U415" s="27"/>
      <c r="V415" s="47"/>
      <c r="W415" s="42"/>
      <c r="X415" s="27"/>
      <c r="Y415" s="47"/>
      <c r="Z415" s="42"/>
      <c r="AA415" s="27"/>
      <c r="AB415" s="47"/>
      <c r="AC415" s="42"/>
      <c r="AD415" s="27"/>
      <c r="AE415" s="33"/>
      <c r="AF415" s="47"/>
      <c r="AG415" s="48"/>
    </row>
    <row r="416" spans="2:33" s="38" customFormat="1" x14ac:dyDescent="0.25">
      <c r="B416" s="49"/>
      <c r="C416" s="70"/>
      <c r="D416" s="42"/>
      <c r="F416" s="33"/>
      <c r="G416" s="47"/>
      <c r="H416" s="42"/>
      <c r="I416" s="27"/>
      <c r="J416" s="47"/>
      <c r="K416" s="42"/>
      <c r="L416" s="27"/>
      <c r="M416" s="47"/>
      <c r="N416" s="42"/>
      <c r="O416" s="27"/>
      <c r="P416" s="47"/>
      <c r="Q416" s="42"/>
      <c r="R416" s="27"/>
      <c r="S416" s="47"/>
      <c r="T416" s="42"/>
      <c r="U416" s="27"/>
      <c r="V416" s="47"/>
      <c r="W416" s="42"/>
      <c r="X416" s="27"/>
      <c r="Y416" s="47"/>
      <c r="Z416" s="42"/>
      <c r="AA416" s="27"/>
      <c r="AB416" s="47"/>
      <c r="AC416" s="42"/>
      <c r="AD416" s="27"/>
      <c r="AE416" s="33"/>
      <c r="AF416" s="47"/>
      <c r="AG416" s="48"/>
    </row>
    <row r="417" spans="2:33" s="38" customFormat="1" x14ac:dyDescent="0.25">
      <c r="B417" s="49"/>
      <c r="C417" s="70"/>
      <c r="D417" s="42"/>
      <c r="F417" s="33"/>
      <c r="G417" s="47"/>
      <c r="H417" s="42"/>
      <c r="I417" s="27"/>
      <c r="J417" s="47"/>
      <c r="K417" s="42"/>
      <c r="L417" s="27"/>
      <c r="M417" s="47"/>
      <c r="N417" s="42"/>
      <c r="O417" s="27"/>
      <c r="P417" s="47"/>
      <c r="Q417" s="42"/>
      <c r="R417" s="27"/>
      <c r="S417" s="47"/>
      <c r="T417" s="42"/>
      <c r="U417" s="27"/>
      <c r="V417" s="47"/>
      <c r="W417" s="42"/>
      <c r="X417" s="27"/>
      <c r="Y417" s="47"/>
      <c r="Z417" s="42"/>
      <c r="AA417" s="27"/>
      <c r="AB417" s="47"/>
      <c r="AC417" s="42"/>
      <c r="AD417" s="27"/>
      <c r="AE417" s="33"/>
      <c r="AF417" s="47"/>
      <c r="AG417" s="48"/>
    </row>
    <row r="418" spans="2:33" s="38" customFormat="1" x14ac:dyDescent="0.25">
      <c r="B418" s="49"/>
      <c r="C418" s="70"/>
      <c r="D418" s="42"/>
      <c r="F418" s="33"/>
      <c r="G418" s="47"/>
      <c r="H418" s="42"/>
      <c r="I418" s="27"/>
      <c r="J418" s="47"/>
      <c r="K418" s="42"/>
      <c r="L418" s="27"/>
      <c r="M418" s="47"/>
      <c r="N418" s="42"/>
      <c r="O418" s="27"/>
      <c r="P418" s="47"/>
      <c r="Q418" s="42"/>
      <c r="R418" s="27"/>
      <c r="S418" s="47"/>
      <c r="T418" s="42"/>
      <c r="U418" s="27"/>
      <c r="V418" s="47"/>
      <c r="W418" s="42"/>
      <c r="X418" s="27"/>
      <c r="Y418" s="47"/>
      <c r="Z418" s="42"/>
      <c r="AA418" s="27"/>
      <c r="AB418" s="47"/>
      <c r="AC418" s="42"/>
      <c r="AD418" s="27"/>
      <c r="AE418" s="33"/>
      <c r="AF418" s="47"/>
      <c r="AG418" s="48"/>
    </row>
    <row r="419" spans="2:33" s="38" customFormat="1" x14ac:dyDescent="0.25">
      <c r="B419" s="49"/>
      <c r="C419" s="70"/>
      <c r="D419" s="42"/>
      <c r="F419" s="33"/>
      <c r="G419" s="47"/>
      <c r="H419" s="42"/>
      <c r="I419" s="27"/>
      <c r="J419" s="47"/>
      <c r="K419" s="42"/>
      <c r="L419" s="27"/>
      <c r="M419" s="47"/>
      <c r="N419" s="42"/>
      <c r="O419" s="27"/>
      <c r="P419" s="47"/>
      <c r="Q419" s="42"/>
      <c r="R419" s="27"/>
      <c r="S419" s="47"/>
      <c r="T419" s="42"/>
      <c r="U419" s="27"/>
      <c r="V419" s="47"/>
      <c r="W419" s="42"/>
      <c r="X419" s="27"/>
      <c r="Y419" s="47"/>
      <c r="Z419" s="42"/>
      <c r="AA419" s="27"/>
      <c r="AB419" s="47"/>
      <c r="AC419" s="42"/>
      <c r="AD419" s="27"/>
      <c r="AE419" s="33"/>
      <c r="AF419" s="47"/>
      <c r="AG419" s="48"/>
    </row>
    <row r="420" spans="2:33" s="38" customFormat="1" x14ac:dyDescent="0.25">
      <c r="B420" s="49"/>
      <c r="C420" s="70"/>
      <c r="D420" s="42"/>
      <c r="F420" s="33"/>
      <c r="G420" s="47"/>
      <c r="H420" s="42"/>
      <c r="I420" s="27"/>
      <c r="J420" s="47"/>
      <c r="K420" s="42"/>
      <c r="L420" s="27"/>
      <c r="M420" s="47"/>
      <c r="N420" s="42"/>
      <c r="O420" s="27"/>
      <c r="P420" s="47"/>
      <c r="Q420" s="42"/>
      <c r="R420" s="27"/>
      <c r="S420" s="47"/>
      <c r="T420" s="42"/>
      <c r="U420" s="27"/>
      <c r="V420" s="47"/>
      <c r="W420" s="42"/>
      <c r="X420" s="27"/>
      <c r="Y420" s="47"/>
      <c r="Z420" s="42"/>
      <c r="AA420" s="27"/>
      <c r="AB420" s="47"/>
      <c r="AC420" s="42"/>
      <c r="AD420" s="27"/>
      <c r="AE420" s="33"/>
      <c r="AF420" s="47"/>
      <c r="AG420" s="48"/>
    </row>
    <row r="421" spans="2:33" s="38" customFormat="1" x14ac:dyDescent="0.25">
      <c r="B421" s="49"/>
      <c r="C421" s="70"/>
      <c r="D421" s="42"/>
      <c r="F421" s="33"/>
      <c r="G421" s="47"/>
      <c r="H421" s="42"/>
      <c r="I421" s="27"/>
      <c r="J421" s="47"/>
      <c r="K421" s="42"/>
      <c r="L421" s="27"/>
      <c r="M421" s="47"/>
      <c r="N421" s="42"/>
      <c r="O421" s="27"/>
      <c r="P421" s="47"/>
      <c r="Q421" s="42"/>
      <c r="R421" s="27"/>
      <c r="S421" s="47"/>
      <c r="T421" s="42"/>
      <c r="U421" s="27"/>
      <c r="V421" s="47"/>
      <c r="W421" s="42"/>
      <c r="X421" s="27"/>
      <c r="Y421" s="47"/>
      <c r="Z421" s="42"/>
      <c r="AA421" s="27"/>
      <c r="AB421" s="47"/>
      <c r="AC421" s="42"/>
      <c r="AD421" s="27"/>
      <c r="AE421" s="33"/>
      <c r="AF421" s="47"/>
      <c r="AG421" s="48"/>
    </row>
    <row r="422" spans="2:33" s="38" customFormat="1" x14ac:dyDescent="0.25">
      <c r="B422" s="49"/>
      <c r="C422" s="70"/>
      <c r="D422" s="42"/>
      <c r="F422" s="33"/>
      <c r="G422" s="47"/>
      <c r="H422" s="42"/>
      <c r="I422" s="27"/>
      <c r="J422" s="47"/>
      <c r="K422" s="42"/>
      <c r="L422" s="27"/>
      <c r="M422" s="47"/>
      <c r="N422" s="42"/>
      <c r="O422" s="27"/>
      <c r="P422" s="47"/>
      <c r="Q422" s="42"/>
      <c r="R422" s="27"/>
      <c r="S422" s="47"/>
      <c r="T422" s="42"/>
      <c r="U422" s="27"/>
      <c r="V422" s="47"/>
      <c r="W422" s="42"/>
      <c r="X422" s="27"/>
      <c r="Y422" s="47"/>
      <c r="Z422" s="42"/>
      <c r="AA422" s="27"/>
      <c r="AB422" s="47"/>
      <c r="AC422" s="42"/>
      <c r="AD422" s="27"/>
      <c r="AE422" s="33"/>
      <c r="AF422" s="47"/>
      <c r="AG422" s="48"/>
    </row>
    <row r="423" spans="2:33" s="38" customFormat="1" x14ac:dyDescent="0.25">
      <c r="B423" s="49"/>
      <c r="C423" s="70"/>
      <c r="D423" s="42"/>
      <c r="F423" s="33"/>
      <c r="G423" s="47"/>
      <c r="H423" s="42"/>
      <c r="I423" s="27"/>
      <c r="J423" s="47"/>
      <c r="K423" s="42"/>
      <c r="L423" s="27"/>
      <c r="M423" s="47"/>
      <c r="N423" s="42"/>
      <c r="O423" s="27"/>
      <c r="P423" s="47"/>
      <c r="Q423" s="42"/>
      <c r="R423" s="27"/>
      <c r="S423" s="47"/>
      <c r="T423" s="42"/>
      <c r="U423" s="27"/>
      <c r="V423" s="47"/>
      <c r="W423" s="42"/>
      <c r="X423" s="27"/>
      <c r="Y423" s="47"/>
      <c r="Z423" s="42"/>
      <c r="AA423" s="27"/>
      <c r="AB423" s="47"/>
      <c r="AC423" s="42"/>
      <c r="AD423" s="27"/>
      <c r="AE423" s="33"/>
      <c r="AF423" s="47"/>
      <c r="AG423" s="48"/>
    </row>
    <row r="424" spans="2:33" s="38" customFormat="1" x14ac:dyDescent="0.25">
      <c r="B424" s="49"/>
      <c r="C424" s="70"/>
      <c r="D424" s="42"/>
      <c r="F424" s="33"/>
      <c r="G424" s="47"/>
      <c r="H424" s="42"/>
      <c r="I424" s="27"/>
      <c r="J424" s="47"/>
      <c r="K424" s="42"/>
      <c r="L424" s="27"/>
      <c r="M424" s="47"/>
      <c r="N424" s="42"/>
      <c r="O424" s="27"/>
      <c r="P424" s="47"/>
      <c r="Q424" s="42"/>
      <c r="R424" s="27"/>
      <c r="S424" s="47"/>
      <c r="T424" s="42"/>
      <c r="U424" s="27"/>
      <c r="V424" s="47"/>
      <c r="W424" s="42"/>
      <c r="X424" s="27"/>
      <c r="Y424" s="47"/>
      <c r="Z424" s="42"/>
      <c r="AA424" s="27"/>
      <c r="AB424" s="47"/>
      <c r="AC424" s="42"/>
      <c r="AD424" s="27"/>
      <c r="AE424" s="33"/>
      <c r="AF424" s="47"/>
      <c r="AG424" s="48"/>
    </row>
    <row r="425" spans="2:33" s="38" customFormat="1" x14ac:dyDescent="0.25">
      <c r="B425" s="49"/>
      <c r="C425" s="70"/>
      <c r="D425" s="42"/>
      <c r="F425" s="33"/>
      <c r="G425" s="47"/>
      <c r="H425" s="42"/>
      <c r="I425" s="27"/>
      <c r="J425" s="47"/>
      <c r="K425" s="42"/>
      <c r="L425" s="27"/>
      <c r="M425" s="47"/>
      <c r="N425" s="42"/>
      <c r="O425" s="27"/>
      <c r="P425" s="47"/>
      <c r="Q425" s="42"/>
      <c r="R425" s="27"/>
      <c r="S425" s="47"/>
      <c r="T425" s="42"/>
      <c r="U425" s="27"/>
      <c r="V425" s="47"/>
      <c r="W425" s="42"/>
      <c r="X425" s="27"/>
      <c r="Y425" s="47"/>
      <c r="Z425" s="42"/>
      <c r="AA425" s="27"/>
      <c r="AB425" s="47"/>
      <c r="AC425" s="42"/>
      <c r="AD425" s="27"/>
      <c r="AE425" s="33"/>
      <c r="AF425" s="47"/>
      <c r="AG425" s="48"/>
    </row>
    <row r="426" spans="2:33" s="38" customFormat="1" x14ac:dyDescent="0.25">
      <c r="B426" s="49"/>
      <c r="C426" s="70"/>
      <c r="D426" s="42"/>
      <c r="F426" s="33"/>
      <c r="G426" s="47"/>
      <c r="H426" s="42"/>
      <c r="I426" s="27"/>
      <c r="J426" s="47"/>
      <c r="K426" s="42"/>
      <c r="L426" s="27"/>
      <c r="M426" s="47"/>
      <c r="N426" s="42"/>
      <c r="O426" s="27"/>
      <c r="P426" s="47"/>
      <c r="Q426" s="42"/>
      <c r="R426" s="27"/>
      <c r="S426" s="47"/>
      <c r="T426" s="42"/>
      <c r="U426" s="27"/>
      <c r="V426" s="47"/>
      <c r="W426" s="42"/>
      <c r="X426" s="27"/>
      <c r="Y426" s="47"/>
      <c r="Z426" s="42"/>
      <c r="AA426" s="27"/>
      <c r="AB426" s="47"/>
      <c r="AC426" s="42"/>
      <c r="AD426" s="27"/>
      <c r="AE426" s="33"/>
      <c r="AF426" s="47"/>
      <c r="AG426" s="48"/>
    </row>
    <row r="427" spans="2:33" s="38" customFormat="1" x14ac:dyDescent="0.25">
      <c r="B427" s="49"/>
      <c r="C427" s="70"/>
      <c r="D427" s="42"/>
      <c r="F427" s="33"/>
      <c r="G427" s="47"/>
      <c r="H427" s="42"/>
      <c r="I427" s="27"/>
      <c r="J427" s="47"/>
      <c r="K427" s="42"/>
      <c r="L427" s="27"/>
      <c r="M427" s="47"/>
      <c r="N427" s="42"/>
      <c r="O427" s="27"/>
      <c r="P427" s="47"/>
      <c r="Q427" s="42"/>
      <c r="R427" s="27"/>
      <c r="S427" s="47"/>
      <c r="T427" s="42"/>
      <c r="U427" s="27"/>
      <c r="V427" s="47"/>
      <c r="W427" s="42"/>
      <c r="X427" s="27"/>
      <c r="Y427" s="47"/>
      <c r="Z427" s="42"/>
      <c r="AA427" s="27"/>
      <c r="AB427" s="47"/>
      <c r="AC427" s="42"/>
      <c r="AD427" s="27"/>
      <c r="AE427" s="33"/>
      <c r="AF427" s="47"/>
      <c r="AG427" s="48"/>
    </row>
    <row r="428" spans="2:33" s="38" customFormat="1" x14ac:dyDescent="0.25">
      <c r="B428" s="49"/>
      <c r="C428" s="70"/>
      <c r="D428" s="42"/>
      <c r="F428" s="33"/>
      <c r="G428" s="47"/>
      <c r="H428" s="42"/>
      <c r="I428" s="27"/>
      <c r="J428" s="47"/>
      <c r="K428" s="42"/>
      <c r="L428" s="27"/>
      <c r="M428" s="47"/>
      <c r="N428" s="42"/>
      <c r="O428" s="27"/>
      <c r="P428" s="47"/>
      <c r="Q428" s="42"/>
      <c r="R428" s="27"/>
      <c r="S428" s="47"/>
      <c r="T428" s="42"/>
      <c r="U428" s="27"/>
      <c r="V428" s="47"/>
      <c r="W428" s="42"/>
      <c r="X428" s="27"/>
      <c r="Y428" s="47"/>
      <c r="Z428" s="42"/>
      <c r="AA428" s="27"/>
      <c r="AB428" s="47"/>
      <c r="AC428" s="42"/>
      <c r="AD428" s="27"/>
      <c r="AE428" s="33"/>
      <c r="AF428" s="47"/>
      <c r="AG428" s="48"/>
    </row>
    <row r="429" spans="2:33" s="38" customFormat="1" x14ac:dyDescent="0.25">
      <c r="B429" s="49"/>
      <c r="C429" s="70"/>
      <c r="D429" s="42"/>
      <c r="F429" s="33"/>
      <c r="G429" s="47"/>
      <c r="H429" s="42"/>
      <c r="I429" s="27"/>
      <c r="J429" s="47"/>
      <c r="K429" s="42"/>
      <c r="L429" s="27"/>
      <c r="M429" s="47"/>
      <c r="N429" s="42"/>
      <c r="O429" s="27"/>
      <c r="P429" s="47"/>
      <c r="Q429" s="42"/>
      <c r="R429" s="27"/>
      <c r="S429" s="47"/>
      <c r="T429" s="42"/>
      <c r="U429" s="27"/>
      <c r="V429" s="47"/>
      <c r="W429" s="42"/>
      <c r="X429" s="27"/>
      <c r="Y429" s="47"/>
      <c r="Z429" s="42"/>
      <c r="AA429" s="27"/>
      <c r="AB429" s="47"/>
      <c r="AC429" s="42"/>
      <c r="AD429" s="27"/>
      <c r="AE429" s="33"/>
      <c r="AF429" s="47"/>
      <c r="AG429" s="48"/>
    </row>
    <row r="430" spans="2:33" s="38" customFormat="1" x14ac:dyDescent="0.25">
      <c r="B430" s="49"/>
      <c r="C430" s="70"/>
      <c r="D430" s="42"/>
      <c r="F430" s="33"/>
      <c r="G430" s="47"/>
      <c r="H430" s="42"/>
      <c r="I430" s="27"/>
      <c r="J430" s="47"/>
      <c r="K430" s="42"/>
      <c r="L430" s="27"/>
      <c r="M430" s="47"/>
      <c r="N430" s="42"/>
      <c r="O430" s="27"/>
      <c r="P430" s="47"/>
      <c r="Q430" s="42"/>
      <c r="R430" s="27"/>
      <c r="S430" s="47"/>
      <c r="T430" s="42"/>
      <c r="U430" s="27"/>
      <c r="V430" s="47"/>
      <c r="W430" s="42"/>
      <c r="X430" s="27"/>
      <c r="Y430" s="47"/>
      <c r="Z430" s="42"/>
      <c r="AA430" s="27"/>
      <c r="AB430" s="47"/>
      <c r="AC430" s="42"/>
      <c r="AD430" s="27"/>
      <c r="AE430" s="33"/>
      <c r="AF430" s="47"/>
      <c r="AG430" s="48"/>
    </row>
    <row r="431" spans="2:33" s="38" customFormat="1" x14ac:dyDescent="0.25">
      <c r="B431" s="49"/>
      <c r="C431" s="70"/>
      <c r="D431" s="42"/>
      <c r="F431" s="33"/>
      <c r="G431" s="47"/>
      <c r="H431" s="42"/>
      <c r="I431" s="27"/>
      <c r="J431" s="47"/>
      <c r="K431" s="42"/>
      <c r="L431" s="27"/>
      <c r="M431" s="47"/>
      <c r="N431" s="42"/>
      <c r="O431" s="27"/>
      <c r="P431" s="47"/>
      <c r="Q431" s="42"/>
      <c r="R431" s="27"/>
      <c r="S431" s="47"/>
      <c r="T431" s="42"/>
      <c r="U431" s="27"/>
      <c r="V431" s="47"/>
      <c r="W431" s="42"/>
      <c r="X431" s="27"/>
      <c r="Y431" s="47"/>
      <c r="Z431" s="42"/>
      <c r="AA431" s="27"/>
      <c r="AB431" s="47"/>
      <c r="AC431" s="42"/>
      <c r="AD431" s="27"/>
      <c r="AE431" s="33"/>
      <c r="AF431" s="47"/>
      <c r="AG431" s="48"/>
    </row>
    <row r="432" spans="2:33" s="38" customFormat="1" x14ac:dyDescent="0.25">
      <c r="B432" s="49"/>
      <c r="C432" s="70"/>
      <c r="D432" s="42"/>
      <c r="F432" s="33"/>
      <c r="G432" s="47"/>
      <c r="H432" s="42"/>
      <c r="I432" s="27"/>
      <c r="J432" s="47"/>
      <c r="K432" s="42"/>
      <c r="L432" s="27"/>
      <c r="M432" s="47"/>
      <c r="N432" s="42"/>
      <c r="O432" s="27"/>
      <c r="P432" s="47"/>
      <c r="Q432" s="42"/>
      <c r="R432" s="27"/>
      <c r="S432" s="47"/>
      <c r="T432" s="42"/>
      <c r="U432" s="27"/>
      <c r="V432" s="47"/>
      <c r="W432" s="42"/>
      <c r="X432" s="27"/>
      <c r="Y432" s="47"/>
      <c r="Z432" s="42"/>
      <c r="AA432" s="27"/>
      <c r="AB432" s="47"/>
      <c r="AC432" s="42"/>
      <c r="AD432" s="27"/>
      <c r="AE432" s="33"/>
      <c r="AF432" s="47"/>
      <c r="AG432" s="48"/>
    </row>
    <row r="433" spans="2:33" s="38" customFormat="1" x14ac:dyDescent="0.25">
      <c r="B433" s="49"/>
      <c r="C433" s="70"/>
      <c r="D433" s="42"/>
      <c r="F433" s="33"/>
      <c r="G433" s="47"/>
      <c r="H433" s="42"/>
      <c r="I433" s="27"/>
      <c r="J433" s="47"/>
      <c r="K433" s="42"/>
      <c r="L433" s="27"/>
      <c r="M433" s="47"/>
      <c r="N433" s="42"/>
      <c r="O433" s="27"/>
      <c r="P433" s="47"/>
      <c r="Q433" s="42"/>
      <c r="R433" s="27"/>
      <c r="S433" s="47"/>
      <c r="T433" s="42"/>
      <c r="U433" s="27"/>
      <c r="V433" s="47"/>
      <c r="W433" s="42"/>
      <c r="X433" s="27"/>
      <c r="Y433" s="47"/>
      <c r="Z433" s="42"/>
      <c r="AA433" s="27"/>
      <c r="AB433" s="47"/>
      <c r="AC433" s="42"/>
      <c r="AD433" s="27"/>
      <c r="AE433" s="33"/>
      <c r="AF433" s="47"/>
      <c r="AG433" s="48"/>
    </row>
    <row r="434" spans="2:33" s="38" customFormat="1" x14ac:dyDescent="0.25">
      <c r="B434" s="49"/>
      <c r="C434" s="70"/>
      <c r="D434" s="42"/>
      <c r="F434" s="33"/>
      <c r="G434" s="47"/>
      <c r="H434" s="42"/>
      <c r="I434" s="27"/>
      <c r="J434" s="47"/>
      <c r="K434" s="42"/>
      <c r="L434" s="27"/>
      <c r="M434" s="47"/>
      <c r="N434" s="42"/>
      <c r="O434" s="27"/>
      <c r="P434" s="47"/>
      <c r="Q434" s="42"/>
      <c r="R434" s="27"/>
      <c r="S434" s="47"/>
      <c r="T434" s="42"/>
      <c r="U434" s="27"/>
      <c r="V434" s="47"/>
      <c r="W434" s="42"/>
      <c r="X434" s="27"/>
      <c r="Y434" s="47"/>
      <c r="Z434" s="42"/>
      <c r="AA434" s="27"/>
      <c r="AB434" s="47"/>
      <c r="AC434" s="42"/>
      <c r="AD434" s="27"/>
      <c r="AE434" s="33"/>
      <c r="AF434" s="47"/>
      <c r="AG434" s="48"/>
    </row>
    <row r="435" spans="2:33" s="38" customFormat="1" x14ac:dyDescent="0.25">
      <c r="B435" s="49"/>
      <c r="C435" s="70"/>
      <c r="D435" s="42"/>
      <c r="F435" s="33"/>
      <c r="G435" s="47"/>
      <c r="H435" s="42"/>
      <c r="I435" s="27"/>
      <c r="J435" s="47"/>
      <c r="K435" s="42"/>
      <c r="L435" s="27"/>
      <c r="M435" s="47"/>
      <c r="N435" s="42"/>
      <c r="O435" s="27"/>
      <c r="P435" s="47"/>
      <c r="Q435" s="42"/>
      <c r="R435" s="27"/>
      <c r="S435" s="47"/>
      <c r="T435" s="42"/>
      <c r="U435" s="27"/>
      <c r="V435" s="47"/>
      <c r="W435" s="42"/>
      <c r="X435" s="27"/>
      <c r="Y435" s="47"/>
      <c r="Z435" s="42"/>
      <c r="AA435" s="27"/>
      <c r="AB435" s="47"/>
      <c r="AC435" s="42"/>
      <c r="AD435" s="27"/>
      <c r="AE435" s="33"/>
      <c r="AF435" s="47"/>
      <c r="AG435" s="48"/>
    </row>
    <row r="436" spans="2:33" s="38" customFormat="1" x14ac:dyDescent="0.25">
      <c r="B436" s="49"/>
      <c r="C436" s="70"/>
      <c r="D436" s="42"/>
      <c r="F436" s="33"/>
      <c r="G436" s="47"/>
      <c r="H436" s="42"/>
      <c r="I436" s="27"/>
      <c r="J436" s="47"/>
      <c r="K436" s="42"/>
      <c r="L436" s="27"/>
      <c r="M436" s="47"/>
      <c r="N436" s="42"/>
      <c r="O436" s="27"/>
      <c r="P436" s="47"/>
      <c r="Q436" s="42"/>
      <c r="R436" s="27"/>
      <c r="S436" s="47"/>
      <c r="T436" s="42"/>
      <c r="U436" s="27"/>
      <c r="V436" s="47"/>
      <c r="W436" s="42"/>
      <c r="X436" s="27"/>
      <c r="Y436" s="47"/>
      <c r="Z436" s="42"/>
      <c r="AA436" s="27"/>
      <c r="AB436" s="47"/>
      <c r="AC436" s="42"/>
      <c r="AD436" s="27"/>
      <c r="AE436" s="33"/>
      <c r="AF436" s="47"/>
      <c r="AG436" s="48"/>
    </row>
    <row r="437" spans="2:33" s="38" customFormat="1" x14ac:dyDescent="0.25">
      <c r="B437" s="49"/>
      <c r="C437" s="70"/>
      <c r="D437" s="42"/>
      <c r="F437" s="33"/>
      <c r="G437" s="47"/>
      <c r="H437" s="42"/>
      <c r="I437" s="27"/>
      <c r="J437" s="47"/>
      <c r="K437" s="42"/>
      <c r="L437" s="27"/>
      <c r="M437" s="47"/>
      <c r="N437" s="42"/>
      <c r="O437" s="27"/>
      <c r="P437" s="47"/>
      <c r="Q437" s="42"/>
      <c r="R437" s="27"/>
      <c r="S437" s="47"/>
      <c r="T437" s="42"/>
      <c r="U437" s="27"/>
      <c r="V437" s="47"/>
      <c r="W437" s="42"/>
      <c r="X437" s="27"/>
      <c r="Y437" s="47"/>
      <c r="Z437" s="42"/>
      <c r="AA437" s="27"/>
      <c r="AB437" s="47"/>
      <c r="AC437" s="42"/>
      <c r="AD437" s="27"/>
      <c r="AE437" s="33"/>
      <c r="AF437" s="47"/>
      <c r="AG437" s="48"/>
    </row>
    <row r="438" spans="2:33" s="38" customFormat="1" x14ac:dyDescent="0.25">
      <c r="B438" s="49"/>
      <c r="C438" s="70"/>
      <c r="D438" s="42"/>
      <c r="F438" s="33"/>
      <c r="G438" s="47"/>
      <c r="H438" s="42"/>
      <c r="I438" s="27"/>
      <c r="J438" s="47"/>
      <c r="K438" s="42"/>
      <c r="L438" s="27"/>
      <c r="M438" s="47"/>
      <c r="N438" s="42"/>
      <c r="O438" s="27"/>
      <c r="P438" s="47"/>
      <c r="Q438" s="42"/>
      <c r="R438" s="27"/>
      <c r="S438" s="47"/>
      <c r="T438" s="42"/>
      <c r="U438" s="27"/>
      <c r="V438" s="47"/>
      <c r="W438" s="42"/>
      <c r="X438" s="27"/>
      <c r="Y438" s="47"/>
      <c r="Z438" s="42"/>
      <c r="AA438" s="27"/>
      <c r="AB438" s="47"/>
      <c r="AC438" s="42"/>
      <c r="AD438" s="27"/>
      <c r="AE438" s="33"/>
      <c r="AF438" s="47"/>
      <c r="AG438" s="48"/>
    </row>
    <row r="439" spans="2:33" s="38" customFormat="1" x14ac:dyDescent="0.25">
      <c r="B439" s="49"/>
      <c r="C439" s="70"/>
      <c r="D439" s="42"/>
      <c r="F439" s="33"/>
      <c r="G439" s="47"/>
      <c r="H439" s="42"/>
      <c r="I439" s="27"/>
      <c r="J439" s="47"/>
      <c r="K439" s="42"/>
      <c r="L439" s="27"/>
      <c r="M439" s="47"/>
      <c r="N439" s="42"/>
      <c r="O439" s="27"/>
      <c r="P439" s="47"/>
      <c r="Q439" s="42"/>
      <c r="R439" s="27"/>
      <c r="S439" s="47"/>
      <c r="T439" s="42"/>
      <c r="U439" s="27"/>
      <c r="V439" s="47"/>
      <c r="W439" s="42"/>
      <c r="X439" s="27"/>
      <c r="Y439" s="47"/>
      <c r="Z439" s="42"/>
      <c r="AA439" s="27"/>
      <c r="AB439" s="47"/>
      <c r="AC439" s="42"/>
      <c r="AD439" s="27"/>
      <c r="AE439" s="33"/>
      <c r="AF439" s="47"/>
      <c r="AG439" s="48"/>
    </row>
    <row r="440" spans="2:33" s="38" customFormat="1" x14ac:dyDescent="0.25">
      <c r="B440" s="49"/>
      <c r="C440" s="70"/>
      <c r="D440" s="42"/>
      <c r="F440" s="33"/>
      <c r="G440" s="47"/>
      <c r="H440" s="42"/>
      <c r="I440" s="27"/>
      <c r="J440" s="47"/>
      <c r="K440" s="42"/>
      <c r="L440" s="27"/>
      <c r="M440" s="47"/>
      <c r="N440" s="42"/>
      <c r="O440" s="27"/>
      <c r="P440" s="47"/>
      <c r="Q440" s="42"/>
      <c r="R440" s="27"/>
      <c r="S440" s="47"/>
      <c r="T440" s="42"/>
      <c r="U440" s="27"/>
      <c r="V440" s="47"/>
      <c r="W440" s="42"/>
      <c r="X440" s="27"/>
      <c r="Y440" s="47"/>
      <c r="Z440" s="42"/>
      <c r="AA440" s="27"/>
      <c r="AB440" s="47"/>
      <c r="AC440" s="42"/>
      <c r="AD440" s="27"/>
      <c r="AE440" s="33"/>
      <c r="AF440" s="47"/>
      <c r="AG440" s="48"/>
    </row>
    <row r="441" spans="2:33" s="38" customFormat="1" x14ac:dyDescent="0.25">
      <c r="B441" s="49"/>
      <c r="C441" s="70"/>
      <c r="D441" s="42"/>
      <c r="F441" s="33"/>
      <c r="G441" s="47"/>
      <c r="H441" s="42"/>
      <c r="I441" s="27"/>
      <c r="J441" s="47"/>
      <c r="K441" s="42"/>
      <c r="L441" s="27"/>
      <c r="M441" s="47"/>
      <c r="N441" s="42"/>
      <c r="O441" s="27"/>
      <c r="P441" s="47"/>
      <c r="Q441" s="42"/>
      <c r="R441" s="27"/>
      <c r="S441" s="47"/>
      <c r="T441" s="42"/>
      <c r="U441" s="27"/>
      <c r="V441" s="47"/>
      <c r="W441" s="42"/>
      <c r="X441" s="27"/>
      <c r="Y441" s="47"/>
      <c r="Z441" s="42"/>
      <c r="AA441" s="27"/>
      <c r="AB441" s="47"/>
      <c r="AC441" s="42"/>
      <c r="AD441" s="27"/>
      <c r="AE441" s="33"/>
      <c r="AF441" s="47"/>
      <c r="AG441" s="48"/>
    </row>
    <row r="442" spans="2:33" s="38" customFormat="1" x14ac:dyDescent="0.25">
      <c r="B442" s="49"/>
      <c r="C442" s="70"/>
      <c r="D442" s="42"/>
      <c r="F442" s="33"/>
      <c r="G442" s="47"/>
      <c r="H442" s="42"/>
      <c r="I442" s="27"/>
      <c r="J442" s="47"/>
      <c r="K442" s="42"/>
      <c r="L442" s="27"/>
      <c r="M442" s="47"/>
      <c r="N442" s="42"/>
      <c r="O442" s="27"/>
      <c r="P442" s="47"/>
      <c r="Q442" s="42"/>
      <c r="R442" s="27"/>
      <c r="S442" s="47"/>
      <c r="T442" s="42"/>
      <c r="U442" s="27"/>
      <c r="V442" s="47"/>
      <c r="W442" s="42"/>
      <c r="X442" s="27"/>
      <c r="Y442" s="47"/>
      <c r="Z442" s="42"/>
      <c r="AA442" s="27"/>
      <c r="AB442" s="47"/>
      <c r="AC442" s="42"/>
      <c r="AD442" s="27"/>
      <c r="AE442" s="33"/>
      <c r="AF442" s="47"/>
      <c r="AG442" s="48"/>
    </row>
    <row r="443" spans="2:33" s="38" customFormat="1" x14ac:dyDescent="0.25">
      <c r="B443" s="49"/>
      <c r="C443" s="70"/>
      <c r="D443" s="42"/>
      <c r="F443" s="33"/>
      <c r="G443" s="47"/>
      <c r="H443" s="42"/>
      <c r="I443" s="27"/>
      <c r="J443" s="47"/>
      <c r="K443" s="42"/>
      <c r="L443" s="27"/>
      <c r="M443" s="47"/>
      <c r="N443" s="42"/>
      <c r="O443" s="27"/>
      <c r="P443" s="47"/>
      <c r="Q443" s="42"/>
      <c r="R443" s="27"/>
      <c r="S443" s="47"/>
      <c r="T443" s="42"/>
      <c r="U443" s="27"/>
      <c r="V443" s="47"/>
      <c r="W443" s="42"/>
      <c r="X443" s="27"/>
      <c r="Y443" s="47"/>
      <c r="Z443" s="42"/>
      <c r="AA443" s="27"/>
      <c r="AB443" s="47"/>
      <c r="AC443" s="42"/>
      <c r="AD443" s="27"/>
      <c r="AE443" s="33"/>
      <c r="AF443" s="47"/>
      <c r="AG443" s="48"/>
    </row>
    <row r="444" spans="2:33" s="38" customFormat="1" x14ac:dyDescent="0.25">
      <c r="B444" s="49"/>
      <c r="C444" s="70"/>
      <c r="D444" s="42"/>
      <c r="F444" s="33"/>
      <c r="G444" s="47"/>
      <c r="H444" s="42"/>
      <c r="I444" s="27"/>
      <c r="J444" s="47"/>
      <c r="K444" s="42"/>
      <c r="L444" s="27"/>
      <c r="M444" s="47"/>
      <c r="N444" s="42"/>
      <c r="O444" s="27"/>
      <c r="P444" s="47"/>
      <c r="Q444" s="42"/>
      <c r="R444" s="27"/>
      <c r="S444" s="47"/>
      <c r="T444" s="42"/>
      <c r="U444" s="27"/>
      <c r="V444" s="47"/>
      <c r="W444" s="42"/>
      <c r="X444" s="27"/>
      <c r="Y444" s="47"/>
      <c r="Z444" s="42"/>
      <c r="AA444" s="27"/>
      <c r="AB444" s="47"/>
      <c r="AC444" s="42"/>
      <c r="AD444" s="27"/>
      <c r="AE444" s="33"/>
      <c r="AF444" s="47"/>
      <c r="AG444" s="48"/>
    </row>
    <row r="445" spans="2:33" s="38" customFormat="1" x14ac:dyDescent="0.25">
      <c r="B445" s="49"/>
      <c r="C445" s="70"/>
      <c r="D445" s="42"/>
      <c r="F445" s="33"/>
      <c r="G445" s="47"/>
      <c r="H445" s="42"/>
      <c r="I445" s="27"/>
      <c r="J445" s="47"/>
      <c r="K445" s="42"/>
      <c r="L445" s="27"/>
      <c r="M445" s="47"/>
      <c r="N445" s="42"/>
      <c r="O445" s="27"/>
      <c r="P445" s="47"/>
      <c r="Q445" s="42"/>
      <c r="R445" s="27"/>
      <c r="S445" s="47"/>
      <c r="T445" s="42"/>
      <c r="U445" s="27"/>
      <c r="V445" s="47"/>
      <c r="W445" s="42"/>
      <c r="X445" s="27"/>
      <c r="Y445" s="47"/>
      <c r="Z445" s="42"/>
      <c r="AA445" s="27"/>
      <c r="AB445" s="47"/>
      <c r="AC445" s="42"/>
      <c r="AD445" s="27"/>
      <c r="AE445" s="33"/>
      <c r="AF445" s="47"/>
      <c r="AG445" s="48"/>
    </row>
    <row r="446" spans="2:33" s="38" customFormat="1" x14ac:dyDescent="0.25">
      <c r="B446" s="49"/>
      <c r="C446" s="70"/>
      <c r="D446" s="42"/>
      <c r="F446" s="33"/>
      <c r="G446" s="47"/>
      <c r="H446" s="42"/>
      <c r="I446" s="27"/>
      <c r="J446" s="47"/>
      <c r="K446" s="42"/>
      <c r="L446" s="27"/>
      <c r="M446" s="47"/>
      <c r="N446" s="42"/>
      <c r="O446" s="27"/>
      <c r="P446" s="47"/>
      <c r="Q446" s="42"/>
      <c r="R446" s="27"/>
      <c r="S446" s="47"/>
      <c r="T446" s="42"/>
      <c r="U446" s="27"/>
      <c r="V446" s="47"/>
      <c r="W446" s="42"/>
      <c r="X446" s="27"/>
      <c r="Y446" s="47"/>
      <c r="Z446" s="42"/>
      <c r="AA446" s="27"/>
      <c r="AB446" s="47"/>
      <c r="AC446" s="42"/>
      <c r="AD446" s="27"/>
      <c r="AE446" s="33"/>
      <c r="AF446" s="47"/>
      <c r="AG446" s="48"/>
    </row>
    <row r="447" spans="2:33" s="38" customFormat="1" x14ac:dyDescent="0.25">
      <c r="B447" s="49"/>
      <c r="C447" s="70"/>
      <c r="D447" s="42"/>
      <c r="F447" s="33"/>
      <c r="G447" s="47"/>
      <c r="H447" s="42"/>
      <c r="I447" s="27"/>
      <c r="J447" s="47"/>
      <c r="K447" s="42"/>
      <c r="L447" s="27"/>
      <c r="M447" s="47"/>
      <c r="N447" s="42"/>
      <c r="O447" s="27"/>
      <c r="P447" s="47"/>
      <c r="Q447" s="42"/>
      <c r="R447" s="27"/>
      <c r="S447" s="47"/>
      <c r="T447" s="42"/>
      <c r="U447" s="27"/>
      <c r="V447" s="47"/>
      <c r="W447" s="42"/>
      <c r="X447" s="27"/>
      <c r="Y447" s="47"/>
      <c r="Z447" s="42"/>
      <c r="AA447" s="27"/>
      <c r="AB447" s="47"/>
      <c r="AC447" s="42"/>
      <c r="AD447" s="27"/>
      <c r="AE447" s="33"/>
      <c r="AF447" s="47"/>
      <c r="AG447" s="48"/>
    </row>
    <row r="448" spans="2:33" s="38" customFormat="1" x14ac:dyDescent="0.25">
      <c r="B448" s="49"/>
      <c r="C448" s="70"/>
      <c r="D448" s="42"/>
      <c r="F448" s="33"/>
      <c r="G448" s="47"/>
      <c r="H448" s="42"/>
      <c r="I448" s="27"/>
      <c r="J448" s="47"/>
      <c r="K448" s="42"/>
      <c r="L448" s="27"/>
      <c r="M448" s="47"/>
      <c r="N448" s="42"/>
      <c r="O448" s="27"/>
      <c r="P448" s="47"/>
      <c r="Q448" s="42"/>
      <c r="R448" s="27"/>
      <c r="S448" s="47"/>
      <c r="T448" s="42"/>
      <c r="U448" s="27"/>
      <c r="V448" s="47"/>
      <c r="W448" s="42"/>
      <c r="X448" s="27"/>
      <c r="Y448" s="47"/>
      <c r="Z448" s="42"/>
      <c r="AA448" s="27"/>
      <c r="AB448" s="47"/>
      <c r="AC448" s="42"/>
      <c r="AD448" s="27"/>
      <c r="AE448" s="33"/>
      <c r="AF448" s="47"/>
      <c r="AG448" s="48"/>
    </row>
    <row r="449" spans="2:33" s="38" customFormat="1" x14ac:dyDescent="0.25">
      <c r="B449" s="49"/>
      <c r="C449" s="70"/>
      <c r="D449" s="42"/>
      <c r="F449" s="33"/>
      <c r="G449" s="47"/>
      <c r="H449" s="42"/>
      <c r="I449" s="27"/>
      <c r="J449" s="47"/>
      <c r="K449" s="42"/>
      <c r="L449" s="27"/>
      <c r="M449" s="47"/>
      <c r="N449" s="42"/>
      <c r="O449" s="27"/>
      <c r="P449" s="47"/>
      <c r="Q449" s="42"/>
      <c r="R449" s="27"/>
      <c r="S449" s="47"/>
      <c r="T449" s="42"/>
      <c r="U449" s="27"/>
      <c r="V449" s="47"/>
      <c r="W449" s="42"/>
      <c r="X449" s="27"/>
      <c r="Y449" s="47"/>
      <c r="Z449" s="42"/>
      <c r="AA449" s="27"/>
      <c r="AB449" s="47"/>
      <c r="AC449" s="42"/>
      <c r="AD449" s="27"/>
      <c r="AE449" s="33"/>
      <c r="AF449" s="47"/>
      <c r="AG449" s="48"/>
    </row>
    <row r="450" spans="2:33" s="38" customFormat="1" x14ac:dyDescent="0.25">
      <c r="B450" s="49"/>
      <c r="C450" s="70"/>
      <c r="D450" s="42"/>
      <c r="F450" s="33"/>
      <c r="G450" s="47"/>
      <c r="H450" s="42"/>
      <c r="I450" s="27"/>
      <c r="J450" s="47"/>
      <c r="K450" s="42"/>
      <c r="L450" s="27"/>
      <c r="M450" s="47"/>
      <c r="N450" s="42"/>
      <c r="O450" s="27"/>
      <c r="P450" s="47"/>
      <c r="Q450" s="42"/>
      <c r="R450" s="27"/>
      <c r="S450" s="47"/>
      <c r="T450" s="42"/>
      <c r="U450" s="27"/>
      <c r="V450" s="47"/>
      <c r="W450" s="42"/>
      <c r="X450" s="27"/>
      <c r="Y450" s="47"/>
      <c r="Z450" s="42"/>
      <c r="AA450" s="27"/>
      <c r="AB450" s="47"/>
      <c r="AC450" s="42"/>
      <c r="AD450" s="27"/>
      <c r="AE450" s="33"/>
      <c r="AF450" s="47"/>
      <c r="AG450" s="48"/>
    </row>
    <row r="451" spans="2:33" s="38" customFormat="1" x14ac:dyDescent="0.25">
      <c r="B451" s="49"/>
      <c r="C451" s="70"/>
      <c r="D451" s="42"/>
      <c r="F451" s="33"/>
      <c r="G451" s="47"/>
      <c r="H451" s="42"/>
      <c r="I451" s="27"/>
      <c r="J451" s="47"/>
      <c r="K451" s="42"/>
      <c r="L451" s="27"/>
      <c r="M451" s="47"/>
      <c r="N451" s="42"/>
      <c r="O451" s="27"/>
      <c r="P451" s="47"/>
      <c r="Q451" s="42"/>
      <c r="R451" s="27"/>
      <c r="S451" s="47"/>
      <c r="T451" s="42"/>
      <c r="U451" s="27"/>
      <c r="V451" s="47"/>
      <c r="W451" s="42"/>
      <c r="X451" s="27"/>
      <c r="Y451" s="47"/>
      <c r="Z451" s="42"/>
      <c r="AA451" s="27"/>
      <c r="AB451" s="47"/>
      <c r="AC451" s="42"/>
      <c r="AD451" s="27"/>
      <c r="AE451" s="33"/>
      <c r="AF451" s="47"/>
      <c r="AG451" s="48"/>
    </row>
    <row r="452" spans="2:33" s="38" customFormat="1" x14ac:dyDescent="0.25">
      <c r="B452" s="49"/>
      <c r="C452" s="70"/>
      <c r="D452" s="42"/>
      <c r="F452" s="33"/>
      <c r="G452" s="47"/>
      <c r="H452" s="42"/>
      <c r="I452" s="27"/>
      <c r="J452" s="47"/>
      <c r="K452" s="42"/>
      <c r="L452" s="27"/>
      <c r="M452" s="47"/>
      <c r="N452" s="42"/>
      <c r="O452" s="27"/>
      <c r="P452" s="47"/>
      <c r="Q452" s="42"/>
      <c r="R452" s="27"/>
      <c r="S452" s="47"/>
      <c r="T452" s="42"/>
      <c r="U452" s="27"/>
      <c r="V452" s="47"/>
      <c r="W452" s="42"/>
      <c r="X452" s="27"/>
      <c r="Y452" s="47"/>
      <c r="Z452" s="42"/>
      <c r="AA452" s="27"/>
      <c r="AB452" s="47"/>
      <c r="AC452" s="42"/>
      <c r="AD452" s="27"/>
      <c r="AE452" s="33"/>
      <c r="AF452" s="47"/>
      <c r="AG452" s="48"/>
    </row>
    <row r="453" spans="2:33" s="38" customFormat="1" x14ac:dyDescent="0.25">
      <c r="B453" s="49"/>
      <c r="C453" s="70"/>
      <c r="D453" s="42"/>
      <c r="F453" s="33"/>
      <c r="G453" s="47"/>
      <c r="H453" s="42"/>
      <c r="I453" s="27"/>
      <c r="J453" s="47"/>
      <c r="K453" s="42"/>
      <c r="L453" s="27"/>
      <c r="M453" s="47"/>
      <c r="N453" s="42"/>
      <c r="O453" s="27"/>
      <c r="P453" s="47"/>
      <c r="Q453" s="42"/>
      <c r="R453" s="27"/>
      <c r="S453" s="47"/>
      <c r="T453" s="42"/>
      <c r="U453" s="27"/>
      <c r="V453" s="47"/>
      <c r="W453" s="42"/>
      <c r="X453" s="27"/>
      <c r="Y453" s="47"/>
      <c r="Z453" s="42"/>
      <c r="AA453" s="27"/>
      <c r="AB453" s="47"/>
      <c r="AC453" s="42"/>
      <c r="AD453" s="27"/>
      <c r="AE453" s="33"/>
      <c r="AF453" s="47"/>
      <c r="AG453" s="48"/>
    </row>
    <row r="454" spans="2:33" s="38" customFormat="1" x14ac:dyDescent="0.25">
      <c r="B454" s="49"/>
      <c r="C454" s="70"/>
      <c r="D454" s="42"/>
      <c r="F454" s="33"/>
      <c r="G454" s="47"/>
      <c r="H454" s="42"/>
      <c r="I454" s="27"/>
      <c r="J454" s="47"/>
      <c r="K454" s="42"/>
      <c r="L454" s="27"/>
      <c r="M454" s="47"/>
      <c r="N454" s="42"/>
      <c r="O454" s="27"/>
      <c r="P454" s="47"/>
      <c r="Q454" s="42"/>
      <c r="R454" s="27"/>
      <c r="S454" s="47"/>
      <c r="T454" s="42"/>
      <c r="U454" s="27"/>
      <c r="V454" s="47"/>
      <c r="W454" s="42"/>
      <c r="X454" s="27"/>
      <c r="Y454" s="47"/>
      <c r="Z454" s="42"/>
      <c r="AA454" s="27"/>
      <c r="AB454" s="47"/>
      <c r="AC454" s="42"/>
      <c r="AD454" s="27"/>
      <c r="AE454" s="33"/>
      <c r="AF454" s="47"/>
      <c r="AG454" s="48"/>
    </row>
    <row r="455" spans="2:33" s="38" customFormat="1" x14ac:dyDescent="0.25">
      <c r="B455" s="49"/>
      <c r="C455" s="70"/>
      <c r="D455" s="42"/>
      <c r="F455" s="33"/>
      <c r="G455" s="47"/>
      <c r="H455" s="42"/>
      <c r="I455" s="27"/>
      <c r="J455" s="47"/>
      <c r="K455" s="42"/>
      <c r="L455" s="27"/>
      <c r="M455" s="47"/>
      <c r="N455" s="42"/>
      <c r="O455" s="27"/>
      <c r="P455" s="47"/>
      <c r="Q455" s="42"/>
      <c r="R455" s="27"/>
      <c r="S455" s="47"/>
      <c r="T455" s="42"/>
      <c r="U455" s="27"/>
      <c r="V455" s="47"/>
      <c r="W455" s="42"/>
      <c r="X455" s="27"/>
      <c r="Y455" s="47"/>
      <c r="Z455" s="42"/>
      <c r="AA455" s="27"/>
      <c r="AB455" s="47"/>
      <c r="AC455" s="42"/>
      <c r="AD455" s="27"/>
      <c r="AE455" s="33"/>
      <c r="AF455" s="47"/>
      <c r="AG455" s="48"/>
    </row>
    <row r="456" spans="2:33" s="38" customFormat="1" x14ac:dyDescent="0.25">
      <c r="B456" s="49"/>
      <c r="C456" s="70"/>
      <c r="D456" s="42"/>
      <c r="F456" s="33"/>
      <c r="G456" s="47"/>
      <c r="H456" s="42"/>
      <c r="I456" s="27"/>
      <c r="J456" s="47"/>
      <c r="K456" s="42"/>
      <c r="L456" s="27"/>
      <c r="M456" s="47"/>
      <c r="N456" s="42"/>
      <c r="O456" s="27"/>
      <c r="P456" s="47"/>
      <c r="Q456" s="42"/>
      <c r="R456" s="27"/>
      <c r="S456" s="47"/>
      <c r="T456" s="42"/>
      <c r="U456" s="27"/>
      <c r="V456" s="47"/>
      <c r="W456" s="42"/>
      <c r="X456" s="27"/>
      <c r="Y456" s="47"/>
      <c r="Z456" s="42"/>
      <c r="AA456" s="27"/>
      <c r="AB456" s="47"/>
      <c r="AC456" s="42"/>
      <c r="AD456" s="27"/>
      <c r="AE456" s="33"/>
      <c r="AF456" s="47"/>
      <c r="AG456" s="48"/>
    </row>
    <row r="457" spans="2:33" s="38" customFormat="1" x14ac:dyDescent="0.25">
      <c r="B457" s="49"/>
      <c r="C457" s="70"/>
      <c r="D457" s="42"/>
      <c r="F457" s="33"/>
      <c r="G457" s="47"/>
      <c r="H457" s="42"/>
      <c r="I457" s="27"/>
      <c r="J457" s="47"/>
      <c r="K457" s="42"/>
      <c r="L457" s="27"/>
      <c r="M457" s="47"/>
      <c r="N457" s="42"/>
      <c r="O457" s="27"/>
      <c r="P457" s="47"/>
      <c r="Q457" s="42"/>
      <c r="R457" s="27"/>
      <c r="S457" s="47"/>
      <c r="T457" s="42"/>
      <c r="U457" s="27"/>
      <c r="V457" s="47"/>
      <c r="W457" s="42"/>
      <c r="X457" s="27"/>
      <c r="Y457" s="47"/>
      <c r="Z457" s="42"/>
      <c r="AA457" s="27"/>
      <c r="AB457" s="47"/>
      <c r="AC457" s="42"/>
      <c r="AD457" s="27"/>
      <c r="AE457" s="33"/>
      <c r="AF457" s="47"/>
      <c r="AG457" s="48"/>
    </row>
    <row r="458" spans="2:33" s="38" customFormat="1" x14ac:dyDescent="0.25">
      <c r="B458" s="49"/>
      <c r="C458" s="70"/>
      <c r="D458" s="42"/>
      <c r="F458" s="33"/>
      <c r="G458" s="47"/>
      <c r="H458" s="42"/>
      <c r="I458" s="27"/>
      <c r="J458" s="47"/>
      <c r="K458" s="42"/>
      <c r="L458" s="27"/>
      <c r="M458" s="47"/>
      <c r="N458" s="42"/>
      <c r="O458" s="27"/>
      <c r="P458" s="47"/>
      <c r="Q458" s="42"/>
      <c r="R458" s="27"/>
      <c r="S458" s="47"/>
      <c r="T458" s="42"/>
      <c r="U458" s="27"/>
      <c r="V458" s="47"/>
      <c r="W458" s="42"/>
      <c r="X458" s="27"/>
      <c r="Y458" s="47"/>
      <c r="Z458" s="42"/>
      <c r="AA458" s="27"/>
      <c r="AB458" s="47"/>
      <c r="AC458" s="42"/>
      <c r="AD458" s="27"/>
      <c r="AE458" s="33"/>
      <c r="AF458" s="47"/>
      <c r="AG458" s="48"/>
    </row>
    <row r="459" spans="2:33" s="38" customFormat="1" x14ac:dyDescent="0.25">
      <c r="B459" s="49"/>
      <c r="C459" s="70"/>
      <c r="D459" s="42"/>
      <c r="F459" s="33"/>
      <c r="G459" s="47"/>
      <c r="H459" s="42"/>
      <c r="I459" s="27"/>
      <c r="J459" s="47"/>
      <c r="K459" s="42"/>
      <c r="L459" s="27"/>
      <c r="M459" s="47"/>
      <c r="N459" s="42"/>
      <c r="O459" s="27"/>
      <c r="P459" s="47"/>
      <c r="Q459" s="42"/>
      <c r="R459" s="27"/>
      <c r="S459" s="47"/>
      <c r="T459" s="42"/>
      <c r="U459" s="27"/>
      <c r="V459" s="47"/>
      <c r="W459" s="42"/>
      <c r="X459" s="27"/>
      <c r="Y459" s="47"/>
      <c r="Z459" s="42"/>
      <c r="AA459" s="27"/>
      <c r="AB459" s="47"/>
      <c r="AC459" s="42"/>
      <c r="AD459" s="27"/>
      <c r="AE459" s="33"/>
      <c r="AF459" s="47"/>
      <c r="AG459" s="48"/>
    </row>
    <row r="460" spans="2:33" s="38" customFormat="1" x14ac:dyDescent="0.25">
      <c r="B460" s="49"/>
      <c r="C460" s="70"/>
      <c r="D460" s="42"/>
      <c r="F460" s="33"/>
      <c r="G460" s="47"/>
      <c r="H460" s="42"/>
      <c r="I460" s="27"/>
      <c r="J460" s="47"/>
      <c r="K460" s="42"/>
      <c r="L460" s="27"/>
      <c r="M460" s="47"/>
      <c r="N460" s="42"/>
      <c r="O460" s="27"/>
      <c r="P460" s="47"/>
      <c r="Q460" s="42"/>
      <c r="R460" s="27"/>
      <c r="S460" s="47"/>
      <c r="T460" s="42"/>
      <c r="U460" s="27"/>
      <c r="V460" s="47"/>
      <c r="W460" s="42"/>
      <c r="X460" s="27"/>
      <c r="Y460" s="47"/>
      <c r="Z460" s="42"/>
      <c r="AA460" s="27"/>
      <c r="AB460" s="47"/>
      <c r="AC460" s="42"/>
      <c r="AD460" s="27"/>
      <c r="AE460" s="33"/>
      <c r="AF460" s="47"/>
      <c r="AG460" s="48"/>
    </row>
    <row r="461" spans="2:33" s="38" customFormat="1" x14ac:dyDescent="0.25">
      <c r="B461" s="49"/>
      <c r="C461" s="70"/>
      <c r="D461" s="42"/>
      <c r="F461" s="33"/>
      <c r="G461" s="47"/>
      <c r="H461" s="42"/>
      <c r="I461" s="27"/>
      <c r="J461" s="47"/>
      <c r="K461" s="42"/>
      <c r="L461" s="27"/>
      <c r="M461" s="47"/>
      <c r="N461" s="42"/>
      <c r="O461" s="27"/>
      <c r="P461" s="47"/>
      <c r="Q461" s="42"/>
      <c r="R461" s="27"/>
      <c r="S461" s="47"/>
      <c r="T461" s="42"/>
      <c r="U461" s="27"/>
      <c r="V461" s="47"/>
      <c r="W461" s="42"/>
      <c r="X461" s="27"/>
      <c r="Y461" s="47"/>
      <c r="Z461" s="42"/>
      <c r="AA461" s="27"/>
      <c r="AB461" s="47"/>
      <c r="AC461" s="42"/>
      <c r="AD461" s="27"/>
      <c r="AE461" s="33"/>
      <c r="AF461" s="47"/>
      <c r="AG461" s="48"/>
    </row>
    <row r="462" spans="2:33" s="38" customFormat="1" x14ac:dyDescent="0.25">
      <c r="B462" s="49"/>
      <c r="C462" s="70"/>
      <c r="D462" s="42"/>
      <c r="F462" s="33"/>
      <c r="G462" s="47"/>
      <c r="H462" s="42"/>
      <c r="I462" s="27"/>
      <c r="J462" s="47"/>
      <c r="K462" s="42"/>
      <c r="L462" s="27"/>
      <c r="M462" s="47"/>
      <c r="N462" s="42"/>
      <c r="O462" s="27"/>
      <c r="P462" s="47"/>
      <c r="Q462" s="42"/>
      <c r="R462" s="27"/>
      <c r="S462" s="47"/>
      <c r="T462" s="42"/>
      <c r="U462" s="27"/>
      <c r="V462" s="47"/>
      <c r="W462" s="42"/>
      <c r="X462" s="27"/>
      <c r="Y462" s="47"/>
      <c r="Z462" s="42"/>
      <c r="AA462" s="27"/>
      <c r="AB462" s="47"/>
      <c r="AC462" s="42"/>
      <c r="AD462" s="27"/>
      <c r="AE462" s="33"/>
      <c r="AF462" s="47"/>
      <c r="AG462" s="48"/>
    </row>
    <row r="463" spans="2:33" s="38" customFormat="1" x14ac:dyDescent="0.25">
      <c r="B463" s="49"/>
      <c r="C463" s="70"/>
      <c r="D463" s="42"/>
      <c r="F463" s="33"/>
      <c r="G463" s="47"/>
      <c r="H463" s="42"/>
      <c r="I463" s="27"/>
      <c r="J463" s="47"/>
      <c r="K463" s="42"/>
      <c r="L463" s="27"/>
      <c r="M463" s="47"/>
      <c r="N463" s="42"/>
      <c r="O463" s="27"/>
      <c r="P463" s="47"/>
      <c r="Q463" s="42"/>
      <c r="R463" s="27"/>
      <c r="S463" s="47"/>
      <c r="T463" s="42"/>
      <c r="U463" s="27"/>
      <c r="V463" s="47"/>
      <c r="W463" s="42"/>
      <c r="X463" s="27"/>
      <c r="Y463" s="47"/>
      <c r="Z463" s="42"/>
      <c r="AA463" s="27"/>
      <c r="AB463" s="47"/>
      <c r="AC463" s="42"/>
      <c r="AD463" s="27"/>
      <c r="AE463" s="33"/>
      <c r="AF463" s="47"/>
      <c r="AG463" s="48"/>
    </row>
    <row r="464" spans="2:33" s="38" customFormat="1" x14ac:dyDescent="0.25">
      <c r="B464" s="49"/>
      <c r="C464" s="70"/>
      <c r="D464" s="42"/>
      <c r="F464" s="33"/>
      <c r="G464" s="47"/>
      <c r="H464" s="42"/>
      <c r="I464" s="27"/>
      <c r="J464" s="47"/>
      <c r="K464" s="42"/>
      <c r="L464" s="27"/>
      <c r="M464" s="47"/>
      <c r="N464" s="42"/>
      <c r="O464" s="27"/>
      <c r="P464" s="47"/>
      <c r="Q464" s="42"/>
      <c r="R464" s="27"/>
      <c r="S464" s="47"/>
      <c r="T464" s="42"/>
      <c r="U464" s="27"/>
      <c r="V464" s="47"/>
      <c r="W464" s="42"/>
      <c r="X464" s="27"/>
      <c r="Y464" s="47"/>
      <c r="Z464" s="42"/>
      <c r="AA464" s="27"/>
      <c r="AB464" s="47"/>
      <c r="AC464" s="42"/>
      <c r="AD464" s="27"/>
      <c r="AE464" s="33"/>
      <c r="AF464" s="47"/>
      <c r="AG464" s="48"/>
    </row>
    <row r="465" spans="2:33" s="38" customFormat="1" x14ac:dyDescent="0.25">
      <c r="B465" s="49"/>
      <c r="C465" s="70"/>
      <c r="D465" s="42"/>
      <c r="F465" s="33"/>
      <c r="G465" s="47"/>
      <c r="H465" s="42"/>
      <c r="I465" s="27"/>
      <c r="J465" s="47"/>
      <c r="K465" s="42"/>
      <c r="L465" s="27"/>
      <c r="M465" s="47"/>
      <c r="N465" s="42"/>
      <c r="O465" s="27"/>
      <c r="P465" s="47"/>
      <c r="Q465" s="42"/>
      <c r="R465" s="27"/>
      <c r="S465" s="47"/>
      <c r="T465" s="42"/>
      <c r="U465" s="27"/>
      <c r="V465" s="47"/>
      <c r="W465" s="42"/>
      <c r="X465" s="27"/>
      <c r="Y465" s="47"/>
      <c r="Z465" s="42"/>
      <c r="AA465" s="27"/>
      <c r="AB465" s="47"/>
      <c r="AC465" s="42"/>
      <c r="AD465" s="27"/>
      <c r="AE465" s="33"/>
      <c r="AF465" s="47"/>
      <c r="AG465" s="48"/>
    </row>
    <row r="466" spans="2:33" s="38" customFormat="1" x14ac:dyDescent="0.25">
      <c r="B466" s="49"/>
      <c r="C466" s="70"/>
      <c r="D466" s="42"/>
      <c r="F466" s="33"/>
      <c r="G466" s="47"/>
      <c r="H466" s="42"/>
      <c r="I466" s="27"/>
      <c r="J466" s="47"/>
      <c r="K466" s="42"/>
      <c r="L466" s="27"/>
      <c r="M466" s="47"/>
      <c r="N466" s="42"/>
      <c r="O466" s="27"/>
      <c r="P466" s="47"/>
      <c r="Q466" s="42"/>
      <c r="R466" s="27"/>
      <c r="S466" s="47"/>
      <c r="T466" s="42"/>
      <c r="U466" s="27"/>
      <c r="V466" s="47"/>
      <c r="W466" s="42"/>
      <c r="X466" s="27"/>
      <c r="Y466" s="47"/>
      <c r="Z466" s="42"/>
      <c r="AA466" s="27"/>
      <c r="AB466" s="47"/>
      <c r="AC466" s="42"/>
      <c r="AD466" s="27"/>
      <c r="AE466" s="33"/>
      <c r="AF466" s="47"/>
      <c r="AG466" s="48"/>
    </row>
    <row r="467" spans="2:33" s="38" customFormat="1" x14ac:dyDescent="0.25">
      <c r="B467" s="49"/>
      <c r="C467" s="70"/>
      <c r="D467" s="42"/>
      <c r="F467" s="33"/>
      <c r="G467" s="47"/>
      <c r="H467" s="42"/>
      <c r="I467" s="27"/>
      <c r="J467" s="47"/>
      <c r="K467" s="42"/>
      <c r="L467" s="27"/>
      <c r="M467" s="47"/>
      <c r="N467" s="42"/>
      <c r="O467" s="27"/>
      <c r="P467" s="47"/>
      <c r="Q467" s="42"/>
      <c r="R467" s="27"/>
      <c r="S467" s="47"/>
      <c r="T467" s="42"/>
      <c r="U467" s="27"/>
      <c r="V467" s="47"/>
      <c r="W467" s="42"/>
      <c r="X467" s="27"/>
      <c r="Y467" s="47"/>
      <c r="Z467" s="42"/>
      <c r="AA467" s="27"/>
      <c r="AB467" s="47"/>
      <c r="AC467" s="42"/>
      <c r="AD467" s="27"/>
      <c r="AE467" s="33"/>
      <c r="AF467" s="47"/>
      <c r="AG467" s="48"/>
    </row>
    <row r="468" spans="2:33" s="38" customFormat="1" x14ac:dyDescent="0.25">
      <c r="B468" s="49"/>
      <c r="C468" s="70"/>
      <c r="D468" s="42"/>
      <c r="F468" s="33"/>
      <c r="G468" s="47"/>
      <c r="H468" s="42"/>
      <c r="I468" s="27"/>
      <c r="J468" s="47"/>
      <c r="K468" s="42"/>
      <c r="L468" s="27"/>
      <c r="M468" s="47"/>
      <c r="N468" s="42"/>
      <c r="O468" s="27"/>
      <c r="P468" s="47"/>
      <c r="Q468" s="42"/>
      <c r="R468" s="27"/>
      <c r="S468" s="47"/>
      <c r="T468" s="42"/>
      <c r="U468" s="27"/>
      <c r="V468" s="47"/>
      <c r="W468" s="42"/>
      <c r="X468" s="27"/>
      <c r="Y468" s="47"/>
      <c r="Z468" s="42"/>
      <c r="AA468" s="27"/>
      <c r="AB468" s="47"/>
      <c r="AC468" s="42"/>
      <c r="AD468" s="27"/>
      <c r="AE468" s="33"/>
      <c r="AF468" s="47"/>
      <c r="AG468" s="48"/>
    </row>
    <row r="469" spans="2:33" s="38" customFormat="1" x14ac:dyDescent="0.25">
      <c r="B469" s="49"/>
      <c r="C469" s="70"/>
      <c r="D469" s="42"/>
      <c r="F469" s="33"/>
      <c r="G469" s="47"/>
      <c r="H469" s="42"/>
      <c r="I469" s="27"/>
      <c r="J469" s="47"/>
      <c r="K469" s="42"/>
      <c r="L469" s="27"/>
      <c r="M469" s="47"/>
      <c r="N469" s="42"/>
      <c r="O469" s="27"/>
      <c r="P469" s="47"/>
      <c r="Q469" s="42"/>
      <c r="R469" s="27"/>
      <c r="S469" s="47"/>
      <c r="T469" s="42"/>
      <c r="U469" s="27"/>
      <c r="V469" s="47"/>
      <c r="W469" s="42"/>
      <c r="X469" s="27"/>
      <c r="Y469" s="47"/>
      <c r="Z469" s="42"/>
      <c r="AA469" s="27"/>
      <c r="AB469" s="47"/>
      <c r="AC469" s="42"/>
      <c r="AD469" s="27"/>
      <c r="AE469" s="33"/>
      <c r="AF469" s="47"/>
      <c r="AG469" s="48"/>
    </row>
    <row r="470" spans="2:33" s="38" customFormat="1" x14ac:dyDescent="0.25">
      <c r="B470" s="49"/>
      <c r="C470" s="70"/>
      <c r="D470" s="42"/>
      <c r="F470" s="33"/>
      <c r="G470" s="47"/>
      <c r="H470" s="42"/>
      <c r="I470" s="27"/>
      <c r="J470" s="47"/>
      <c r="K470" s="42"/>
      <c r="L470" s="27"/>
      <c r="M470" s="47"/>
      <c r="N470" s="42"/>
      <c r="O470" s="27"/>
      <c r="P470" s="47"/>
      <c r="Q470" s="42"/>
      <c r="R470" s="27"/>
      <c r="S470" s="47"/>
      <c r="T470" s="42"/>
      <c r="U470" s="27"/>
      <c r="V470" s="47"/>
      <c r="W470" s="42"/>
      <c r="X470" s="27"/>
      <c r="Y470" s="47"/>
      <c r="Z470" s="42"/>
      <c r="AA470" s="27"/>
      <c r="AB470" s="47"/>
      <c r="AC470" s="42"/>
      <c r="AD470" s="27"/>
      <c r="AE470" s="33"/>
      <c r="AF470" s="47"/>
      <c r="AG470" s="48"/>
    </row>
    <row r="471" spans="2:33" s="38" customFormat="1" x14ac:dyDescent="0.25">
      <c r="B471" s="49"/>
      <c r="C471" s="70"/>
      <c r="D471" s="42"/>
      <c r="F471" s="33"/>
      <c r="G471" s="47"/>
      <c r="H471" s="42"/>
      <c r="I471" s="27"/>
      <c r="J471" s="47"/>
      <c r="K471" s="42"/>
      <c r="L471" s="27"/>
      <c r="M471" s="47"/>
      <c r="N471" s="42"/>
      <c r="O471" s="27"/>
      <c r="P471" s="47"/>
      <c r="Q471" s="42"/>
      <c r="R471" s="27"/>
      <c r="S471" s="47"/>
      <c r="T471" s="42"/>
      <c r="U471" s="27"/>
      <c r="V471" s="47"/>
      <c r="W471" s="42"/>
      <c r="X471" s="27"/>
      <c r="Y471" s="47"/>
      <c r="Z471" s="42"/>
      <c r="AA471" s="27"/>
      <c r="AB471" s="47"/>
      <c r="AC471" s="42"/>
      <c r="AD471" s="27"/>
      <c r="AE471" s="33"/>
      <c r="AF471" s="47"/>
      <c r="AG471" s="48"/>
    </row>
    <row r="472" spans="2:33" s="38" customFormat="1" x14ac:dyDescent="0.25">
      <c r="B472" s="49"/>
      <c r="C472" s="70"/>
      <c r="D472" s="42"/>
      <c r="F472" s="33"/>
      <c r="G472" s="47"/>
      <c r="H472" s="42"/>
      <c r="I472" s="27"/>
      <c r="J472" s="47"/>
      <c r="K472" s="42"/>
      <c r="L472" s="27"/>
      <c r="M472" s="47"/>
      <c r="N472" s="42"/>
      <c r="O472" s="27"/>
      <c r="P472" s="47"/>
      <c r="Q472" s="42"/>
      <c r="R472" s="27"/>
      <c r="S472" s="47"/>
      <c r="T472" s="42"/>
      <c r="U472" s="27"/>
      <c r="V472" s="47"/>
      <c r="W472" s="42"/>
      <c r="X472" s="27"/>
      <c r="Y472" s="47"/>
      <c r="Z472" s="42"/>
      <c r="AA472" s="27"/>
      <c r="AB472" s="47"/>
      <c r="AC472" s="42"/>
      <c r="AD472" s="27"/>
      <c r="AE472" s="33"/>
      <c r="AF472" s="47"/>
      <c r="AG472" s="48"/>
    </row>
    <row r="473" spans="2:33" s="38" customFormat="1" x14ac:dyDescent="0.25">
      <c r="B473" s="49"/>
      <c r="C473" s="70"/>
      <c r="D473" s="42"/>
      <c r="F473" s="33"/>
      <c r="G473" s="47"/>
      <c r="H473" s="42"/>
      <c r="I473" s="27"/>
      <c r="J473" s="47"/>
      <c r="K473" s="42"/>
      <c r="L473" s="27"/>
      <c r="M473" s="47"/>
      <c r="N473" s="42"/>
      <c r="O473" s="27"/>
      <c r="P473" s="47"/>
      <c r="Q473" s="42"/>
      <c r="R473" s="27"/>
      <c r="S473" s="47"/>
      <c r="T473" s="42"/>
      <c r="U473" s="27"/>
      <c r="V473" s="47"/>
      <c r="W473" s="42"/>
      <c r="X473" s="27"/>
      <c r="Y473" s="47"/>
      <c r="Z473" s="42"/>
      <c r="AA473" s="27"/>
      <c r="AB473" s="47"/>
      <c r="AC473" s="42"/>
      <c r="AD473" s="27"/>
      <c r="AE473" s="33"/>
      <c r="AF473" s="47"/>
      <c r="AG473" s="48"/>
    </row>
    <row r="474" spans="2:33" s="38" customFormat="1" x14ac:dyDescent="0.25">
      <c r="B474" s="49"/>
      <c r="C474" s="70"/>
      <c r="D474" s="42"/>
      <c r="F474" s="33"/>
      <c r="G474" s="47"/>
      <c r="H474" s="42"/>
      <c r="I474" s="27"/>
      <c r="J474" s="47"/>
      <c r="K474" s="42"/>
      <c r="L474" s="27"/>
      <c r="M474" s="47"/>
      <c r="N474" s="42"/>
      <c r="O474" s="27"/>
      <c r="P474" s="47"/>
      <c r="Q474" s="42"/>
      <c r="R474" s="27"/>
      <c r="S474" s="47"/>
      <c r="T474" s="42"/>
      <c r="U474" s="27"/>
      <c r="V474" s="47"/>
      <c r="W474" s="42"/>
      <c r="X474" s="27"/>
      <c r="Y474" s="47"/>
      <c r="Z474" s="42"/>
      <c r="AA474" s="27"/>
      <c r="AB474" s="47"/>
      <c r="AC474" s="42"/>
      <c r="AD474" s="27"/>
      <c r="AE474" s="33"/>
      <c r="AF474" s="47"/>
      <c r="AG474" s="48"/>
    </row>
    <row r="475" spans="2:33" s="38" customFormat="1" x14ac:dyDescent="0.25">
      <c r="B475" s="49"/>
      <c r="C475" s="70"/>
      <c r="D475" s="42"/>
      <c r="F475" s="33"/>
      <c r="G475" s="47"/>
      <c r="H475" s="42"/>
      <c r="I475" s="27"/>
      <c r="J475" s="47"/>
      <c r="K475" s="42"/>
      <c r="L475" s="27"/>
      <c r="M475" s="47"/>
      <c r="N475" s="42"/>
      <c r="O475" s="27"/>
      <c r="P475" s="47"/>
      <c r="Q475" s="42"/>
      <c r="R475" s="27"/>
      <c r="S475" s="47"/>
      <c r="T475" s="42"/>
      <c r="U475" s="27"/>
      <c r="V475" s="47"/>
      <c r="W475" s="42"/>
      <c r="X475" s="27"/>
      <c r="Y475" s="47"/>
      <c r="Z475" s="42"/>
      <c r="AA475" s="27"/>
      <c r="AB475" s="47"/>
      <c r="AC475" s="42"/>
      <c r="AD475" s="27"/>
      <c r="AE475" s="33"/>
      <c r="AF475" s="47"/>
      <c r="AG475" s="48"/>
    </row>
    <row r="476" spans="2:33" s="38" customFormat="1" x14ac:dyDescent="0.25">
      <c r="B476" s="49"/>
      <c r="C476" s="70"/>
      <c r="D476" s="42"/>
      <c r="F476" s="33"/>
      <c r="G476" s="47"/>
      <c r="H476" s="42"/>
      <c r="I476" s="27"/>
      <c r="J476" s="47"/>
      <c r="K476" s="42"/>
      <c r="L476" s="27"/>
      <c r="M476" s="47"/>
      <c r="N476" s="42"/>
      <c r="O476" s="27"/>
      <c r="P476" s="47"/>
      <c r="Q476" s="42"/>
      <c r="R476" s="27"/>
      <c r="S476" s="47"/>
      <c r="T476" s="42"/>
      <c r="U476" s="27"/>
      <c r="V476" s="47"/>
      <c r="W476" s="42"/>
      <c r="X476" s="27"/>
      <c r="Y476" s="47"/>
      <c r="Z476" s="42"/>
      <c r="AA476" s="27"/>
      <c r="AB476" s="47"/>
      <c r="AC476" s="42"/>
      <c r="AD476" s="27"/>
      <c r="AE476" s="33"/>
      <c r="AF476" s="47"/>
      <c r="AG476" s="48"/>
    </row>
    <row r="477" spans="2:33" s="38" customFormat="1" x14ac:dyDescent="0.25">
      <c r="B477" s="49"/>
      <c r="C477" s="70"/>
      <c r="D477" s="42"/>
      <c r="F477" s="33"/>
      <c r="G477" s="47"/>
      <c r="H477" s="42"/>
      <c r="I477" s="27"/>
      <c r="J477" s="47"/>
      <c r="K477" s="42"/>
      <c r="L477" s="27"/>
      <c r="M477" s="47"/>
      <c r="N477" s="42"/>
      <c r="O477" s="27"/>
      <c r="P477" s="47"/>
      <c r="Q477" s="42"/>
      <c r="R477" s="27"/>
      <c r="S477" s="47"/>
      <c r="T477" s="42"/>
      <c r="U477" s="27"/>
      <c r="V477" s="47"/>
      <c r="W477" s="42"/>
      <c r="X477" s="27"/>
      <c r="Y477" s="47"/>
      <c r="Z477" s="42"/>
      <c r="AA477" s="27"/>
      <c r="AB477" s="47"/>
      <c r="AC477" s="42"/>
      <c r="AD477" s="27"/>
      <c r="AE477" s="33"/>
      <c r="AF477" s="47"/>
      <c r="AG477" s="48"/>
    </row>
    <row r="478" spans="2:33" s="38" customFormat="1" x14ac:dyDescent="0.25">
      <c r="B478" s="49"/>
      <c r="C478" s="70"/>
      <c r="D478" s="42"/>
      <c r="F478" s="33"/>
      <c r="G478" s="47"/>
      <c r="H478" s="42"/>
      <c r="I478" s="27"/>
      <c r="J478" s="47"/>
      <c r="K478" s="42"/>
      <c r="L478" s="27"/>
      <c r="M478" s="47"/>
      <c r="N478" s="42"/>
      <c r="O478" s="27"/>
      <c r="P478" s="47"/>
      <c r="Q478" s="42"/>
      <c r="R478" s="27"/>
      <c r="S478" s="47"/>
      <c r="T478" s="42"/>
      <c r="U478" s="27"/>
      <c r="V478" s="47"/>
      <c r="W478" s="42"/>
      <c r="X478" s="27"/>
      <c r="Y478" s="47"/>
      <c r="Z478" s="42"/>
      <c r="AA478" s="27"/>
      <c r="AB478" s="47"/>
      <c r="AC478" s="42"/>
      <c r="AD478" s="27"/>
      <c r="AE478" s="33"/>
      <c r="AF478" s="47"/>
      <c r="AG478" s="48"/>
    </row>
    <row r="479" spans="2:33" s="38" customFormat="1" x14ac:dyDescent="0.25">
      <c r="B479" s="49"/>
      <c r="C479" s="70"/>
      <c r="D479" s="42"/>
      <c r="F479" s="33"/>
      <c r="G479" s="47"/>
      <c r="H479" s="42"/>
      <c r="I479" s="27"/>
      <c r="J479" s="47"/>
      <c r="K479" s="42"/>
      <c r="L479" s="27"/>
      <c r="M479" s="47"/>
      <c r="N479" s="42"/>
      <c r="O479" s="27"/>
      <c r="P479" s="47"/>
      <c r="Q479" s="42"/>
      <c r="R479" s="27"/>
      <c r="S479" s="47"/>
      <c r="T479" s="42"/>
      <c r="U479" s="27"/>
      <c r="V479" s="47"/>
      <c r="W479" s="42"/>
      <c r="X479" s="27"/>
      <c r="Y479" s="47"/>
      <c r="Z479" s="42"/>
      <c r="AA479" s="27"/>
      <c r="AB479" s="47"/>
      <c r="AC479" s="42"/>
      <c r="AD479" s="27"/>
      <c r="AE479" s="33"/>
      <c r="AF479" s="47"/>
      <c r="AG479" s="48"/>
    </row>
    <row r="480" spans="2:33" s="38" customFormat="1" x14ac:dyDescent="0.25">
      <c r="B480" s="49"/>
      <c r="C480" s="70"/>
      <c r="D480" s="42"/>
      <c r="F480" s="33"/>
      <c r="G480" s="47"/>
      <c r="H480" s="42"/>
      <c r="I480" s="27"/>
      <c r="J480" s="47"/>
      <c r="K480" s="42"/>
      <c r="L480" s="27"/>
      <c r="M480" s="47"/>
      <c r="N480" s="42"/>
      <c r="O480" s="27"/>
      <c r="P480" s="47"/>
      <c r="Q480" s="42"/>
      <c r="R480" s="27"/>
      <c r="S480" s="47"/>
      <c r="T480" s="42"/>
      <c r="U480" s="27"/>
      <c r="V480" s="47"/>
      <c r="W480" s="42"/>
      <c r="X480" s="27"/>
      <c r="Y480" s="47"/>
      <c r="Z480" s="42"/>
      <c r="AA480" s="27"/>
      <c r="AB480" s="47"/>
      <c r="AC480" s="42"/>
      <c r="AD480" s="27"/>
      <c r="AE480" s="33"/>
      <c r="AF480" s="47"/>
      <c r="AG480" s="48"/>
    </row>
    <row r="481" spans="2:33" s="38" customFormat="1" x14ac:dyDescent="0.25">
      <c r="B481" s="49"/>
      <c r="C481" s="70"/>
      <c r="D481" s="42"/>
      <c r="F481" s="33"/>
      <c r="G481" s="47"/>
      <c r="H481" s="42"/>
      <c r="I481" s="27"/>
      <c r="J481" s="47"/>
      <c r="K481" s="42"/>
      <c r="L481" s="27"/>
      <c r="M481" s="47"/>
      <c r="N481" s="42"/>
      <c r="O481" s="27"/>
      <c r="P481" s="47"/>
      <c r="Q481" s="42"/>
      <c r="R481" s="27"/>
      <c r="S481" s="47"/>
      <c r="T481" s="42"/>
      <c r="U481" s="27"/>
      <c r="V481" s="47"/>
      <c r="W481" s="42"/>
      <c r="X481" s="27"/>
      <c r="Y481" s="47"/>
      <c r="Z481" s="42"/>
      <c r="AA481" s="27"/>
      <c r="AB481" s="47"/>
      <c r="AC481" s="42"/>
      <c r="AD481" s="27"/>
      <c r="AE481" s="33"/>
      <c r="AF481" s="47"/>
      <c r="AG481" s="48"/>
    </row>
    <row r="482" spans="2:33" s="38" customFormat="1" x14ac:dyDescent="0.25">
      <c r="B482" s="49"/>
      <c r="C482" s="70"/>
      <c r="D482" s="42"/>
      <c r="F482" s="33"/>
      <c r="G482" s="47"/>
      <c r="H482" s="42"/>
      <c r="I482" s="27"/>
      <c r="J482" s="47"/>
      <c r="K482" s="42"/>
      <c r="L482" s="27"/>
      <c r="M482" s="47"/>
      <c r="N482" s="42"/>
      <c r="O482" s="27"/>
      <c r="P482" s="47"/>
      <c r="Q482" s="42"/>
      <c r="R482" s="27"/>
      <c r="S482" s="47"/>
      <c r="T482" s="42"/>
      <c r="U482" s="27"/>
      <c r="V482" s="47"/>
      <c r="W482" s="42"/>
      <c r="X482" s="27"/>
      <c r="Y482" s="47"/>
      <c r="Z482" s="42"/>
      <c r="AA482" s="27"/>
      <c r="AB482" s="47"/>
      <c r="AC482" s="42"/>
      <c r="AD482" s="27"/>
      <c r="AE482" s="33"/>
      <c r="AF482" s="47"/>
      <c r="AG482" s="48"/>
    </row>
    <row r="483" spans="2:33" s="38" customFormat="1" x14ac:dyDescent="0.25">
      <c r="B483" s="49"/>
      <c r="C483" s="70"/>
      <c r="D483" s="42"/>
      <c r="F483" s="33"/>
      <c r="G483" s="47"/>
      <c r="H483" s="42"/>
      <c r="I483" s="27"/>
      <c r="J483" s="47"/>
      <c r="K483" s="42"/>
      <c r="L483" s="27"/>
      <c r="M483" s="47"/>
      <c r="N483" s="42"/>
      <c r="O483" s="27"/>
      <c r="P483" s="47"/>
      <c r="Q483" s="42"/>
      <c r="R483" s="27"/>
      <c r="S483" s="47"/>
      <c r="T483" s="42"/>
      <c r="U483" s="27"/>
      <c r="V483" s="47"/>
      <c r="W483" s="42"/>
      <c r="X483" s="27"/>
      <c r="Y483" s="47"/>
      <c r="Z483" s="42"/>
      <c r="AA483" s="27"/>
      <c r="AB483" s="47"/>
      <c r="AC483" s="42"/>
      <c r="AD483" s="27"/>
      <c r="AE483" s="33"/>
      <c r="AF483" s="47"/>
      <c r="AG483" s="48"/>
    </row>
    <row r="484" spans="2:33" s="38" customFormat="1" x14ac:dyDescent="0.25">
      <c r="B484" s="49"/>
      <c r="C484" s="70"/>
      <c r="D484" s="42"/>
      <c r="F484" s="33"/>
      <c r="G484" s="47"/>
      <c r="H484" s="42"/>
      <c r="I484" s="27"/>
      <c r="J484" s="47"/>
      <c r="K484" s="42"/>
      <c r="L484" s="27"/>
      <c r="M484" s="47"/>
      <c r="N484" s="42"/>
      <c r="O484" s="27"/>
      <c r="P484" s="47"/>
      <c r="Q484" s="42"/>
      <c r="R484" s="27"/>
      <c r="S484" s="47"/>
      <c r="T484" s="42"/>
      <c r="U484" s="27"/>
      <c r="V484" s="47"/>
      <c r="W484" s="42"/>
      <c r="X484" s="27"/>
      <c r="Y484" s="47"/>
      <c r="Z484" s="42"/>
      <c r="AA484" s="27"/>
      <c r="AB484" s="47"/>
      <c r="AC484" s="42"/>
      <c r="AD484" s="27"/>
      <c r="AE484" s="33"/>
      <c r="AF484" s="47"/>
      <c r="AG484" s="48"/>
    </row>
    <row r="485" spans="2:33" s="38" customFormat="1" x14ac:dyDescent="0.25">
      <c r="B485" s="49"/>
      <c r="C485" s="70"/>
      <c r="D485" s="42"/>
      <c r="F485" s="33"/>
      <c r="G485" s="47"/>
      <c r="H485" s="42"/>
      <c r="I485" s="27"/>
      <c r="J485" s="47"/>
      <c r="K485" s="42"/>
      <c r="L485" s="27"/>
      <c r="M485" s="47"/>
      <c r="N485" s="42"/>
      <c r="O485" s="27"/>
      <c r="P485" s="47"/>
      <c r="Q485" s="42"/>
      <c r="R485" s="27"/>
      <c r="S485" s="47"/>
      <c r="T485" s="42"/>
      <c r="U485" s="27"/>
      <c r="V485" s="47"/>
      <c r="W485" s="42"/>
      <c r="X485" s="27"/>
      <c r="Y485" s="47"/>
      <c r="Z485" s="42"/>
      <c r="AA485" s="27"/>
      <c r="AB485" s="47"/>
      <c r="AC485" s="42"/>
      <c r="AD485" s="27"/>
      <c r="AE485" s="33"/>
      <c r="AF485" s="47"/>
      <c r="AG485" s="48"/>
    </row>
    <row r="486" spans="2:33" s="38" customFormat="1" x14ac:dyDescent="0.25">
      <c r="B486" s="49"/>
      <c r="C486" s="70"/>
      <c r="D486" s="42"/>
      <c r="F486" s="33"/>
      <c r="G486" s="47"/>
      <c r="H486" s="42"/>
      <c r="I486" s="27"/>
      <c r="J486" s="47"/>
      <c r="K486" s="42"/>
      <c r="L486" s="27"/>
      <c r="M486" s="47"/>
      <c r="N486" s="42"/>
      <c r="O486" s="27"/>
      <c r="P486" s="47"/>
      <c r="Q486" s="42"/>
      <c r="R486" s="27"/>
      <c r="S486" s="47"/>
      <c r="T486" s="42"/>
      <c r="U486" s="27"/>
      <c r="V486" s="47"/>
      <c r="W486" s="42"/>
      <c r="X486" s="27"/>
      <c r="Y486" s="47"/>
      <c r="Z486" s="42"/>
      <c r="AA486" s="27"/>
      <c r="AB486" s="47"/>
      <c r="AC486" s="42"/>
      <c r="AD486" s="27"/>
      <c r="AE486" s="33"/>
      <c r="AF486" s="47"/>
      <c r="AG486" s="48"/>
    </row>
    <row r="487" spans="2:33" s="38" customFormat="1" x14ac:dyDescent="0.25">
      <c r="B487" s="49"/>
      <c r="C487" s="70"/>
      <c r="D487" s="42"/>
      <c r="F487" s="33"/>
      <c r="G487" s="47"/>
      <c r="H487" s="42"/>
      <c r="I487" s="27"/>
      <c r="J487" s="47"/>
      <c r="K487" s="42"/>
      <c r="L487" s="27"/>
      <c r="M487" s="47"/>
      <c r="N487" s="42"/>
      <c r="O487" s="27"/>
      <c r="P487" s="47"/>
      <c r="Q487" s="42"/>
      <c r="R487" s="27"/>
      <c r="S487" s="47"/>
      <c r="T487" s="42"/>
      <c r="U487" s="27"/>
      <c r="V487" s="47"/>
      <c r="W487" s="42"/>
      <c r="X487" s="27"/>
      <c r="Y487" s="47"/>
      <c r="Z487" s="42"/>
      <c r="AA487" s="27"/>
      <c r="AB487" s="47"/>
      <c r="AC487" s="42"/>
      <c r="AD487" s="27"/>
      <c r="AE487" s="33"/>
      <c r="AF487" s="47"/>
      <c r="AG487" s="48"/>
    </row>
    <row r="488" spans="2:33" s="38" customFormat="1" x14ac:dyDescent="0.25">
      <c r="B488" s="49"/>
      <c r="C488" s="70"/>
      <c r="D488" s="42"/>
      <c r="F488" s="33"/>
      <c r="G488" s="47"/>
      <c r="H488" s="42"/>
      <c r="I488" s="27"/>
      <c r="J488" s="47"/>
      <c r="K488" s="42"/>
      <c r="L488" s="27"/>
      <c r="M488" s="47"/>
      <c r="N488" s="42"/>
      <c r="O488" s="27"/>
      <c r="P488" s="47"/>
      <c r="Q488" s="42"/>
      <c r="R488" s="27"/>
      <c r="S488" s="47"/>
      <c r="T488" s="42"/>
      <c r="U488" s="27"/>
      <c r="V488" s="47"/>
      <c r="W488" s="42"/>
      <c r="X488" s="27"/>
      <c r="Y488" s="47"/>
      <c r="Z488" s="42"/>
      <c r="AA488" s="27"/>
      <c r="AB488" s="47"/>
      <c r="AC488" s="42"/>
      <c r="AD488" s="27"/>
      <c r="AE488" s="33"/>
      <c r="AF488" s="47"/>
      <c r="AG488" s="48"/>
    </row>
    <row r="489" spans="2:33" s="38" customFormat="1" x14ac:dyDescent="0.25">
      <c r="B489" s="49"/>
      <c r="C489" s="70"/>
      <c r="D489" s="42"/>
      <c r="F489" s="33"/>
      <c r="G489" s="47"/>
      <c r="H489" s="42"/>
      <c r="I489" s="27"/>
      <c r="J489" s="47"/>
      <c r="K489" s="42"/>
      <c r="L489" s="27"/>
      <c r="M489" s="47"/>
      <c r="N489" s="42"/>
      <c r="O489" s="27"/>
      <c r="P489" s="47"/>
      <c r="Q489" s="42"/>
      <c r="R489" s="27"/>
      <c r="S489" s="47"/>
      <c r="T489" s="42"/>
      <c r="U489" s="27"/>
      <c r="V489" s="47"/>
      <c r="W489" s="42"/>
      <c r="X489" s="27"/>
      <c r="Y489" s="47"/>
      <c r="Z489" s="42"/>
      <c r="AA489" s="27"/>
      <c r="AB489" s="47"/>
      <c r="AC489" s="42"/>
      <c r="AD489" s="27"/>
      <c r="AE489" s="33"/>
      <c r="AF489" s="47"/>
      <c r="AG489" s="48"/>
    </row>
    <row r="490" spans="2:33" s="38" customFormat="1" x14ac:dyDescent="0.25">
      <c r="B490" s="49"/>
      <c r="C490" s="70"/>
      <c r="D490" s="42"/>
      <c r="F490" s="33"/>
      <c r="G490" s="47"/>
      <c r="H490" s="42"/>
      <c r="I490" s="27"/>
      <c r="J490" s="47"/>
      <c r="K490" s="42"/>
      <c r="L490" s="27"/>
      <c r="M490" s="47"/>
      <c r="N490" s="42"/>
      <c r="O490" s="27"/>
      <c r="P490" s="47"/>
      <c r="Q490" s="42"/>
      <c r="R490" s="27"/>
      <c r="S490" s="47"/>
      <c r="T490" s="42"/>
      <c r="U490" s="27"/>
      <c r="V490" s="47"/>
      <c r="W490" s="42"/>
      <c r="X490" s="27"/>
      <c r="Y490" s="47"/>
      <c r="Z490" s="42"/>
      <c r="AA490" s="27"/>
      <c r="AB490" s="47"/>
      <c r="AC490" s="42"/>
      <c r="AD490" s="27"/>
      <c r="AE490" s="33"/>
      <c r="AF490" s="47"/>
      <c r="AG490" s="48"/>
    </row>
    <row r="491" spans="2:33" s="38" customFormat="1" x14ac:dyDescent="0.25">
      <c r="B491" s="49"/>
      <c r="C491" s="70"/>
      <c r="D491" s="42"/>
      <c r="F491" s="33"/>
      <c r="G491" s="47"/>
      <c r="H491" s="42"/>
      <c r="I491" s="27"/>
      <c r="J491" s="47"/>
      <c r="K491" s="42"/>
      <c r="L491" s="27"/>
      <c r="M491" s="47"/>
      <c r="N491" s="42"/>
      <c r="O491" s="27"/>
      <c r="P491" s="47"/>
      <c r="Q491" s="42"/>
      <c r="R491" s="27"/>
      <c r="S491" s="47"/>
      <c r="T491" s="42"/>
      <c r="U491" s="27"/>
      <c r="V491" s="47"/>
      <c r="W491" s="42"/>
      <c r="X491" s="27"/>
      <c r="Y491" s="47"/>
      <c r="Z491" s="42"/>
      <c r="AA491" s="27"/>
      <c r="AB491" s="47"/>
      <c r="AC491" s="42"/>
      <c r="AD491" s="27"/>
      <c r="AE491" s="33"/>
      <c r="AF491" s="47"/>
      <c r="AG491" s="48"/>
    </row>
    <row r="492" spans="2:33" s="38" customFormat="1" x14ac:dyDescent="0.25">
      <c r="B492" s="49"/>
      <c r="C492" s="70"/>
      <c r="D492" s="42"/>
      <c r="F492" s="33"/>
      <c r="G492" s="47"/>
      <c r="H492" s="42"/>
      <c r="I492" s="27"/>
      <c r="J492" s="47"/>
      <c r="K492" s="42"/>
      <c r="L492" s="27"/>
      <c r="M492" s="47"/>
      <c r="N492" s="42"/>
      <c r="O492" s="27"/>
      <c r="P492" s="47"/>
      <c r="Q492" s="42"/>
      <c r="R492" s="27"/>
      <c r="S492" s="47"/>
      <c r="T492" s="42"/>
      <c r="U492" s="27"/>
      <c r="V492" s="47"/>
      <c r="W492" s="42"/>
      <c r="X492" s="27"/>
      <c r="Y492" s="47"/>
      <c r="Z492" s="42"/>
      <c r="AA492" s="27"/>
      <c r="AB492" s="47"/>
      <c r="AC492" s="42"/>
      <c r="AD492" s="27"/>
      <c r="AE492" s="33"/>
      <c r="AF492" s="47"/>
      <c r="AG492" s="48"/>
    </row>
    <row r="493" spans="2:33" s="38" customFormat="1" x14ac:dyDescent="0.25">
      <c r="B493" s="49"/>
      <c r="C493" s="70"/>
      <c r="D493" s="42"/>
      <c r="F493" s="33"/>
      <c r="G493" s="47"/>
      <c r="H493" s="42"/>
      <c r="I493" s="27"/>
      <c r="J493" s="47"/>
      <c r="K493" s="42"/>
      <c r="L493" s="27"/>
      <c r="M493" s="47"/>
      <c r="N493" s="42"/>
      <c r="O493" s="27"/>
      <c r="P493" s="47"/>
      <c r="Q493" s="42"/>
      <c r="R493" s="27"/>
      <c r="S493" s="47"/>
      <c r="T493" s="42"/>
      <c r="U493" s="27"/>
      <c r="V493" s="47"/>
      <c r="W493" s="42"/>
      <c r="X493" s="27"/>
      <c r="Y493" s="47"/>
      <c r="Z493" s="42"/>
      <c r="AA493" s="27"/>
      <c r="AB493" s="47"/>
      <c r="AC493" s="42"/>
      <c r="AD493" s="27"/>
      <c r="AE493" s="33"/>
      <c r="AF493" s="47"/>
      <c r="AG493" s="48"/>
    </row>
    <row r="494" spans="2:33" s="38" customFormat="1" x14ac:dyDescent="0.25">
      <c r="B494" s="49"/>
      <c r="C494" s="70"/>
      <c r="D494" s="42"/>
      <c r="F494" s="33"/>
      <c r="G494" s="47"/>
      <c r="H494" s="42"/>
      <c r="I494" s="27"/>
      <c r="J494" s="47"/>
      <c r="K494" s="42"/>
      <c r="L494" s="27"/>
      <c r="M494" s="47"/>
      <c r="N494" s="42"/>
      <c r="O494" s="27"/>
      <c r="P494" s="47"/>
      <c r="Q494" s="42"/>
      <c r="R494" s="27"/>
      <c r="S494" s="47"/>
      <c r="T494" s="42"/>
      <c r="U494" s="27"/>
      <c r="V494" s="47"/>
      <c r="W494" s="42"/>
      <c r="X494" s="27"/>
      <c r="Y494" s="47"/>
      <c r="Z494" s="42"/>
      <c r="AA494" s="27"/>
      <c r="AB494" s="47"/>
      <c r="AC494" s="42"/>
      <c r="AD494" s="27"/>
      <c r="AE494" s="33"/>
      <c r="AF494" s="47"/>
      <c r="AG494" s="48"/>
    </row>
    <row r="495" spans="2:33" s="38" customFormat="1" x14ac:dyDescent="0.25">
      <c r="B495" s="49"/>
      <c r="C495" s="70"/>
      <c r="D495" s="42"/>
      <c r="F495" s="33"/>
      <c r="G495" s="47"/>
      <c r="H495" s="42"/>
      <c r="I495" s="27"/>
      <c r="J495" s="47"/>
      <c r="K495" s="42"/>
      <c r="L495" s="27"/>
      <c r="M495" s="47"/>
      <c r="N495" s="42"/>
      <c r="O495" s="27"/>
      <c r="P495" s="47"/>
      <c r="Q495" s="42"/>
      <c r="R495" s="27"/>
      <c r="S495" s="47"/>
      <c r="T495" s="42"/>
      <c r="U495" s="27"/>
      <c r="V495" s="47"/>
      <c r="W495" s="42"/>
      <c r="X495" s="27"/>
      <c r="Y495" s="47"/>
      <c r="Z495" s="42"/>
      <c r="AA495" s="27"/>
      <c r="AB495" s="47"/>
      <c r="AC495" s="42"/>
      <c r="AD495" s="27"/>
      <c r="AE495" s="33"/>
      <c r="AF495" s="47"/>
      <c r="AG495" s="48"/>
    </row>
    <row r="496" spans="2:33" s="38" customFormat="1" x14ac:dyDescent="0.25">
      <c r="B496" s="49"/>
      <c r="C496" s="70"/>
      <c r="D496" s="42"/>
      <c r="F496" s="33"/>
      <c r="G496" s="47"/>
      <c r="H496" s="42"/>
      <c r="I496" s="27"/>
      <c r="J496" s="47"/>
      <c r="K496" s="42"/>
      <c r="L496" s="27"/>
      <c r="M496" s="47"/>
      <c r="N496" s="42"/>
      <c r="O496" s="27"/>
      <c r="P496" s="47"/>
      <c r="Q496" s="42"/>
      <c r="R496" s="27"/>
      <c r="S496" s="47"/>
      <c r="T496" s="42"/>
      <c r="U496" s="27"/>
      <c r="V496" s="47"/>
      <c r="W496" s="42"/>
      <c r="X496" s="27"/>
      <c r="Y496" s="47"/>
      <c r="Z496" s="42"/>
      <c r="AA496" s="27"/>
      <c r="AB496" s="47"/>
      <c r="AC496" s="42"/>
      <c r="AD496" s="27"/>
      <c r="AE496" s="33"/>
      <c r="AF496" s="47"/>
      <c r="AG496" s="48"/>
    </row>
    <row r="497" spans="2:33" s="38" customFormat="1" x14ac:dyDescent="0.25">
      <c r="B497" s="49"/>
      <c r="C497" s="70"/>
      <c r="D497" s="42"/>
      <c r="F497" s="33"/>
      <c r="G497" s="47"/>
      <c r="H497" s="42"/>
      <c r="I497" s="27"/>
      <c r="J497" s="47"/>
      <c r="K497" s="42"/>
      <c r="L497" s="27"/>
      <c r="M497" s="47"/>
      <c r="N497" s="42"/>
      <c r="O497" s="27"/>
      <c r="P497" s="47"/>
      <c r="Q497" s="42"/>
      <c r="R497" s="27"/>
      <c r="S497" s="47"/>
      <c r="T497" s="42"/>
      <c r="U497" s="27"/>
      <c r="V497" s="47"/>
      <c r="W497" s="42"/>
      <c r="X497" s="27"/>
      <c r="Y497" s="47"/>
      <c r="Z497" s="42"/>
      <c r="AA497" s="27"/>
      <c r="AB497" s="47"/>
      <c r="AC497" s="42"/>
      <c r="AD497" s="27"/>
      <c r="AE497" s="33"/>
      <c r="AF497" s="47"/>
      <c r="AG497" s="48"/>
    </row>
    <row r="498" spans="2:33" s="38" customFormat="1" x14ac:dyDescent="0.25">
      <c r="B498" s="49"/>
      <c r="C498" s="70"/>
      <c r="D498" s="42"/>
      <c r="F498" s="33"/>
      <c r="G498" s="47"/>
      <c r="H498" s="42"/>
      <c r="I498" s="27"/>
      <c r="J498" s="47"/>
      <c r="K498" s="42"/>
      <c r="L498" s="27"/>
      <c r="M498" s="47"/>
      <c r="N498" s="42"/>
      <c r="O498" s="27"/>
      <c r="P498" s="47"/>
      <c r="Q498" s="42"/>
      <c r="R498" s="27"/>
      <c r="S498" s="47"/>
      <c r="T498" s="42"/>
      <c r="U498" s="27"/>
      <c r="V498" s="47"/>
      <c r="W498" s="42"/>
      <c r="X498" s="27"/>
      <c r="Y498" s="47"/>
      <c r="Z498" s="42"/>
      <c r="AA498" s="27"/>
      <c r="AB498" s="47"/>
      <c r="AC498" s="42"/>
      <c r="AD498" s="27"/>
      <c r="AE498" s="33"/>
      <c r="AF498" s="47"/>
      <c r="AG498" s="48"/>
    </row>
    <row r="499" spans="2:33" s="38" customFormat="1" x14ac:dyDescent="0.25">
      <c r="B499" s="49"/>
      <c r="C499" s="70"/>
      <c r="D499" s="42"/>
      <c r="F499" s="33"/>
      <c r="G499" s="47"/>
      <c r="H499" s="42"/>
      <c r="I499" s="27"/>
      <c r="J499" s="47"/>
      <c r="K499" s="42"/>
      <c r="L499" s="27"/>
      <c r="M499" s="47"/>
      <c r="N499" s="42"/>
      <c r="O499" s="27"/>
      <c r="P499" s="47"/>
      <c r="Q499" s="42"/>
      <c r="R499" s="27"/>
      <c r="S499" s="47"/>
      <c r="T499" s="42"/>
      <c r="U499" s="27"/>
      <c r="V499" s="47"/>
      <c r="W499" s="42"/>
      <c r="X499" s="27"/>
      <c r="Y499" s="47"/>
      <c r="Z499" s="42"/>
      <c r="AA499" s="27"/>
      <c r="AB499" s="47"/>
      <c r="AC499" s="42"/>
      <c r="AD499" s="27"/>
      <c r="AE499" s="33"/>
      <c r="AF499" s="47"/>
      <c r="AG499" s="48"/>
    </row>
    <row r="500" spans="2:33" s="38" customFormat="1" x14ac:dyDescent="0.25">
      <c r="B500" s="49"/>
      <c r="C500" s="70"/>
      <c r="D500" s="42"/>
      <c r="F500" s="33"/>
      <c r="G500" s="47"/>
      <c r="H500" s="42"/>
      <c r="I500" s="27"/>
      <c r="J500" s="47"/>
      <c r="K500" s="42"/>
      <c r="L500" s="27"/>
      <c r="M500" s="47"/>
      <c r="N500" s="42"/>
      <c r="O500" s="27"/>
      <c r="P500" s="47"/>
      <c r="Q500" s="42"/>
      <c r="R500" s="27"/>
      <c r="S500" s="47"/>
      <c r="T500" s="42"/>
      <c r="U500" s="27"/>
      <c r="V500" s="47"/>
      <c r="W500" s="42"/>
      <c r="X500" s="27"/>
      <c r="Y500" s="47"/>
      <c r="Z500" s="42"/>
      <c r="AA500" s="27"/>
      <c r="AB500" s="47"/>
      <c r="AC500" s="42"/>
      <c r="AD500" s="27"/>
      <c r="AE500" s="33"/>
      <c r="AF500" s="47"/>
      <c r="AG500" s="48"/>
    </row>
    <row r="501" spans="2:33" s="38" customFormat="1" x14ac:dyDescent="0.25">
      <c r="B501" s="49"/>
      <c r="C501" s="70"/>
      <c r="D501" s="42"/>
      <c r="F501" s="33"/>
      <c r="G501" s="47"/>
      <c r="H501" s="42"/>
      <c r="I501" s="27"/>
      <c r="J501" s="47"/>
      <c r="K501" s="42"/>
      <c r="L501" s="27"/>
      <c r="M501" s="47"/>
      <c r="N501" s="42"/>
      <c r="O501" s="27"/>
      <c r="P501" s="47"/>
      <c r="Q501" s="42"/>
      <c r="R501" s="27"/>
      <c r="S501" s="47"/>
      <c r="T501" s="42"/>
      <c r="U501" s="27"/>
      <c r="V501" s="47"/>
      <c r="W501" s="42"/>
      <c r="X501" s="27"/>
      <c r="Y501" s="47"/>
      <c r="Z501" s="42"/>
      <c r="AA501" s="27"/>
      <c r="AB501" s="47"/>
      <c r="AC501" s="42"/>
      <c r="AD501" s="27"/>
      <c r="AE501" s="33"/>
      <c r="AF501" s="47"/>
      <c r="AG501" s="48"/>
    </row>
    <row r="502" spans="2:33" s="38" customFormat="1" x14ac:dyDescent="0.25">
      <c r="B502" s="49"/>
      <c r="C502" s="70"/>
      <c r="D502" s="42"/>
      <c r="F502" s="33"/>
      <c r="G502" s="47"/>
      <c r="H502" s="42"/>
      <c r="I502" s="27"/>
      <c r="J502" s="47"/>
      <c r="K502" s="42"/>
      <c r="L502" s="27"/>
      <c r="M502" s="47"/>
      <c r="N502" s="42"/>
      <c r="O502" s="27"/>
      <c r="P502" s="47"/>
      <c r="Q502" s="42"/>
      <c r="R502" s="27"/>
      <c r="S502" s="47"/>
      <c r="T502" s="42"/>
      <c r="U502" s="27"/>
      <c r="V502" s="47"/>
      <c r="W502" s="42"/>
      <c r="X502" s="27"/>
      <c r="Y502" s="47"/>
      <c r="Z502" s="42"/>
      <c r="AA502" s="27"/>
      <c r="AB502" s="47"/>
      <c r="AC502" s="42"/>
      <c r="AD502" s="27"/>
      <c r="AE502" s="33"/>
      <c r="AF502" s="47"/>
      <c r="AG502" s="48"/>
    </row>
    <row r="503" spans="2:33" s="38" customFormat="1" x14ac:dyDescent="0.25">
      <c r="B503" s="49"/>
      <c r="C503" s="70"/>
      <c r="D503" s="42"/>
      <c r="F503" s="33"/>
      <c r="G503" s="47"/>
      <c r="H503" s="42"/>
      <c r="I503" s="27"/>
      <c r="J503" s="47"/>
      <c r="K503" s="42"/>
      <c r="L503" s="27"/>
      <c r="M503" s="47"/>
      <c r="N503" s="42"/>
      <c r="O503" s="27"/>
      <c r="P503" s="47"/>
      <c r="Q503" s="42"/>
      <c r="R503" s="27"/>
      <c r="S503" s="47"/>
      <c r="T503" s="42"/>
      <c r="U503" s="27"/>
      <c r="V503" s="47"/>
      <c r="W503" s="42"/>
      <c r="X503" s="27"/>
      <c r="Y503" s="47"/>
      <c r="Z503" s="42"/>
      <c r="AA503" s="27"/>
      <c r="AB503" s="47"/>
      <c r="AC503" s="42"/>
      <c r="AD503" s="27"/>
      <c r="AE503" s="33"/>
      <c r="AF503" s="47"/>
      <c r="AG503" s="48"/>
    </row>
    <row r="504" spans="2:33" s="38" customFormat="1" x14ac:dyDescent="0.25">
      <c r="B504" s="49"/>
      <c r="C504" s="70"/>
      <c r="D504" s="42"/>
      <c r="F504" s="33"/>
      <c r="G504" s="47"/>
      <c r="H504" s="42"/>
      <c r="I504" s="27"/>
      <c r="J504" s="47"/>
      <c r="K504" s="42"/>
      <c r="L504" s="27"/>
      <c r="M504" s="47"/>
      <c r="N504" s="42"/>
      <c r="O504" s="27"/>
      <c r="P504" s="47"/>
      <c r="Q504" s="42"/>
      <c r="R504" s="27"/>
      <c r="S504" s="47"/>
      <c r="T504" s="42"/>
      <c r="U504" s="27"/>
      <c r="V504" s="47"/>
      <c r="W504" s="42"/>
      <c r="X504" s="27"/>
      <c r="Y504" s="47"/>
      <c r="Z504" s="42"/>
      <c r="AA504" s="27"/>
      <c r="AB504" s="47"/>
      <c r="AC504" s="42"/>
      <c r="AD504" s="27"/>
      <c r="AE504" s="33"/>
      <c r="AF504" s="47"/>
      <c r="AG504" s="48"/>
    </row>
    <row r="505" spans="2:33" s="38" customFormat="1" x14ac:dyDescent="0.25">
      <c r="B505" s="49"/>
      <c r="C505" s="70"/>
      <c r="D505" s="42"/>
      <c r="F505" s="33"/>
      <c r="G505" s="47"/>
      <c r="H505" s="42"/>
      <c r="I505" s="27"/>
      <c r="J505" s="47"/>
      <c r="K505" s="42"/>
      <c r="L505" s="27"/>
      <c r="M505" s="47"/>
      <c r="N505" s="42"/>
      <c r="O505" s="27"/>
      <c r="P505" s="47"/>
      <c r="Q505" s="42"/>
      <c r="R505" s="27"/>
      <c r="S505" s="47"/>
      <c r="T505" s="42"/>
      <c r="U505" s="27"/>
      <c r="V505" s="47"/>
      <c r="W505" s="42"/>
      <c r="X505" s="27"/>
      <c r="Y505" s="47"/>
      <c r="Z505" s="42"/>
      <c r="AA505" s="27"/>
      <c r="AB505" s="47"/>
      <c r="AC505" s="42"/>
      <c r="AD505" s="27"/>
      <c r="AE505" s="33"/>
      <c r="AF505" s="47"/>
      <c r="AG505" s="48"/>
    </row>
    <row r="506" spans="2:33" s="38" customFormat="1" x14ac:dyDescent="0.25">
      <c r="B506" s="49"/>
      <c r="C506" s="70"/>
      <c r="D506" s="42"/>
      <c r="F506" s="33"/>
      <c r="G506" s="47"/>
      <c r="H506" s="42"/>
      <c r="I506" s="27"/>
      <c r="J506" s="47"/>
      <c r="K506" s="42"/>
      <c r="L506" s="27"/>
      <c r="M506" s="47"/>
      <c r="N506" s="42"/>
      <c r="O506" s="27"/>
      <c r="P506" s="47"/>
      <c r="Q506" s="42"/>
      <c r="R506" s="27"/>
      <c r="S506" s="47"/>
      <c r="T506" s="42"/>
      <c r="U506" s="27"/>
      <c r="V506" s="47"/>
      <c r="W506" s="42"/>
      <c r="X506" s="27"/>
      <c r="Y506" s="47"/>
      <c r="Z506" s="42"/>
      <c r="AA506" s="27"/>
      <c r="AB506" s="47"/>
      <c r="AC506" s="42"/>
      <c r="AD506" s="27"/>
      <c r="AE506" s="33"/>
      <c r="AF506" s="47"/>
      <c r="AG506" s="48"/>
    </row>
    <row r="507" spans="2:33" s="38" customFormat="1" x14ac:dyDescent="0.25">
      <c r="B507" s="49"/>
      <c r="C507" s="70"/>
      <c r="D507" s="42"/>
      <c r="F507" s="33"/>
      <c r="G507" s="47"/>
      <c r="H507" s="42"/>
      <c r="I507" s="27"/>
      <c r="J507" s="47"/>
      <c r="K507" s="42"/>
      <c r="L507" s="27"/>
      <c r="M507" s="47"/>
      <c r="N507" s="42"/>
      <c r="O507" s="27"/>
      <c r="P507" s="47"/>
      <c r="Q507" s="42"/>
      <c r="R507" s="27"/>
      <c r="S507" s="47"/>
      <c r="T507" s="42"/>
      <c r="U507" s="27"/>
      <c r="V507" s="47"/>
      <c r="W507" s="42"/>
      <c r="X507" s="27"/>
      <c r="Y507" s="47"/>
      <c r="Z507" s="42"/>
      <c r="AA507" s="27"/>
      <c r="AB507" s="47"/>
      <c r="AC507" s="42"/>
      <c r="AD507" s="27"/>
      <c r="AE507" s="33"/>
      <c r="AF507" s="47"/>
      <c r="AG507" s="48"/>
    </row>
    <row r="508" spans="2:33" s="38" customFormat="1" x14ac:dyDescent="0.25">
      <c r="B508" s="49"/>
      <c r="C508" s="70"/>
      <c r="D508" s="42"/>
      <c r="F508" s="33"/>
      <c r="G508" s="47"/>
      <c r="H508" s="42"/>
      <c r="I508" s="27"/>
      <c r="J508" s="47"/>
      <c r="K508" s="42"/>
      <c r="L508" s="27"/>
      <c r="M508" s="47"/>
      <c r="N508" s="42"/>
      <c r="O508" s="27"/>
      <c r="P508" s="47"/>
      <c r="Q508" s="42"/>
      <c r="R508" s="27"/>
      <c r="S508" s="47"/>
      <c r="T508" s="42"/>
      <c r="U508" s="27"/>
      <c r="V508" s="47"/>
      <c r="W508" s="42"/>
      <c r="X508" s="27"/>
      <c r="Y508" s="47"/>
      <c r="Z508" s="42"/>
      <c r="AA508" s="27"/>
      <c r="AB508" s="47"/>
      <c r="AC508" s="42"/>
      <c r="AD508" s="27"/>
      <c r="AE508" s="33"/>
      <c r="AF508" s="47"/>
      <c r="AG508" s="48"/>
    </row>
    <row r="509" spans="2:33" s="38" customFormat="1" x14ac:dyDescent="0.25">
      <c r="B509" s="49"/>
      <c r="C509" s="70"/>
      <c r="D509" s="42"/>
      <c r="F509" s="33"/>
      <c r="G509" s="47"/>
      <c r="H509" s="42"/>
      <c r="I509" s="27"/>
      <c r="J509" s="47"/>
      <c r="K509" s="42"/>
      <c r="L509" s="27"/>
      <c r="M509" s="47"/>
      <c r="N509" s="42"/>
      <c r="O509" s="27"/>
      <c r="P509" s="47"/>
      <c r="Q509" s="42"/>
      <c r="R509" s="27"/>
      <c r="S509" s="47"/>
      <c r="T509" s="42"/>
      <c r="U509" s="27"/>
      <c r="V509" s="47"/>
      <c r="W509" s="42"/>
      <c r="X509" s="27"/>
      <c r="Y509" s="47"/>
      <c r="Z509" s="42"/>
      <c r="AA509" s="27"/>
      <c r="AB509" s="47"/>
      <c r="AC509" s="42"/>
      <c r="AD509" s="27"/>
      <c r="AE509" s="33"/>
      <c r="AF509" s="47"/>
      <c r="AG509" s="48"/>
    </row>
    <row r="510" spans="2:33" s="38" customFormat="1" x14ac:dyDescent="0.25">
      <c r="B510" s="49"/>
      <c r="C510" s="70"/>
      <c r="D510" s="42"/>
      <c r="F510" s="33"/>
      <c r="G510" s="47"/>
      <c r="H510" s="42"/>
      <c r="I510" s="27"/>
      <c r="J510" s="47"/>
      <c r="K510" s="42"/>
      <c r="L510" s="27"/>
      <c r="M510" s="47"/>
      <c r="N510" s="42"/>
      <c r="O510" s="27"/>
      <c r="P510" s="47"/>
      <c r="Q510" s="42"/>
      <c r="R510" s="27"/>
      <c r="S510" s="47"/>
      <c r="T510" s="42"/>
      <c r="U510" s="27"/>
      <c r="V510" s="47"/>
      <c r="W510" s="42"/>
      <c r="X510" s="27"/>
      <c r="Y510" s="47"/>
      <c r="Z510" s="42"/>
      <c r="AA510" s="27"/>
      <c r="AB510" s="47"/>
      <c r="AC510" s="42"/>
      <c r="AD510" s="27"/>
      <c r="AE510" s="33"/>
      <c r="AF510" s="47"/>
      <c r="AG510" s="48"/>
    </row>
    <row r="511" spans="2:33" s="38" customFormat="1" x14ac:dyDescent="0.25">
      <c r="B511" s="49"/>
      <c r="C511" s="70"/>
      <c r="D511" s="42"/>
      <c r="F511" s="33"/>
      <c r="G511" s="47"/>
      <c r="H511" s="42"/>
      <c r="I511" s="27"/>
      <c r="J511" s="47"/>
      <c r="K511" s="42"/>
      <c r="L511" s="27"/>
      <c r="M511" s="47"/>
      <c r="N511" s="42"/>
      <c r="O511" s="27"/>
      <c r="P511" s="47"/>
      <c r="Q511" s="42"/>
      <c r="R511" s="27"/>
      <c r="S511" s="47"/>
      <c r="T511" s="42"/>
      <c r="U511" s="27"/>
      <c r="V511" s="47"/>
      <c r="W511" s="42"/>
      <c r="X511" s="27"/>
      <c r="Y511" s="47"/>
      <c r="Z511" s="42"/>
      <c r="AA511" s="27"/>
      <c r="AB511" s="47"/>
      <c r="AC511" s="42"/>
      <c r="AD511" s="27"/>
      <c r="AE511" s="33"/>
      <c r="AF511" s="47"/>
      <c r="AG511" s="48"/>
    </row>
    <row r="512" spans="2:33" s="38" customFormat="1" x14ac:dyDescent="0.25">
      <c r="B512" s="49"/>
      <c r="C512" s="70"/>
      <c r="D512" s="42"/>
      <c r="F512" s="33"/>
      <c r="G512" s="47"/>
      <c r="H512" s="42"/>
      <c r="I512" s="27"/>
      <c r="J512" s="47"/>
      <c r="K512" s="42"/>
      <c r="L512" s="27"/>
      <c r="M512" s="47"/>
      <c r="N512" s="42"/>
      <c r="O512" s="27"/>
      <c r="P512" s="47"/>
      <c r="Q512" s="42"/>
      <c r="R512" s="27"/>
      <c r="S512" s="47"/>
      <c r="T512" s="42"/>
      <c r="U512" s="27"/>
      <c r="V512" s="47"/>
      <c r="W512" s="42"/>
      <c r="X512" s="27"/>
      <c r="Y512" s="47"/>
      <c r="Z512" s="42"/>
      <c r="AA512" s="27"/>
      <c r="AB512" s="47"/>
      <c r="AC512" s="42"/>
      <c r="AD512" s="27"/>
      <c r="AE512" s="33"/>
      <c r="AF512" s="47"/>
      <c r="AG512" s="48"/>
    </row>
    <row r="513" spans="2:33" s="38" customFormat="1" x14ac:dyDescent="0.25">
      <c r="B513" s="49"/>
      <c r="C513" s="70"/>
      <c r="D513" s="42"/>
      <c r="F513" s="33"/>
      <c r="G513" s="47"/>
      <c r="H513" s="42"/>
      <c r="I513" s="27"/>
      <c r="J513" s="47"/>
      <c r="K513" s="42"/>
      <c r="L513" s="27"/>
      <c r="M513" s="47"/>
      <c r="N513" s="42"/>
      <c r="O513" s="27"/>
      <c r="P513" s="47"/>
      <c r="Q513" s="42"/>
      <c r="R513" s="27"/>
      <c r="S513" s="47"/>
      <c r="T513" s="42"/>
      <c r="U513" s="27"/>
      <c r="V513" s="47"/>
      <c r="W513" s="42"/>
      <c r="X513" s="27"/>
      <c r="Y513" s="47"/>
      <c r="Z513" s="42"/>
      <c r="AA513" s="27"/>
      <c r="AB513" s="47"/>
      <c r="AC513" s="42"/>
      <c r="AD513" s="27"/>
      <c r="AE513" s="33"/>
      <c r="AF513" s="47"/>
      <c r="AG513" s="48"/>
    </row>
    <row r="514" spans="2:33" s="38" customFormat="1" x14ac:dyDescent="0.25">
      <c r="B514" s="49"/>
      <c r="C514" s="70"/>
      <c r="D514" s="42"/>
      <c r="F514" s="33"/>
      <c r="G514" s="47"/>
      <c r="H514" s="42"/>
      <c r="I514" s="27"/>
      <c r="J514" s="47"/>
      <c r="K514" s="42"/>
      <c r="L514" s="27"/>
      <c r="M514" s="47"/>
      <c r="N514" s="42"/>
      <c r="O514" s="27"/>
      <c r="P514" s="47"/>
      <c r="Q514" s="42"/>
      <c r="R514" s="27"/>
      <c r="S514" s="47"/>
      <c r="T514" s="42"/>
      <c r="U514" s="27"/>
      <c r="V514" s="47"/>
      <c r="W514" s="42"/>
      <c r="X514" s="27"/>
      <c r="Y514" s="47"/>
      <c r="Z514" s="42"/>
      <c r="AA514" s="27"/>
      <c r="AB514" s="47"/>
      <c r="AC514" s="42"/>
      <c r="AD514" s="27"/>
      <c r="AE514" s="33"/>
      <c r="AF514" s="47"/>
      <c r="AG514" s="48"/>
    </row>
    <row r="515" spans="2:33" s="38" customFormat="1" x14ac:dyDescent="0.25">
      <c r="B515" s="49"/>
      <c r="C515" s="70"/>
      <c r="D515" s="42"/>
      <c r="F515" s="33"/>
      <c r="G515" s="47"/>
      <c r="H515" s="42"/>
      <c r="I515" s="27"/>
      <c r="J515" s="47"/>
      <c r="K515" s="42"/>
      <c r="L515" s="27"/>
      <c r="M515" s="47"/>
      <c r="N515" s="42"/>
      <c r="O515" s="27"/>
      <c r="P515" s="47"/>
      <c r="Q515" s="42"/>
      <c r="R515" s="27"/>
      <c r="S515" s="47"/>
      <c r="T515" s="42"/>
      <c r="U515" s="27"/>
      <c r="V515" s="47"/>
      <c r="W515" s="42"/>
      <c r="X515" s="27"/>
      <c r="Y515" s="47"/>
      <c r="Z515" s="42"/>
      <c r="AA515" s="27"/>
      <c r="AB515" s="47"/>
      <c r="AC515" s="42"/>
      <c r="AD515" s="27"/>
      <c r="AE515" s="33"/>
      <c r="AF515" s="47"/>
      <c r="AG515" s="48"/>
    </row>
    <row r="516" spans="2:33" s="38" customFormat="1" x14ac:dyDescent="0.25">
      <c r="B516" s="49"/>
      <c r="C516" s="70"/>
      <c r="D516" s="42"/>
      <c r="F516" s="33"/>
      <c r="G516" s="47"/>
      <c r="H516" s="42"/>
      <c r="I516" s="27"/>
      <c r="J516" s="47"/>
      <c r="K516" s="42"/>
      <c r="L516" s="27"/>
      <c r="M516" s="47"/>
      <c r="N516" s="42"/>
      <c r="O516" s="27"/>
      <c r="P516" s="47"/>
      <c r="Q516" s="42"/>
      <c r="R516" s="27"/>
      <c r="S516" s="47"/>
      <c r="T516" s="42"/>
      <c r="U516" s="27"/>
      <c r="V516" s="47"/>
      <c r="W516" s="42"/>
      <c r="X516" s="27"/>
      <c r="Y516" s="47"/>
      <c r="Z516" s="42"/>
      <c r="AA516" s="27"/>
      <c r="AB516" s="47"/>
      <c r="AC516" s="42"/>
      <c r="AD516" s="27"/>
      <c r="AE516" s="33"/>
      <c r="AF516" s="47"/>
      <c r="AG516" s="48"/>
    </row>
    <row r="517" spans="2:33" s="38" customFormat="1" x14ac:dyDescent="0.25">
      <c r="B517" s="49"/>
      <c r="C517" s="70"/>
      <c r="D517" s="42"/>
      <c r="F517" s="33"/>
      <c r="G517" s="47"/>
      <c r="H517" s="42"/>
      <c r="I517" s="27"/>
      <c r="J517" s="47"/>
      <c r="K517" s="42"/>
      <c r="L517" s="27"/>
      <c r="M517" s="47"/>
      <c r="N517" s="42"/>
      <c r="O517" s="27"/>
      <c r="P517" s="47"/>
      <c r="Q517" s="42"/>
      <c r="R517" s="27"/>
      <c r="S517" s="47"/>
      <c r="T517" s="42"/>
      <c r="U517" s="27"/>
      <c r="V517" s="47"/>
      <c r="W517" s="42"/>
      <c r="X517" s="27"/>
      <c r="Y517" s="47"/>
      <c r="Z517" s="42"/>
      <c r="AA517" s="27"/>
      <c r="AB517" s="47"/>
      <c r="AC517" s="42"/>
      <c r="AD517" s="27"/>
      <c r="AE517" s="33"/>
      <c r="AF517" s="47"/>
      <c r="AG517" s="48"/>
    </row>
    <row r="518" spans="2:33" s="38" customFormat="1" x14ac:dyDescent="0.25">
      <c r="B518" s="49"/>
      <c r="C518" s="70"/>
      <c r="D518" s="42"/>
      <c r="F518" s="33"/>
      <c r="G518" s="47"/>
      <c r="H518" s="42"/>
      <c r="I518" s="27"/>
      <c r="J518" s="47"/>
      <c r="K518" s="42"/>
      <c r="L518" s="27"/>
      <c r="M518" s="47"/>
      <c r="N518" s="42"/>
      <c r="O518" s="27"/>
      <c r="P518" s="47"/>
      <c r="Q518" s="42"/>
      <c r="R518" s="27"/>
      <c r="S518" s="47"/>
      <c r="T518" s="42"/>
      <c r="U518" s="27"/>
      <c r="V518" s="47"/>
      <c r="W518" s="42"/>
      <c r="X518" s="27"/>
      <c r="Y518" s="47"/>
      <c r="Z518" s="42"/>
      <c r="AA518" s="27"/>
      <c r="AB518" s="47"/>
      <c r="AC518" s="42"/>
      <c r="AD518" s="27"/>
      <c r="AE518" s="33"/>
      <c r="AF518" s="47"/>
      <c r="AG518" s="48"/>
    </row>
    <row r="519" spans="2:33" s="38" customFormat="1" x14ac:dyDescent="0.25">
      <c r="B519" s="49"/>
      <c r="C519" s="70"/>
      <c r="D519" s="42"/>
      <c r="F519" s="33"/>
      <c r="G519" s="47"/>
      <c r="H519" s="42"/>
      <c r="I519" s="27"/>
      <c r="J519" s="47"/>
      <c r="K519" s="42"/>
      <c r="L519" s="27"/>
      <c r="M519" s="47"/>
      <c r="N519" s="42"/>
      <c r="O519" s="27"/>
      <c r="P519" s="47"/>
      <c r="Q519" s="42"/>
      <c r="R519" s="27"/>
      <c r="S519" s="47"/>
      <c r="T519" s="42"/>
      <c r="U519" s="27"/>
      <c r="V519" s="47"/>
      <c r="W519" s="42"/>
      <c r="X519" s="27"/>
      <c r="Y519" s="47"/>
      <c r="Z519" s="42"/>
      <c r="AA519" s="27"/>
      <c r="AB519" s="47"/>
      <c r="AC519" s="42"/>
      <c r="AD519" s="27"/>
      <c r="AE519" s="33"/>
      <c r="AF519" s="47"/>
      <c r="AG519" s="48"/>
    </row>
    <row r="520" spans="2:33" s="38" customFormat="1" x14ac:dyDescent="0.25">
      <c r="B520" s="49"/>
      <c r="C520" s="70"/>
      <c r="D520" s="42"/>
      <c r="F520" s="33"/>
      <c r="G520" s="47"/>
      <c r="H520" s="42"/>
      <c r="I520" s="27"/>
      <c r="J520" s="47"/>
      <c r="K520" s="42"/>
      <c r="L520" s="27"/>
      <c r="M520" s="47"/>
      <c r="N520" s="42"/>
      <c r="O520" s="27"/>
      <c r="P520" s="47"/>
      <c r="Q520" s="42"/>
      <c r="R520" s="27"/>
      <c r="S520" s="47"/>
      <c r="T520" s="42"/>
      <c r="U520" s="27"/>
      <c r="V520" s="47"/>
      <c r="W520" s="42"/>
      <c r="X520" s="27"/>
      <c r="Y520" s="47"/>
      <c r="Z520" s="42"/>
      <c r="AA520" s="27"/>
      <c r="AB520" s="47"/>
      <c r="AC520" s="42"/>
      <c r="AD520" s="27"/>
      <c r="AE520" s="33"/>
      <c r="AF520" s="47"/>
      <c r="AG520" s="48"/>
    </row>
    <row r="521" spans="2:33" s="38" customFormat="1" x14ac:dyDescent="0.25">
      <c r="B521" s="49"/>
      <c r="C521" s="70"/>
      <c r="D521" s="42"/>
      <c r="F521" s="33"/>
      <c r="G521" s="47"/>
      <c r="H521" s="42"/>
      <c r="I521" s="27"/>
      <c r="J521" s="47"/>
      <c r="K521" s="42"/>
      <c r="L521" s="27"/>
      <c r="M521" s="47"/>
      <c r="N521" s="42"/>
      <c r="O521" s="27"/>
      <c r="P521" s="47"/>
      <c r="Q521" s="42"/>
      <c r="R521" s="27"/>
      <c r="S521" s="47"/>
      <c r="T521" s="42"/>
      <c r="U521" s="27"/>
      <c r="V521" s="47"/>
      <c r="W521" s="42"/>
      <c r="X521" s="27"/>
      <c r="Y521" s="47"/>
      <c r="Z521" s="42"/>
      <c r="AA521" s="27"/>
      <c r="AB521" s="47"/>
      <c r="AC521" s="42"/>
      <c r="AD521" s="27"/>
      <c r="AE521" s="33"/>
      <c r="AF521" s="47"/>
      <c r="AG521" s="48"/>
    </row>
    <row r="522" spans="2:33" s="38" customFormat="1" x14ac:dyDescent="0.25">
      <c r="B522" s="49"/>
      <c r="C522" s="70"/>
      <c r="D522" s="42"/>
      <c r="F522" s="33"/>
      <c r="G522" s="47"/>
      <c r="H522" s="42"/>
      <c r="I522" s="27"/>
      <c r="J522" s="47"/>
      <c r="K522" s="42"/>
      <c r="L522" s="27"/>
      <c r="M522" s="47"/>
      <c r="N522" s="42"/>
      <c r="O522" s="27"/>
      <c r="P522" s="47"/>
      <c r="Q522" s="42"/>
      <c r="R522" s="27"/>
      <c r="S522" s="47"/>
      <c r="T522" s="42"/>
      <c r="U522" s="27"/>
      <c r="V522" s="47"/>
      <c r="W522" s="42"/>
      <c r="X522" s="27"/>
      <c r="Y522" s="47"/>
      <c r="Z522" s="42"/>
      <c r="AA522" s="27"/>
      <c r="AB522" s="47"/>
      <c r="AC522" s="42"/>
      <c r="AD522" s="27"/>
      <c r="AE522" s="33"/>
      <c r="AF522" s="47"/>
      <c r="AG522" s="48"/>
    </row>
    <row r="523" spans="2:33" s="38" customFormat="1" x14ac:dyDescent="0.25">
      <c r="B523" s="49"/>
      <c r="C523" s="70"/>
      <c r="D523" s="42"/>
      <c r="F523" s="33"/>
      <c r="G523" s="47"/>
      <c r="H523" s="42"/>
      <c r="I523" s="27"/>
      <c r="J523" s="47"/>
      <c r="K523" s="42"/>
      <c r="L523" s="27"/>
      <c r="M523" s="47"/>
      <c r="N523" s="42"/>
      <c r="O523" s="27"/>
      <c r="P523" s="47"/>
      <c r="Q523" s="42"/>
      <c r="R523" s="27"/>
      <c r="S523" s="47"/>
      <c r="T523" s="42"/>
      <c r="U523" s="27"/>
      <c r="V523" s="47"/>
      <c r="W523" s="42"/>
      <c r="X523" s="27"/>
      <c r="Y523" s="47"/>
      <c r="Z523" s="42"/>
      <c r="AA523" s="27"/>
      <c r="AB523" s="47"/>
      <c r="AC523" s="42"/>
      <c r="AD523" s="27"/>
      <c r="AE523" s="33"/>
      <c r="AF523" s="47"/>
      <c r="AG523" s="48"/>
    </row>
    <row r="524" spans="2:33" s="38" customFormat="1" x14ac:dyDescent="0.25">
      <c r="B524" s="49"/>
      <c r="C524" s="70"/>
      <c r="D524" s="42"/>
      <c r="F524" s="33"/>
      <c r="G524" s="47"/>
      <c r="H524" s="42"/>
      <c r="I524" s="27"/>
      <c r="J524" s="47"/>
      <c r="K524" s="42"/>
      <c r="L524" s="27"/>
      <c r="M524" s="47"/>
      <c r="N524" s="42"/>
      <c r="O524" s="27"/>
      <c r="P524" s="47"/>
      <c r="Q524" s="42"/>
      <c r="R524" s="27"/>
      <c r="S524" s="47"/>
      <c r="T524" s="42"/>
      <c r="U524" s="27"/>
      <c r="V524" s="47"/>
      <c r="W524" s="42"/>
      <c r="X524" s="27"/>
      <c r="Y524" s="47"/>
      <c r="Z524" s="42"/>
      <c r="AA524" s="27"/>
      <c r="AB524" s="47"/>
      <c r="AC524" s="42"/>
      <c r="AD524" s="27"/>
      <c r="AE524" s="33"/>
      <c r="AF524" s="47"/>
      <c r="AG524" s="48"/>
    </row>
    <row r="525" spans="2:33" s="38" customFormat="1" x14ac:dyDescent="0.25">
      <c r="B525" s="49"/>
      <c r="C525" s="70"/>
      <c r="D525" s="42"/>
      <c r="F525" s="33"/>
      <c r="G525" s="47"/>
      <c r="H525" s="42"/>
      <c r="I525" s="27"/>
      <c r="J525" s="47"/>
      <c r="K525" s="42"/>
      <c r="L525" s="27"/>
      <c r="M525" s="47"/>
      <c r="N525" s="42"/>
      <c r="O525" s="27"/>
      <c r="P525" s="47"/>
      <c r="Q525" s="42"/>
      <c r="R525" s="27"/>
      <c r="S525" s="47"/>
      <c r="T525" s="42"/>
      <c r="U525" s="27"/>
      <c r="V525" s="47"/>
      <c r="W525" s="42"/>
      <c r="X525" s="27"/>
      <c r="Y525" s="47"/>
      <c r="Z525" s="42"/>
      <c r="AA525" s="27"/>
      <c r="AB525" s="47"/>
      <c r="AC525" s="42"/>
      <c r="AD525" s="27"/>
      <c r="AE525" s="33"/>
      <c r="AF525" s="47"/>
      <c r="AG525" s="48"/>
    </row>
    <row r="526" spans="2:33" s="38" customFormat="1" x14ac:dyDescent="0.25">
      <c r="B526" s="49"/>
      <c r="C526" s="70"/>
      <c r="D526" s="42"/>
      <c r="F526" s="33"/>
      <c r="G526" s="47"/>
      <c r="H526" s="42"/>
      <c r="I526" s="27"/>
      <c r="J526" s="47"/>
      <c r="K526" s="42"/>
      <c r="L526" s="27"/>
      <c r="M526" s="47"/>
      <c r="N526" s="42"/>
      <c r="O526" s="27"/>
      <c r="P526" s="47"/>
      <c r="Q526" s="42"/>
      <c r="R526" s="27"/>
      <c r="S526" s="47"/>
      <c r="T526" s="42"/>
      <c r="U526" s="27"/>
      <c r="V526" s="47"/>
      <c r="W526" s="42"/>
      <c r="X526" s="27"/>
      <c r="Y526" s="47"/>
      <c r="Z526" s="42"/>
      <c r="AA526" s="27"/>
      <c r="AB526" s="47"/>
      <c r="AC526" s="42"/>
      <c r="AD526" s="27"/>
      <c r="AE526" s="33"/>
      <c r="AF526" s="47"/>
      <c r="AG526" s="48"/>
    </row>
    <row r="527" spans="2:33" s="38" customFormat="1" x14ac:dyDescent="0.25">
      <c r="B527" s="49"/>
      <c r="C527" s="70"/>
      <c r="D527" s="42"/>
      <c r="F527" s="33"/>
      <c r="G527" s="47"/>
      <c r="H527" s="42"/>
      <c r="I527" s="27"/>
      <c r="J527" s="47"/>
      <c r="K527" s="42"/>
      <c r="L527" s="27"/>
      <c r="M527" s="47"/>
      <c r="N527" s="42"/>
      <c r="O527" s="27"/>
      <c r="P527" s="47"/>
      <c r="Q527" s="42"/>
      <c r="R527" s="27"/>
      <c r="S527" s="47"/>
      <c r="T527" s="42"/>
      <c r="U527" s="27"/>
      <c r="V527" s="47"/>
      <c r="W527" s="42"/>
      <c r="X527" s="27"/>
      <c r="Y527" s="47"/>
      <c r="Z527" s="42"/>
      <c r="AA527" s="27"/>
      <c r="AB527" s="47"/>
      <c r="AC527" s="42"/>
      <c r="AD527" s="27"/>
      <c r="AE527" s="33"/>
      <c r="AF527" s="47"/>
      <c r="AG527" s="48"/>
    </row>
    <row r="528" spans="2:33" s="38" customFormat="1" x14ac:dyDescent="0.25">
      <c r="B528" s="49"/>
      <c r="C528" s="70"/>
      <c r="D528" s="42"/>
      <c r="F528" s="33"/>
      <c r="G528" s="47"/>
      <c r="H528" s="42"/>
      <c r="I528" s="27"/>
      <c r="J528" s="47"/>
      <c r="K528" s="42"/>
      <c r="L528" s="27"/>
      <c r="M528" s="47"/>
      <c r="N528" s="42"/>
      <c r="O528" s="27"/>
      <c r="P528" s="47"/>
      <c r="Q528" s="42"/>
      <c r="R528" s="27"/>
      <c r="S528" s="47"/>
      <c r="T528" s="42"/>
      <c r="U528" s="27"/>
      <c r="V528" s="47"/>
      <c r="W528" s="42"/>
      <c r="X528" s="27"/>
      <c r="Y528" s="47"/>
      <c r="Z528" s="42"/>
      <c r="AA528" s="27"/>
      <c r="AB528" s="47"/>
      <c r="AC528" s="42"/>
      <c r="AD528" s="27"/>
      <c r="AE528" s="33"/>
      <c r="AF528" s="47"/>
      <c r="AG528" s="48"/>
    </row>
    <row r="529" spans="2:33" s="38" customFormat="1" x14ac:dyDescent="0.25">
      <c r="B529" s="49"/>
      <c r="C529" s="70"/>
      <c r="D529" s="42"/>
      <c r="F529" s="33"/>
      <c r="G529" s="47"/>
      <c r="H529" s="42"/>
      <c r="I529" s="27"/>
      <c r="J529" s="47"/>
      <c r="K529" s="42"/>
      <c r="L529" s="27"/>
      <c r="M529" s="47"/>
      <c r="N529" s="42"/>
      <c r="O529" s="27"/>
      <c r="P529" s="47"/>
      <c r="Q529" s="42"/>
      <c r="R529" s="27"/>
      <c r="S529" s="47"/>
      <c r="T529" s="42"/>
      <c r="U529" s="27"/>
      <c r="V529" s="47"/>
      <c r="W529" s="42"/>
      <c r="X529" s="27"/>
      <c r="Y529" s="47"/>
      <c r="Z529" s="42"/>
      <c r="AA529" s="27"/>
      <c r="AB529" s="47"/>
      <c r="AC529" s="42"/>
      <c r="AD529" s="27"/>
      <c r="AE529" s="33"/>
      <c r="AF529" s="47"/>
      <c r="AG529" s="48"/>
    </row>
    <row r="530" spans="2:33" s="38" customFormat="1" x14ac:dyDescent="0.25">
      <c r="B530" s="49"/>
      <c r="C530" s="70"/>
      <c r="D530" s="42"/>
      <c r="F530" s="33"/>
      <c r="G530" s="47"/>
      <c r="H530" s="42"/>
      <c r="I530" s="27"/>
      <c r="J530" s="47"/>
      <c r="K530" s="42"/>
      <c r="L530" s="27"/>
      <c r="M530" s="47"/>
      <c r="N530" s="42"/>
      <c r="O530" s="27"/>
      <c r="P530" s="47"/>
      <c r="Q530" s="42"/>
      <c r="R530" s="27"/>
      <c r="S530" s="47"/>
      <c r="T530" s="42"/>
      <c r="U530" s="27"/>
      <c r="V530" s="47"/>
      <c r="W530" s="42"/>
      <c r="X530" s="27"/>
      <c r="Y530" s="47"/>
      <c r="Z530" s="42"/>
      <c r="AA530" s="27"/>
      <c r="AB530" s="47"/>
      <c r="AC530" s="42"/>
      <c r="AD530" s="27"/>
      <c r="AE530" s="33"/>
      <c r="AF530" s="47"/>
      <c r="AG530" s="48"/>
    </row>
    <row r="531" spans="2:33" s="38" customFormat="1" x14ac:dyDescent="0.25">
      <c r="B531" s="49"/>
      <c r="C531" s="70"/>
      <c r="D531" s="42"/>
      <c r="F531" s="33"/>
      <c r="G531" s="47"/>
      <c r="H531" s="42"/>
      <c r="I531" s="27"/>
      <c r="J531" s="47"/>
      <c r="K531" s="42"/>
      <c r="L531" s="27"/>
      <c r="M531" s="47"/>
      <c r="N531" s="42"/>
      <c r="O531" s="27"/>
      <c r="P531" s="47"/>
      <c r="Q531" s="42"/>
      <c r="R531" s="27"/>
      <c r="S531" s="47"/>
      <c r="T531" s="42"/>
      <c r="U531" s="27"/>
      <c r="V531" s="47"/>
      <c r="W531" s="42"/>
      <c r="X531" s="27"/>
      <c r="Y531" s="47"/>
      <c r="Z531" s="42"/>
      <c r="AA531" s="27"/>
      <c r="AB531" s="47"/>
      <c r="AC531" s="42"/>
      <c r="AD531" s="27"/>
      <c r="AE531" s="33"/>
      <c r="AF531" s="47"/>
      <c r="AG531" s="48"/>
    </row>
    <row r="532" spans="2:33" s="38" customFormat="1" x14ac:dyDescent="0.25">
      <c r="B532" s="49"/>
      <c r="C532" s="70"/>
      <c r="D532" s="42"/>
      <c r="F532" s="33"/>
      <c r="G532" s="47"/>
      <c r="H532" s="42"/>
      <c r="I532" s="27"/>
      <c r="J532" s="47"/>
      <c r="K532" s="42"/>
      <c r="L532" s="27"/>
      <c r="M532" s="47"/>
      <c r="N532" s="42"/>
      <c r="O532" s="27"/>
      <c r="P532" s="47"/>
      <c r="Q532" s="42"/>
      <c r="R532" s="27"/>
      <c r="S532" s="47"/>
      <c r="T532" s="42"/>
      <c r="U532" s="27"/>
      <c r="V532" s="47"/>
      <c r="W532" s="42"/>
      <c r="X532" s="27"/>
      <c r="Y532" s="47"/>
      <c r="Z532" s="42"/>
      <c r="AA532" s="27"/>
      <c r="AB532" s="47"/>
      <c r="AC532" s="42"/>
      <c r="AD532" s="27"/>
      <c r="AE532" s="33"/>
      <c r="AF532" s="47"/>
      <c r="AG532" s="48"/>
    </row>
    <row r="533" spans="2:33" s="38" customFormat="1" x14ac:dyDescent="0.25">
      <c r="B533" s="49"/>
      <c r="C533" s="70"/>
      <c r="D533" s="42"/>
      <c r="F533" s="33"/>
      <c r="G533" s="47"/>
      <c r="H533" s="42"/>
      <c r="I533" s="27"/>
      <c r="J533" s="47"/>
      <c r="K533" s="42"/>
      <c r="L533" s="27"/>
      <c r="M533" s="47"/>
      <c r="N533" s="42"/>
      <c r="O533" s="27"/>
      <c r="P533" s="47"/>
      <c r="Q533" s="42"/>
      <c r="R533" s="27"/>
      <c r="S533" s="47"/>
      <c r="T533" s="42"/>
      <c r="U533" s="27"/>
      <c r="V533" s="47"/>
      <c r="W533" s="42"/>
      <c r="X533" s="27"/>
      <c r="Y533" s="47"/>
      <c r="Z533" s="42"/>
      <c r="AA533" s="27"/>
      <c r="AB533" s="47"/>
      <c r="AC533" s="42"/>
      <c r="AD533" s="27"/>
      <c r="AE533" s="33"/>
      <c r="AF533" s="47"/>
      <c r="AG533" s="48"/>
    </row>
    <row r="534" spans="2:33" s="38" customFormat="1" x14ac:dyDescent="0.25">
      <c r="B534" s="49"/>
      <c r="C534" s="70"/>
      <c r="D534" s="42"/>
      <c r="F534" s="33"/>
      <c r="G534" s="47"/>
      <c r="H534" s="42"/>
      <c r="I534" s="27"/>
      <c r="J534" s="47"/>
      <c r="K534" s="42"/>
      <c r="L534" s="27"/>
      <c r="M534" s="47"/>
      <c r="N534" s="42"/>
      <c r="O534" s="27"/>
      <c r="P534" s="47"/>
      <c r="Q534" s="42"/>
      <c r="R534" s="27"/>
      <c r="S534" s="47"/>
      <c r="T534" s="42"/>
      <c r="U534" s="27"/>
      <c r="V534" s="47"/>
      <c r="W534" s="42"/>
      <c r="X534" s="27"/>
      <c r="Y534" s="47"/>
      <c r="Z534" s="42"/>
      <c r="AA534" s="27"/>
      <c r="AB534" s="47"/>
      <c r="AC534" s="42"/>
      <c r="AD534" s="27"/>
      <c r="AE534" s="33"/>
      <c r="AF534" s="47"/>
      <c r="AG534" s="48"/>
    </row>
    <row r="535" spans="2:33" s="38" customFormat="1" x14ac:dyDescent="0.25">
      <c r="B535" s="49"/>
      <c r="C535" s="70"/>
      <c r="D535" s="42"/>
      <c r="F535" s="33"/>
      <c r="G535" s="47"/>
      <c r="H535" s="42"/>
      <c r="I535" s="27"/>
      <c r="J535" s="47"/>
      <c r="K535" s="42"/>
      <c r="L535" s="27"/>
      <c r="M535" s="47"/>
      <c r="N535" s="42"/>
      <c r="O535" s="27"/>
      <c r="P535" s="47"/>
      <c r="Q535" s="42"/>
      <c r="R535" s="27"/>
      <c r="S535" s="47"/>
      <c r="T535" s="42"/>
      <c r="U535" s="27"/>
      <c r="V535" s="47"/>
      <c r="W535" s="42"/>
      <c r="X535" s="27"/>
      <c r="Y535" s="47"/>
      <c r="Z535" s="42"/>
      <c r="AA535" s="27"/>
      <c r="AB535" s="47"/>
      <c r="AC535" s="42"/>
      <c r="AD535" s="27"/>
      <c r="AE535" s="33"/>
      <c r="AF535" s="47"/>
      <c r="AG535" s="48"/>
    </row>
    <row r="536" spans="2:33" s="38" customFormat="1" x14ac:dyDescent="0.25">
      <c r="B536" s="49"/>
      <c r="C536" s="70"/>
      <c r="D536" s="42"/>
      <c r="F536" s="33"/>
      <c r="G536" s="47"/>
      <c r="H536" s="42"/>
      <c r="I536" s="27"/>
      <c r="J536" s="47"/>
      <c r="K536" s="42"/>
      <c r="L536" s="27"/>
      <c r="M536" s="47"/>
      <c r="N536" s="42"/>
      <c r="O536" s="27"/>
      <c r="P536" s="47"/>
      <c r="Q536" s="42"/>
      <c r="R536" s="27"/>
      <c r="S536" s="47"/>
      <c r="T536" s="42"/>
      <c r="U536" s="27"/>
      <c r="V536" s="47"/>
      <c r="W536" s="42"/>
      <c r="X536" s="27"/>
      <c r="Y536" s="47"/>
      <c r="Z536" s="42"/>
      <c r="AA536" s="27"/>
      <c r="AB536" s="47"/>
      <c r="AC536" s="42"/>
      <c r="AD536" s="27"/>
      <c r="AE536" s="33"/>
      <c r="AF536" s="47"/>
      <c r="AG536" s="48"/>
    </row>
    <row r="537" spans="2:33" s="38" customFormat="1" x14ac:dyDescent="0.25">
      <c r="B537" s="49"/>
      <c r="C537" s="70"/>
      <c r="D537" s="42"/>
      <c r="F537" s="33"/>
      <c r="G537" s="47"/>
      <c r="H537" s="42"/>
      <c r="I537" s="27"/>
      <c r="J537" s="47"/>
      <c r="K537" s="42"/>
      <c r="L537" s="27"/>
      <c r="M537" s="47"/>
      <c r="N537" s="42"/>
      <c r="O537" s="27"/>
      <c r="P537" s="47"/>
      <c r="Q537" s="42"/>
      <c r="R537" s="27"/>
      <c r="S537" s="47"/>
      <c r="T537" s="42"/>
      <c r="U537" s="27"/>
      <c r="V537" s="47"/>
      <c r="W537" s="42"/>
      <c r="X537" s="27"/>
      <c r="Y537" s="47"/>
      <c r="Z537" s="42"/>
      <c r="AA537" s="27"/>
      <c r="AB537" s="47"/>
      <c r="AC537" s="42"/>
      <c r="AD537" s="27"/>
      <c r="AE537" s="33"/>
      <c r="AF537" s="47"/>
      <c r="AG537" s="48"/>
    </row>
    <row r="538" spans="2:33" s="38" customFormat="1" x14ac:dyDescent="0.25">
      <c r="B538" s="49"/>
      <c r="C538" s="70"/>
      <c r="D538" s="42"/>
      <c r="F538" s="33"/>
      <c r="G538" s="47"/>
      <c r="H538" s="42"/>
      <c r="I538" s="27"/>
      <c r="J538" s="47"/>
      <c r="K538" s="42"/>
      <c r="L538" s="27"/>
      <c r="M538" s="47"/>
      <c r="N538" s="42"/>
      <c r="O538" s="27"/>
      <c r="P538" s="47"/>
      <c r="Q538" s="42"/>
      <c r="R538" s="27"/>
      <c r="S538" s="47"/>
      <c r="T538" s="42"/>
      <c r="U538" s="27"/>
      <c r="V538" s="47"/>
      <c r="W538" s="42"/>
      <c r="X538" s="27"/>
      <c r="Y538" s="47"/>
      <c r="Z538" s="42"/>
      <c r="AA538" s="27"/>
      <c r="AB538" s="47"/>
      <c r="AC538" s="42"/>
      <c r="AD538" s="27"/>
      <c r="AE538" s="33"/>
      <c r="AF538" s="47"/>
      <c r="AG538" s="48"/>
    </row>
    <row r="539" spans="2:33" s="38" customFormat="1" x14ac:dyDescent="0.25">
      <c r="B539" s="49"/>
      <c r="C539" s="70"/>
      <c r="D539" s="42"/>
      <c r="F539" s="33"/>
      <c r="G539" s="47"/>
      <c r="H539" s="42"/>
      <c r="I539" s="27"/>
      <c r="J539" s="47"/>
      <c r="K539" s="42"/>
      <c r="L539" s="27"/>
      <c r="M539" s="47"/>
      <c r="N539" s="42"/>
      <c r="O539" s="27"/>
      <c r="P539" s="47"/>
      <c r="Q539" s="42"/>
      <c r="R539" s="27"/>
      <c r="S539" s="47"/>
      <c r="T539" s="42"/>
      <c r="U539" s="27"/>
      <c r="V539" s="47"/>
      <c r="W539" s="42"/>
      <c r="X539" s="27"/>
      <c r="Y539" s="47"/>
      <c r="Z539" s="42"/>
      <c r="AA539" s="27"/>
      <c r="AB539" s="47"/>
      <c r="AC539" s="42"/>
      <c r="AD539" s="27"/>
      <c r="AE539" s="33"/>
      <c r="AF539" s="47"/>
      <c r="AG539" s="48"/>
    </row>
    <row r="540" spans="2:33" s="38" customFormat="1" x14ac:dyDescent="0.25">
      <c r="B540" s="49"/>
      <c r="C540" s="70"/>
      <c r="D540" s="42"/>
      <c r="F540" s="33"/>
      <c r="G540" s="47"/>
      <c r="H540" s="42"/>
      <c r="I540" s="27"/>
      <c r="J540" s="47"/>
      <c r="K540" s="42"/>
      <c r="L540" s="27"/>
      <c r="M540" s="47"/>
      <c r="N540" s="42"/>
      <c r="O540" s="27"/>
      <c r="P540" s="47"/>
      <c r="Q540" s="42"/>
      <c r="R540" s="27"/>
      <c r="S540" s="47"/>
      <c r="T540" s="42"/>
      <c r="U540" s="27"/>
      <c r="V540" s="47"/>
      <c r="W540" s="42"/>
      <c r="X540" s="27"/>
      <c r="Y540" s="47"/>
      <c r="Z540" s="42"/>
      <c r="AA540" s="27"/>
      <c r="AB540" s="47"/>
      <c r="AC540" s="42"/>
      <c r="AD540" s="27"/>
      <c r="AE540" s="33"/>
      <c r="AF540" s="47"/>
      <c r="AG540" s="48"/>
    </row>
    <row r="541" spans="2:33" s="38" customFormat="1" x14ac:dyDescent="0.25">
      <c r="B541" s="49"/>
      <c r="C541" s="70"/>
      <c r="D541" s="42"/>
      <c r="F541" s="33"/>
      <c r="G541" s="47"/>
      <c r="H541" s="42"/>
      <c r="I541" s="27"/>
      <c r="J541" s="47"/>
      <c r="K541" s="42"/>
      <c r="L541" s="27"/>
      <c r="M541" s="47"/>
      <c r="N541" s="42"/>
      <c r="O541" s="27"/>
      <c r="P541" s="47"/>
      <c r="Q541" s="42"/>
      <c r="R541" s="27"/>
      <c r="S541" s="47"/>
      <c r="T541" s="42"/>
      <c r="U541" s="27"/>
      <c r="V541" s="47"/>
      <c r="W541" s="42"/>
      <c r="X541" s="27"/>
      <c r="Y541" s="47"/>
      <c r="Z541" s="42"/>
      <c r="AA541" s="27"/>
      <c r="AB541" s="47"/>
      <c r="AC541" s="42"/>
      <c r="AD541" s="27"/>
      <c r="AE541" s="33"/>
      <c r="AF541" s="47"/>
      <c r="AG541" s="48"/>
    </row>
    <row r="542" spans="2:33" s="38" customFormat="1" x14ac:dyDescent="0.25">
      <c r="B542" s="49"/>
      <c r="C542" s="70"/>
      <c r="D542" s="42"/>
      <c r="F542" s="33"/>
      <c r="G542" s="47"/>
      <c r="H542" s="42"/>
      <c r="I542" s="27"/>
      <c r="J542" s="47"/>
      <c r="K542" s="42"/>
      <c r="L542" s="27"/>
      <c r="M542" s="47"/>
      <c r="N542" s="42"/>
      <c r="O542" s="27"/>
      <c r="P542" s="47"/>
      <c r="Q542" s="42"/>
      <c r="R542" s="27"/>
      <c r="S542" s="47"/>
      <c r="T542" s="42"/>
      <c r="U542" s="27"/>
      <c r="V542" s="47"/>
      <c r="W542" s="42"/>
      <c r="X542" s="27"/>
      <c r="Y542" s="47"/>
      <c r="Z542" s="42"/>
      <c r="AA542" s="27"/>
      <c r="AB542" s="47"/>
      <c r="AC542" s="42"/>
      <c r="AD542" s="27"/>
      <c r="AE542" s="33"/>
      <c r="AF542" s="47"/>
      <c r="AG542" s="48"/>
    </row>
    <row r="543" spans="2:33" s="38" customFormat="1" x14ac:dyDescent="0.25">
      <c r="B543" s="49"/>
      <c r="C543" s="70"/>
      <c r="D543" s="42"/>
      <c r="F543" s="33"/>
      <c r="G543" s="47"/>
      <c r="H543" s="42"/>
      <c r="I543" s="27"/>
      <c r="J543" s="47"/>
      <c r="K543" s="42"/>
      <c r="L543" s="27"/>
      <c r="M543" s="47"/>
      <c r="N543" s="42"/>
      <c r="O543" s="27"/>
      <c r="P543" s="47"/>
      <c r="Q543" s="42"/>
      <c r="R543" s="27"/>
      <c r="S543" s="47"/>
      <c r="T543" s="42"/>
      <c r="U543" s="27"/>
      <c r="V543" s="47"/>
      <c r="W543" s="42"/>
      <c r="X543" s="27"/>
      <c r="Y543" s="47"/>
      <c r="Z543" s="42"/>
      <c r="AA543" s="27"/>
      <c r="AB543" s="47"/>
      <c r="AC543" s="42"/>
      <c r="AD543" s="27"/>
      <c r="AE543" s="33"/>
      <c r="AF543" s="47"/>
      <c r="AG543" s="48"/>
    </row>
    <row r="544" spans="2:33" s="38" customFormat="1" x14ac:dyDescent="0.25">
      <c r="B544" s="49"/>
      <c r="C544" s="70"/>
      <c r="D544" s="42"/>
      <c r="F544" s="33"/>
      <c r="G544" s="47"/>
      <c r="H544" s="42"/>
      <c r="I544" s="27"/>
      <c r="J544" s="47"/>
      <c r="K544" s="42"/>
      <c r="L544" s="27"/>
      <c r="M544" s="47"/>
      <c r="N544" s="42"/>
      <c r="O544" s="27"/>
      <c r="P544" s="47"/>
      <c r="Q544" s="42"/>
      <c r="R544" s="27"/>
      <c r="S544" s="47"/>
      <c r="T544" s="42"/>
      <c r="U544" s="27"/>
      <c r="V544" s="47"/>
      <c r="W544" s="42"/>
      <c r="X544" s="27"/>
      <c r="Y544" s="47"/>
      <c r="Z544" s="42"/>
      <c r="AA544" s="27"/>
      <c r="AB544" s="47"/>
      <c r="AC544" s="42"/>
      <c r="AD544" s="27"/>
      <c r="AE544" s="33"/>
      <c r="AF544" s="47"/>
      <c r="AG544" s="48"/>
    </row>
    <row r="545" spans="2:33" s="38" customFormat="1" x14ac:dyDescent="0.25">
      <c r="B545" s="49"/>
      <c r="C545" s="70"/>
      <c r="D545" s="42"/>
      <c r="F545" s="33"/>
      <c r="G545" s="47"/>
      <c r="H545" s="42"/>
      <c r="I545" s="27"/>
      <c r="J545" s="47"/>
      <c r="K545" s="42"/>
      <c r="L545" s="27"/>
      <c r="M545" s="47"/>
      <c r="N545" s="42"/>
      <c r="O545" s="27"/>
      <c r="P545" s="47"/>
      <c r="Q545" s="42"/>
      <c r="R545" s="27"/>
      <c r="S545" s="47"/>
      <c r="T545" s="42"/>
      <c r="U545" s="27"/>
      <c r="V545" s="47"/>
      <c r="W545" s="42"/>
      <c r="X545" s="27"/>
      <c r="Y545" s="47"/>
      <c r="Z545" s="42"/>
      <c r="AA545" s="27"/>
      <c r="AB545" s="47"/>
      <c r="AC545" s="42"/>
      <c r="AD545" s="27"/>
      <c r="AE545" s="33"/>
      <c r="AF545" s="47"/>
      <c r="AG545" s="48"/>
    </row>
    <row r="546" spans="2:33" s="38" customFormat="1" x14ac:dyDescent="0.25">
      <c r="B546" s="49"/>
      <c r="C546" s="70"/>
      <c r="D546" s="42"/>
      <c r="F546" s="33"/>
      <c r="G546" s="47"/>
      <c r="H546" s="42"/>
      <c r="I546" s="27"/>
      <c r="J546" s="47"/>
      <c r="K546" s="42"/>
      <c r="L546" s="27"/>
      <c r="M546" s="47"/>
      <c r="N546" s="42"/>
      <c r="O546" s="27"/>
      <c r="P546" s="47"/>
      <c r="Q546" s="42"/>
      <c r="R546" s="27"/>
      <c r="S546" s="47"/>
      <c r="T546" s="42"/>
      <c r="U546" s="27"/>
      <c r="V546" s="47"/>
      <c r="W546" s="42"/>
      <c r="X546" s="27"/>
      <c r="Y546" s="47"/>
      <c r="Z546" s="42"/>
      <c r="AA546" s="27"/>
      <c r="AB546" s="47"/>
      <c r="AC546" s="42"/>
      <c r="AD546" s="27"/>
      <c r="AE546" s="33"/>
      <c r="AF546" s="47"/>
      <c r="AG546" s="48"/>
    </row>
    <row r="547" spans="2:33" s="38" customFormat="1" x14ac:dyDescent="0.25">
      <c r="B547" s="49"/>
      <c r="C547" s="70"/>
      <c r="D547" s="42"/>
      <c r="F547" s="33"/>
      <c r="G547" s="47"/>
      <c r="H547" s="42"/>
      <c r="I547" s="27"/>
      <c r="J547" s="47"/>
      <c r="K547" s="42"/>
      <c r="L547" s="27"/>
      <c r="M547" s="47"/>
      <c r="N547" s="42"/>
      <c r="O547" s="27"/>
      <c r="P547" s="47"/>
      <c r="Q547" s="42"/>
      <c r="R547" s="27"/>
      <c r="S547" s="47"/>
      <c r="T547" s="42"/>
      <c r="U547" s="27"/>
      <c r="V547" s="47"/>
      <c r="W547" s="42"/>
      <c r="X547" s="27"/>
      <c r="Y547" s="47"/>
      <c r="Z547" s="42"/>
      <c r="AA547" s="27"/>
      <c r="AB547" s="47"/>
      <c r="AC547" s="42"/>
      <c r="AD547" s="27"/>
      <c r="AE547" s="33"/>
      <c r="AF547" s="47"/>
      <c r="AG547" s="48"/>
    </row>
    <row r="548" spans="2:33" s="38" customFormat="1" x14ac:dyDescent="0.25">
      <c r="B548" s="49"/>
      <c r="C548" s="70"/>
      <c r="D548" s="42"/>
      <c r="F548" s="33"/>
      <c r="G548" s="47"/>
      <c r="H548" s="42"/>
      <c r="I548" s="27"/>
      <c r="J548" s="47"/>
      <c r="K548" s="42"/>
      <c r="L548" s="27"/>
      <c r="M548" s="47"/>
      <c r="N548" s="42"/>
      <c r="O548" s="27"/>
      <c r="P548" s="47"/>
      <c r="Q548" s="42"/>
      <c r="R548" s="27"/>
      <c r="S548" s="47"/>
      <c r="T548" s="42"/>
      <c r="U548" s="27"/>
      <c r="V548" s="47"/>
      <c r="W548" s="42"/>
      <c r="X548" s="27"/>
      <c r="Y548" s="47"/>
      <c r="Z548" s="42"/>
      <c r="AA548" s="27"/>
      <c r="AB548" s="47"/>
      <c r="AC548" s="42"/>
      <c r="AD548" s="27"/>
      <c r="AE548" s="33"/>
      <c r="AF548" s="47"/>
      <c r="AG548" s="48"/>
    </row>
    <row r="549" spans="2:33" s="38" customFormat="1" x14ac:dyDescent="0.25">
      <c r="B549" s="49"/>
      <c r="C549" s="70"/>
      <c r="D549" s="42"/>
      <c r="F549" s="33"/>
      <c r="G549" s="47"/>
      <c r="H549" s="42"/>
      <c r="I549" s="27"/>
      <c r="J549" s="47"/>
      <c r="K549" s="42"/>
      <c r="L549" s="27"/>
      <c r="M549" s="47"/>
      <c r="N549" s="42"/>
      <c r="O549" s="27"/>
      <c r="P549" s="47"/>
      <c r="Q549" s="42"/>
      <c r="R549" s="27"/>
      <c r="S549" s="47"/>
      <c r="T549" s="42"/>
      <c r="U549" s="27"/>
      <c r="V549" s="47"/>
      <c r="W549" s="42"/>
      <c r="X549" s="27"/>
      <c r="Y549" s="47"/>
      <c r="Z549" s="42"/>
      <c r="AA549" s="27"/>
      <c r="AB549" s="47"/>
      <c r="AC549" s="42"/>
      <c r="AD549" s="27"/>
      <c r="AE549" s="33"/>
      <c r="AF549" s="47"/>
      <c r="AG549" s="48"/>
    </row>
    <row r="550" spans="2:33" s="38" customFormat="1" x14ac:dyDescent="0.25">
      <c r="B550" s="49"/>
      <c r="C550" s="70"/>
      <c r="D550" s="42"/>
      <c r="F550" s="33"/>
      <c r="G550" s="47"/>
      <c r="H550" s="42"/>
      <c r="I550" s="27"/>
      <c r="J550" s="47"/>
      <c r="K550" s="42"/>
      <c r="L550" s="27"/>
      <c r="M550" s="47"/>
      <c r="N550" s="42"/>
      <c r="O550" s="27"/>
      <c r="P550" s="47"/>
      <c r="Q550" s="42"/>
      <c r="R550" s="27"/>
      <c r="S550" s="47"/>
      <c r="T550" s="42"/>
      <c r="U550" s="27"/>
      <c r="V550" s="47"/>
      <c r="W550" s="42"/>
      <c r="X550" s="27"/>
      <c r="Y550" s="47"/>
      <c r="Z550" s="42"/>
      <c r="AA550" s="27"/>
      <c r="AB550" s="47"/>
      <c r="AC550" s="42"/>
      <c r="AD550" s="27"/>
      <c r="AE550" s="33"/>
      <c r="AF550" s="47"/>
      <c r="AG550" s="48"/>
    </row>
    <row r="551" spans="2:33" s="38" customFormat="1" x14ac:dyDescent="0.25">
      <c r="B551" s="49"/>
      <c r="C551" s="70"/>
      <c r="D551" s="42"/>
      <c r="F551" s="33"/>
      <c r="G551" s="47"/>
      <c r="H551" s="42"/>
      <c r="I551" s="27"/>
      <c r="J551" s="47"/>
      <c r="K551" s="42"/>
      <c r="L551" s="27"/>
      <c r="M551" s="47"/>
      <c r="N551" s="42"/>
      <c r="O551" s="27"/>
      <c r="P551" s="47"/>
      <c r="Q551" s="42"/>
      <c r="R551" s="27"/>
      <c r="S551" s="47"/>
      <c r="T551" s="42"/>
      <c r="U551" s="27"/>
      <c r="V551" s="47"/>
      <c r="W551" s="42"/>
      <c r="X551" s="27"/>
      <c r="Y551" s="47"/>
      <c r="Z551" s="42"/>
      <c r="AA551" s="27"/>
      <c r="AB551" s="47"/>
      <c r="AC551" s="42"/>
      <c r="AD551" s="27"/>
      <c r="AE551" s="33"/>
      <c r="AF551" s="47"/>
      <c r="AG551" s="48"/>
    </row>
    <row r="552" spans="2:33" s="38" customFormat="1" x14ac:dyDescent="0.25">
      <c r="B552" s="49"/>
      <c r="C552" s="70"/>
      <c r="D552" s="42"/>
      <c r="F552" s="33"/>
      <c r="G552" s="47"/>
      <c r="H552" s="42"/>
      <c r="I552" s="27"/>
      <c r="J552" s="47"/>
      <c r="K552" s="42"/>
      <c r="L552" s="27"/>
      <c r="M552" s="47"/>
      <c r="N552" s="42"/>
      <c r="O552" s="27"/>
      <c r="P552" s="47"/>
      <c r="Q552" s="42"/>
      <c r="R552" s="27"/>
      <c r="S552" s="47"/>
      <c r="T552" s="42"/>
      <c r="U552" s="27"/>
      <c r="V552" s="47"/>
      <c r="W552" s="42"/>
      <c r="X552" s="27"/>
      <c r="Y552" s="47"/>
      <c r="Z552" s="42"/>
      <c r="AA552" s="27"/>
      <c r="AB552" s="47"/>
      <c r="AC552" s="42"/>
      <c r="AD552" s="27"/>
      <c r="AE552" s="33"/>
      <c r="AF552" s="47"/>
      <c r="AG552" s="48"/>
    </row>
    <row r="553" spans="2:33" s="38" customFormat="1" x14ac:dyDescent="0.25">
      <c r="B553" s="49"/>
      <c r="C553" s="70"/>
      <c r="D553" s="42"/>
      <c r="F553" s="33"/>
      <c r="G553" s="47"/>
      <c r="H553" s="42"/>
      <c r="I553" s="27"/>
      <c r="J553" s="47"/>
      <c r="K553" s="42"/>
      <c r="L553" s="27"/>
      <c r="M553" s="47"/>
      <c r="N553" s="42"/>
      <c r="O553" s="27"/>
      <c r="P553" s="47"/>
      <c r="Q553" s="42"/>
      <c r="R553" s="27"/>
      <c r="S553" s="47"/>
      <c r="T553" s="42"/>
      <c r="U553" s="27"/>
      <c r="V553" s="47"/>
      <c r="W553" s="42"/>
      <c r="X553" s="27"/>
      <c r="Y553" s="47"/>
      <c r="Z553" s="42"/>
      <c r="AA553" s="27"/>
      <c r="AB553" s="47"/>
      <c r="AC553" s="42"/>
      <c r="AD553" s="27"/>
      <c r="AE553" s="33"/>
      <c r="AF553" s="47"/>
      <c r="AG553" s="48"/>
    </row>
    <row r="554" spans="2:33" s="38" customFormat="1" x14ac:dyDescent="0.25">
      <c r="B554" s="49"/>
      <c r="C554" s="70"/>
      <c r="D554" s="42"/>
      <c r="F554" s="33"/>
      <c r="G554" s="47"/>
      <c r="H554" s="42"/>
      <c r="I554" s="27"/>
      <c r="J554" s="47"/>
      <c r="K554" s="42"/>
      <c r="L554" s="27"/>
      <c r="M554" s="47"/>
      <c r="N554" s="42"/>
      <c r="O554" s="27"/>
      <c r="P554" s="47"/>
      <c r="Q554" s="42"/>
      <c r="R554" s="27"/>
      <c r="S554" s="47"/>
      <c r="T554" s="42"/>
      <c r="U554" s="27"/>
      <c r="V554" s="47"/>
      <c r="W554" s="42"/>
      <c r="X554" s="27"/>
      <c r="Y554" s="47"/>
      <c r="Z554" s="42"/>
      <c r="AA554" s="27"/>
      <c r="AB554" s="47"/>
      <c r="AC554" s="42"/>
      <c r="AD554" s="27"/>
      <c r="AE554" s="33"/>
      <c r="AF554" s="47"/>
      <c r="AG554" s="48"/>
    </row>
    <row r="555" spans="2:33" s="38" customFormat="1" x14ac:dyDescent="0.25">
      <c r="B555" s="49"/>
      <c r="C555" s="70"/>
      <c r="D555" s="42"/>
      <c r="F555" s="33"/>
      <c r="G555" s="47"/>
      <c r="H555" s="42"/>
      <c r="I555" s="27"/>
      <c r="J555" s="47"/>
      <c r="K555" s="42"/>
      <c r="L555" s="27"/>
      <c r="M555" s="47"/>
      <c r="N555" s="42"/>
      <c r="O555" s="27"/>
      <c r="P555" s="47"/>
      <c r="Q555" s="42"/>
      <c r="R555" s="27"/>
      <c r="S555" s="47"/>
      <c r="T555" s="42"/>
      <c r="U555" s="27"/>
      <c r="V555" s="47"/>
      <c r="W555" s="42"/>
      <c r="X555" s="27"/>
      <c r="Y555" s="47"/>
      <c r="Z555" s="42"/>
      <c r="AA555" s="27"/>
      <c r="AB555" s="47"/>
      <c r="AC555" s="42"/>
      <c r="AD555" s="27"/>
      <c r="AE555" s="33"/>
      <c r="AF555" s="47"/>
      <c r="AG555" s="48"/>
    </row>
    <row r="556" spans="2:33" s="38" customFormat="1" x14ac:dyDescent="0.25">
      <c r="B556" s="49"/>
      <c r="C556" s="70"/>
      <c r="D556" s="42"/>
      <c r="F556" s="33"/>
      <c r="G556" s="47"/>
      <c r="H556" s="42"/>
      <c r="I556" s="27"/>
      <c r="J556" s="47"/>
      <c r="K556" s="42"/>
      <c r="L556" s="27"/>
      <c r="M556" s="47"/>
      <c r="N556" s="42"/>
      <c r="O556" s="27"/>
      <c r="P556" s="47"/>
      <c r="Q556" s="42"/>
      <c r="R556" s="27"/>
      <c r="S556" s="47"/>
      <c r="T556" s="42"/>
      <c r="U556" s="27"/>
      <c r="V556" s="47"/>
      <c r="W556" s="42"/>
      <c r="X556" s="27"/>
      <c r="Y556" s="47"/>
      <c r="Z556" s="42"/>
      <c r="AA556" s="27"/>
      <c r="AB556" s="47"/>
      <c r="AC556" s="42"/>
      <c r="AD556" s="27"/>
      <c r="AE556" s="33"/>
      <c r="AF556" s="47"/>
      <c r="AG556" s="48"/>
    </row>
    <row r="557" spans="2:33" s="38" customFormat="1" x14ac:dyDescent="0.25">
      <c r="B557" s="49"/>
      <c r="C557" s="70"/>
      <c r="D557" s="42"/>
      <c r="F557" s="33"/>
      <c r="G557" s="47"/>
      <c r="H557" s="42"/>
      <c r="I557" s="27"/>
      <c r="J557" s="47"/>
      <c r="K557" s="42"/>
      <c r="L557" s="27"/>
      <c r="M557" s="47"/>
      <c r="N557" s="42"/>
      <c r="O557" s="27"/>
      <c r="P557" s="47"/>
      <c r="Q557" s="42"/>
      <c r="R557" s="27"/>
      <c r="S557" s="47"/>
      <c r="T557" s="42"/>
      <c r="U557" s="27"/>
      <c r="V557" s="47"/>
      <c r="W557" s="42"/>
      <c r="X557" s="27"/>
      <c r="Y557" s="47"/>
      <c r="Z557" s="42"/>
      <c r="AA557" s="27"/>
      <c r="AB557" s="47"/>
      <c r="AC557" s="42"/>
      <c r="AD557" s="27"/>
      <c r="AE557" s="33"/>
      <c r="AF557" s="47"/>
      <c r="AG557" s="48"/>
    </row>
    <row r="558" spans="2:33" s="38" customFormat="1" x14ac:dyDescent="0.25">
      <c r="B558" s="49"/>
      <c r="C558" s="70"/>
      <c r="D558" s="42"/>
      <c r="F558" s="33"/>
      <c r="G558" s="47"/>
      <c r="H558" s="42"/>
      <c r="I558" s="27"/>
      <c r="J558" s="47"/>
      <c r="K558" s="42"/>
      <c r="L558" s="27"/>
      <c r="M558" s="47"/>
      <c r="N558" s="42"/>
      <c r="O558" s="27"/>
      <c r="P558" s="47"/>
      <c r="Q558" s="42"/>
      <c r="R558" s="27"/>
      <c r="S558" s="47"/>
      <c r="T558" s="42"/>
      <c r="U558" s="27"/>
      <c r="V558" s="47"/>
      <c r="W558" s="42"/>
      <c r="X558" s="27"/>
      <c r="Y558" s="47"/>
      <c r="Z558" s="42"/>
      <c r="AA558" s="27"/>
      <c r="AB558" s="47"/>
      <c r="AC558" s="42"/>
      <c r="AD558" s="27"/>
      <c r="AE558" s="33"/>
      <c r="AF558" s="47"/>
      <c r="AG558" s="48"/>
    </row>
    <row r="559" spans="2:33" s="38" customFormat="1" x14ac:dyDescent="0.25">
      <c r="B559" s="49"/>
      <c r="C559" s="70"/>
      <c r="D559" s="42"/>
      <c r="F559" s="33"/>
      <c r="G559" s="47"/>
      <c r="H559" s="42"/>
      <c r="I559" s="27"/>
      <c r="J559" s="47"/>
      <c r="K559" s="42"/>
      <c r="L559" s="27"/>
      <c r="M559" s="47"/>
      <c r="N559" s="42"/>
      <c r="O559" s="27"/>
      <c r="P559" s="47"/>
      <c r="Q559" s="42"/>
      <c r="R559" s="27"/>
      <c r="S559" s="47"/>
      <c r="T559" s="42"/>
      <c r="U559" s="27"/>
      <c r="V559" s="47"/>
      <c r="W559" s="42"/>
      <c r="X559" s="27"/>
      <c r="Y559" s="47"/>
      <c r="Z559" s="42"/>
      <c r="AA559" s="27"/>
      <c r="AB559" s="47"/>
      <c r="AC559" s="42"/>
      <c r="AD559" s="27"/>
      <c r="AE559" s="33"/>
      <c r="AF559" s="47"/>
      <c r="AG559" s="48"/>
    </row>
    <row r="560" spans="2:33" s="38" customFormat="1" x14ac:dyDescent="0.25">
      <c r="B560" s="49"/>
      <c r="C560" s="70"/>
      <c r="D560" s="42"/>
      <c r="F560" s="33"/>
      <c r="G560" s="47"/>
      <c r="H560" s="42"/>
      <c r="I560" s="27"/>
      <c r="J560" s="47"/>
      <c r="K560" s="42"/>
      <c r="L560" s="27"/>
      <c r="M560" s="47"/>
      <c r="N560" s="42"/>
      <c r="O560" s="27"/>
      <c r="P560" s="47"/>
      <c r="Q560" s="42"/>
      <c r="R560" s="27"/>
      <c r="S560" s="47"/>
      <c r="T560" s="42"/>
      <c r="U560" s="27"/>
      <c r="V560" s="47"/>
      <c r="W560" s="42"/>
      <c r="X560" s="27"/>
      <c r="Y560" s="47"/>
      <c r="Z560" s="42"/>
      <c r="AA560" s="27"/>
      <c r="AB560" s="47"/>
      <c r="AC560" s="42"/>
      <c r="AD560" s="27"/>
      <c r="AE560" s="33"/>
      <c r="AF560" s="47"/>
      <c r="AG560" s="48"/>
    </row>
    <row r="561" spans="2:33" s="38" customFormat="1" x14ac:dyDescent="0.25">
      <c r="B561" s="49"/>
      <c r="C561" s="70"/>
      <c r="D561" s="42"/>
      <c r="F561" s="33"/>
      <c r="G561" s="47"/>
      <c r="H561" s="42"/>
      <c r="I561" s="27"/>
      <c r="J561" s="47"/>
      <c r="K561" s="42"/>
      <c r="L561" s="27"/>
      <c r="M561" s="47"/>
      <c r="N561" s="42"/>
      <c r="O561" s="27"/>
      <c r="P561" s="47"/>
      <c r="Q561" s="42"/>
      <c r="R561" s="27"/>
      <c r="S561" s="47"/>
      <c r="T561" s="42"/>
      <c r="U561" s="27"/>
      <c r="V561" s="47"/>
      <c r="W561" s="42"/>
      <c r="X561" s="27"/>
      <c r="Y561" s="47"/>
      <c r="Z561" s="42"/>
      <c r="AA561" s="27"/>
      <c r="AB561" s="47"/>
      <c r="AC561" s="42"/>
      <c r="AD561" s="27"/>
      <c r="AE561" s="33"/>
      <c r="AF561" s="47"/>
      <c r="AG561" s="48"/>
    </row>
    <row r="562" spans="2:33" s="38" customFormat="1" x14ac:dyDescent="0.25">
      <c r="B562" s="49"/>
      <c r="C562" s="70"/>
      <c r="D562" s="42"/>
      <c r="F562" s="33"/>
      <c r="G562" s="47"/>
      <c r="H562" s="42"/>
      <c r="I562" s="27"/>
      <c r="J562" s="47"/>
      <c r="K562" s="42"/>
      <c r="L562" s="27"/>
      <c r="M562" s="47"/>
      <c r="N562" s="42"/>
      <c r="O562" s="27"/>
      <c r="P562" s="47"/>
      <c r="Q562" s="42"/>
      <c r="R562" s="27"/>
      <c r="S562" s="47"/>
      <c r="T562" s="42"/>
      <c r="U562" s="27"/>
      <c r="V562" s="47"/>
      <c r="W562" s="42"/>
      <c r="X562" s="27"/>
      <c r="Y562" s="47"/>
      <c r="Z562" s="42"/>
      <c r="AA562" s="27"/>
      <c r="AB562" s="47"/>
      <c r="AC562" s="42"/>
      <c r="AD562" s="27"/>
      <c r="AE562" s="33"/>
      <c r="AF562" s="47"/>
      <c r="AG562" s="48"/>
    </row>
    <row r="563" spans="2:33" s="38" customFormat="1" x14ac:dyDescent="0.25">
      <c r="B563" s="49"/>
      <c r="C563" s="70"/>
      <c r="D563" s="42"/>
      <c r="F563" s="33"/>
      <c r="G563" s="47"/>
      <c r="H563" s="42"/>
      <c r="I563" s="27"/>
      <c r="J563" s="47"/>
      <c r="K563" s="42"/>
      <c r="L563" s="27"/>
      <c r="M563" s="47"/>
      <c r="N563" s="42"/>
      <c r="O563" s="27"/>
      <c r="P563" s="47"/>
      <c r="Q563" s="42"/>
      <c r="R563" s="27"/>
      <c r="S563" s="47"/>
      <c r="T563" s="42"/>
      <c r="U563" s="27"/>
      <c r="V563" s="47"/>
      <c r="W563" s="42"/>
      <c r="X563" s="27"/>
      <c r="Y563" s="47"/>
      <c r="Z563" s="42"/>
      <c r="AA563" s="27"/>
      <c r="AB563" s="47"/>
      <c r="AC563" s="42"/>
      <c r="AD563" s="27"/>
      <c r="AE563" s="33"/>
      <c r="AF563" s="47"/>
      <c r="AG563" s="48"/>
    </row>
    <row r="564" spans="2:33" s="38" customFormat="1" x14ac:dyDescent="0.25">
      <c r="B564" s="49"/>
      <c r="C564" s="70"/>
      <c r="D564" s="42"/>
      <c r="F564" s="33"/>
      <c r="G564" s="47"/>
      <c r="H564" s="42"/>
      <c r="I564" s="27"/>
      <c r="J564" s="47"/>
      <c r="K564" s="42"/>
      <c r="L564" s="27"/>
      <c r="M564" s="47"/>
      <c r="N564" s="42"/>
      <c r="O564" s="27"/>
      <c r="P564" s="47"/>
      <c r="Q564" s="42"/>
      <c r="R564" s="27"/>
      <c r="S564" s="47"/>
      <c r="T564" s="42"/>
      <c r="U564" s="27"/>
      <c r="V564" s="47"/>
      <c r="W564" s="42"/>
      <c r="X564" s="27"/>
      <c r="Y564" s="47"/>
      <c r="Z564" s="42"/>
      <c r="AA564" s="27"/>
      <c r="AB564" s="47"/>
      <c r="AC564" s="42"/>
      <c r="AD564" s="27"/>
      <c r="AE564" s="33"/>
      <c r="AF564" s="47"/>
      <c r="AG564" s="48"/>
    </row>
    <row r="565" spans="2:33" s="38" customFormat="1" x14ac:dyDescent="0.25">
      <c r="B565" s="49"/>
      <c r="C565" s="70"/>
      <c r="D565" s="42"/>
      <c r="F565" s="33"/>
      <c r="G565" s="47"/>
      <c r="H565" s="42"/>
      <c r="I565" s="27"/>
      <c r="J565" s="47"/>
      <c r="K565" s="42"/>
      <c r="L565" s="27"/>
      <c r="M565" s="47"/>
      <c r="N565" s="42"/>
      <c r="O565" s="27"/>
      <c r="P565" s="47"/>
      <c r="Q565" s="42"/>
      <c r="R565" s="27"/>
      <c r="S565" s="47"/>
      <c r="T565" s="42"/>
      <c r="U565" s="27"/>
      <c r="V565" s="47"/>
      <c r="W565" s="42"/>
      <c r="X565" s="27"/>
      <c r="Y565" s="47"/>
      <c r="Z565" s="42"/>
      <c r="AA565" s="27"/>
      <c r="AB565" s="47"/>
      <c r="AC565" s="42"/>
      <c r="AD565" s="27"/>
      <c r="AE565" s="33"/>
      <c r="AF565" s="47"/>
      <c r="AG565" s="48"/>
    </row>
    <row r="566" spans="2:33" s="38" customFormat="1" x14ac:dyDescent="0.25">
      <c r="B566" s="49"/>
      <c r="C566" s="70"/>
      <c r="D566" s="42"/>
      <c r="F566" s="33"/>
      <c r="G566" s="47"/>
      <c r="H566" s="42"/>
      <c r="I566" s="27"/>
      <c r="J566" s="47"/>
      <c r="K566" s="42"/>
      <c r="L566" s="27"/>
      <c r="M566" s="47"/>
      <c r="N566" s="42"/>
      <c r="O566" s="27"/>
      <c r="P566" s="47"/>
      <c r="Q566" s="42"/>
      <c r="R566" s="27"/>
      <c r="S566" s="47"/>
      <c r="T566" s="42"/>
      <c r="U566" s="27"/>
      <c r="V566" s="47"/>
      <c r="W566" s="42"/>
      <c r="X566" s="27"/>
      <c r="Y566" s="47"/>
      <c r="Z566" s="42"/>
      <c r="AA566" s="27"/>
      <c r="AB566" s="47"/>
      <c r="AC566" s="42"/>
      <c r="AD566" s="27"/>
      <c r="AE566" s="33"/>
      <c r="AF566" s="47"/>
      <c r="AG566" s="48"/>
    </row>
    <row r="567" spans="2:33" s="38" customFormat="1" x14ac:dyDescent="0.25">
      <c r="B567" s="49"/>
      <c r="C567" s="70"/>
      <c r="D567" s="42"/>
      <c r="F567" s="33"/>
      <c r="G567" s="47"/>
      <c r="H567" s="42"/>
      <c r="I567" s="27"/>
      <c r="J567" s="47"/>
      <c r="K567" s="42"/>
      <c r="L567" s="27"/>
      <c r="M567" s="47"/>
      <c r="N567" s="42"/>
      <c r="O567" s="27"/>
      <c r="P567" s="47"/>
      <c r="Q567" s="42"/>
      <c r="R567" s="27"/>
      <c r="S567" s="47"/>
      <c r="T567" s="42"/>
      <c r="U567" s="27"/>
      <c r="V567" s="47"/>
      <c r="W567" s="42"/>
      <c r="X567" s="27"/>
      <c r="Y567" s="47"/>
      <c r="Z567" s="42"/>
      <c r="AA567" s="27"/>
      <c r="AB567" s="47"/>
      <c r="AC567" s="42"/>
      <c r="AD567" s="27"/>
      <c r="AE567" s="33"/>
      <c r="AF567" s="47"/>
      <c r="AG567" s="48"/>
    </row>
    <row r="568" spans="2:33" s="38" customFormat="1" x14ac:dyDescent="0.25">
      <c r="B568" s="49"/>
      <c r="C568" s="70"/>
      <c r="D568" s="42"/>
      <c r="F568" s="33"/>
      <c r="G568" s="47"/>
      <c r="H568" s="42"/>
      <c r="I568" s="27"/>
      <c r="J568" s="47"/>
      <c r="K568" s="42"/>
      <c r="L568" s="27"/>
      <c r="M568" s="47"/>
      <c r="N568" s="42"/>
      <c r="O568" s="27"/>
      <c r="P568" s="47"/>
      <c r="Q568" s="42"/>
      <c r="R568" s="27"/>
      <c r="S568" s="47"/>
      <c r="T568" s="42"/>
      <c r="U568" s="27"/>
      <c r="V568" s="47"/>
      <c r="W568" s="42"/>
      <c r="X568" s="27"/>
      <c r="Y568" s="47"/>
      <c r="Z568" s="42"/>
      <c r="AA568" s="27"/>
      <c r="AB568" s="47"/>
      <c r="AC568" s="42"/>
      <c r="AD568" s="27"/>
      <c r="AE568" s="33"/>
      <c r="AF568" s="47"/>
      <c r="AG568" s="48"/>
    </row>
    <row r="569" spans="2:33" s="38" customFormat="1" x14ac:dyDescent="0.25">
      <c r="B569" s="49"/>
      <c r="C569" s="70"/>
      <c r="D569" s="42"/>
      <c r="F569" s="33"/>
      <c r="G569" s="47"/>
      <c r="H569" s="42"/>
      <c r="I569" s="27"/>
      <c r="J569" s="47"/>
      <c r="K569" s="42"/>
      <c r="L569" s="27"/>
      <c r="M569" s="47"/>
      <c r="N569" s="42"/>
      <c r="O569" s="27"/>
      <c r="P569" s="47"/>
      <c r="Q569" s="42"/>
      <c r="R569" s="27"/>
      <c r="S569" s="47"/>
      <c r="T569" s="42"/>
      <c r="U569" s="27"/>
      <c r="V569" s="47"/>
      <c r="W569" s="42"/>
      <c r="X569" s="27"/>
      <c r="Y569" s="47"/>
      <c r="Z569" s="42"/>
      <c r="AA569" s="27"/>
      <c r="AB569" s="47"/>
      <c r="AC569" s="42"/>
      <c r="AD569" s="27"/>
      <c r="AE569" s="33"/>
      <c r="AF569" s="47"/>
      <c r="AG569" s="48"/>
    </row>
    <row r="570" spans="2:33" s="38" customFormat="1" x14ac:dyDescent="0.25">
      <c r="B570" s="49"/>
      <c r="C570" s="70"/>
      <c r="D570" s="42"/>
      <c r="F570" s="33"/>
      <c r="G570" s="47"/>
      <c r="H570" s="42"/>
      <c r="I570" s="27"/>
      <c r="J570" s="47"/>
      <c r="K570" s="42"/>
      <c r="L570" s="27"/>
      <c r="M570" s="47"/>
      <c r="N570" s="42"/>
      <c r="O570" s="27"/>
      <c r="P570" s="47"/>
      <c r="Q570" s="42"/>
      <c r="R570" s="27"/>
      <c r="S570" s="47"/>
      <c r="T570" s="42"/>
      <c r="U570" s="27"/>
      <c r="V570" s="47"/>
      <c r="W570" s="42"/>
      <c r="X570" s="27"/>
      <c r="Y570" s="47"/>
      <c r="Z570" s="42"/>
      <c r="AA570" s="27"/>
      <c r="AB570" s="47"/>
      <c r="AC570" s="42"/>
      <c r="AD570" s="27"/>
      <c r="AE570" s="33"/>
      <c r="AF570" s="47"/>
      <c r="AG570" s="48"/>
    </row>
    <row r="571" spans="2:33" s="38" customFormat="1" x14ac:dyDescent="0.25">
      <c r="B571" s="49"/>
      <c r="C571" s="70"/>
      <c r="D571" s="42"/>
      <c r="F571" s="33"/>
      <c r="G571" s="47"/>
      <c r="H571" s="42"/>
      <c r="I571" s="27"/>
      <c r="J571" s="47"/>
      <c r="K571" s="42"/>
      <c r="L571" s="27"/>
      <c r="M571" s="47"/>
      <c r="N571" s="42"/>
      <c r="O571" s="27"/>
      <c r="P571" s="47"/>
      <c r="Q571" s="42"/>
      <c r="R571" s="27"/>
      <c r="S571" s="47"/>
      <c r="T571" s="42"/>
      <c r="U571" s="27"/>
      <c r="V571" s="47"/>
      <c r="W571" s="42"/>
      <c r="X571" s="27"/>
      <c r="Y571" s="47"/>
      <c r="Z571" s="42"/>
      <c r="AA571" s="27"/>
      <c r="AB571" s="47"/>
      <c r="AC571" s="42"/>
      <c r="AD571" s="27"/>
      <c r="AE571" s="33"/>
      <c r="AF571" s="47"/>
      <c r="AG571" s="48"/>
    </row>
    <row r="572" spans="2:33" s="38" customFormat="1" x14ac:dyDescent="0.25">
      <c r="B572" s="49"/>
      <c r="C572" s="70"/>
      <c r="D572" s="42"/>
      <c r="F572" s="33"/>
      <c r="G572" s="47"/>
      <c r="H572" s="42"/>
      <c r="I572" s="27"/>
      <c r="J572" s="47"/>
      <c r="K572" s="42"/>
      <c r="L572" s="27"/>
      <c r="M572" s="47"/>
      <c r="N572" s="42"/>
      <c r="O572" s="27"/>
      <c r="P572" s="47"/>
      <c r="Q572" s="42"/>
      <c r="R572" s="27"/>
      <c r="S572" s="47"/>
      <c r="T572" s="42"/>
      <c r="U572" s="27"/>
      <c r="V572" s="47"/>
      <c r="W572" s="42"/>
      <c r="X572" s="27"/>
      <c r="Y572" s="47"/>
      <c r="Z572" s="42"/>
      <c r="AA572" s="27"/>
      <c r="AB572" s="47"/>
      <c r="AC572" s="42"/>
      <c r="AD572" s="27"/>
      <c r="AE572" s="33"/>
      <c r="AF572" s="47"/>
      <c r="AG572" s="48"/>
    </row>
    <row r="573" spans="2:33" s="38" customFormat="1" x14ac:dyDescent="0.25">
      <c r="B573" s="49"/>
      <c r="C573" s="70"/>
      <c r="D573" s="42"/>
      <c r="F573" s="33"/>
      <c r="G573" s="47"/>
      <c r="H573" s="42"/>
      <c r="I573" s="27"/>
      <c r="J573" s="47"/>
      <c r="K573" s="42"/>
      <c r="L573" s="27"/>
      <c r="M573" s="47"/>
      <c r="N573" s="42"/>
      <c r="O573" s="27"/>
      <c r="P573" s="47"/>
      <c r="Q573" s="42"/>
      <c r="R573" s="27"/>
      <c r="S573" s="47"/>
      <c r="T573" s="42"/>
      <c r="U573" s="27"/>
      <c r="V573" s="47"/>
      <c r="W573" s="42"/>
      <c r="X573" s="27"/>
      <c r="Y573" s="47"/>
      <c r="Z573" s="42"/>
      <c r="AA573" s="27"/>
      <c r="AB573" s="47"/>
      <c r="AC573" s="42"/>
      <c r="AD573" s="27"/>
      <c r="AE573" s="33"/>
      <c r="AF573" s="47"/>
      <c r="AG573" s="48"/>
    </row>
    <row r="574" spans="2:33" s="38" customFormat="1" x14ac:dyDescent="0.25">
      <c r="B574" s="49"/>
      <c r="C574" s="70"/>
      <c r="D574" s="42"/>
      <c r="F574" s="33"/>
      <c r="G574" s="47"/>
      <c r="H574" s="42"/>
      <c r="I574" s="27"/>
      <c r="J574" s="47"/>
      <c r="K574" s="42"/>
      <c r="L574" s="27"/>
      <c r="M574" s="47"/>
      <c r="N574" s="42"/>
      <c r="O574" s="27"/>
      <c r="P574" s="47"/>
      <c r="Q574" s="42"/>
      <c r="R574" s="27"/>
      <c r="S574" s="47"/>
      <c r="T574" s="42"/>
      <c r="U574" s="27"/>
      <c r="V574" s="47"/>
      <c r="W574" s="42"/>
      <c r="X574" s="27"/>
      <c r="Y574" s="47"/>
      <c r="Z574" s="42"/>
      <c r="AA574" s="27"/>
      <c r="AB574" s="47"/>
      <c r="AC574" s="42"/>
      <c r="AD574" s="27"/>
      <c r="AE574" s="33"/>
      <c r="AF574" s="47"/>
      <c r="AG574" s="48"/>
    </row>
    <row r="575" spans="2:33" s="38" customFormat="1" x14ac:dyDescent="0.25">
      <c r="B575" s="49"/>
      <c r="C575" s="70"/>
      <c r="D575" s="42"/>
      <c r="F575" s="33"/>
      <c r="G575" s="47"/>
      <c r="H575" s="42"/>
      <c r="I575" s="27"/>
      <c r="J575" s="47"/>
      <c r="K575" s="42"/>
      <c r="L575" s="27"/>
      <c r="M575" s="47"/>
      <c r="N575" s="42"/>
      <c r="O575" s="27"/>
      <c r="P575" s="47"/>
      <c r="Q575" s="42"/>
      <c r="R575" s="27"/>
      <c r="S575" s="47"/>
      <c r="T575" s="42"/>
      <c r="U575" s="27"/>
      <c r="V575" s="47"/>
      <c r="W575" s="42"/>
      <c r="X575" s="27"/>
      <c r="Y575" s="47"/>
      <c r="Z575" s="42"/>
      <c r="AA575" s="27"/>
      <c r="AB575" s="47"/>
      <c r="AC575" s="42"/>
      <c r="AD575" s="27"/>
      <c r="AE575" s="33"/>
      <c r="AF575" s="47"/>
      <c r="AG575" s="48"/>
    </row>
    <row r="576" spans="2:33" s="38" customFormat="1" x14ac:dyDescent="0.25">
      <c r="B576" s="49"/>
      <c r="C576" s="70"/>
      <c r="D576" s="42"/>
      <c r="F576" s="33"/>
      <c r="G576" s="47"/>
      <c r="H576" s="42"/>
      <c r="I576" s="27"/>
      <c r="J576" s="47"/>
      <c r="K576" s="42"/>
      <c r="L576" s="27"/>
      <c r="M576" s="47"/>
      <c r="N576" s="42"/>
      <c r="O576" s="27"/>
      <c r="P576" s="47"/>
      <c r="Q576" s="42"/>
      <c r="R576" s="27"/>
      <c r="S576" s="47"/>
      <c r="T576" s="42"/>
      <c r="U576" s="27"/>
      <c r="V576" s="47"/>
      <c r="W576" s="42"/>
      <c r="X576" s="27"/>
      <c r="Y576" s="47"/>
      <c r="Z576" s="42"/>
      <c r="AA576" s="27"/>
      <c r="AB576" s="47"/>
      <c r="AC576" s="42"/>
      <c r="AD576" s="27"/>
      <c r="AE576" s="33"/>
      <c r="AF576" s="47"/>
      <c r="AG576" s="48"/>
    </row>
    <row r="577" spans="2:33" s="38" customFormat="1" x14ac:dyDescent="0.25">
      <c r="B577" s="49"/>
      <c r="C577" s="70"/>
      <c r="D577" s="42"/>
      <c r="F577" s="33"/>
      <c r="G577" s="47"/>
      <c r="H577" s="42"/>
      <c r="I577" s="27"/>
      <c r="J577" s="47"/>
      <c r="K577" s="42"/>
      <c r="L577" s="27"/>
      <c r="M577" s="47"/>
      <c r="N577" s="42"/>
      <c r="O577" s="27"/>
      <c r="P577" s="47"/>
      <c r="Q577" s="42"/>
      <c r="R577" s="27"/>
      <c r="S577" s="47"/>
      <c r="T577" s="42"/>
      <c r="U577" s="27"/>
      <c r="V577" s="47"/>
      <c r="W577" s="42"/>
      <c r="X577" s="27"/>
      <c r="Y577" s="47"/>
      <c r="Z577" s="42"/>
      <c r="AA577" s="27"/>
      <c r="AB577" s="47"/>
      <c r="AC577" s="42"/>
      <c r="AD577" s="27"/>
      <c r="AE577" s="33"/>
      <c r="AF577" s="47"/>
      <c r="AG577" s="48"/>
    </row>
    <row r="578" spans="2:33" s="38" customFormat="1" x14ac:dyDescent="0.25">
      <c r="B578" s="49"/>
      <c r="C578" s="70"/>
      <c r="D578" s="42"/>
      <c r="F578" s="33"/>
      <c r="G578" s="47"/>
      <c r="H578" s="42"/>
      <c r="I578" s="27"/>
      <c r="J578" s="47"/>
      <c r="K578" s="42"/>
      <c r="L578" s="27"/>
      <c r="M578" s="47"/>
      <c r="N578" s="42"/>
      <c r="O578" s="27"/>
      <c r="P578" s="47"/>
      <c r="Q578" s="42"/>
      <c r="R578" s="27"/>
      <c r="S578" s="47"/>
      <c r="T578" s="42"/>
      <c r="U578" s="27"/>
      <c r="V578" s="47"/>
      <c r="W578" s="42"/>
      <c r="X578" s="27"/>
      <c r="Y578" s="47"/>
      <c r="Z578" s="42"/>
      <c r="AA578" s="27"/>
      <c r="AB578" s="47"/>
      <c r="AC578" s="42"/>
      <c r="AD578" s="27"/>
      <c r="AE578" s="33"/>
      <c r="AF578" s="47"/>
      <c r="AG578" s="48"/>
    </row>
    <row r="579" spans="2:33" s="38" customFormat="1" x14ac:dyDescent="0.25">
      <c r="B579" s="49"/>
      <c r="C579" s="70"/>
      <c r="D579" s="42"/>
      <c r="F579" s="33"/>
      <c r="G579" s="47"/>
      <c r="H579" s="42"/>
      <c r="I579" s="27"/>
      <c r="J579" s="47"/>
      <c r="K579" s="42"/>
      <c r="L579" s="27"/>
      <c r="M579" s="47"/>
      <c r="N579" s="42"/>
      <c r="O579" s="27"/>
      <c r="P579" s="47"/>
      <c r="Q579" s="42"/>
      <c r="R579" s="27"/>
      <c r="S579" s="47"/>
      <c r="T579" s="42"/>
      <c r="U579" s="27"/>
      <c r="V579" s="47"/>
      <c r="W579" s="42"/>
      <c r="X579" s="27"/>
      <c r="Y579" s="47"/>
      <c r="Z579" s="42"/>
      <c r="AA579" s="27"/>
      <c r="AB579" s="47"/>
      <c r="AC579" s="42"/>
      <c r="AD579" s="27"/>
      <c r="AE579" s="33"/>
      <c r="AF579" s="47"/>
      <c r="AG579" s="48"/>
    </row>
    <row r="580" spans="2:33" s="38" customFormat="1" x14ac:dyDescent="0.25">
      <c r="B580" s="49"/>
      <c r="C580" s="70"/>
      <c r="D580" s="42"/>
      <c r="F580" s="33"/>
      <c r="G580" s="47"/>
      <c r="H580" s="42"/>
      <c r="I580" s="27"/>
      <c r="J580" s="47"/>
      <c r="K580" s="42"/>
      <c r="L580" s="27"/>
      <c r="M580" s="47"/>
      <c r="N580" s="42"/>
      <c r="O580" s="27"/>
      <c r="P580" s="47"/>
      <c r="Q580" s="42"/>
      <c r="R580" s="27"/>
      <c r="S580" s="47"/>
      <c r="T580" s="42"/>
      <c r="U580" s="27"/>
      <c r="V580" s="47"/>
      <c r="W580" s="42"/>
      <c r="X580" s="27"/>
      <c r="Y580" s="47"/>
      <c r="Z580" s="42"/>
      <c r="AA580" s="27"/>
      <c r="AB580" s="47"/>
      <c r="AC580" s="42"/>
      <c r="AD580" s="27"/>
      <c r="AE580" s="33"/>
      <c r="AF580" s="47"/>
      <c r="AG580" s="48"/>
    </row>
    <row r="581" spans="2:33" s="38" customFormat="1" x14ac:dyDescent="0.25">
      <c r="B581" s="49"/>
      <c r="C581" s="70"/>
      <c r="D581" s="42"/>
      <c r="F581" s="33"/>
      <c r="G581" s="47"/>
      <c r="H581" s="42"/>
      <c r="I581" s="27"/>
      <c r="J581" s="47"/>
      <c r="K581" s="42"/>
      <c r="L581" s="27"/>
      <c r="M581" s="47"/>
      <c r="N581" s="42"/>
      <c r="O581" s="27"/>
      <c r="P581" s="47"/>
      <c r="Q581" s="42"/>
      <c r="R581" s="27"/>
      <c r="S581" s="47"/>
      <c r="T581" s="42"/>
      <c r="U581" s="27"/>
      <c r="V581" s="47"/>
      <c r="W581" s="42"/>
      <c r="X581" s="27"/>
      <c r="Y581" s="47"/>
      <c r="Z581" s="42"/>
      <c r="AA581" s="27"/>
      <c r="AB581" s="47"/>
      <c r="AC581" s="42"/>
      <c r="AD581" s="27"/>
      <c r="AE581" s="33"/>
      <c r="AF581" s="47"/>
      <c r="AG581" s="48"/>
    </row>
    <row r="582" spans="2:33" s="38" customFormat="1" x14ac:dyDescent="0.25">
      <c r="B582" s="49"/>
      <c r="C582" s="70"/>
      <c r="D582" s="42"/>
      <c r="F582" s="33"/>
      <c r="G582" s="47"/>
      <c r="H582" s="42"/>
      <c r="I582" s="27"/>
      <c r="J582" s="47"/>
      <c r="K582" s="42"/>
      <c r="L582" s="27"/>
      <c r="M582" s="47"/>
      <c r="N582" s="42"/>
      <c r="O582" s="27"/>
      <c r="P582" s="47"/>
      <c r="Q582" s="42"/>
      <c r="R582" s="27"/>
      <c r="S582" s="47"/>
      <c r="T582" s="42"/>
      <c r="U582" s="27"/>
      <c r="V582" s="47"/>
      <c r="W582" s="42"/>
      <c r="X582" s="27"/>
      <c r="Y582" s="47"/>
      <c r="Z582" s="42"/>
      <c r="AA582" s="27"/>
      <c r="AB582" s="47"/>
      <c r="AC582" s="42"/>
      <c r="AD582" s="27"/>
      <c r="AE582" s="33"/>
      <c r="AF582" s="47"/>
      <c r="AG582" s="48"/>
    </row>
    <row r="583" spans="2:33" s="38" customFormat="1" x14ac:dyDescent="0.25">
      <c r="B583" s="49"/>
      <c r="C583" s="70"/>
      <c r="D583" s="42"/>
      <c r="F583" s="33"/>
      <c r="G583" s="47"/>
      <c r="H583" s="42"/>
      <c r="I583" s="27"/>
      <c r="J583" s="47"/>
      <c r="K583" s="42"/>
      <c r="L583" s="27"/>
      <c r="M583" s="47"/>
      <c r="N583" s="42"/>
      <c r="O583" s="27"/>
      <c r="P583" s="47"/>
      <c r="Q583" s="42"/>
      <c r="R583" s="27"/>
      <c r="S583" s="47"/>
      <c r="T583" s="42"/>
      <c r="U583" s="27"/>
      <c r="V583" s="47"/>
      <c r="W583" s="42"/>
      <c r="X583" s="27"/>
      <c r="Y583" s="47"/>
      <c r="Z583" s="42"/>
      <c r="AA583" s="27"/>
      <c r="AB583" s="47"/>
      <c r="AC583" s="42"/>
      <c r="AD583" s="27"/>
      <c r="AE583" s="33"/>
      <c r="AF583" s="47"/>
      <c r="AG583" s="48"/>
    </row>
    <row r="584" spans="2:33" s="38" customFormat="1" x14ac:dyDescent="0.25">
      <c r="B584" s="49"/>
      <c r="C584" s="70"/>
      <c r="D584" s="42"/>
      <c r="F584" s="33"/>
      <c r="G584" s="47"/>
      <c r="H584" s="42"/>
      <c r="I584" s="27"/>
      <c r="J584" s="47"/>
      <c r="K584" s="42"/>
      <c r="L584" s="27"/>
      <c r="M584" s="47"/>
      <c r="N584" s="42"/>
      <c r="O584" s="27"/>
      <c r="P584" s="47"/>
      <c r="Q584" s="42"/>
      <c r="R584" s="27"/>
      <c r="S584" s="47"/>
      <c r="T584" s="42"/>
      <c r="U584" s="27"/>
      <c r="V584" s="47"/>
      <c r="W584" s="42"/>
      <c r="X584" s="27"/>
      <c r="Y584" s="47"/>
      <c r="Z584" s="42"/>
      <c r="AA584" s="27"/>
      <c r="AB584" s="47"/>
      <c r="AC584" s="42"/>
      <c r="AD584" s="27"/>
      <c r="AE584" s="33"/>
      <c r="AF584" s="47"/>
      <c r="AG584" s="48"/>
    </row>
    <row r="585" spans="2:33" s="38" customFormat="1" x14ac:dyDescent="0.25">
      <c r="B585" s="49"/>
      <c r="C585" s="70"/>
      <c r="D585" s="42"/>
      <c r="F585" s="33"/>
      <c r="G585" s="47"/>
      <c r="H585" s="42"/>
      <c r="I585" s="27"/>
      <c r="J585" s="47"/>
      <c r="K585" s="42"/>
      <c r="L585" s="27"/>
      <c r="M585" s="47"/>
      <c r="N585" s="42"/>
      <c r="O585" s="27"/>
      <c r="P585" s="47"/>
      <c r="Q585" s="42"/>
      <c r="R585" s="27"/>
      <c r="S585" s="47"/>
      <c r="T585" s="42"/>
      <c r="U585" s="27"/>
      <c r="V585" s="47"/>
      <c r="W585" s="42"/>
      <c r="X585" s="27"/>
      <c r="Y585" s="47"/>
      <c r="Z585" s="42"/>
      <c r="AA585" s="27"/>
      <c r="AB585" s="47"/>
      <c r="AC585" s="42"/>
      <c r="AD585" s="27"/>
      <c r="AE585" s="33"/>
      <c r="AF585" s="47"/>
      <c r="AG585" s="48"/>
    </row>
    <row r="586" spans="2:33" s="38" customFormat="1" x14ac:dyDescent="0.25">
      <c r="B586" s="49"/>
      <c r="C586" s="70"/>
      <c r="D586" s="42"/>
      <c r="F586" s="33"/>
      <c r="G586" s="47"/>
      <c r="H586" s="42"/>
      <c r="I586" s="27"/>
      <c r="J586" s="47"/>
      <c r="K586" s="42"/>
      <c r="L586" s="27"/>
      <c r="M586" s="47"/>
      <c r="N586" s="42"/>
      <c r="O586" s="27"/>
      <c r="P586" s="47"/>
      <c r="Q586" s="42"/>
      <c r="R586" s="27"/>
      <c r="S586" s="47"/>
      <c r="T586" s="42"/>
      <c r="U586" s="27"/>
      <c r="V586" s="47"/>
      <c r="W586" s="42"/>
      <c r="X586" s="27"/>
      <c r="Y586" s="47"/>
      <c r="Z586" s="42"/>
      <c r="AA586" s="27"/>
      <c r="AB586" s="47"/>
      <c r="AC586" s="42"/>
      <c r="AD586" s="27"/>
      <c r="AE586" s="33"/>
      <c r="AF586" s="47"/>
      <c r="AG586" s="48"/>
    </row>
    <row r="587" spans="2:33" s="38" customFormat="1" x14ac:dyDescent="0.25">
      <c r="B587" s="49"/>
      <c r="C587" s="70"/>
      <c r="D587" s="42"/>
      <c r="F587" s="33"/>
      <c r="G587" s="47"/>
      <c r="H587" s="42"/>
      <c r="I587" s="27"/>
      <c r="J587" s="47"/>
      <c r="K587" s="42"/>
      <c r="L587" s="27"/>
      <c r="M587" s="47"/>
      <c r="N587" s="42"/>
      <c r="O587" s="27"/>
      <c r="P587" s="47"/>
      <c r="Q587" s="42"/>
      <c r="R587" s="27"/>
      <c r="S587" s="47"/>
      <c r="T587" s="42"/>
      <c r="U587" s="27"/>
      <c r="V587" s="47"/>
      <c r="W587" s="42"/>
      <c r="X587" s="27"/>
      <c r="Y587" s="47"/>
      <c r="Z587" s="42"/>
      <c r="AA587" s="27"/>
      <c r="AB587" s="47"/>
      <c r="AC587" s="42"/>
      <c r="AD587" s="27"/>
      <c r="AE587" s="33"/>
      <c r="AF587" s="47"/>
      <c r="AG587" s="48"/>
    </row>
    <row r="588" spans="2:33" s="38" customFormat="1" x14ac:dyDescent="0.25">
      <c r="B588" s="49"/>
      <c r="C588" s="70"/>
      <c r="D588" s="42"/>
      <c r="F588" s="33"/>
      <c r="G588" s="47"/>
      <c r="H588" s="42"/>
      <c r="I588" s="27"/>
      <c r="J588" s="47"/>
      <c r="K588" s="42"/>
      <c r="L588" s="27"/>
      <c r="M588" s="47"/>
      <c r="N588" s="42"/>
      <c r="O588" s="27"/>
      <c r="P588" s="47"/>
      <c r="Q588" s="42"/>
      <c r="R588" s="27"/>
      <c r="S588" s="47"/>
      <c r="T588" s="42"/>
      <c r="U588" s="27"/>
      <c r="V588" s="47"/>
      <c r="W588" s="42"/>
      <c r="X588" s="27"/>
      <c r="Y588" s="47"/>
      <c r="Z588" s="42"/>
      <c r="AA588" s="27"/>
      <c r="AB588" s="47"/>
      <c r="AC588" s="42"/>
      <c r="AD588" s="27"/>
      <c r="AE588" s="33"/>
      <c r="AF588" s="47"/>
      <c r="AG588" s="48"/>
    </row>
    <row r="589" spans="2:33" s="38" customFormat="1" x14ac:dyDescent="0.25">
      <c r="B589" s="49"/>
      <c r="C589" s="70"/>
      <c r="D589" s="42"/>
      <c r="F589" s="33"/>
      <c r="G589" s="47"/>
      <c r="H589" s="42"/>
      <c r="I589" s="27"/>
      <c r="J589" s="47"/>
      <c r="K589" s="42"/>
      <c r="L589" s="27"/>
      <c r="M589" s="47"/>
      <c r="N589" s="42"/>
      <c r="O589" s="27"/>
      <c r="P589" s="47"/>
      <c r="Q589" s="42"/>
      <c r="R589" s="27"/>
      <c r="S589" s="47"/>
      <c r="T589" s="42"/>
      <c r="U589" s="27"/>
      <c r="V589" s="47"/>
      <c r="W589" s="42"/>
      <c r="X589" s="27"/>
      <c r="Y589" s="47"/>
      <c r="Z589" s="42"/>
      <c r="AA589" s="27"/>
      <c r="AB589" s="47"/>
      <c r="AC589" s="42"/>
      <c r="AD589" s="27"/>
      <c r="AE589" s="33"/>
      <c r="AF589" s="47"/>
      <c r="AG589" s="48"/>
    </row>
    <row r="590" spans="2:33" s="38" customFormat="1" x14ac:dyDescent="0.25">
      <c r="B590" s="49"/>
      <c r="C590" s="70"/>
      <c r="D590" s="42"/>
      <c r="F590" s="33"/>
      <c r="G590" s="47"/>
      <c r="H590" s="42"/>
      <c r="I590" s="27"/>
      <c r="J590" s="47"/>
      <c r="K590" s="42"/>
      <c r="L590" s="27"/>
      <c r="M590" s="47"/>
      <c r="N590" s="42"/>
      <c r="O590" s="27"/>
      <c r="P590" s="47"/>
      <c r="Q590" s="42"/>
      <c r="R590" s="27"/>
      <c r="S590" s="47"/>
      <c r="T590" s="42"/>
      <c r="U590" s="27"/>
      <c r="V590" s="47"/>
      <c r="W590" s="42"/>
      <c r="X590" s="27"/>
      <c r="Y590" s="47"/>
      <c r="Z590" s="42"/>
      <c r="AA590" s="27"/>
      <c r="AB590" s="47"/>
      <c r="AC590" s="42"/>
      <c r="AD590" s="27"/>
      <c r="AE590" s="33"/>
      <c r="AF590" s="47"/>
      <c r="AG590" s="48"/>
    </row>
    <row r="591" spans="2:33" s="38" customFormat="1" x14ac:dyDescent="0.25">
      <c r="B591" s="49"/>
      <c r="C591" s="70"/>
      <c r="D591" s="42"/>
      <c r="F591" s="33"/>
      <c r="G591" s="47"/>
      <c r="H591" s="42"/>
      <c r="I591" s="27"/>
      <c r="J591" s="47"/>
      <c r="K591" s="42"/>
      <c r="L591" s="27"/>
      <c r="M591" s="47"/>
      <c r="N591" s="42"/>
      <c r="O591" s="27"/>
      <c r="P591" s="47"/>
      <c r="Q591" s="42"/>
      <c r="R591" s="27"/>
      <c r="S591" s="47"/>
      <c r="T591" s="42"/>
      <c r="U591" s="27"/>
      <c r="V591" s="47"/>
      <c r="W591" s="42"/>
      <c r="X591" s="27"/>
      <c r="Y591" s="47"/>
      <c r="Z591" s="42"/>
      <c r="AA591" s="27"/>
      <c r="AB591" s="47"/>
      <c r="AC591" s="42"/>
      <c r="AD591" s="27"/>
      <c r="AE591" s="33"/>
      <c r="AF591" s="47"/>
      <c r="AG591" s="48"/>
    </row>
    <row r="592" spans="2:33" s="38" customFormat="1" x14ac:dyDescent="0.25">
      <c r="B592" s="49"/>
      <c r="C592" s="70"/>
      <c r="D592" s="42"/>
      <c r="F592" s="33"/>
      <c r="G592" s="47"/>
      <c r="H592" s="42"/>
      <c r="I592" s="27"/>
      <c r="J592" s="47"/>
      <c r="K592" s="42"/>
      <c r="L592" s="27"/>
      <c r="M592" s="47"/>
      <c r="N592" s="42"/>
      <c r="O592" s="27"/>
      <c r="P592" s="47"/>
      <c r="Q592" s="42"/>
      <c r="R592" s="27"/>
      <c r="S592" s="47"/>
      <c r="T592" s="42"/>
      <c r="U592" s="27"/>
      <c r="V592" s="47"/>
      <c r="W592" s="42"/>
      <c r="X592" s="27"/>
      <c r="Y592" s="47"/>
      <c r="Z592" s="42"/>
      <c r="AA592" s="27"/>
      <c r="AB592" s="47"/>
      <c r="AC592" s="42"/>
      <c r="AD592" s="27"/>
      <c r="AE592" s="33"/>
      <c r="AF592" s="47"/>
      <c r="AG592" s="48"/>
    </row>
    <row r="593" spans="2:33" s="38" customFormat="1" x14ac:dyDescent="0.25">
      <c r="B593" s="49"/>
      <c r="C593" s="70"/>
      <c r="D593" s="42"/>
      <c r="F593" s="33"/>
      <c r="G593" s="47"/>
      <c r="H593" s="42"/>
      <c r="I593" s="27"/>
      <c r="J593" s="47"/>
      <c r="K593" s="42"/>
      <c r="L593" s="27"/>
      <c r="M593" s="47"/>
      <c r="N593" s="42"/>
      <c r="O593" s="27"/>
      <c r="P593" s="47"/>
      <c r="Q593" s="42"/>
      <c r="R593" s="27"/>
      <c r="S593" s="47"/>
      <c r="T593" s="42"/>
      <c r="U593" s="27"/>
      <c r="V593" s="47"/>
      <c r="W593" s="42"/>
      <c r="X593" s="27"/>
      <c r="Y593" s="47"/>
      <c r="Z593" s="42"/>
      <c r="AA593" s="27"/>
      <c r="AB593" s="47"/>
      <c r="AC593" s="42"/>
      <c r="AD593" s="27"/>
      <c r="AE593" s="33"/>
      <c r="AF593" s="47"/>
      <c r="AG593" s="48"/>
    </row>
    <row r="594" spans="2:33" s="38" customFormat="1" x14ac:dyDescent="0.25">
      <c r="B594" s="49"/>
      <c r="C594" s="70"/>
      <c r="D594" s="42"/>
      <c r="F594" s="33"/>
      <c r="G594" s="47"/>
      <c r="H594" s="42"/>
      <c r="I594" s="27"/>
      <c r="J594" s="47"/>
      <c r="K594" s="42"/>
      <c r="L594" s="27"/>
      <c r="M594" s="47"/>
      <c r="N594" s="42"/>
      <c r="O594" s="27"/>
      <c r="P594" s="47"/>
      <c r="Q594" s="42"/>
      <c r="R594" s="27"/>
      <c r="S594" s="47"/>
      <c r="T594" s="42"/>
      <c r="U594" s="27"/>
      <c r="V594" s="47"/>
      <c r="W594" s="42"/>
      <c r="X594" s="27"/>
      <c r="Y594" s="47"/>
      <c r="Z594" s="42"/>
      <c r="AA594" s="27"/>
      <c r="AB594" s="47"/>
      <c r="AC594" s="42"/>
      <c r="AD594" s="27"/>
      <c r="AE594" s="33"/>
      <c r="AF594" s="47"/>
      <c r="AG594" s="48"/>
    </row>
    <row r="595" spans="2:33" s="38" customFormat="1" x14ac:dyDescent="0.25">
      <c r="B595" s="49"/>
      <c r="C595" s="70"/>
      <c r="D595" s="42"/>
      <c r="F595" s="33"/>
      <c r="G595" s="47"/>
      <c r="H595" s="42"/>
      <c r="I595" s="27"/>
      <c r="J595" s="47"/>
      <c r="K595" s="42"/>
      <c r="L595" s="27"/>
      <c r="M595" s="47"/>
      <c r="N595" s="42"/>
      <c r="O595" s="27"/>
      <c r="P595" s="47"/>
      <c r="Q595" s="42"/>
      <c r="R595" s="27"/>
      <c r="S595" s="47"/>
      <c r="T595" s="42"/>
      <c r="U595" s="27"/>
      <c r="V595" s="47"/>
      <c r="W595" s="42"/>
      <c r="X595" s="27"/>
      <c r="Y595" s="47"/>
      <c r="Z595" s="42"/>
      <c r="AA595" s="27"/>
      <c r="AB595" s="47"/>
      <c r="AC595" s="42"/>
      <c r="AD595" s="27"/>
      <c r="AE595" s="33"/>
      <c r="AF595" s="47"/>
      <c r="AG595" s="48"/>
    </row>
    <row r="596" spans="2:33" s="38" customFormat="1" x14ac:dyDescent="0.25">
      <c r="B596" s="49"/>
      <c r="C596" s="70"/>
      <c r="D596" s="42"/>
      <c r="F596" s="33"/>
      <c r="G596" s="47"/>
      <c r="H596" s="42"/>
      <c r="I596" s="27"/>
      <c r="J596" s="47"/>
      <c r="K596" s="42"/>
      <c r="L596" s="27"/>
      <c r="M596" s="47"/>
      <c r="N596" s="42"/>
      <c r="O596" s="27"/>
      <c r="P596" s="47"/>
      <c r="Q596" s="42"/>
      <c r="R596" s="27"/>
      <c r="S596" s="47"/>
      <c r="T596" s="42"/>
      <c r="U596" s="27"/>
      <c r="V596" s="47"/>
      <c r="W596" s="42"/>
      <c r="X596" s="27"/>
      <c r="Y596" s="47"/>
      <c r="Z596" s="42"/>
      <c r="AA596" s="27"/>
      <c r="AB596" s="47"/>
      <c r="AC596" s="42"/>
      <c r="AD596" s="27"/>
      <c r="AE596" s="33"/>
      <c r="AF596" s="47"/>
      <c r="AG596" s="48"/>
    </row>
    <row r="597" spans="2:33" s="38" customFormat="1" x14ac:dyDescent="0.25">
      <c r="B597" s="49"/>
      <c r="C597" s="70"/>
      <c r="D597" s="42"/>
      <c r="F597" s="33"/>
      <c r="G597" s="47"/>
      <c r="H597" s="42"/>
      <c r="I597" s="27"/>
      <c r="J597" s="47"/>
      <c r="K597" s="42"/>
      <c r="L597" s="27"/>
      <c r="M597" s="47"/>
      <c r="N597" s="42"/>
      <c r="O597" s="27"/>
      <c r="P597" s="47"/>
      <c r="Q597" s="42"/>
      <c r="R597" s="27"/>
      <c r="S597" s="47"/>
      <c r="T597" s="42"/>
      <c r="U597" s="27"/>
      <c r="V597" s="47"/>
      <c r="W597" s="42"/>
      <c r="X597" s="27"/>
      <c r="Y597" s="47"/>
      <c r="Z597" s="42"/>
      <c r="AA597" s="27"/>
      <c r="AB597" s="47"/>
      <c r="AC597" s="42"/>
      <c r="AD597" s="27"/>
      <c r="AE597" s="33"/>
      <c r="AF597" s="47"/>
      <c r="AG597" s="48"/>
    </row>
    <row r="598" spans="2:33" s="38" customFormat="1" x14ac:dyDescent="0.25">
      <c r="B598" s="49"/>
      <c r="C598" s="70"/>
      <c r="D598" s="42"/>
      <c r="F598" s="33"/>
      <c r="G598" s="47"/>
      <c r="H598" s="42"/>
      <c r="I598" s="27"/>
      <c r="J598" s="47"/>
      <c r="K598" s="42"/>
      <c r="L598" s="27"/>
      <c r="M598" s="47"/>
      <c r="N598" s="42"/>
      <c r="O598" s="27"/>
      <c r="P598" s="47"/>
      <c r="Q598" s="42"/>
      <c r="R598" s="27"/>
      <c r="S598" s="47"/>
      <c r="T598" s="42"/>
      <c r="U598" s="27"/>
      <c r="V598" s="47"/>
      <c r="W598" s="42"/>
      <c r="X598" s="27"/>
      <c r="Y598" s="47"/>
      <c r="Z598" s="42"/>
      <c r="AA598" s="27"/>
      <c r="AB598" s="47"/>
      <c r="AC598" s="42"/>
      <c r="AD598" s="27"/>
      <c r="AE598" s="33"/>
      <c r="AF598" s="47"/>
      <c r="AG598" s="48"/>
    </row>
    <row r="599" spans="2:33" s="38" customFormat="1" x14ac:dyDescent="0.25">
      <c r="B599" s="49"/>
      <c r="C599" s="70"/>
      <c r="D599" s="42"/>
      <c r="F599" s="33"/>
      <c r="G599" s="47"/>
      <c r="H599" s="42"/>
      <c r="I599" s="27"/>
      <c r="J599" s="47"/>
      <c r="K599" s="42"/>
      <c r="L599" s="27"/>
      <c r="M599" s="47"/>
      <c r="N599" s="42"/>
      <c r="O599" s="27"/>
      <c r="P599" s="47"/>
      <c r="Q599" s="42"/>
      <c r="R599" s="27"/>
      <c r="S599" s="47"/>
      <c r="T599" s="42"/>
      <c r="U599" s="27"/>
      <c r="V599" s="47"/>
      <c r="W599" s="42"/>
      <c r="X599" s="27"/>
      <c r="Y599" s="47"/>
      <c r="Z599" s="42"/>
      <c r="AA599" s="27"/>
      <c r="AB599" s="47"/>
      <c r="AC599" s="42"/>
      <c r="AD599" s="27"/>
      <c r="AE599" s="33"/>
      <c r="AF599" s="47"/>
      <c r="AG599" s="48"/>
    </row>
    <row r="600" spans="2:33" s="38" customFormat="1" x14ac:dyDescent="0.25">
      <c r="B600" s="49"/>
      <c r="C600" s="70"/>
      <c r="D600" s="42"/>
      <c r="F600" s="33"/>
      <c r="G600" s="47"/>
      <c r="H600" s="42"/>
      <c r="I600" s="27"/>
      <c r="J600" s="47"/>
      <c r="K600" s="42"/>
      <c r="L600" s="27"/>
      <c r="M600" s="47"/>
      <c r="N600" s="42"/>
      <c r="O600" s="27"/>
      <c r="P600" s="47"/>
      <c r="Q600" s="42"/>
      <c r="R600" s="27"/>
      <c r="S600" s="47"/>
      <c r="T600" s="42"/>
      <c r="U600" s="27"/>
      <c r="V600" s="47"/>
      <c r="W600" s="42"/>
      <c r="X600" s="27"/>
      <c r="Y600" s="47"/>
      <c r="Z600" s="42"/>
      <c r="AA600" s="27"/>
      <c r="AB600" s="47"/>
      <c r="AC600" s="42"/>
      <c r="AD600" s="27"/>
      <c r="AE600" s="33"/>
      <c r="AF600" s="47"/>
      <c r="AG600" s="48"/>
    </row>
    <row r="601" spans="2:33" s="38" customFormat="1" x14ac:dyDescent="0.25">
      <c r="B601" s="49"/>
      <c r="C601" s="70"/>
      <c r="D601" s="42"/>
      <c r="F601" s="33"/>
      <c r="G601" s="47"/>
      <c r="H601" s="42"/>
      <c r="I601" s="27"/>
      <c r="J601" s="47"/>
      <c r="K601" s="42"/>
      <c r="L601" s="27"/>
      <c r="M601" s="47"/>
      <c r="N601" s="42"/>
      <c r="O601" s="27"/>
      <c r="P601" s="47"/>
      <c r="Q601" s="42"/>
      <c r="R601" s="27"/>
      <c r="S601" s="47"/>
      <c r="T601" s="42"/>
      <c r="U601" s="27"/>
      <c r="V601" s="47"/>
      <c r="W601" s="42"/>
      <c r="X601" s="27"/>
      <c r="Y601" s="47"/>
      <c r="Z601" s="42"/>
      <c r="AA601" s="27"/>
      <c r="AB601" s="47"/>
      <c r="AC601" s="42"/>
      <c r="AD601" s="27"/>
      <c r="AE601" s="33"/>
      <c r="AF601" s="47"/>
      <c r="AG601" s="48"/>
    </row>
    <row r="602" spans="2:33" s="38" customFormat="1" x14ac:dyDescent="0.25">
      <c r="B602" s="49"/>
      <c r="C602" s="70"/>
      <c r="D602" s="42"/>
      <c r="F602" s="33"/>
      <c r="G602" s="47"/>
      <c r="H602" s="42"/>
      <c r="I602" s="27"/>
      <c r="J602" s="47"/>
      <c r="K602" s="42"/>
      <c r="L602" s="27"/>
      <c r="M602" s="47"/>
      <c r="N602" s="42"/>
      <c r="O602" s="27"/>
      <c r="P602" s="47"/>
      <c r="Q602" s="42"/>
      <c r="R602" s="27"/>
      <c r="S602" s="47"/>
      <c r="T602" s="42"/>
      <c r="U602" s="27"/>
      <c r="V602" s="47"/>
      <c r="W602" s="42"/>
      <c r="X602" s="27"/>
      <c r="Y602" s="47"/>
      <c r="Z602" s="42"/>
      <c r="AA602" s="27"/>
      <c r="AB602" s="47"/>
      <c r="AC602" s="42"/>
      <c r="AD602" s="27"/>
      <c r="AE602" s="33"/>
      <c r="AF602" s="47"/>
      <c r="AG602" s="48"/>
    </row>
    <row r="603" spans="2:33" s="38" customFormat="1" x14ac:dyDescent="0.25">
      <c r="B603" s="49"/>
      <c r="C603" s="70"/>
      <c r="D603" s="42"/>
      <c r="F603" s="33"/>
      <c r="G603" s="47"/>
      <c r="H603" s="42"/>
      <c r="I603" s="27"/>
      <c r="J603" s="47"/>
      <c r="K603" s="42"/>
      <c r="L603" s="27"/>
      <c r="M603" s="47"/>
      <c r="N603" s="42"/>
      <c r="O603" s="27"/>
      <c r="P603" s="47"/>
      <c r="Q603" s="42"/>
      <c r="R603" s="27"/>
      <c r="S603" s="47"/>
      <c r="T603" s="42"/>
      <c r="U603" s="27"/>
      <c r="V603" s="47"/>
      <c r="W603" s="42"/>
      <c r="X603" s="27"/>
      <c r="Y603" s="47"/>
      <c r="Z603" s="42"/>
      <c r="AA603" s="27"/>
      <c r="AB603" s="47"/>
      <c r="AC603" s="42"/>
      <c r="AD603" s="27"/>
      <c r="AE603" s="33"/>
      <c r="AF603" s="47"/>
      <c r="AG603" s="48"/>
    </row>
    <row r="604" spans="2:33" s="38" customFormat="1" x14ac:dyDescent="0.25">
      <c r="B604" s="49"/>
      <c r="C604" s="70"/>
      <c r="D604" s="42"/>
      <c r="F604" s="33"/>
      <c r="G604" s="47"/>
      <c r="H604" s="42"/>
      <c r="I604" s="27"/>
      <c r="J604" s="47"/>
      <c r="K604" s="42"/>
      <c r="L604" s="27"/>
      <c r="M604" s="47"/>
      <c r="N604" s="42"/>
      <c r="O604" s="27"/>
      <c r="P604" s="47"/>
      <c r="Q604" s="42"/>
      <c r="R604" s="27"/>
      <c r="S604" s="47"/>
      <c r="T604" s="42"/>
      <c r="U604" s="27"/>
      <c r="V604" s="47"/>
      <c r="W604" s="42"/>
      <c r="X604" s="27"/>
      <c r="Y604" s="47"/>
      <c r="Z604" s="42"/>
      <c r="AA604" s="27"/>
      <c r="AB604" s="47"/>
      <c r="AC604" s="42"/>
      <c r="AD604" s="27"/>
      <c r="AE604" s="33"/>
      <c r="AF604" s="47"/>
      <c r="AG604" s="48"/>
    </row>
    <row r="605" spans="2:33" s="38" customFormat="1" x14ac:dyDescent="0.25">
      <c r="B605" s="49"/>
      <c r="C605" s="70"/>
      <c r="D605" s="42"/>
      <c r="F605" s="33"/>
      <c r="G605" s="47"/>
      <c r="H605" s="42"/>
      <c r="I605" s="27"/>
      <c r="J605" s="47"/>
      <c r="K605" s="42"/>
      <c r="L605" s="27"/>
      <c r="M605" s="47"/>
      <c r="N605" s="42"/>
      <c r="O605" s="27"/>
      <c r="P605" s="47"/>
      <c r="Q605" s="42"/>
      <c r="R605" s="27"/>
      <c r="S605" s="47"/>
      <c r="T605" s="42"/>
      <c r="U605" s="27"/>
      <c r="V605" s="47"/>
      <c r="W605" s="42"/>
      <c r="X605" s="27"/>
      <c r="Y605" s="47"/>
      <c r="Z605" s="42"/>
      <c r="AA605" s="27"/>
      <c r="AB605" s="47"/>
      <c r="AC605" s="42"/>
      <c r="AD605" s="27"/>
      <c r="AE605" s="33"/>
      <c r="AF605" s="47"/>
      <c r="AG605" s="48"/>
    </row>
    <row r="606" spans="2:33" s="38" customFormat="1" x14ac:dyDescent="0.25">
      <c r="B606" s="49"/>
      <c r="C606" s="70"/>
      <c r="D606" s="42"/>
      <c r="F606" s="33"/>
      <c r="G606" s="47"/>
      <c r="H606" s="42"/>
      <c r="I606" s="27"/>
      <c r="J606" s="47"/>
      <c r="K606" s="42"/>
      <c r="L606" s="27"/>
      <c r="M606" s="47"/>
      <c r="N606" s="42"/>
      <c r="O606" s="27"/>
      <c r="P606" s="47"/>
      <c r="Q606" s="42"/>
      <c r="R606" s="27"/>
      <c r="S606" s="47"/>
      <c r="T606" s="42"/>
      <c r="U606" s="27"/>
      <c r="V606" s="47"/>
      <c r="W606" s="42"/>
      <c r="X606" s="27"/>
      <c r="Y606" s="47"/>
      <c r="Z606" s="42"/>
      <c r="AA606" s="27"/>
      <c r="AB606" s="47"/>
      <c r="AC606" s="42"/>
      <c r="AD606" s="27"/>
      <c r="AE606" s="33"/>
      <c r="AF606" s="47"/>
      <c r="AG606" s="48"/>
    </row>
    <row r="607" spans="2:33" s="38" customFormat="1" x14ac:dyDescent="0.25">
      <c r="B607" s="49"/>
      <c r="C607" s="70"/>
      <c r="D607" s="42"/>
      <c r="F607" s="33"/>
      <c r="G607" s="47"/>
      <c r="H607" s="42"/>
      <c r="I607" s="27"/>
      <c r="J607" s="47"/>
      <c r="K607" s="42"/>
      <c r="L607" s="27"/>
      <c r="M607" s="47"/>
      <c r="N607" s="42"/>
      <c r="O607" s="27"/>
      <c r="P607" s="47"/>
      <c r="Q607" s="42"/>
      <c r="R607" s="27"/>
      <c r="S607" s="47"/>
      <c r="T607" s="42"/>
      <c r="U607" s="27"/>
      <c r="V607" s="47"/>
      <c r="W607" s="42"/>
      <c r="X607" s="27"/>
      <c r="Y607" s="47"/>
      <c r="Z607" s="42"/>
      <c r="AA607" s="27"/>
      <c r="AB607" s="47"/>
      <c r="AC607" s="42"/>
      <c r="AD607" s="27"/>
      <c r="AE607" s="33"/>
      <c r="AF607" s="47"/>
      <c r="AG607" s="48"/>
    </row>
    <row r="608" spans="2:33" s="38" customFormat="1" x14ac:dyDescent="0.25">
      <c r="B608" s="49"/>
      <c r="C608" s="70"/>
      <c r="D608" s="42"/>
      <c r="F608" s="33"/>
      <c r="G608" s="47"/>
      <c r="H608" s="42"/>
      <c r="I608" s="27"/>
      <c r="J608" s="47"/>
      <c r="K608" s="42"/>
      <c r="L608" s="27"/>
      <c r="M608" s="47"/>
      <c r="N608" s="42"/>
      <c r="O608" s="27"/>
      <c r="P608" s="47"/>
      <c r="Q608" s="42"/>
      <c r="R608" s="27"/>
      <c r="S608" s="47"/>
      <c r="T608" s="42"/>
      <c r="U608" s="27"/>
      <c r="V608" s="47"/>
      <c r="W608" s="42"/>
      <c r="X608" s="27"/>
      <c r="Y608" s="47"/>
      <c r="Z608" s="42"/>
      <c r="AA608" s="27"/>
      <c r="AB608" s="47"/>
      <c r="AC608" s="42"/>
      <c r="AD608" s="27"/>
      <c r="AE608" s="33"/>
      <c r="AF608" s="47"/>
      <c r="AG608" s="48"/>
    </row>
    <row r="609" spans="2:33" s="38" customFormat="1" x14ac:dyDescent="0.25">
      <c r="B609" s="49"/>
      <c r="C609" s="70"/>
      <c r="D609" s="42"/>
      <c r="F609" s="33"/>
      <c r="G609" s="47"/>
      <c r="H609" s="42"/>
      <c r="I609" s="27"/>
      <c r="J609" s="47"/>
      <c r="K609" s="42"/>
      <c r="L609" s="27"/>
      <c r="M609" s="47"/>
      <c r="N609" s="42"/>
      <c r="O609" s="27"/>
      <c r="P609" s="47"/>
      <c r="Q609" s="42"/>
      <c r="R609" s="27"/>
      <c r="S609" s="47"/>
      <c r="T609" s="42"/>
      <c r="U609" s="27"/>
      <c r="V609" s="47"/>
      <c r="W609" s="42"/>
      <c r="X609" s="27"/>
      <c r="Y609" s="47"/>
      <c r="Z609" s="42"/>
      <c r="AA609" s="27"/>
      <c r="AB609" s="47"/>
      <c r="AC609" s="42"/>
      <c r="AD609" s="27"/>
      <c r="AE609" s="33"/>
      <c r="AF609" s="47"/>
      <c r="AG609" s="48"/>
    </row>
    <row r="610" spans="2:33" s="38" customFormat="1" x14ac:dyDescent="0.25">
      <c r="B610" s="49"/>
      <c r="C610" s="70"/>
      <c r="D610" s="42"/>
      <c r="F610" s="33"/>
      <c r="G610" s="47"/>
      <c r="H610" s="42"/>
      <c r="I610" s="27"/>
      <c r="J610" s="47"/>
      <c r="K610" s="42"/>
      <c r="L610" s="27"/>
      <c r="M610" s="47"/>
      <c r="N610" s="42"/>
      <c r="O610" s="27"/>
      <c r="P610" s="47"/>
      <c r="Q610" s="42"/>
      <c r="R610" s="27"/>
      <c r="S610" s="47"/>
      <c r="T610" s="42"/>
      <c r="U610" s="27"/>
      <c r="V610" s="47"/>
      <c r="W610" s="42"/>
      <c r="X610" s="27"/>
      <c r="Y610" s="47"/>
      <c r="Z610" s="42"/>
      <c r="AA610" s="27"/>
      <c r="AB610" s="47"/>
      <c r="AC610" s="42"/>
      <c r="AD610" s="27"/>
      <c r="AE610" s="33"/>
      <c r="AF610" s="47"/>
      <c r="AG610" s="48"/>
    </row>
    <row r="611" spans="2:33" s="38" customFormat="1" x14ac:dyDescent="0.25">
      <c r="B611" s="49"/>
      <c r="C611" s="70"/>
      <c r="D611" s="42"/>
      <c r="F611" s="33"/>
      <c r="G611" s="47"/>
      <c r="H611" s="42"/>
      <c r="I611" s="27"/>
      <c r="J611" s="47"/>
      <c r="K611" s="42"/>
      <c r="L611" s="27"/>
      <c r="M611" s="47"/>
      <c r="N611" s="42"/>
      <c r="O611" s="27"/>
      <c r="P611" s="47"/>
      <c r="Q611" s="42"/>
      <c r="R611" s="27"/>
      <c r="S611" s="47"/>
      <c r="T611" s="42"/>
      <c r="U611" s="27"/>
      <c r="V611" s="47"/>
      <c r="W611" s="42"/>
      <c r="X611" s="27"/>
      <c r="Y611" s="47"/>
      <c r="Z611" s="42"/>
      <c r="AA611" s="27"/>
      <c r="AB611" s="47"/>
      <c r="AC611" s="42"/>
      <c r="AD611" s="27"/>
      <c r="AE611" s="33"/>
      <c r="AF611" s="47"/>
      <c r="AG611" s="48"/>
    </row>
    <row r="612" spans="2:33" s="38" customFormat="1" x14ac:dyDescent="0.25">
      <c r="B612" s="49"/>
      <c r="C612" s="70"/>
      <c r="D612" s="42"/>
      <c r="F612" s="33"/>
      <c r="G612" s="47"/>
      <c r="H612" s="42"/>
      <c r="I612" s="27"/>
      <c r="J612" s="47"/>
      <c r="K612" s="42"/>
      <c r="L612" s="27"/>
      <c r="M612" s="47"/>
      <c r="N612" s="42"/>
      <c r="O612" s="27"/>
      <c r="P612" s="47"/>
      <c r="Q612" s="42"/>
      <c r="R612" s="27"/>
      <c r="S612" s="47"/>
      <c r="T612" s="42"/>
      <c r="U612" s="27"/>
      <c r="V612" s="47"/>
      <c r="W612" s="42"/>
      <c r="X612" s="27"/>
      <c r="Y612" s="47"/>
      <c r="Z612" s="42"/>
      <c r="AA612" s="27"/>
      <c r="AB612" s="47"/>
      <c r="AC612" s="42"/>
      <c r="AD612" s="27"/>
      <c r="AE612" s="33"/>
      <c r="AF612" s="47"/>
      <c r="AG612" s="48"/>
    </row>
    <row r="613" spans="2:33" s="38" customFormat="1" x14ac:dyDescent="0.25">
      <c r="B613" s="49"/>
      <c r="C613" s="70"/>
      <c r="D613" s="42"/>
      <c r="F613" s="33"/>
      <c r="G613" s="47"/>
      <c r="H613" s="42"/>
      <c r="I613" s="27"/>
      <c r="J613" s="47"/>
      <c r="K613" s="42"/>
      <c r="L613" s="27"/>
      <c r="M613" s="47"/>
      <c r="N613" s="42"/>
      <c r="O613" s="27"/>
      <c r="P613" s="47"/>
      <c r="Q613" s="42"/>
      <c r="R613" s="27"/>
      <c r="S613" s="47"/>
      <c r="T613" s="42"/>
      <c r="U613" s="27"/>
      <c r="V613" s="47"/>
      <c r="W613" s="42"/>
      <c r="X613" s="27"/>
      <c r="Y613" s="47"/>
      <c r="Z613" s="42"/>
      <c r="AA613" s="27"/>
      <c r="AB613" s="47"/>
      <c r="AC613" s="42"/>
      <c r="AD613" s="27"/>
      <c r="AE613" s="33"/>
      <c r="AF613" s="47"/>
      <c r="AG613" s="48"/>
    </row>
    <row r="614" spans="2:33" s="38" customFormat="1" x14ac:dyDescent="0.25">
      <c r="B614" s="49"/>
      <c r="C614" s="70"/>
      <c r="D614" s="42"/>
      <c r="F614" s="33"/>
      <c r="G614" s="47"/>
      <c r="H614" s="42"/>
      <c r="I614" s="27"/>
      <c r="J614" s="47"/>
      <c r="K614" s="42"/>
      <c r="L614" s="27"/>
      <c r="M614" s="47"/>
      <c r="N614" s="42"/>
      <c r="O614" s="27"/>
      <c r="P614" s="47"/>
      <c r="Q614" s="42"/>
      <c r="R614" s="27"/>
      <c r="S614" s="47"/>
      <c r="T614" s="42"/>
      <c r="U614" s="27"/>
      <c r="V614" s="47"/>
      <c r="W614" s="42"/>
      <c r="X614" s="27"/>
      <c r="Y614" s="47"/>
      <c r="Z614" s="42"/>
      <c r="AA614" s="27"/>
      <c r="AB614" s="47"/>
      <c r="AC614" s="42"/>
      <c r="AD614" s="27"/>
      <c r="AE614" s="33"/>
      <c r="AF614" s="47"/>
      <c r="AG614" s="48"/>
    </row>
    <row r="615" spans="2:33" s="38" customFormat="1" x14ac:dyDescent="0.25">
      <c r="B615" s="49"/>
      <c r="C615" s="70"/>
      <c r="D615" s="42"/>
      <c r="F615" s="33"/>
      <c r="G615" s="47"/>
      <c r="H615" s="42"/>
      <c r="I615" s="27"/>
      <c r="J615" s="47"/>
      <c r="K615" s="42"/>
      <c r="L615" s="27"/>
      <c r="M615" s="47"/>
      <c r="N615" s="42"/>
      <c r="O615" s="27"/>
      <c r="P615" s="47"/>
      <c r="Q615" s="42"/>
      <c r="R615" s="27"/>
      <c r="S615" s="47"/>
      <c r="T615" s="42"/>
      <c r="U615" s="27"/>
      <c r="V615" s="47"/>
      <c r="W615" s="42"/>
      <c r="X615" s="27"/>
      <c r="Y615" s="47"/>
      <c r="Z615" s="42"/>
      <c r="AA615" s="27"/>
      <c r="AB615" s="47"/>
      <c r="AC615" s="42"/>
      <c r="AD615" s="27"/>
      <c r="AE615" s="33"/>
      <c r="AF615" s="47"/>
      <c r="AG615" s="48"/>
    </row>
    <row r="616" spans="2:33" s="38" customFormat="1" x14ac:dyDescent="0.25">
      <c r="B616" s="49"/>
      <c r="C616" s="70"/>
      <c r="D616" s="42"/>
      <c r="F616" s="33"/>
      <c r="G616" s="47"/>
      <c r="H616" s="42"/>
      <c r="I616" s="27"/>
      <c r="J616" s="47"/>
      <c r="K616" s="42"/>
      <c r="L616" s="27"/>
      <c r="M616" s="47"/>
      <c r="N616" s="42"/>
      <c r="O616" s="27"/>
      <c r="P616" s="47"/>
      <c r="Q616" s="42"/>
      <c r="R616" s="27"/>
      <c r="S616" s="47"/>
      <c r="T616" s="42"/>
      <c r="U616" s="27"/>
      <c r="V616" s="47"/>
      <c r="W616" s="42"/>
      <c r="X616" s="27"/>
      <c r="Y616" s="47"/>
      <c r="Z616" s="42"/>
      <c r="AA616" s="27"/>
      <c r="AB616" s="47"/>
      <c r="AC616" s="42"/>
      <c r="AD616" s="27"/>
      <c r="AE616" s="33"/>
      <c r="AF616" s="47"/>
      <c r="AG616" s="48"/>
    </row>
    <row r="617" spans="2:33" s="38" customFormat="1" x14ac:dyDescent="0.25">
      <c r="B617" s="49"/>
      <c r="C617" s="70"/>
      <c r="D617" s="42"/>
      <c r="F617" s="33"/>
      <c r="G617" s="47"/>
      <c r="H617" s="42"/>
      <c r="I617" s="27"/>
      <c r="J617" s="47"/>
      <c r="K617" s="42"/>
      <c r="L617" s="27"/>
      <c r="M617" s="47"/>
      <c r="N617" s="42"/>
      <c r="O617" s="27"/>
      <c r="P617" s="47"/>
      <c r="Q617" s="42"/>
      <c r="R617" s="27"/>
      <c r="S617" s="47"/>
      <c r="T617" s="42"/>
      <c r="U617" s="27"/>
      <c r="V617" s="47"/>
      <c r="W617" s="42"/>
      <c r="X617" s="27"/>
      <c r="Y617" s="47"/>
      <c r="Z617" s="42"/>
      <c r="AA617" s="27"/>
      <c r="AB617" s="47"/>
      <c r="AC617" s="42"/>
      <c r="AD617" s="27"/>
      <c r="AE617" s="33"/>
      <c r="AF617" s="47"/>
      <c r="AG617" s="48"/>
    </row>
    <row r="618" spans="2:33" s="38" customFormat="1" x14ac:dyDescent="0.25">
      <c r="B618" s="49"/>
      <c r="C618" s="70"/>
      <c r="D618" s="42"/>
      <c r="F618" s="33"/>
      <c r="G618" s="47"/>
      <c r="H618" s="42"/>
      <c r="I618" s="27"/>
      <c r="J618" s="47"/>
      <c r="K618" s="42"/>
      <c r="L618" s="27"/>
      <c r="M618" s="47"/>
      <c r="N618" s="42"/>
      <c r="O618" s="27"/>
      <c r="P618" s="47"/>
      <c r="Q618" s="42"/>
      <c r="R618" s="27"/>
      <c r="S618" s="47"/>
      <c r="T618" s="42"/>
      <c r="U618" s="27"/>
      <c r="V618" s="47"/>
      <c r="W618" s="42"/>
      <c r="X618" s="27"/>
      <c r="Y618" s="47"/>
      <c r="Z618" s="42"/>
      <c r="AA618" s="27"/>
      <c r="AB618" s="47"/>
      <c r="AC618" s="42"/>
      <c r="AD618" s="27"/>
      <c r="AE618" s="33"/>
      <c r="AF618" s="47"/>
      <c r="AG618" s="48"/>
    </row>
    <row r="619" spans="2:33" s="38" customFormat="1" x14ac:dyDescent="0.25">
      <c r="B619" s="49"/>
      <c r="C619" s="70"/>
      <c r="D619" s="42"/>
      <c r="F619" s="33"/>
      <c r="G619" s="47"/>
      <c r="H619" s="42"/>
      <c r="I619" s="27"/>
      <c r="J619" s="47"/>
      <c r="K619" s="42"/>
      <c r="L619" s="27"/>
      <c r="M619" s="47"/>
      <c r="N619" s="42"/>
      <c r="O619" s="27"/>
      <c r="P619" s="47"/>
      <c r="Q619" s="42"/>
      <c r="R619" s="27"/>
      <c r="S619" s="47"/>
      <c r="T619" s="42"/>
      <c r="U619" s="27"/>
      <c r="V619" s="47"/>
      <c r="W619" s="42"/>
      <c r="X619" s="27"/>
      <c r="Y619" s="47"/>
      <c r="Z619" s="42"/>
      <c r="AA619" s="27"/>
      <c r="AB619" s="47"/>
      <c r="AC619" s="42"/>
      <c r="AD619" s="27"/>
      <c r="AE619" s="33"/>
      <c r="AF619" s="47"/>
      <c r="AG619" s="48"/>
    </row>
    <row r="620" spans="2:33" s="38" customFormat="1" x14ac:dyDescent="0.25">
      <c r="B620" s="49"/>
      <c r="C620" s="70"/>
      <c r="D620" s="42"/>
      <c r="F620" s="33"/>
      <c r="G620" s="47"/>
      <c r="H620" s="42"/>
      <c r="I620" s="27"/>
      <c r="J620" s="47"/>
      <c r="K620" s="42"/>
      <c r="L620" s="27"/>
      <c r="M620" s="47"/>
      <c r="N620" s="42"/>
      <c r="O620" s="27"/>
      <c r="P620" s="47"/>
      <c r="Q620" s="42"/>
      <c r="R620" s="27"/>
      <c r="S620" s="47"/>
      <c r="T620" s="42"/>
      <c r="U620" s="27"/>
      <c r="V620" s="47"/>
      <c r="W620" s="42"/>
      <c r="X620" s="27"/>
      <c r="Y620" s="47"/>
      <c r="Z620" s="42"/>
      <c r="AA620" s="27"/>
      <c r="AB620" s="47"/>
      <c r="AC620" s="42"/>
      <c r="AD620" s="27"/>
      <c r="AE620" s="33"/>
      <c r="AF620" s="47"/>
      <c r="AG620" s="48"/>
    </row>
    <row r="621" spans="2:33" s="38" customFormat="1" x14ac:dyDescent="0.25">
      <c r="B621" s="49"/>
      <c r="C621" s="70"/>
      <c r="D621" s="42"/>
      <c r="F621" s="33"/>
      <c r="G621" s="47"/>
      <c r="H621" s="42"/>
      <c r="I621" s="27"/>
      <c r="J621" s="47"/>
      <c r="K621" s="42"/>
      <c r="L621" s="27"/>
      <c r="M621" s="47"/>
      <c r="N621" s="42"/>
      <c r="O621" s="27"/>
      <c r="P621" s="47"/>
      <c r="Q621" s="42"/>
      <c r="R621" s="27"/>
      <c r="S621" s="47"/>
      <c r="T621" s="42"/>
      <c r="U621" s="27"/>
      <c r="V621" s="47"/>
      <c r="W621" s="42"/>
      <c r="X621" s="27"/>
      <c r="Y621" s="47"/>
      <c r="Z621" s="42"/>
      <c r="AA621" s="27"/>
      <c r="AB621" s="47"/>
      <c r="AC621" s="42"/>
      <c r="AD621" s="27"/>
      <c r="AE621" s="33"/>
      <c r="AF621" s="47"/>
      <c r="AG621" s="48"/>
    </row>
    <row r="622" spans="2:33" s="38" customFormat="1" x14ac:dyDescent="0.25">
      <c r="B622" s="49"/>
      <c r="C622" s="70"/>
      <c r="D622" s="42"/>
      <c r="F622" s="33"/>
      <c r="G622" s="47"/>
      <c r="H622" s="42"/>
      <c r="I622" s="27"/>
      <c r="J622" s="47"/>
      <c r="K622" s="42"/>
      <c r="L622" s="27"/>
      <c r="M622" s="47"/>
      <c r="N622" s="42"/>
      <c r="O622" s="27"/>
      <c r="P622" s="47"/>
      <c r="Q622" s="42"/>
      <c r="R622" s="27"/>
      <c r="S622" s="47"/>
      <c r="T622" s="42"/>
      <c r="U622" s="27"/>
      <c r="V622" s="47"/>
      <c r="W622" s="42"/>
      <c r="X622" s="27"/>
      <c r="Y622" s="47"/>
      <c r="Z622" s="42"/>
      <c r="AA622" s="27"/>
      <c r="AB622" s="47"/>
      <c r="AC622" s="42"/>
      <c r="AD622" s="27"/>
      <c r="AE622" s="33"/>
      <c r="AF622" s="47"/>
      <c r="AG622" s="48"/>
    </row>
    <row r="623" spans="2:33" s="38" customFormat="1" x14ac:dyDescent="0.25">
      <c r="B623" s="49"/>
      <c r="C623" s="70"/>
      <c r="D623" s="42"/>
      <c r="F623" s="33"/>
      <c r="G623" s="47"/>
      <c r="H623" s="42"/>
      <c r="I623" s="27"/>
      <c r="J623" s="47"/>
      <c r="K623" s="42"/>
      <c r="L623" s="27"/>
      <c r="M623" s="47"/>
      <c r="N623" s="42"/>
      <c r="O623" s="27"/>
      <c r="P623" s="47"/>
      <c r="Q623" s="42"/>
      <c r="R623" s="27"/>
      <c r="S623" s="47"/>
      <c r="T623" s="42"/>
      <c r="U623" s="27"/>
      <c r="V623" s="47"/>
      <c r="W623" s="42"/>
      <c r="X623" s="27"/>
      <c r="Y623" s="47"/>
      <c r="Z623" s="42"/>
      <c r="AA623" s="27"/>
      <c r="AB623" s="47"/>
      <c r="AC623" s="42"/>
      <c r="AD623" s="27"/>
      <c r="AE623" s="33"/>
      <c r="AF623" s="47"/>
      <c r="AG623" s="48"/>
    </row>
    <row r="624" spans="2:33" s="38" customFormat="1" x14ac:dyDescent="0.25">
      <c r="B624" s="49"/>
      <c r="C624" s="70"/>
      <c r="D624" s="42"/>
      <c r="F624" s="33"/>
      <c r="G624" s="47"/>
      <c r="H624" s="42"/>
      <c r="I624" s="27"/>
      <c r="J624" s="47"/>
      <c r="K624" s="42"/>
      <c r="L624" s="27"/>
      <c r="M624" s="47"/>
      <c r="N624" s="42"/>
      <c r="O624" s="27"/>
      <c r="P624" s="47"/>
      <c r="Q624" s="42"/>
      <c r="R624" s="27"/>
      <c r="S624" s="47"/>
      <c r="T624" s="42"/>
      <c r="U624" s="27"/>
      <c r="V624" s="47"/>
      <c r="W624" s="42"/>
      <c r="X624" s="27"/>
      <c r="Y624" s="47"/>
      <c r="Z624" s="42"/>
      <c r="AA624" s="27"/>
      <c r="AB624" s="47"/>
      <c r="AC624" s="42"/>
      <c r="AD624" s="27"/>
      <c r="AE624" s="33"/>
      <c r="AF624" s="47"/>
      <c r="AG624" s="48"/>
    </row>
    <row r="625" spans="2:33" s="38" customFormat="1" x14ac:dyDescent="0.25">
      <c r="B625" s="49"/>
      <c r="C625" s="70"/>
      <c r="D625" s="42"/>
      <c r="F625" s="33"/>
      <c r="G625" s="47"/>
      <c r="H625" s="42"/>
      <c r="I625" s="27"/>
      <c r="J625" s="47"/>
      <c r="K625" s="42"/>
      <c r="L625" s="27"/>
      <c r="M625" s="47"/>
      <c r="N625" s="42"/>
      <c r="O625" s="27"/>
      <c r="P625" s="47"/>
      <c r="Q625" s="42"/>
      <c r="R625" s="27"/>
      <c r="S625" s="47"/>
      <c r="T625" s="42"/>
      <c r="U625" s="27"/>
      <c r="V625" s="47"/>
      <c r="W625" s="42"/>
      <c r="X625" s="27"/>
      <c r="Y625" s="47"/>
      <c r="Z625" s="42"/>
      <c r="AA625" s="27"/>
      <c r="AB625" s="47"/>
      <c r="AC625" s="42"/>
      <c r="AD625" s="27"/>
      <c r="AE625" s="33"/>
      <c r="AF625" s="47"/>
      <c r="AG625" s="48"/>
    </row>
    <row r="626" spans="2:33" s="38" customFormat="1" x14ac:dyDescent="0.25">
      <c r="B626" s="49"/>
      <c r="C626" s="70"/>
      <c r="D626" s="42"/>
      <c r="F626" s="33"/>
      <c r="G626" s="47"/>
      <c r="H626" s="42"/>
      <c r="I626" s="27"/>
      <c r="J626" s="47"/>
      <c r="K626" s="42"/>
      <c r="L626" s="27"/>
      <c r="M626" s="47"/>
      <c r="N626" s="42"/>
      <c r="O626" s="27"/>
      <c r="P626" s="47"/>
      <c r="Q626" s="42"/>
      <c r="R626" s="27"/>
      <c r="S626" s="47"/>
      <c r="T626" s="42"/>
      <c r="U626" s="27"/>
      <c r="V626" s="47"/>
      <c r="W626" s="42"/>
      <c r="X626" s="27"/>
      <c r="Y626" s="47"/>
      <c r="Z626" s="42"/>
      <c r="AA626" s="27"/>
      <c r="AB626" s="47"/>
      <c r="AC626" s="42"/>
      <c r="AD626" s="27"/>
      <c r="AE626" s="33"/>
      <c r="AF626" s="47"/>
      <c r="AG626" s="48"/>
    </row>
    <row r="627" spans="2:33" s="38" customFormat="1" x14ac:dyDescent="0.25">
      <c r="B627" s="49"/>
      <c r="C627" s="70"/>
      <c r="D627" s="42"/>
      <c r="F627" s="33"/>
      <c r="G627" s="47"/>
      <c r="H627" s="42"/>
      <c r="I627" s="27"/>
      <c r="J627" s="47"/>
      <c r="K627" s="42"/>
      <c r="L627" s="27"/>
      <c r="M627" s="47"/>
      <c r="N627" s="42"/>
      <c r="O627" s="27"/>
      <c r="P627" s="47"/>
      <c r="Q627" s="42"/>
      <c r="R627" s="27"/>
      <c r="S627" s="47"/>
      <c r="T627" s="42"/>
      <c r="U627" s="27"/>
      <c r="V627" s="47"/>
      <c r="W627" s="42"/>
      <c r="X627" s="27"/>
      <c r="Y627" s="47"/>
      <c r="Z627" s="42"/>
      <c r="AA627" s="27"/>
      <c r="AB627" s="47"/>
      <c r="AC627" s="42"/>
      <c r="AD627" s="27"/>
      <c r="AE627" s="33"/>
      <c r="AF627" s="47"/>
      <c r="AG627" s="48"/>
    </row>
    <row r="628" spans="2:33" s="38" customFormat="1" x14ac:dyDescent="0.25">
      <c r="B628" s="49"/>
      <c r="C628" s="70"/>
      <c r="D628" s="42"/>
      <c r="F628" s="33"/>
      <c r="G628" s="47"/>
      <c r="H628" s="42"/>
      <c r="I628" s="27"/>
      <c r="J628" s="47"/>
      <c r="K628" s="42"/>
      <c r="L628" s="27"/>
      <c r="M628" s="47"/>
      <c r="N628" s="42"/>
      <c r="O628" s="27"/>
      <c r="P628" s="47"/>
      <c r="Q628" s="42"/>
      <c r="R628" s="27"/>
      <c r="S628" s="47"/>
      <c r="T628" s="42"/>
      <c r="U628" s="27"/>
      <c r="V628" s="47"/>
      <c r="W628" s="42"/>
      <c r="X628" s="27"/>
      <c r="Y628" s="47"/>
      <c r="Z628" s="42"/>
      <c r="AA628" s="27"/>
      <c r="AB628" s="47"/>
      <c r="AC628" s="42"/>
      <c r="AD628" s="27"/>
      <c r="AE628" s="33"/>
      <c r="AF628" s="47"/>
      <c r="AG628" s="48"/>
    </row>
    <row r="629" spans="2:33" s="38" customFormat="1" x14ac:dyDescent="0.25">
      <c r="B629" s="49"/>
      <c r="C629" s="70"/>
      <c r="D629" s="42"/>
      <c r="F629" s="33"/>
      <c r="G629" s="47"/>
      <c r="H629" s="42"/>
      <c r="I629" s="27"/>
      <c r="J629" s="47"/>
      <c r="K629" s="42"/>
      <c r="L629" s="27"/>
      <c r="M629" s="47"/>
      <c r="N629" s="42"/>
      <c r="O629" s="27"/>
      <c r="P629" s="47"/>
      <c r="Q629" s="42"/>
      <c r="R629" s="27"/>
      <c r="S629" s="47"/>
      <c r="T629" s="42"/>
      <c r="U629" s="27"/>
      <c r="V629" s="47"/>
      <c r="W629" s="42"/>
      <c r="X629" s="27"/>
      <c r="Y629" s="47"/>
      <c r="Z629" s="42"/>
      <c r="AA629" s="27"/>
      <c r="AB629" s="47"/>
      <c r="AC629" s="42"/>
      <c r="AD629" s="27"/>
      <c r="AE629" s="33"/>
      <c r="AF629" s="47"/>
      <c r="AG629" s="48"/>
    </row>
    <row r="630" spans="2:33" s="38" customFormat="1" x14ac:dyDescent="0.25">
      <c r="B630" s="49"/>
      <c r="C630" s="70"/>
      <c r="D630" s="42"/>
      <c r="F630" s="33"/>
      <c r="G630" s="47"/>
      <c r="H630" s="42"/>
      <c r="I630" s="27"/>
      <c r="J630" s="47"/>
      <c r="K630" s="42"/>
      <c r="L630" s="27"/>
      <c r="M630" s="47"/>
      <c r="N630" s="42"/>
      <c r="O630" s="27"/>
      <c r="P630" s="47"/>
      <c r="Q630" s="42"/>
      <c r="R630" s="27"/>
      <c r="S630" s="47"/>
      <c r="T630" s="42"/>
      <c r="U630" s="27"/>
      <c r="V630" s="47"/>
      <c r="W630" s="42"/>
      <c r="X630" s="27"/>
      <c r="Y630" s="47"/>
      <c r="Z630" s="42"/>
      <c r="AA630" s="27"/>
      <c r="AB630" s="47"/>
      <c r="AC630" s="42"/>
      <c r="AD630" s="27"/>
      <c r="AE630" s="33"/>
      <c r="AF630" s="47"/>
      <c r="AG630" s="48"/>
    </row>
    <row r="631" spans="2:33" s="38" customFormat="1" x14ac:dyDescent="0.25">
      <c r="B631" s="49"/>
      <c r="C631" s="70"/>
      <c r="D631" s="42"/>
      <c r="F631" s="33"/>
      <c r="G631" s="47"/>
      <c r="H631" s="42"/>
      <c r="I631" s="27"/>
      <c r="J631" s="47"/>
      <c r="K631" s="42"/>
      <c r="L631" s="27"/>
      <c r="M631" s="47"/>
      <c r="N631" s="42"/>
      <c r="O631" s="27"/>
      <c r="P631" s="47"/>
      <c r="Q631" s="42"/>
      <c r="R631" s="27"/>
      <c r="S631" s="47"/>
      <c r="T631" s="42"/>
      <c r="U631" s="27"/>
      <c r="V631" s="47"/>
      <c r="W631" s="42"/>
      <c r="X631" s="27"/>
      <c r="Y631" s="47"/>
      <c r="Z631" s="42"/>
      <c r="AA631" s="27"/>
      <c r="AB631" s="47"/>
      <c r="AC631" s="42"/>
      <c r="AD631" s="27"/>
      <c r="AE631" s="33"/>
      <c r="AF631" s="47"/>
      <c r="AG631" s="48"/>
    </row>
    <row r="632" spans="2:33" s="38" customFormat="1" x14ac:dyDescent="0.25">
      <c r="B632" s="49"/>
      <c r="C632" s="70"/>
      <c r="D632" s="42"/>
      <c r="F632" s="33"/>
      <c r="G632" s="47"/>
      <c r="H632" s="42"/>
      <c r="I632" s="27"/>
      <c r="J632" s="47"/>
      <c r="K632" s="42"/>
      <c r="L632" s="27"/>
      <c r="M632" s="47"/>
      <c r="N632" s="42"/>
      <c r="O632" s="27"/>
      <c r="P632" s="47"/>
      <c r="Q632" s="42"/>
      <c r="R632" s="27"/>
      <c r="S632" s="47"/>
      <c r="T632" s="42"/>
      <c r="U632" s="27"/>
      <c r="V632" s="47"/>
      <c r="W632" s="42"/>
      <c r="X632" s="27"/>
      <c r="Y632" s="47"/>
      <c r="Z632" s="42"/>
      <c r="AA632" s="27"/>
      <c r="AB632" s="47"/>
      <c r="AC632" s="42"/>
      <c r="AD632" s="27"/>
      <c r="AE632" s="33"/>
      <c r="AF632" s="47"/>
      <c r="AG632" s="48"/>
    </row>
    <row r="633" spans="2:33" s="38" customFormat="1" x14ac:dyDescent="0.25">
      <c r="B633" s="49"/>
      <c r="C633" s="70"/>
      <c r="D633" s="42"/>
      <c r="F633" s="33"/>
      <c r="G633" s="47"/>
      <c r="H633" s="42"/>
      <c r="I633" s="27"/>
      <c r="J633" s="47"/>
      <c r="K633" s="42"/>
      <c r="L633" s="27"/>
      <c r="M633" s="47"/>
      <c r="N633" s="42"/>
      <c r="O633" s="27"/>
      <c r="P633" s="47"/>
      <c r="Q633" s="42"/>
      <c r="R633" s="27"/>
      <c r="S633" s="47"/>
      <c r="T633" s="42"/>
      <c r="U633" s="27"/>
      <c r="V633" s="47"/>
      <c r="W633" s="42"/>
      <c r="X633" s="27"/>
      <c r="Y633" s="47"/>
      <c r="Z633" s="42"/>
      <c r="AA633" s="27"/>
      <c r="AB633" s="47"/>
      <c r="AC633" s="42"/>
      <c r="AD633" s="27"/>
      <c r="AE633" s="33"/>
      <c r="AF633" s="47"/>
      <c r="AG633" s="48"/>
    </row>
    <row r="634" spans="2:33" s="38" customFormat="1" x14ac:dyDescent="0.25">
      <c r="B634" s="49"/>
      <c r="C634" s="70"/>
      <c r="D634" s="42"/>
      <c r="F634" s="33"/>
      <c r="G634" s="47"/>
      <c r="H634" s="42"/>
      <c r="I634" s="27"/>
      <c r="J634" s="47"/>
      <c r="K634" s="42"/>
      <c r="L634" s="27"/>
      <c r="M634" s="47"/>
      <c r="N634" s="42"/>
      <c r="O634" s="27"/>
      <c r="P634" s="47"/>
      <c r="Q634" s="42"/>
      <c r="R634" s="27"/>
      <c r="S634" s="47"/>
      <c r="T634" s="42"/>
      <c r="U634" s="27"/>
      <c r="V634" s="47"/>
      <c r="W634" s="42"/>
      <c r="X634" s="27"/>
      <c r="Y634" s="47"/>
      <c r="Z634" s="42"/>
      <c r="AA634" s="27"/>
      <c r="AB634" s="47"/>
      <c r="AC634" s="42"/>
      <c r="AD634" s="27"/>
      <c r="AE634" s="33"/>
      <c r="AF634" s="47"/>
      <c r="AG634" s="48"/>
    </row>
    <row r="635" spans="2:33" s="38" customFormat="1" x14ac:dyDescent="0.25">
      <c r="B635" s="49"/>
      <c r="C635" s="70"/>
      <c r="D635" s="42"/>
      <c r="F635" s="33"/>
      <c r="G635" s="47"/>
      <c r="H635" s="42"/>
      <c r="I635" s="27"/>
      <c r="J635" s="47"/>
      <c r="K635" s="42"/>
      <c r="L635" s="27"/>
      <c r="M635" s="47"/>
      <c r="N635" s="42"/>
      <c r="O635" s="27"/>
      <c r="P635" s="47"/>
      <c r="Q635" s="42"/>
      <c r="R635" s="27"/>
      <c r="S635" s="47"/>
      <c r="T635" s="42"/>
      <c r="U635" s="27"/>
      <c r="V635" s="47"/>
      <c r="W635" s="42"/>
      <c r="X635" s="27"/>
      <c r="Y635" s="47"/>
      <c r="Z635" s="42"/>
      <c r="AA635" s="27"/>
      <c r="AB635" s="47"/>
      <c r="AC635" s="42"/>
      <c r="AD635" s="27"/>
      <c r="AE635" s="33"/>
      <c r="AF635" s="47"/>
      <c r="AG635" s="48"/>
    </row>
    <row r="636" spans="2:33" s="38" customFormat="1" x14ac:dyDescent="0.25">
      <c r="B636" s="49"/>
      <c r="C636" s="70"/>
      <c r="D636" s="42"/>
      <c r="F636" s="33"/>
      <c r="G636" s="47"/>
      <c r="H636" s="42"/>
      <c r="I636" s="27"/>
      <c r="J636" s="47"/>
      <c r="K636" s="42"/>
      <c r="L636" s="27"/>
      <c r="M636" s="47"/>
      <c r="N636" s="42"/>
      <c r="O636" s="27"/>
      <c r="P636" s="47"/>
      <c r="Q636" s="42"/>
      <c r="R636" s="27"/>
      <c r="S636" s="47"/>
      <c r="T636" s="42"/>
      <c r="U636" s="27"/>
      <c r="V636" s="47"/>
      <c r="W636" s="42"/>
      <c r="X636" s="27"/>
      <c r="Y636" s="47"/>
      <c r="Z636" s="42"/>
      <c r="AA636" s="27"/>
      <c r="AB636" s="47"/>
      <c r="AC636" s="42"/>
      <c r="AD636" s="27"/>
      <c r="AE636" s="33"/>
      <c r="AF636" s="47"/>
      <c r="AG636" s="48"/>
    </row>
    <row r="637" spans="2:33" s="38" customFormat="1" x14ac:dyDescent="0.25">
      <c r="B637" s="49"/>
      <c r="C637" s="70"/>
      <c r="D637" s="42"/>
      <c r="F637" s="33"/>
      <c r="G637" s="47"/>
      <c r="H637" s="42"/>
      <c r="I637" s="27"/>
      <c r="J637" s="47"/>
      <c r="K637" s="42"/>
      <c r="L637" s="27"/>
      <c r="M637" s="47"/>
      <c r="N637" s="42"/>
      <c r="O637" s="27"/>
      <c r="P637" s="47"/>
      <c r="Q637" s="42"/>
      <c r="R637" s="27"/>
      <c r="S637" s="47"/>
      <c r="T637" s="42"/>
      <c r="U637" s="27"/>
      <c r="V637" s="47"/>
      <c r="W637" s="42"/>
      <c r="X637" s="27"/>
      <c r="Y637" s="47"/>
      <c r="Z637" s="42"/>
      <c r="AA637" s="27"/>
      <c r="AB637" s="47"/>
      <c r="AC637" s="42"/>
      <c r="AD637" s="27"/>
      <c r="AE637" s="33"/>
      <c r="AF637" s="47"/>
      <c r="AG637" s="48"/>
    </row>
    <row r="638" spans="2:33" s="38" customFormat="1" x14ac:dyDescent="0.25">
      <c r="B638" s="49"/>
      <c r="C638" s="70"/>
      <c r="D638" s="42"/>
      <c r="F638" s="33"/>
      <c r="G638" s="47"/>
      <c r="H638" s="42"/>
      <c r="I638" s="27"/>
      <c r="J638" s="47"/>
      <c r="K638" s="42"/>
      <c r="L638" s="27"/>
      <c r="M638" s="47"/>
      <c r="N638" s="42"/>
      <c r="O638" s="27"/>
      <c r="P638" s="47"/>
      <c r="Q638" s="42"/>
      <c r="R638" s="27"/>
      <c r="S638" s="47"/>
      <c r="T638" s="42"/>
      <c r="U638" s="27"/>
      <c r="V638" s="47"/>
      <c r="W638" s="42"/>
      <c r="X638" s="27"/>
      <c r="Y638" s="47"/>
      <c r="Z638" s="42"/>
      <c r="AA638" s="27"/>
      <c r="AB638" s="47"/>
      <c r="AC638" s="42"/>
      <c r="AD638" s="27"/>
      <c r="AE638" s="33"/>
      <c r="AF638" s="47"/>
      <c r="AG638" s="48"/>
    </row>
    <row r="639" spans="2:33" s="38" customFormat="1" x14ac:dyDescent="0.25">
      <c r="B639" s="49"/>
      <c r="C639" s="70"/>
      <c r="D639" s="42"/>
      <c r="F639" s="33"/>
      <c r="G639" s="47"/>
      <c r="H639" s="42"/>
      <c r="I639" s="27"/>
      <c r="J639" s="47"/>
      <c r="K639" s="42"/>
      <c r="L639" s="27"/>
      <c r="M639" s="47"/>
      <c r="N639" s="42"/>
      <c r="O639" s="27"/>
      <c r="P639" s="47"/>
      <c r="Q639" s="42"/>
      <c r="R639" s="27"/>
      <c r="S639" s="47"/>
      <c r="T639" s="42"/>
      <c r="U639" s="27"/>
      <c r="V639" s="47"/>
      <c r="W639" s="42"/>
      <c r="X639" s="27"/>
      <c r="Y639" s="47"/>
      <c r="Z639" s="42"/>
      <c r="AA639" s="27"/>
      <c r="AB639" s="47"/>
      <c r="AC639" s="42"/>
      <c r="AD639" s="27"/>
      <c r="AE639" s="33"/>
      <c r="AF639" s="47"/>
      <c r="AG639" s="48"/>
    </row>
    <row r="640" spans="2:33" s="38" customFormat="1" x14ac:dyDescent="0.25">
      <c r="B640" s="49"/>
      <c r="C640" s="70"/>
      <c r="D640" s="42"/>
      <c r="F640" s="33"/>
      <c r="G640" s="47"/>
      <c r="H640" s="42"/>
      <c r="I640" s="27"/>
      <c r="J640" s="47"/>
      <c r="K640" s="42"/>
      <c r="L640" s="27"/>
      <c r="M640" s="47"/>
      <c r="N640" s="42"/>
      <c r="O640" s="27"/>
      <c r="P640" s="47"/>
      <c r="Q640" s="42"/>
      <c r="R640" s="27"/>
      <c r="S640" s="47"/>
      <c r="T640" s="42"/>
      <c r="U640" s="27"/>
      <c r="V640" s="47"/>
      <c r="W640" s="42"/>
      <c r="X640" s="27"/>
      <c r="Y640" s="47"/>
      <c r="Z640" s="42"/>
      <c r="AA640" s="27"/>
      <c r="AB640" s="47"/>
      <c r="AC640" s="42"/>
      <c r="AD640" s="27"/>
      <c r="AE640" s="33"/>
      <c r="AF640" s="47"/>
      <c r="AG640" s="48"/>
    </row>
    <row r="641" spans="2:33" s="38" customFormat="1" x14ac:dyDescent="0.25">
      <c r="B641" s="49"/>
      <c r="C641" s="70"/>
      <c r="D641" s="42"/>
      <c r="F641" s="33"/>
      <c r="G641" s="47"/>
      <c r="H641" s="42"/>
      <c r="I641" s="27"/>
      <c r="J641" s="47"/>
      <c r="K641" s="42"/>
      <c r="L641" s="27"/>
      <c r="M641" s="47"/>
      <c r="N641" s="42"/>
      <c r="O641" s="27"/>
      <c r="P641" s="47"/>
      <c r="Q641" s="42"/>
      <c r="R641" s="27"/>
      <c r="S641" s="47"/>
      <c r="T641" s="42"/>
      <c r="U641" s="27"/>
      <c r="V641" s="47"/>
      <c r="W641" s="42"/>
      <c r="X641" s="27"/>
      <c r="Y641" s="47"/>
      <c r="Z641" s="42"/>
      <c r="AA641" s="27"/>
      <c r="AB641" s="47"/>
      <c r="AC641" s="42"/>
      <c r="AD641" s="27"/>
      <c r="AE641" s="33"/>
      <c r="AF641" s="47"/>
      <c r="AG641" s="48"/>
    </row>
    <row r="642" spans="2:33" s="38" customFormat="1" x14ac:dyDescent="0.25">
      <c r="B642" s="49"/>
      <c r="C642" s="70"/>
      <c r="D642" s="42"/>
      <c r="F642" s="33"/>
      <c r="G642" s="47"/>
      <c r="H642" s="42"/>
      <c r="I642" s="27"/>
      <c r="J642" s="47"/>
      <c r="K642" s="42"/>
      <c r="L642" s="27"/>
      <c r="M642" s="47"/>
      <c r="N642" s="42"/>
      <c r="O642" s="27"/>
      <c r="P642" s="47"/>
      <c r="Q642" s="42"/>
      <c r="R642" s="27"/>
      <c r="S642" s="47"/>
      <c r="T642" s="42"/>
      <c r="U642" s="27"/>
      <c r="V642" s="47"/>
      <c r="W642" s="42"/>
      <c r="X642" s="27"/>
      <c r="Y642" s="47"/>
      <c r="Z642" s="42"/>
      <c r="AA642" s="27"/>
      <c r="AB642" s="47"/>
      <c r="AC642" s="42"/>
      <c r="AD642" s="27"/>
      <c r="AE642" s="33"/>
      <c r="AF642" s="47"/>
      <c r="AG642" s="48"/>
    </row>
    <row r="643" spans="2:33" s="38" customFormat="1" x14ac:dyDescent="0.25">
      <c r="B643" s="49"/>
      <c r="C643" s="70"/>
      <c r="D643" s="42"/>
      <c r="F643" s="33"/>
      <c r="G643" s="47"/>
      <c r="H643" s="42"/>
      <c r="I643" s="27"/>
      <c r="J643" s="47"/>
      <c r="K643" s="42"/>
      <c r="L643" s="27"/>
      <c r="M643" s="47"/>
      <c r="N643" s="42"/>
      <c r="O643" s="27"/>
      <c r="P643" s="47"/>
      <c r="Q643" s="42"/>
      <c r="R643" s="27"/>
      <c r="S643" s="47"/>
      <c r="T643" s="42"/>
      <c r="U643" s="27"/>
      <c r="V643" s="47"/>
      <c r="W643" s="42"/>
      <c r="X643" s="27"/>
      <c r="Y643" s="47"/>
      <c r="Z643" s="42"/>
      <c r="AA643" s="27"/>
      <c r="AB643" s="47"/>
      <c r="AC643" s="42"/>
      <c r="AD643" s="27"/>
      <c r="AE643" s="33"/>
      <c r="AF643" s="47"/>
      <c r="AG643" s="48"/>
    </row>
    <row r="644" spans="2:33" s="38" customFormat="1" x14ac:dyDescent="0.25">
      <c r="B644" s="49"/>
      <c r="C644" s="70"/>
      <c r="D644" s="42"/>
      <c r="F644" s="33"/>
      <c r="G644" s="47"/>
      <c r="H644" s="42"/>
      <c r="I644" s="27"/>
      <c r="J644" s="47"/>
      <c r="K644" s="42"/>
      <c r="L644" s="27"/>
      <c r="M644" s="47"/>
      <c r="N644" s="42"/>
      <c r="O644" s="27"/>
      <c r="P644" s="47"/>
      <c r="Q644" s="42"/>
      <c r="R644" s="27"/>
      <c r="S644" s="47"/>
      <c r="T644" s="42"/>
      <c r="U644" s="27"/>
      <c r="V644" s="47"/>
      <c r="W644" s="42"/>
      <c r="X644" s="27"/>
      <c r="Y644" s="47"/>
      <c r="Z644" s="42"/>
      <c r="AA644" s="27"/>
      <c r="AB644" s="47"/>
      <c r="AC644" s="42"/>
      <c r="AD644" s="27"/>
      <c r="AE644" s="33"/>
      <c r="AF644" s="47"/>
      <c r="AG644" s="48"/>
    </row>
    <row r="645" spans="2:33" s="38" customFormat="1" x14ac:dyDescent="0.25">
      <c r="B645" s="49"/>
      <c r="C645" s="70"/>
      <c r="D645" s="42"/>
      <c r="F645" s="33"/>
      <c r="G645" s="47"/>
      <c r="H645" s="42"/>
      <c r="I645" s="27"/>
      <c r="J645" s="47"/>
      <c r="K645" s="42"/>
      <c r="L645" s="27"/>
      <c r="M645" s="47"/>
      <c r="N645" s="42"/>
      <c r="O645" s="27"/>
      <c r="P645" s="47"/>
      <c r="Q645" s="42"/>
      <c r="R645" s="27"/>
      <c r="S645" s="47"/>
      <c r="T645" s="42"/>
      <c r="U645" s="27"/>
      <c r="V645" s="47"/>
      <c r="W645" s="42"/>
      <c r="X645" s="27"/>
      <c r="Y645" s="47"/>
      <c r="Z645" s="42"/>
      <c r="AA645" s="27"/>
      <c r="AB645" s="47"/>
      <c r="AC645" s="42"/>
      <c r="AD645" s="27"/>
      <c r="AE645" s="33"/>
      <c r="AF645" s="47"/>
      <c r="AG645" s="48"/>
    </row>
    <row r="646" spans="2:33" s="38" customFormat="1" x14ac:dyDescent="0.25">
      <c r="B646" s="49"/>
      <c r="C646" s="70"/>
      <c r="D646" s="42"/>
      <c r="F646" s="33"/>
      <c r="G646" s="47"/>
      <c r="H646" s="42"/>
      <c r="I646" s="27"/>
      <c r="J646" s="47"/>
      <c r="K646" s="42"/>
      <c r="L646" s="27"/>
      <c r="M646" s="47"/>
      <c r="N646" s="42"/>
      <c r="O646" s="27"/>
      <c r="P646" s="47"/>
      <c r="Q646" s="42"/>
      <c r="R646" s="27"/>
      <c r="S646" s="47"/>
      <c r="T646" s="42"/>
      <c r="U646" s="27"/>
      <c r="V646" s="47"/>
      <c r="W646" s="42"/>
      <c r="X646" s="27"/>
      <c r="Y646" s="47"/>
      <c r="Z646" s="42"/>
      <c r="AA646" s="27"/>
      <c r="AB646" s="47"/>
      <c r="AC646" s="42"/>
      <c r="AD646" s="27"/>
      <c r="AE646" s="33"/>
      <c r="AF646" s="47"/>
      <c r="AG646" s="48"/>
    </row>
    <row r="647" spans="2:33" s="38" customFormat="1" x14ac:dyDescent="0.25">
      <c r="B647" s="49"/>
      <c r="C647" s="70"/>
      <c r="D647" s="42"/>
      <c r="F647" s="33"/>
      <c r="G647" s="47"/>
      <c r="H647" s="42"/>
      <c r="I647" s="27"/>
      <c r="J647" s="47"/>
      <c r="K647" s="42"/>
      <c r="L647" s="27"/>
      <c r="M647" s="47"/>
      <c r="N647" s="42"/>
      <c r="O647" s="27"/>
      <c r="P647" s="47"/>
      <c r="Q647" s="42"/>
      <c r="R647" s="27"/>
      <c r="S647" s="47"/>
      <c r="T647" s="42"/>
      <c r="U647" s="27"/>
      <c r="V647" s="47"/>
      <c r="W647" s="42"/>
      <c r="X647" s="27"/>
      <c r="Y647" s="47"/>
      <c r="Z647" s="42"/>
      <c r="AA647" s="27"/>
      <c r="AB647" s="47"/>
      <c r="AC647" s="42"/>
      <c r="AD647" s="27"/>
      <c r="AE647" s="33"/>
      <c r="AF647" s="47"/>
      <c r="AG647" s="48"/>
    </row>
    <row r="648" spans="2:33" s="38" customFormat="1" x14ac:dyDescent="0.25">
      <c r="B648" s="49"/>
      <c r="C648" s="70"/>
      <c r="D648" s="42"/>
      <c r="F648" s="33"/>
      <c r="G648" s="47"/>
      <c r="H648" s="42"/>
      <c r="I648" s="27"/>
      <c r="J648" s="47"/>
      <c r="K648" s="42"/>
      <c r="L648" s="27"/>
      <c r="M648" s="47"/>
      <c r="N648" s="42"/>
      <c r="O648" s="27"/>
      <c r="P648" s="47"/>
      <c r="Q648" s="42"/>
      <c r="R648" s="27"/>
      <c r="S648" s="47"/>
      <c r="T648" s="42"/>
      <c r="U648" s="27"/>
      <c r="V648" s="47"/>
      <c r="W648" s="42"/>
      <c r="X648" s="27"/>
      <c r="Y648" s="47"/>
      <c r="Z648" s="42"/>
      <c r="AA648" s="27"/>
      <c r="AB648" s="47"/>
      <c r="AC648" s="42"/>
      <c r="AD648" s="27"/>
      <c r="AE648" s="33"/>
      <c r="AF648" s="47"/>
      <c r="AG648" s="48"/>
    </row>
    <row r="649" spans="2:33" s="38" customFormat="1" x14ac:dyDescent="0.25">
      <c r="B649" s="49"/>
      <c r="C649" s="70"/>
      <c r="D649" s="42"/>
      <c r="F649" s="33"/>
      <c r="G649" s="47"/>
      <c r="H649" s="42"/>
      <c r="I649" s="27"/>
      <c r="J649" s="47"/>
      <c r="K649" s="42"/>
      <c r="L649" s="27"/>
      <c r="M649" s="47"/>
      <c r="N649" s="42"/>
      <c r="O649" s="27"/>
      <c r="P649" s="47"/>
      <c r="Q649" s="42"/>
      <c r="R649" s="27"/>
      <c r="S649" s="47"/>
      <c r="T649" s="42"/>
      <c r="U649" s="27"/>
      <c r="V649" s="47"/>
      <c r="W649" s="42"/>
      <c r="X649" s="27"/>
      <c r="Y649" s="47"/>
      <c r="Z649" s="42"/>
      <c r="AA649" s="27"/>
      <c r="AB649" s="47"/>
      <c r="AC649" s="42"/>
      <c r="AD649" s="27"/>
      <c r="AE649" s="33"/>
      <c r="AF649" s="47"/>
      <c r="AG649" s="48"/>
    </row>
    <row r="650" spans="2:33" s="38" customFormat="1" x14ac:dyDescent="0.25">
      <c r="B650" s="49"/>
      <c r="C650" s="70"/>
      <c r="D650" s="42"/>
      <c r="F650" s="33"/>
      <c r="G650" s="47"/>
      <c r="H650" s="42"/>
      <c r="I650" s="27"/>
      <c r="J650" s="47"/>
      <c r="K650" s="42"/>
      <c r="L650" s="27"/>
      <c r="M650" s="47"/>
      <c r="N650" s="42"/>
      <c r="O650" s="27"/>
      <c r="P650" s="47"/>
      <c r="Q650" s="42"/>
      <c r="R650" s="27"/>
      <c r="S650" s="47"/>
      <c r="T650" s="42"/>
      <c r="U650" s="27"/>
      <c r="V650" s="47"/>
      <c r="W650" s="42"/>
      <c r="X650" s="27"/>
      <c r="Y650" s="47"/>
      <c r="Z650" s="42"/>
      <c r="AA650" s="27"/>
      <c r="AB650" s="47"/>
      <c r="AC650" s="42"/>
      <c r="AD650" s="27"/>
      <c r="AE650" s="33"/>
      <c r="AF650" s="47"/>
      <c r="AG650" s="48"/>
    </row>
    <row r="651" spans="2:33" s="38" customFormat="1" x14ac:dyDescent="0.25">
      <c r="B651" s="49"/>
      <c r="C651" s="70"/>
      <c r="D651" s="42"/>
      <c r="F651" s="33"/>
      <c r="G651" s="47"/>
      <c r="H651" s="42"/>
      <c r="I651" s="27"/>
      <c r="J651" s="47"/>
      <c r="K651" s="42"/>
      <c r="L651" s="27"/>
      <c r="M651" s="47"/>
      <c r="N651" s="42"/>
      <c r="O651" s="27"/>
      <c r="P651" s="47"/>
      <c r="Q651" s="42"/>
      <c r="R651" s="27"/>
      <c r="S651" s="47"/>
      <c r="T651" s="42"/>
      <c r="U651" s="27"/>
      <c r="V651" s="47"/>
      <c r="W651" s="42"/>
      <c r="X651" s="27"/>
      <c r="Y651" s="47"/>
      <c r="Z651" s="42"/>
      <c r="AA651" s="27"/>
      <c r="AB651" s="47"/>
      <c r="AC651" s="42"/>
      <c r="AD651" s="27"/>
      <c r="AE651" s="33"/>
      <c r="AF651" s="47"/>
      <c r="AG651" s="48"/>
    </row>
    <row r="652" spans="2:33" s="38" customFormat="1" x14ac:dyDescent="0.25">
      <c r="B652" s="49"/>
      <c r="C652" s="70"/>
      <c r="D652" s="42"/>
      <c r="F652" s="33"/>
      <c r="G652" s="47"/>
      <c r="H652" s="42"/>
      <c r="I652" s="27"/>
      <c r="J652" s="47"/>
      <c r="K652" s="42"/>
      <c r="L652" s="27"/>
      <c r="M652" s="47"/>
      <c r="N652" s="42"/>
      <c r="O652" s="27"/>
      <c r="P652" s="47"/>
      <c r="Q652" s="42"/>
      <c r="R652" s="27"/>
      <c r="S652" s="47"/>
      <c r="T652" s="42"/>
      <c r="U652" s="27"/>
      <c r="V652" s="47"/>
      <c r="W652" s="42"/>
      <c r="X652" s="27"/>
      <c r="Y652" s="47"/>
      <c r="Z652" s="42"/>
      <c r="AA652" s="27"/>
      <c r="AB652" s="47"/>
      <c r="AC652" s="42"/>
      <c r="AD652" s="27"/>
      <c r="AE652" s="33"/>
      <c r="AF652" s="47"/>
      <c r="AG652" s="48"/>
    </row>
    <row r="653" spans="2:33" s="38" customFormat="1" x14ac:dyDescent="0.25">
      <c r="B653" s="49"/>
      <c r="C653" s="70"/>
      <c r="D653" s="42"/>
      <c r="F653" s="33"/>
      <c r="G653" s="47"/>
      <c r="H653" s="42"/>
      <c r="I653" s="27"/>
      <c r="J653" s="47"/>
      <c r="K653" s="42"/>
      <c r="L653" s="27"/>
      <c r="M653" s="47"/>
      <c r="N653" s="42"/>
      <c r="O653" s="27"/>
      <c r="P653" s="47"/>
      <c r="Q653" s="42"/>
      <c r="R653" s="27"/>
      <c r="S653" s="47"/>
      <c r="T653" s="42"/>
      <c r="U653" s="27"/>
      <c r="V653" s="47"/>
      <c r="W653" s="42"/>
      <c r="X653" s="27"/>
      <c r="Y653" s="47"/>
      <c r="Z653" s="42"/>
      <c r="AA653" s="27"/>
      <c r="AB653" s="47"/>
      <c r="AC653" s="42"/>
      <c r="AD653" s="27"/>
      <c r="AE653" s="33"/>
      <c r="AF653" s="47"/>
      <c r="AG653" s="48"/>
    </row>
    <row r="654" spans="2:33" s="38" customFormat="1" x14ac:dyDescent="0.25">
      <c r="B654" s="49"/>
      <c r="C654" s="70"/>
      <c r="D654" s="42"/>
      <c r="F654" s="33"/>
      <c r="G654" s="47"/>
      <c r="H654" s="42"/>
      <c r="I654" s="27"/>
      <c r="J654" s="47"/>
      <c r="K654" s="42"/>
      <c r="L654" s="27"/>
      <c r="M654" s="47"/>
      <c r="N654" s="42"/>
      <c r="O654" s="27"/>
      <c r="P654" s="47"/>
      <c r="Q654" s="42"/>
      <c r="R654" s="27"/>
      <c r="S654" s="47"/>
      <c r="T654" s="42"/>
      <c r="U654" s="27"/>
      <c r="V654" s="47"/>
      <c r="W654" s="42"/>
      <c r="X654" s="27"/>
      <c r="Y654" s="47"/>
      <c r="Z654" s="42"/>
      <c r="AA654" s="27"/>
      <c r="AB654" s="47"/>
      <c r="AC654" s="42"/>
      <c r="AD654" s="27"/>
      <c r="AE654" s="33"/>
      <c r="AF654" s="47"/>
      <c r="AG654" s="48"/>
    </row>
    <row r="655" spans="2:33" s="38" customFormat="1" x14ac:dyDescent="0.25">
      <c r="B655" s="49"/>
      <c r="C655" s="70"/>
      <c r="D655" s="42"/>
      <c r="F655" s="33"/>
      <c r="G655" s="47"/>
      <c r="H655" s="42"/>
      <c r="I655" s="27"/>
      <c r="J655" s="47"/>
      <c r="K655" s="42"/>
      <c r="L655" s="27"/>
      <c r="M655" s="47"/>
      <c r="N655" s="42"/>
      <c r="O655" s="27"/>
      <c r="P655" s="47"/>
      <c r="Q655" s="42"/>
      <c r="R655" s="27"/>
      <c r="S655" s="47"/>
      <c r="T655" s="42"/>
      <c r="U655" s="27"/>
      <c r="V655" s="47"/>
      <c r="W655" s="42"/>
      <c r="X655" s="27"/>
      <c r="Y655" s="47"/>
      <c r="Z655" s="42"/>
      <c r="AA655" s="27"/>
      <c r="AB655" s="47"/>
      <c r="AC655" s="42"/>
      <c r="AD655" s="27"/>
      <c r="AE655" s="33"/>
      <c r="AF655" s="47"/>
      <c r="AG655" s="48"/>
    </row>
    <row r="656" spans="2:33" s="38" customFormat="1" x14ac:dyDescent="0.25">
      <c r="B656" s="49"/>
      <c r="C656" s="70"/>
      <c r="D656" s="42"/>
      <c r="F656" s="33"/>
      <c r="G656" s="47"/>
      <c r="H656" s="42"/>
      <c r="I656" s="27"/>
      <c r="J656" s="47"/>
      <c r="K656" s="42"/>
      <c r="L656" s="27"/>
      <c r="M656" s="47"/>
      <c r="N656" s="42"/>
      <c r="O656" s="27"/>
      <c r="P656" s="47"/>
      <c r="Q656" s="42"/>
      <c r="R656" s="27"/>
      <c r="S656" s="47"/>
      <c r="T656" s="42"/>
      <c r="U656" s="27"/>
      <c r="V656" s="47"/>
      <c r="W656" s="42"/>
      <c r="X656" s="27"/>
      <c r="Y656" s="47"/>
      <c r="Z656" s="42"/>
      <c r="AA656" s="27"/>
      <c r="AB656" s="47"/>
      <c r="AC656" s="42"/>
      <c r="AD656" s="27"/>
      <c r="AE656" s="33"/>
      <c r="AF656" s="47"/>
      <c r="AG656" s="48"/>
    </row>
    <row r="657" spans="2:33" s="38" customFormat="1" x14ac:dyDescent="0.25">
      <c r="B657" s="49"/>
      <c r="C657" s="70"/>
      <c r="D657" s="42"/>
      <c r="F657" s="33"/>
      <c r="G657" s="47"/>
      <c r="H657" s="42"/>
      <c r="I657" s="27"/>
      <c r="J657" s="47"/>
      <c r="K657" s="42"/>
      <c r="L657" s="27"/>
      <c r="M657" s="47"/>
      <c r="N657" s="42"/>
      <c r="O657" s="27"/>
      <c r="P657" s="47"/>
      <c r="Q657" s="42"/>
      <c r="R657" s="27"/>
      <c r="S657" s="47"/>
      <c r="T657" s="42"/>
      <c r="U657" s="27"/>
      <c r="V657" s="47"/>
      <c r="W657" s="42"/>
      <c r="X657" s="27"/>
      <c r="Y657" s="47"/>
      <c r="Z657" s="42"/>
      <c r="AA657" s="27"/>
      <c r="AB657" s="47"/>
      <c r="AC657" s="42"/>
      <c r="AD657" s="27"/>
      <c r="AE657" s="33"/>
      <c r="AF657" s="47"/>
      <c r="AG657" s="48"/>
    </row>
    <row r="658" spans="2:33" s="38" customFormat="1" x14ac:dyDescent="0.25">
      <c r="B658" s="49"/>
      <c r="C658" s="70"/>
      <c r="D658" s="42"/>
      <c r="F658" s="33"/>
      <c r="G658" s="47"/>
      <c r="H658" s="42"/>
      <c r="I658" s="27"/>
      <c r="J658" s="47"/>
      <c r="K658" s="42"/>
      <c r="L658" s="27"/>
      <c r="M658" s="47"/>
      <c r="N658" s="42"/>
      <c r="O658" s="27"/>
      <c r="P658" s="47"/>
      <c r="Q658" s="42"/>
      <c r="R658" s="27"/>
      <c r="S658" s="47"/>
      <c r="T658" s="42"/>
      <c r="U658" s="27"/>
      <c r="V658" s="47"/>
      <c r="W658" s="42"/>
      <c r="X658" s="27"/>
      <c r="Y658" s="47"/>
      <c r="Z658" s="42"/>
      <c r="AA658" s="27"/>
      <c r="AB658" s="47"/>
      <c r="AC658" s="42"/>
      <c r="AD658" s="27"/>
      <c r="AE658" s="33"/>
      <c r="AF658" s="47"/>
      <c r="AG658" s="48"/>
    </row>
    <row r="659" spans="2:33" s="38" customFormat="1" x14ac:dyDescent="0.25">
      <c r="B659" s="49"/>
      <c r="C659" s="70"/>
      <c r="D659" s="42"/>
      <c r="F659" s="33"/>
      <c r="G659" s="47"/>
      <c r="H659" s="42"/>
      <c r="I659" s="27"/>
      <c r="J659" s="47"/>
      <c r="K659" s="42"/>
      <c r="L659" s="27"/>
      <c r="M659" s="47"/>
      <c r="N659" s="42"/>
      <c r="O659" s="27"/>
      <c r="P659" s="47"/>
      <c r="Q659" s="42"/>
      <c r="R659" s="27"/>
      <c r="S659" s="47"/>
      <c r="T659" s="42"/>
      <c r="U659" s="27"/>
      <c r="V659" s="47"/>
      <c r="W659" s="42"/>
      <c r="X659" s="27"/>
      <c r="Y659" s="47"/>
      <c r="Z659" s="42"/>
      <c r="AA659" s="27"/>
      <c r="AB659" s="47"/>
      <c r="AC659" s="42"/>
      <c r="AD659" s="27"/>
      <c r="AE659" s="33"/>
      <c r="AF659" s="47"/>
      <c r="AG659" s="48"/>
    </row>
    <row r="660" spans="2:33" s="38" customFormat="1" x14ac:dyDescent="0.25">
      <c r="B660" s="49"/>
      <c r="C660" s="70"/>
      <c r="D660" s="42"/>
      <c r="F660" s="33"/>
      <c r="G660" s="47"/>
      <c r="H660" s="42"/>
      <c r="I660" s="27"/>
      <c r="J660" s="47"/>
      <c r="K660" s="42"/>
      <c r="L660" s="27"/>
      <c r="M660" s="47"/>
      <c r="N660" s="42"/>
      <c r="O660" s="27"/>
      <c r="P660" s="47"/>
      <c r="Q660" s="42"/>
      <c r="R660" s="27"/>
      <c r="S660" s="47"/>
      <c r="T660" s="42"/>
      <c r="U660" s="27"/>
      <c r="V660" s="47"/>
      <c r="W660" s="42"/>
      <c r="X660" s="27"/>
      <c r="Y660" s="47"/>
      <c r="Z660" s="42"/>
      <c r="AA660" s="27"/>
      <c r="AB660" s="47"/>
      <c r="AC660" s="42"/>
      <c r="AD660" s="27"/>
      <c r="AE660" s="33"/>
      <c r="AF660" s="47"/>
      <c r="AG660" s="48"/>
    </row>
    <row r="661" spans="2:33" s="38" customFormat="1" x14ac:dyDescent="0.25">
      <c r="B661" s="49"/>
      <c r="C661" s="70"/>
      <c r="D661" s="42"/>
      <c r="F661" s="33"/>
      <c r="G661" s="47"/>
      <c r="H661" s="42"/>
      <c r="I661" s="27"/>
      <c r="J661" s="47"/>
      <c r="K661" s="42"/>
      <c r="L661" s="27"/>
      <c r="M661" s="47"/>
      <c r="N661" s="42"/>
      <c r="O661" s="27"/>
      <c r="P661" s="47"/>
      <c r="Q661" s="42"/>
      <c r="R661" s="27"/>
      <c r="S661" s="47"/>
      <c r="T661" s="42"/>
      <c r="U661" s="27"/>
      <c r="V661" s="47"/>
      <c r="W661" s="42"/>
      <c r="X661" s="27"/>
      <c r="Y661" s="47"/>
      <c r="Z661" s="42"/>
      <c r="AA661" s="27"/>
      <c r="AB661" s="47"/>
      <c r="AC661" s="42"/>
      <c r="AD661" s="27"/>
      <c r="AE661" s="33"/>
      <c r="AF661" s="47"/>
      <c r="AG661" s="48"/>
    </row>
    <row r="662" spans="2:33" s="38" customFormat="1" x14ac:dyDescent="0.25">
      <c r="B662" s="49"/>
      <c r="C662" s="70"/>
      <c r="D662" s="42"/>
      <c r="F662" s="33"/>
      <c r="G662" s="47"/>
      <c r="H662" s="42"/>
      <c r="I662" s="27"/>
      <c r="J662" s="47"/>
      <c r="K662" s="42"/>
      <c r="L662" s="27"/>
      <c r="M662" s="47"/>
      <c r="N662" s="42"/>
      <c r="O662" s="27"/>
      <c r="P662" s="47"/>
      <c r="Q662" s="42"/>
      <c r="R662" s="27"/>
      <c r="S662" s="47"/>
      <c r="T662" s="42"/>
      <c r="U662" s="27"/>
      <c r="V662" s="47"/>
      <c r="W662" s="42"/>
      <c r="X662" s="27"/>
      <c r="Y662" s="47"/>
      <c r="Z662" s="42"/>
      <c r="AA662" s="27"/>
      <c r="AB662" s="47"/>
      <c r="AC662" s="42"/>
      <c r="AD662" s="27"/>
      <c r="AE662" s="33"/>
      <c r="AF662" s="47"/>
      <c r="AG662" s="48"/>
    </row>
    <row r="663" spans="2:33" s="38" customFormat="1" x14ac:dyDescent="0.25">
      <c r="B663" s="49"/>
      <c r="C663" s="70"/>
      <c r="D663" s="42"/>
      <c r="F663" s="33"/>
      <c r="G663" s="47"/>
      <c r="H663" s="42"/>
      <c r="I663" s="27"/>
      <c r="J663" s="47"/>
      <c r="K663" s="42"/>
      <c r="L663" s="27"/>
      <c r="M663" s="47"/>
      <c r="N663" s="42"/>
      <c r="O663" s="27"/>
      <c r="P663" s="47"/>
      <c r="Q663" s="42"/>
      <c r="R663" s="27"/>
      <c r="S663" s="47"/>
      <c r="T663" s="42"/>
      <c r="U663" s="27"/>
      <c r="V663" s="47"/>
      <c r="W663" s="42"/>
      <c r="X663" s="27"/>
      <c r="Y663" s="47"/>
      <c r="Z663" s="42"/>
      <c r="AA663" s="27"/>
      <c r="AB663" s="47"/>
      <c r="AC663" s="42"/>
      <c r="AD663" s="27"/>
      <c r="AE663" s="33"/>
      <c r="AF663" s="47"/>
      <c r="AG663" s="48"/>
    </row>
    <row r="664" spans="2:33" s="38" customFormat="1" x14ac:dyDescent="0.25">
      <c r="B664" s="49"/>
      <c r="C664" s="70"/>
      <c r="D664" s="42"/>
      <c r="F664" s="33"/>
      <c r="G664" s="47"/>
      <c r="H664" s="42"/>
      <c r="I664" s="27"/>
      <c r="J664" s="47"/>
      <c r="K664" s="42"/>
      <c r="L664" s="27"/>
      <c r="M664" s="47"/>
      <c r="N664" s="42"/>
      <c r="O664" s="27"/>
      <c r="P664" s="47"/>
      <c r="Q664" s="42"/>
      <c r="R664" s="27"/>
      <c r="S664" s="47"/>
      <c r="T664" s="42"/>
      <c r="U664" s="27"/>
      <c r="V664" s="47"/>
      <c r="W664" s="42"/>
      <c r="X664" s="27"/>
      <c r="Y664" s="47"/>
      <c r="Z664" s="42"/>
      <c r="AA664" s="27"/>
      <c r="AB664" s="47"/>
      <c r="AC664" s="42"/>
      <c r="AD664" s="27"/>
      <c r="AE664" s="33"/>
      <c r="AF664" s="47"/>
      <c r="AG664" s="48"/>
    </row>
    <row r="665" spans="2:33" s="38" customFormat="1" x14ac:dyDescent="0.25">
      <c r="B665" s="49"/>
      <c r="C665" s="70"/>
      <c r="D665" s="42"/>
      <c r="F665" s="33"/>
      <c r="G665" s="47"/>
      <c r="H665" s="42"/>
      <c r="I665" s="27"/>
      <c r="J665" s="47"/>
      <c r="K665" s="42"/>
      <c r="L665" s="27"/>
      <c r="M665" s="47"/>
      <c r="N665" s="42"/>
      <c r="O665" s="27"/>
      <c r="P665" s="47"/>
      <c r="Q665" s="42"/>
      <c r="R665" s="27"/>
      <c r="S665" s="47"/>
      <c r="T665" s="42"/>
      <c r="U665" s="27"/>
      <c r="V665" s="47"/>
      <c r="W665" s="42"/>
      <c r="X665" s="27"/>
      <c r="Y665" s="47"/>
      <c r="Z665" s="42"/>
      <c r="AA665" s="27"/>
      <c r="AB665" s="47"/>
      <c r="AC665" s="42"/>
      <c r="AD665" s="27"/>
      <c r="AE665" s="33"/>
      <c r="AF665" s="47"/>
      <c r="AG665" s="48"/>
    </row>
    <row r="666" spans="2:33" s="38" customFormat="1" x14ac:dyDescent="0.25">
      <c r="B666" s="49"/>
      <c r="C666" s="70"/>
      <c r="D666" s="42"/>
      <c r="F666" s="33"/>
      <c r="G666" s="47"/>
      <c r="H666" s="42"/>
      <c r="I666" s="27"/>
      <c r="J666" s="47"/>
      <c r="K666" s="42"/>
      <c r="L666" s="27"/>
      <c r="M666" s="47"/>
      <c r="N666" s="42"/>
      <c r="O666" s="27"/>
      <c r="P666" s="47"/>
      <c r="Q666" s="42"/>
      <c r="R666" s="27"/>
      <c r="S666" s="47"/>
      <c r="T666" s="42"/>
      <c r="U666" s="27"/>
      <c r="V666" s="47"/>
      <c r="W666" s="42"/>
      <c r="X666" s="27"/>
      <c r="Y666" s="47"/>
      <c r="Z666" s="42"/>
      <c r="AA666" s="27"/>
      <c r="AB666" s="47"/>
      <c r="AC666" s="42"/>
      <c r="AD666" s="27"/>
      <c r="AE666" s="33"/>
      <c r="AF666" s="47"/>
      <c r="AG666" s="48"/>
    </row>
    <row r="667" spans="2:33" s="38" customFormat="1" x14ac:dyDescent="0.25">
      <c r="B667" s="49"/>
      <c r="C667" s="70"/>
      <c r="D667" s="42"/>
      <c r="F667" s="33"/>
      <c r="G667" s="47"/>
      <c r="H667" s="42"/>
      <c r="I667" s="27"/>
      <c r="J667" s="47"/>
      <c r="K667" s="42"/>
      <c r="L667" s="27"/>
      <c r="M667" s="47"/>
      <c r="N667" s="42"/>
      <c r="O667" s="27"/>
      <c r="P667" s="47"/>
      <c r="Q667" s="42"/>
      <c r="R667" s="27"/>
      <c r="S667" s="47"/>
      <c r="T667" s="42"/>
      <c r="U667" s="27"/>
      <c r="V667" s="47"/>
      <c r="W667" s="42"/>
      <c r="X667" s="27"/>
      <c r="Y667" s="47"/>
      <c r="Z667" s="42"/>
      <c r="AA667" s="27"/>
      <c r="AB667" s="47"/>
      <c r="AC667" s="42"/>
      <c r="AD667" s="27"/>
      <c r="AE667" s="33"/>
      <c r="AF667" s="47"/>
      <c r="AG667" s="48"/>
    </row>
    <row r="668" spans="2:33" s="38" customFormat="1" x14ac:dyDescent="0.25">
      <c r="B668" s="49"/>
      <c r="C668" s="70"/>
      <c r="D668" s="42"/>
      <c r="F668" s="33"/>
      <c r="G668" s="47"/>
      <c r="H668" s="42"/>
      <c r="I668" s="27"/>
      <c r="J668" s="47"/>
      <c r="K668" s="42"/>
      <c r="L668" s="27"/>
      <c r="M668" s="47"/>
      <c r="N668" s="42"/>
      <c r="O668" s="27"/>
      <c r="P668" s="47"/>
      <c r="Q668" s="42"/>
      <c r="R668" s="27"/>
      <c r="S668" s="47"/>
      <c r="T668" s="42"/>
      <c r="U668" s="27"/>
      <c r="V668" s="47"/>
      <c r="W668" s="42"/>
      <c r="X668" s="27"/>
      <c r="Y668" s="47"/>
      <c r="Z668" s="42"/>
      <c r="AA668" s="27"/>
      <c r="AB668" s="47"/>
      <c r="AC668" s="42"/>
      <c r="AD668" s="27"/>
      <c r="AE668" s="33"/>
      <c r="AF668" s="47"/>
      <c r="AG668" s="48"/>
    </row>
    <row r="669" spans="2:33" s="38" customFormat="1" x14ac:dyDescent="0.25">
      <c r="B669" s="49"/>
      <c r="C669" s="70"/>
      <c r="D669" s="42"/>
      <c r="F669" s="33"/>
      <c r="G669" s="47"/>
      <c r="H669" s="42"/>
      <c r="I669" s="27"/>
      <c r="J669" s="47"/>
      <c r="K669" s="42"/>
      <c r="L669" s="27"/>
      <c r="M669" s="47"/>
      <c r="N669" s="42"/>
      <c r="O669" s="27"/>
      <c r="P669" s="47"/>
      <c r="Q669" s="42"/>
      <c r="R669" s="27"/>
      <c r="S669" s="47"/>
      <c r="T669" s="42"/>
      <c r="U669" s="27"/>
      <c r="V669" s="47"/>
      <c r="W669" s="42"/>
      <c r="X669" s="27"/>
      <c r="Y669" s="47"/>
      <c r="Z669" s="42"/>
      <c r="AA669" s="27"/>
      <c r="AB669" s="47"/>
      <c r="AC669" s="42"/>
      <c r="AD669" s="27"/>
      <c r="AE669" s="33"/>
      <c r="AF669" s="47"/>
      <c r="AG669" s="48"/>
    </row>
    <row r="670" spans="2:33" s="38" customFormat="1" x14ac:dyDescent="0.25">
      <c r="B670" s="49"/>
      <c r="C670" s="70"/>
      <c r="D670" s="42"/>
      <c r="F670" s="33"/>
      <c r="G670" s="47"/>
      <c r="H670" s="42"/>
      <c r="I670" s="27"/>
      <c r="J670" s="47"/>
      <c r="K670" s="42"/>
      <c r="L670" s="27"/>
      <c r="M670" s="47"/>
      <c r="N670" s="42"/>
      <c r="O670" s="27"/>
      <c r="P670" s="47"/>
      <c r="Q670" s="42"/>
      <c r="R670" s="27"/>
      <c r="S670" s="47"/>
      <c r="T670" s="42"/>
      <c r="U670" s="27"/>
      <c r="V670" s="47"/>
      <c r="W670" s="42"/>
      <c r="X670" s="27"/>
      <c r="Y670" s="47"/>
      <c r="Z670" s="42"/>
      <c r="AA670" s="27"/>
      <c r="AB670" s="47"/>
      <c r="AC670" s="42"/>
      <c r="AD670" s="27"/>
      <c r="AE670" s="33"/>
      <c r="AF670" s="47"/>
      <c r="AG670" s="48"/>
    </row>
    <row r="671" spans="2:33" s="38" customFormat="1" x14ac:dyDescent="0.25">
      <c r="B671" s="49"/>
      <c r="C671" s="70"/>
      <c r="D671" s="42"/>
      <c r="F671" s="33"/>
      <c r="G671" s="47"/>
      <c r="H671" s="42"/>
      <c r="I671" s="27"/>
      <c r="J671" s="47"/>
      <c r="K671" s="42"/>
      <c r="L671" s="27"/>
      <c r="M671" s="47"/>
      <c r="N671" s="42"/>
      <c r="O671" s="27"/>
      <c r="P671" s="47"/>
      <c r="Q671" s="42"/>
      <c r="R671" s="27"/>
      <c r="S671" s="47"/>
      <c r="T671" s="42"/>
      <c r="U671" s="27"/>
      <c r="V671" s="47"/>
      <c r="W671" s="42"/>
      <c r="X671" s="27"/>
      <c r="Y671" s="47"/>
      <c r="Z671" s="42"/>
      <c r="AA671" s="27"/>
      <c r="AB671" s="47"/>
      <c r="AC671" s="42"/>
      <c r="AD671" s="27"/>
      <c r="AE671" s="33"/>
      <c r="AF671" s="47"/>
      <c r="AG671" s="48"/>
    </row>
    <row r="672" spans="2:33" s="38" customFormat="1" x14ac:dyDescent="0.25">
      <c r="B672" s="49"/>
      <c r="C672" s="70"/>
      <c r="D672" s="42"/>
      <c r="F672" s="33"/>
      <c r="G672" s="47"/>
      <c r="H672" s="42"/>
      <c r="I672" s="27"/>
      <c r="J672" s="47"/>
      <c r="K672" s="42"/>
      <c r="L672" s="27"/>
      <c r="M672" s="47"/>
      <c r="N672" s="42"/>
      <c r="O672" s="27"/>
      <c r="P672" s="47"/>
      <c r="Q672" s="42"/>
      <c r="R672" s="27"/>
      <c r="S672" s="47"/>
      <c r="T672" s="42"/>
      <c r="U672" s="27"/>
      <c r="V672" s="47"/>
      <c r="W672" s="42"/>
      <c r="X672" s="27"/>
      <c r="Y672" s="47"/>
      <c r="Z672" s="42"/>
      <c r="AA672" s="27"/>
      <c r="AB672" s="47"/>
      <c r="AC672" s="42"/>
      <c r="AD672" s="27"/>
      <c r="AE672" s="33"/>
      <c r="AF672" s="47"/>
      <c r="AG672" s="48"/>
    </row>
    <row r="673" spans="2:33" s="38" customFormat="1" x14ac:dyDescent="0.25">
      <c r="B673" s="49"/>
      <c r="C673" s="70"/>
      <c r="D673" s="42"/>
      <c r="F673" s="33"/>
      <c r="G673" s="47"/>
      <c r="H673" s="42"/>
      <c r="I673" s="27"/>
      <c r="J673" s="47"/>
      <c r="K673" s="42"/>
      <c r="L673" s="27"/>
      <c r="M673" s="47"/>
      <c r="N673" s="42"/>
      <c r="O673" s="27"/>
      <c r="P673" s="47"/>
      <c r="Q673" s="42"/>
      <c r="R673" s="27"/>
      <c r="S673" s="47"/>
      <c r="T673" s="42"/>
      <c r="U673" s="27"/>
      <c r="V673" s="47"/>
      <c r="W673" s="42"/>
      <c r="X673" s="27"/>
      <c r="Y673" s="47"/>
      <c r="Z673" s="42"/>
      <c r="AA673" s="27"/>
      <c r="AB673" s="47"/>
      <c r="AC673" s="42"/>
      <c r="AD673" s="27"/>
      <c r="AE673" s="33"/>
      <c r="AF673" s="47"/>
      <c r="AG673" s="48"/>
    </row>
    <row r="674" spans="2:33" s="38" customFormat="1" x14ac:dyDescent="0.25">
      <c r="B674" s="49"/>
      <c r="C674" s="70"/>
      <c r="D674" s="42"/>
      <c r="F674" s="33"/>
      <c r="G674" s="47"/>
      <c r="H674" s="42"/>
      <c r="I674" s="27"/>
      <c r="J674" s="47"/>
      <c r="K674" s="42"/>
      <c r="L674" s="27"/>
      <c r="M674" s="47"/>
      <c r="N674" s="42"/>
      <c r="O674" s="27"/>
      <c r="P674" s="47"/>
      <c r="Q674" s="42"/>
      <c r="R674" s="27"/>
      <c r="S674" s="47"/>
      <c r="T674" s="42"/>
      <c r="U674" s="27"/>
      <c r="V674" s="47"/>
      <c r="W674" s="42"/>
      <c r="X674" s="27"/>
      <c r="Y674" s="47"/>
      <c r="Z674" s="42"/>
      <c r="AA674" s="27"/>
      <c r="AB674" s="47"/>
      <c r="AC674" s="42"/>
      <c r="AD674" s="27"/>
      <c r="AE674" s="33"/>
      <c r="AF674" s="47"/>
      <c r="AG674" s="48"/>
    </row>
    <row r="675" spans="2:33" s="38" customFormat="1" x14ac:dyDescent="0.25">
      <c r="B675" s="49"/>
      <c r="C675" s="70"/>
      <c r="D675" s="42"/>
      <c r="F675" s="33"/>
      <c r="G675" s="47"/>
      <c r="H675" s="42"/>
      <c r="I675" s="27"/>
      <c r="J675" s="47"/>
      <c r="K675" s="42"/>
      <c r="L675" s="27"/>
      <c r="M675" s="47"/>
      <c r="N675" s="42"/>
      <c r="O675" s="27"/>
      <c r="P675" s="47"/>
      <c r="Q675" s="42"/>
      <c r="R675" s="27"/>
      <c r="S675" s="47"/>
      <c r="T675" s="42"/>
      <c r="U675" s="27"/>
      <c r="V675" s="47"/>
      <c r="W675" s="42"/>
      <c r="X675" s="27"/>
      <c r="Y675" s="47"/>
      <c r="Z675" s="42"/>
      <c r="AA675" s="27"/>
      <c r="AB675" s="47"/>
      <c r="AC675" s="42"/>
      <c r="AD675" s="27"/>
      <c r="AE675" s="33"/>
      <c r="AF675" s="47"/>
      <c r="AG675" s="48"/>
    </row>
    <row r="676" spans="2:33" s="38" customFormat="1" x14ac:dyDescent="0.25">
      <c r="B676" s="49"/>
      <c r="C676" s="70"/>
      <c r="D676" s="42"/>
      <c r="F676" s="33"/>
      <c r="G676" s="47"/>
      <c r="H676" s="42"/>
      <c r="I676" s="27"/>
      <c r="J676" s="47"/>
      <c r="K676" s="42"/>
      <c r="L676" s="27"/>
      <c r="M676" s="47"/>
      <c r="N676" s="42"/>
      <c r="O676" s="27"/>
      <c r="P676" s="47"/>
      <c r="Q676" s="42"/>
      <c r="R676" s="27"/>
      <c r="S676" s="47"/>
      <c r="T676" s="42"/>
      <c r="U676" s="27"/>
      <c r="V676" s="47"/>
      <c r="W676" s="42"/>
      <c r="X676" s="27"/>
      <c r="Y676" s="47"/>
      <c r="Z676" s="42"/>
      <c r="AA676" s="27"/>
      <c r="AB676" s="47"/>
      <c r="AC676" s="42"/>
      <c r="AD676" s="27"/>
      <c r="AE676" s="33"/>
      <c r="AF676" s="47"/>
      <c r="AG676" s="48"/>
    </row>
    <row r="677" spans="2:33" s="38" customFormat="1" x14ac:dyDescent="0.25">
      <c r="B677" s="49"/>
      <c r="C677" s="70"/>
      <c r="D677" s="42"/>
      <c r="F677" s="33"/>
      <c r="G677" s="47"/>
      <c r="H677" s="42"/>
      <c r="I677" s="27"/>
      <c r="J677" s="47"/>
      <c r="K677" s="42"/>
      <c r="L677" s="27"/>
      <c r="M677" s="47"/>
      <c r="N677" s="42"/>
      <c r="O677" s="27"/>
      <c r="P677" s="47"/>
      <c r="Q677" s="42"/>
      <c r="R677" s="27"/>
      <c r="S677" s="47"/>
      <c r="T677" s="42"/>
      <c r="U677" s="27"/>
      <c r="V677" s="47"/>
      <c r="W677" s="42"/>
      <c r="X677" s="27"/>
      <c r="Y677" s="47"/>
      <c r="Z677" s="42"/>
      <c r="AA677" s="27"/>
      <c r="AB677" s="47"/>
      <c r="AC677" s="42"/>
      <c r="AD677" s="27"/>
      <c r="AE677" s="33"/>
      <c r="AF677" s="47"/>
      <c r="AG677" s="48"/>
    </row>
    <row r="678" spans="2:33" s="38" customFormat="1" x14ac:dyDescent="0.25">
      <c r="B678" s="49"/>
      <c r="C678" s="70"/>
      <c r="D678" s="42"/>
      <c r="F678" s="33"/>
      <c r="G678" s="47"/>
      <c r="H678" s="42"/>
      <c r="I678" s="27"/>
      <c r="J678" s="47"/>
      <c r="K678" s="42"/>
      <c r="L678" s="27"/>
      <c r="M678" s="47"/>
      <c r="N678" s="42"/>
      <c r="O678" s="27"/>
      <c r="P678" s="47"/>
      <c r="Q678" s="42"/>
      <c r="R678" s="27"/>
      <c r="S678" s="47"/>
      <c r="T678" s="42"/>
      <c r="U678" s="27"/>
      <c r="V678" s="47"/>
      <c r="W678" s="42"/>
      <c r="X678" s="27"/>
      <c r="Y678" s="47"/>
      <c r="Z678" s="42"/>
      <c r="AA678" s="27"/>
      <c r="AB678" s="47"/>
      <c r="AC678" s="42"/>
      <c r="AD678" s="27"/>
      <c r="AE678" s="33"/>
      <c r="AF678" s="47"/>
      <c r="AG678" s="48"/>
    </row>
    <row r="679" spans="2:33" s="38" customFormat="1" x14ac:dyDescent="0.25">
      <c r="B679" s="49"/>
      <c r="C679" s="70"/>
      <c r="D679" s="42"/>
      <c r="F679" s="33"/>
      <c r="G679" s="47"/>
      <c r="H679" s="42"/>
      <c r="I679" s="27"/>
      <c r="J679" s="47"/>
      <c r="K679" s="42"/>
      <c r="L679" s="27"/>
      <c r="M679" s="47"/>
      <c r="N679" s="42"/>
      <c r="O679" s="27"/>
      <c r="P679" s="47"/>
      <c r="Q679" s="42"/>
      <c r="R679" s="27"/>
      <c r="S679" s="47"/>
      <c r="T679" s="42"/>
      <c r="U679" s="27"/>
      <c r="V679" s="47"/>
      <c r="W679" s="42"/>
      <c r="X679" s="27"/>
      <c r="Y679" s="47"/>
      <c r="Z679" s="42"/>
      <c r="AA679" s="27"/>
      <c r="AB679" s="47"/>
      <c r="AC679" s="42"/>
      <c r="AD679" s="27"/>
      <c r="AE679" s="33"/>
      <c r="AF679" s="47"/>
      <c r="AG679" s="48"/>
    </row>
    <row r="680" spans="2:33" s="38" customFormat="1" x14ac:dyDescent="0.25">
      <c r="B680" s="49"/>
      <c r="C680" s="70"/>
      <c r="D680" s="42"/>
      <c r="F680" s="33"/>
      <c r="G680" s="47"/>
      <c r="H680" s="42"/>
      <c r="I680" s="27"/>
      <c r="J680" s="47"/>
      <c r="K680" s="42"/>
      <c r="L680" s="27"/>
      <c r="M680" s="47"/>
      <c r="N680" s="42"/>
      <c r="O680" s="27"/>
      <c r="P680" s="47"/>
      <c r="Q680" s="42"/>
      <c r="R680" s="27"/>
      <c r="S680" s="47"/>
      <c r="T680" s="42"/>
      <c r="U680" s="27"/>
      <c r="V680" s="47"/>
      <c r="W680" s="42"/>
      <c r="X680" s="27"/>
      <c r="Y680" s="47"/>
      <c r="Z680" s="42"/>
      <c r="AA680" s="27"/>
      <c r="AB680" s="47"/>
      <c r="AC680" s="42"/>
      <c r="AD680" s="27"/>
      <c r="AE680" s="33"/>
      <c r="AF680" s="47"/>
      <c r="AG680" s="48"/>
    </row>
    <row r="681" spans="2:33" s="38" customFormat="1" x14ac:dyDescent="0.25">
      <c r="B681" s="49"/>
      <c r="C681" s="70"/>
      <c r="D681" s="42"/>
      <c r="F681" s="33"/>
      <c r="G681" s="47"/>
      <c r="H681" s="42"/>
      <c r="I681" s="27"/>
      <c r="J681" s="47"/>
      <c r="K681" s="42"/>
      <c r="L681" s="27"/>
      <c r="M681" s="47"/>
      <c r="N681" s="42"/>
      <c r="O681" s="27"/>
      <c r="P681" s="47"/>
      <c r="Q681" s="42"/>
      <c r="R681" s="27"/>
      <c r="S681" s="47"/>
      <c r="T681" s="42"/>
      <c r="U681" s="27"/>
      <c r="V681" s="47"/>
      <c r="W681" s="42"/>
      <c r="X681" s="27"/>
      <c r="Y681" s="47"/>
      <c r="Z681" s="42"/>
      <c r="AA681" s="27"/>
      <c r="AB681" s="47"/>
      <c r="AC681" s="42"/>
      <c r="AD681" s="27"/>
      <c r="AE681" s="33"/>
      <c r="AF681" s="47"/>
      <c r="AG681" s="48"/>
    </row>
    <row r="682" spans="2:33" s="38" customFormat="1" x14ac:dyDescent="0.25">
      <c r="B682" s="49"/>
      <c r="C682" s="70"/>
      <c r="D682" s="42"/>
      <c r="F682" s="33"/>
      <c r="G682" s="47"/>
      <c r="H682" s="42"/>
      <c r="I682" s="27"/>
      <c r="J682" s="47"/>
      <c r="K682" s="42"/>
      <c r="L682" s="27"/>
      <c r="M682" s="47"/>
      <c r="N682" s="42"/>
      <c r="O682" s="27"/>
      <c r="P682" s="47"/>
      <c r="Q682" s="42"/>
      <c r="R682" s="27"/>
      <c r="S682" s="47"/>
      <c r="T682" s="42"/>
      <c r="U682" s="27"/>
      <c r="V682" s="47"/>
      <c r="W682" s="42"/>
      <c r="X682" s="27"/>
      <c r="Y682" s="47"/>
      <c r="Z682" s="42"/>
      <c r="AA682" s="27"/>
      <c r="AB682" s="47"/>
      <c r="AC682" s="42"/>
      <c r="AD682" s="27"/>
      <c r="AE682" s="33"/>
      <c r="AF682" s="47"/>
      <c r="AG682" s="48"/>
    </row>
    <row r="683" spans="2:33" s="38" customFormat="1" x14ac:dyDescent="0.25">
      <c r="B683" s="49"/>
      <c r="C683" s="70"/>
      <c r="D683" s="42"/>
      <c r="F683" s="33"/>
      <c r="G683" s="47"/>
      <c r="H683" s="42"/>
      <c r="I683" s="27"/>
      <c r="J683" s="47"/>
      <c r="K683" s="42"/>
      <c r="L683" s="27"/>
      <c r="M683" s="47"/>
      <c r="N683" s="42"/>
      <c r="O683" s="27"/>
      <c r="P683" s="47"/>
      <c r="Q683" s="42"/>
      <c r="R683" s="27"/>
      <c r="S683" s="47"/>
      <c r="T683" s="42"/>
      <c r="U683" s="27"/>
      <c r="V683" s="47"/>
      <c r="W683" s="42"/>
      <c r="X683" s="27"/>
      <c r="Y683" s="47"/>
      <c r="Z683" s="42"/>
      <c r="AA683" s="27"/>
      <c r="AB683" s="47"/>
      <c r="AC683" s="42"/>
      <c r="AD683" s="27"/>
      <c r="AE683" s="33"/>
      <c r="AF683" s="47"/>
      <c r="AG683" s="48"/>
    </row>
    <row r="684" spans="2:33" s="38" customFormat="1" x14ac:dyDescent="0.25">
      <c r="B684" s="49"/>
      <c r="C684" s="70"/>
      <c r="D684" s="42"/>
      <c r="F684" s="33"/>
      <c r="G684" s="47"/>
      <c r="H684" s="42"/>
      <c r="I684" s="27"/>
      <c r="J684" s="47"/>
      <c r="K684" s="42"/>
      <c r="L684" s="27"/>
      <c r="M684" s="47"/>
      <c r="N684" s="42"/>
      <c r="O684" s="27"/>
      <c r="P684" s="47"/>
      <c r="Q684" s="42"/>
      <c r="R684" s="27"/>
      <c r="S684" s="47"/>
      <c r="T684" s="42"/>
      <c r="U684" s="27"/>
      <c r="V684" s="47"/>
      <c r="W684" s="42"/>
      <c r="X684" s="27"/>
      <c r="Y684" s="47"/>
      <c r="Z684" s="42"/>
      <c r="AA684" s="27"/>
      <c r="AB684" s="47"/>
      <c r="AC684" s="42"/>
      <c r="AD684" s="27"/>
      <c r="AE684" s="33"/>
      <c r="AF684" s="47"/>
      <c r="AG684" s="48"/>
    </row>
    <row r="685" spans="2:33" s="38" customFormat="1" x14ac:dyDescent="0.25">
      <c r="B685" s="49"/>
      <c r="C685" s="70"/>
      <c r="D685" s="42"/>
      <c r="F685" s="33"/>
      <c r="G685" s="47"/>
      <c r="H685" s="42"/>
      <c r="I685" s="27"/>
      <c r="J685" s="47"/>
      <c r="K685" s="42"/>
      <c r="L685" s="27"/>
      <c r="M685" s="47"/>
      <c r="N685" s="42"/>
      <c r="O685" s="27"/>
      <c r="P685" s="47"/>
      <c r="Q685" s="42"/>
      <c r="R685" s="27"/>
      <c r="S685" s="47"/>
      <c r="T685" s="42"/>
      <c r="U685" s="27"/>
      <c r="V685" s="47"/>
      <c r="W685" s="42"/>
      <c r="X685" s="27"/>
      <c r="Y685" s="47"/>
      <c r="Z685" s="42"/>
      <c r="AA685" s="27"/>
      <c r="AB685" s="47"/>
      <c r="AC685" s="42"/>
      <c r="AD685" s="27"/>
      <c r="AE685" s="33"/>
      <c r="AF685" s="47"/>
      <c r="AG685" s="48"/>
    </row>
    <row r="686" spans="2:33" s="38" customFormat="1" x14ac:dyDescent="0.25">
      <c r="B686" s="49"/>
      <c r="C686" s="70"/>
      <c r="D686" s="42"/>
      <c r="F686" s="33"/>
      <c r="G686" s="47"/>
      <c r="H686" s="42"/>
      <c r="I686" s="27"/>
      <c r="J686" s="47"/>
      <c r="K686" s="42"/>
      <c r="L686" s="27"/>
      <c r="M686" s="47"/>
      <c r="N686" s="42"/>
      <c r="O686" s="27"/>
      <c r="P686" s="47"/>
      <c r="Q686" s="42"/>
      <c r="R686" s="27"/>
      <c r="S686" s="47"/>
      <c r="T686" s="42"/>
      <c r="U686" s="27"/>
      <c r="V686" s="47"/>
      <c r="W686" s="42"/>
      <c r="X686" s="27"/>
      <c r="Y686" s="47"/>
      <c r="Z686" s="42"/>
      <c r="AA686" s="27"/>
      <c r="AB686" s="47"/>
      <c r="AC686" s="42"/>
      <c r="AD686" s="27"/>
      <c r="AE686" s="33"/>
      <c r="AF686" s="47"/>
      <c r="AG686" s="48"/>
    </row>
    <row r="687" spans="2:33" s="38" customFormat="1" x14ac:dyDescent="0.25">
      <c r="B687" s="49"/>
      <c r="C687" s="70"/>
      <c r="D687" s="42"/>
      <c r="F687" s="33"/>
      <c r="G687" s="47"/>
      <c r="H687" s="42"/>
      <c r="I687" s="27"/>
      <c r="J687" s="47"/>
      <c r="K687" s="42"/>
      <c r="L687" s="27"/>
      <c r="M687" s="47"/>
      <c r="N687" s="42"/>
      <c r="O687" s="27"/>
      <c r="P687" s="47"/>
      <c r="Q687" s="42"/>
      <c r="R687" s="27"/>
      <c r="S687" s="47"/>
      <c r="T687" s="42"/>
      <c r="U687" s="27"/>
      <c r="V687" s="47"/>
      <c r="W687" s="42"/>
      <c r="X687" s="27"/>
      <c r="Y687" s="47"/>
      <c r="Z687" s="42"/>
      <c r="AA687" s="27"/>
      <c r="AB687" s="47"/>
      <c r="AC687" s="42"/>
      <c r="AD687" s="27"/>
      <c r="AE687" s="33"/>
      <c r="AF687" s="47"/>
      <c r="AG687" s="48"/>
    </row>
    <row r="688" spans="2:33" s="38" customFormat="1" x14ac:dyDescent="0.25">
      <c r="B688" s="49"/>
      <c r="C688" s="70"/>
      <c r="D688" s="42"/>
      <c r="F688" s="33"/>
      <c r="G688" s="47"/>
      <c r="H688" s="42"/>
      <c r="I688" s="27"/>
      <c r="J688" s="47"/>
      <c r="K688" s="42"/>
      <c r="L688" s="27"/>
      <c r="M688" s="47"/>
      <c r="N688" s="42"/>
      <c r="O688" s="27"/>
      <c r="P688" s="47"/>
      <c r="Q688" s="42"/>
      <c r="R688" s="27"/>
      <c r="S688" s="47"/>
      <c r="T688" s="42"/>
      <c r="U688" s="27"/>
      <c r="V688" s="47"/>
      <c r="W688" s="42"/>
      <c r="X688" s="27"/>
      <c r="Y688" s="47"/>
      <c r="Z688" s="42"/>
      <c r="AA688" s="27"/>
      <c r="AB688" s="47"/>
      <c r="AC688" s="42"/>
      <c r="AD688" s="27"/>
      <c r="AE688" s="33"/>
      <c r="AF688" s="47"/>
      <c r="AG688" s="48"/>
    </row>
    <row r="689" spans="2:33" s="38" customFormat="1" x14ac:dyDescent="0.25">
      <c r="B689" s="49"/>
      <c r="C689" s="70"/>
      <c r="D689" s="42"/>
      <c r="F689" s="33"/>
      <c r="G689" s="47"/>
      <c r="H689" s="42"/>
      <c r="I689" s="27"/>
      <c r="J689" s="47"/>
      <c r="K689" s="42"/>
      <c r="L689" s="27"/>
      <c r="M689" s="47"/>
      <c r="N689" s="42"/>
      <c r="O689" s="27"/>
      <c r="P689" s="47"/>
      <c r="Q689" s="42"/>
      <c r="R689" s="27"/>
      <c r="S689" s="47"/>
      <c r="T689" s="42"/>
      <c r="U689" s="27"/>
      <c r="V689" s="47"/>
      <c r="W689" s="42"/>
      <c r="X689" s="27"/>
      <c r="Y689" s="47"/>
      <c r="Z689" s="42"/>
      <c r="AA689" s="27"/>
      <c r="AB689" s="47"/>
      <c r="AC689" s="42"/>
      <c r="AD689" s="27"/>
      <c r="AE689" s="33"/>
      <c r="AF689" s="47"/>
      <c r="AG689" s="48"/>
    </row>
    <row r="690" spans="2:33" s="38" customFormat="1" x14ac:dyDescent="0.25">
      <c r="B690" s="49"/>
      <c r="C690" s="70"/>
      <c r="D690" s="42"/>
      <c r="F690" s="33"/>
      <c r="G690" s="47"/>
      <c r="H690" s="42"/>
      <c r="I690" s="27"/>
      <c r="J690" s="47"/>
      <c r="K690" s="42"/>
      <c r="L690" s="27"/>
      <c r="M690" s="47"/>
      <c r="N690" s="42"/>
      <c r="O690" s="27"/>
      <c r="P690" s="47"/>
      <c r="Q690" s="42"/>
      <c r="R690" s="27"/>
      <c r="S690" s="47"/>
      <c r="T690" s="42"/>
      <c r="U690" s="27"/>
      <c r="V690" s="47"/>
      <c r="W690" s="42"/>
      <c r="X690" s="27"/>
      <c r="Y690" s="47"/>
      <c r="Z690" s="42"/>
      <c r="AA690" s="27"/>
      <c r="AB690" s="47"/>
      <c r="AC690" s="42"/>
      <c r="AD690" s="27"/>
      <c r="AE690" s="33"/>
      <c r="AF690" s="47"/>
      <c r="AG690" s="48"/>
    </row>
    <row r="691" spans="2:33" s="38" customFormat="1" x14ac:dyDescent="0.25">
      <c r="B691" s="49"/>
      <c r="C691" s="70"/>
      <c r="D691" s="42"/>
      <c r="F691" s="33"/>
      <c r="G691" s="47"/>
      <c r="H691" s="42"/>
      <c r="I691" s="27"/>
      <c r="J691" s="47"/>
      <c r="K691" s="42"/>
      <c r="L691" s="27"/>
      <c r="M691" s="47"/>
      <c r="N691" s="42"/>
      <c r="O691" s="27"/>
      <c r="P691" s="47"/>
      <c r="Q691" s="42"/>
      <c r="R691" s="27"/>
      <c r="S691" s="47"/>
      <c r="T691" s="42"/>
      <c r="U691" s="27"/>
      <c r="V691" s="47"/>
      <c r="W691" s="42"/>
      <c r="X691" s="27"/>
      <c r="Y691" s="47"/>
      <c r="Z691" s="42"/>
      <c r="AA691" s="27"/>
      <c r="AB691" s="47"/>
      <c r="AC691" s="42"/>
      <c r="AD691" s="27"/>
      <c r="AE691" s="33"/>
      <c r="AF691" s="47"/>
      <c r="AG691" s="48"/>
    </row>
    <row r="692" spans="2:33" s="38" customFormat="1" x14ac:dyDescent="0.25">
      <c r="B692" s="49"/>
      <c r="C692" s="70"/>
      <c r="D692" s="42"/>
      <c r="F692" s="33"/>
      <c r="G692" s="47"/>
      <c r="H692" s="42"/>
      <c r="I692" s="27"/>
      <c r="J692" s="47"/>
      <c r="K692" s="42"/>
      <c r="L692" s="27"/>
      <c r="M692" s="47"/>
      <c r="N692" s="42"/>
      <c r="O692" s="27"/>
      <c r="P692" s="47"/>
      <c r="Q692" s="42"/>
      <c r="R692" s="27"/>
      <c r="S692" s="47"/>
      <c r="T692" s="42"/>
      <c r="U692" s="27"/>
      <c r="V692" s="47"/>
      <c r="W692" s="42"/>
      <c r="X692" s="27"/>
      <c r="Y692" s="47"/>
      <c r="Z692" s="42"/>
      <c r="AA692" s="27"/>
      <c r="AB692" s="47"/>
      <c r="AC692" s="42"/>
      <c r="AD692" s="27"/>
      <c r="AE692" s="33"/>
      <c r="AF692" s="47"/>
      <c r="AG692" s="48"/>
    </row>
    <row r="693" spans="2:33" s="38" customFormat="1" x14ac:dyDescent="0.25">
      <c r="B693" s="49"/>
      <c r="C693" s="70"/>
      <c r="D693" s="42"/>
      <c r="F693" s="33"/>
      <c r="G693" s="47"/>
      <c r="H693" s="42"/>
      <c r="I693" s="27"/>
      <c r="J693" s="47"/>
      <c r="K693" s="42"/>
      <c r="L693" s="27"/>
      <c r="M693" s="47"/>
      <c r="N693" s="42"/>
      <c r="O693" s="27"/>
      <c r="P693" s="47"/>
      <c r="Q693" s="42"/>
      <c r="R693" s="27"/>
      <c r="S693" s="47"/>
      <c r="T693" s="42"/>
      <c r="U693" s="27"/>
      <c r="V693" s="47"/>
      <c r="W693" s="42"/>
      <c r="X693" s="27"/>
      <c r="Y693" s="47"/>
      <c r="Z693" s="42"/>
      <c r="AA693" s="27"/>
      <c r="AB693" s="47"/>
      <c r="AC693" s="42"/>
      <c r="AD693" s="27"/>
      <c r="AE693" s="33"/>
      <c r="AF693" s="47"/>
      <c r="AG693" s="48"/>
    </row>
    <row r="694" spans="2:33" s="38" customFormat="1" x14ac:dyDescent="0.25">
      <c r="B694" s="49"/>
      <c r="C694" s="70"/>
      <c r="D694" s="42"/>
      <c r="F694" s="33"/>
      <c r="G694" s="47"/>
      <c r="H694" s="42"/>
      <c r="I694" s="27"/>
      <c r="J694" s="47"/>
      <c r="K694" s="42"/>
      <c r="L694" s="27"/>
      <c r="M694" s="47"/>
      <c r="N694" s="42"/>
      <c r="O694" s="27"/>
      <c r="P694" s="47"/>
      <c r="Q694" s="42"/>
      <c r="R694" s="27"/>
      <c r="S694" s="47"/>
      <c r="T694" s="42"/>
      <c r="U694" s="27"/>
      <c r="V694" s="47"/>
      <c r="W694" s="42"/>
      <c r="X694" s="27"/>
      <c r="Y694" s="47"/>
      <c r="Z694" s="42"/>
      <c r="AA694" s="27"/>
      <c r="AB694" s="47"/>
      <c r="AC694" s="42"/>
      <c r="AD694" s="27"/>
      <c r="AE694" s="33"/>
      <c r="AF694" s="47"/>
      <c r="AG694" s="48"/>
    </row>
    <row r="695" spans="2:33" s="38" customFormat="1" x14ac:dyDescent="0.25">
      <c r="B695" s="49"/>
      <c r="C695" s="70"/>
      <c r="D695" s="42"/>
      <c r="F695" s="33"/>
      <c r="G695" s="47"/>
      <c r="H695" s="42"/>
      <c r="I695" s="27"/>
      <c r="J695" s="47"/>
      <c r="K695" s="42"/>
      <c r="L695" s="27"/>
      <c r="M695" s="47"/>
      <c r="N695" s="42"/>
      <c r="O695" s="27"/>
      <c r="P695" s="47"/>
      <c r="Q695" s="42"/>
      <c r="R695" s="27"/>
      <c r="S695" s="47"/>
      <c r="T695" s="42"/>
      <c r="U695" s="27"/>
      <c r="V695" s="47"/>
      <c r="W695" s="42"/>
      <c r="X695" s="27"/>
      <c r="Y695" s="47"/>
      <c r="Z695" s="42"/>
      <c r="AA695" s="27"/>
      <c r="AB695" s="47"/>
      <c r="AC695" s="42"/>
      <c r="AD695" s="27"/>
      <c r="AE695" s="33"/>
      <c r="AF695" s="47"/>
      <c r="AG695" s="48"/>
    </row>
    <row r="696" spans="2:33" s="38" customFormat="1" x14ac:dyDescent="0.25">
      <c r="B696" s="49"/>
      <c r="C696" s="70"/>
      <c r="D696" s="42"/>
      <c r="F696" s="33"/>
      <c r="G696" s="47"/>
      <c r="H696" s="42"/>
      <c r="I696" s="27"/>
      <c r="J696" s="47"/>
      <c r="K696" s="42"/>
      <c r="L696" s="27"/>
      <c r="M696" s="47"/>
      <c r="N696" s="42"/>
      <c r="O696" s="27"/>
      <c r="P696" s="47"/>
      <c r="Q696" s="42"/>
      <c r="R696" s="27"/>
      <c r="S696" s="47"/>
      <c r="T696" s="42"/>
      <c r="U696" s="27"/>
      <c r="V696" s="47"/>
      <c r="W696" s="42"/>
      <c r="X696" s="27"/>
      <c r="Y696" s="47"/>
      <c r="Z696" s="42"/>
      <c r="AA696" s="27"/>
      <c r="AB696" s="47"/>
      <c r="AC696" s="42"/>
      <c r="AD696" s="27"/>
      <c r="AE696" s="33"/>
      <c r="AF696" s="47"/>
      <c r="AG696" s="48"/>
    </row>
    <row r="697" spans="2:33" s="38" customFormat="1" x14ac:dyDescent="0.25">
      <c r="B697" s="49"/>
      <c r="C697" s="70"/>
      <c r="D697" s="42"/>
      <c r="F697" s="33"/>
      <c r="G697" s="47"/>
      <c r="H697" s="42"/>
      <c r="I697" s="27"/>
      <c r="J697" s="47"/>
      <c r="K697" s="42"/>
      <c r="L697" s="27"/>
      <c r="M697" s="47"/>
      <c r="N697" s="42"/>
      <c r="O697" s="27"/>
      <c r="P697" s="47"/>
      <c r="Q697" s="42"/>
      <c r="R697" s="27"/>
      <c r="S697" s="47"/>
      <c r="T697" s="42"/>
      <c r="U697" s="27"/>
      <c r="V697" s="47"/>
      <c r="W697" s="42"/>
      <c r="X697" s="27"/>
      <c r="Y697" s="47"/>
      <c r="Z697" s="42"/>
      <c r="AA697" s="27"/>
      <c r="AB697" s="47"/>
      <c r="AC697" s="42"/>
      <c r="AD697" s="27"/>
      <c r="AE697" s="33"/>
      <c r="AF697" s="47"/>
      <c r="AG697" s="48"/>
    </row>
    <row r="698" spans="2:33" s="38" customFormat="1" x14ac:dyDescent="0.25">
      <c r="B698" s="49"/>
      <c r="C698" s="70"/>
      <c r="D698" s="42"/>
      <c r="F698" s="33"/>
      <c r="G698" s="47"/>
      <c r="H698" s="42"/>
      <c r="I698" s="27"/>
      <c r="J698" s="47"/>
      <c r="K698" s="42"/>
      <c r="L698" s="27"/>
      <c r="M698" s="47"/>
      <c r="N698" s="42"/>
      <c r="O698" s="27"/>
      <c r="P698" s="47"/>
      <c r="Q698" s="42"/>
      <c r="R698" s="27"/>
      <c r="S698" s="47"/>
      <c r="T698" s="42"/>
      <c r="U698" s="27"/>
      <c r="V698" s="47"/>
      <c r="W698" s="42"/>
      <c r="X698" s="27"/>
      <c r="Y698" s="47"/>
      <c r="Z698" s="42"/>
      <c r="AA698" s="27"/>
      <c r="AB698" s="47"/>
      <c r="AC698" s="42"/>
      <c r="AD698" s="27"/>
      <c r="AE698" s="33"/>
      <c r="AF698" s="47"/>
      <c r="AG698" s="48"/>
    </row>
    <row r="699" spans="2:33" s="38" customFormat="1" x14ac:dyDescent="0.25">
      <c r="B699" s="49"/>
      <c r="C699" s="70"/>
      <c r="D699" s="42"/>
      <c r="F699" s="33"/>
      <c r="G699" s="47"/>
      <c r="H699" s="42"/>
      <c r="I699" s="27"/>
      <c r="J699" s="47"/>
      <c r="K699" s="42"/>
      <c r="L699" s="27"/>
      <c r="M699" s="47"/>
      <c r="N699" s="42"/>
      <c r="O699" s="27"/>
      <c r="P699" s="47"/>
      <c r="Q699" s="42"/>
      <c r="R699" s="27"/>
      <c r="S699" s="47"/>
      <c r="T699" s="42"/>
      <c r="U699" s="27"/>
      <c r="V699" s="47"/>
      <c r="W699" s="42"/>
      <c r="X699" s="27"/>
      <c r="Y699" s="47"/>
      <c r="Z699" s="42"/>
      <c r="AA699" s="27"/>
      <c r="AB699" s="47"/>
      <c r="AC699" s="42"/>
      <c r="AD699" s="27"/>
      <c r="AE699" s="33"/>
      <c r="AF699" s="47"/>
      <c r="AG699" s="48"/>
    </row>
    <row r="700" spans="2:33" s="38" customFormat="1" x14ac:dyDescent="0.25">
      <c r="B700" s="49"/>
      <c r="C700" s="70"/>
      <c r="D700" s="42"/>
      <c r="F700" s="33"/>
      <c r="G700" s="47"/>
      <c r="H700" s="42"/>
      <c r="I700" s="27"/>
      <c r="J700" s="47"/>
      <c r="K700" s="42"/>
      <c r="L700" s="27"/>
      <c r="M700" s="47"/>
      <c r="N700" s="42"/>
      <c r="O700" s="27"/>
      <c r="P700" s="47"/>
      <c r="Q700" s="42"/>
      <c r="R700" s="27"/>
      <c r="S700" s="47"/>
      <c r="T700" s="42"/>
      <c r="U700" s="27"/>
      <c r="V700" s="47"/>
      <c r="W700" s="42"/>
      <c r="X700" s="27"/>
      <c r="Y700" s="47"/>
      <c r="Z700" s="42"/>
      <c r="AA700" s="27"/>
      <c r="AB700" s="47"/>
      <c r="AC700" s="42"/>
      <c r="AD700" s="27"/>
      <c r="AE700" s="33"/>
      <c r="AF700" s="47"/>
      <c r="AG700" s="48"/>
    </row>
    <row r="701" spans="2:33" s="38" customFormat="1" x14ac:dyDescent="0.25">
      <c r="B701" s="49"/>
      <c r="C701" s="70"/>
      <c r="D701" s="42"/>
      <c r="F701" s="33"/>
      <c r="G701" s="47"/>
      <c r="H701" s="42"/>
      <c r="I701" s="27"/>
      <c r="J701" s="47"/>
      <c r="K701" s="42"/>
      <c r="L701" s="27"/>
      <c r="M701" s="47"/>
      <c r="N701" s="42"/>
      <c r="O701" s="27"/>
      <c r="P701" s="47"/>
      <c r="Q701" s="42"/>
      <c r="R701" s="27"/>
      <c r="S701" s="47"/>
      <c r="T701" s="42"/>
      <c r="U701" s="27"/>
      <c r="V701" s="47"/>
      <c r="W701" s="42"/>
      <c r="X701" s="27"/>
      <c r="Y701" s="47"/>
      <c r="Z701" s="42"/>
      <c r="AA701" s="27"/>
      <c r="AB701" s="47"/>
      <c r="AC701" s="42"/>
      <c r="AD701" s="27"/>
      <c r="AE701" s="33"/>
      <c r="AF701" s="47"/>
      <c r="AG701" s="48"/>
    </row>
    <row r="702" spans="2:33" s="38" customFormat="1" x14ac:dyDescent="0.25">
      <c r="B702" s="49"/>
      <c r="C702" s="70"/>
      <c r="D702" s="42"/>
      <c r="F702" s="33"/>
      <c r="G702" s="47"/>
      <c r="H702" s="42"/>
      <c r="I702" s="27"/>
      <c r="J702" s="47"/>
      <c r="K702" s="42"/>
      <c r="L702" s="27"/>
      <c r="M702" s="47"/>
      <c r="N702" s="42"/>
      <c r="O702" s="27"/>
      <c r="P702" s="47"/>
      <c r="Q702" s="42"/>
      <c r="R702" s="27"/>
      <c r="S702" s="47"/>
      <c r="T702" s="42"/>
      <c r="U702" s="27"/>
      <c r="V702" s="47"/>
      <c r="W702" s="42"/>
      <c r="X702" s="27"/>
      <c r="Y702" s="47"/>
      <c r="Z702" s="42"/>
      <c r="AA702" s="27"/>
      <c r="AB702" s="47"/>
      <c r="AC702" s="42"/>
      <c r="AD702" s="27"/>
      <c r="AE702" s="33"/>
      <c r="AF702" s="47"/>
      <c r="AG702" s="48"/>
    </row>
    <row r="703" spans="2:33" s="38" customFormat="1" x14ac:dyDescent="0.25">
      <c r="B703" s="49"/>
      <c r="C703" s="70"/>
      <c r="D703" s="42"/>
      <c r="F703" s="33"/>
      <c r="G703" s="47"/>
      <c r="H703" s="42"/>
      <c r="I703" s="27"/>
      <c r="J703" s="47"/>
      <c r="K703" s="42"/>
      <c r="L703" s="27"/>
      <c r="M703" s="47"/>
      <c r="N703" s="42"/>
      <c r="O703" s="27"/>
      <c r="P703" s="47"/>
      <c r="Q703" s="42"/>
      <c r="R703" s="27"/>
      <c r="S703" s="47"/>
      <c r="T703" s="42"/>
      <c r="U703" s="27"/>
      <c r="V703" s="47"/>
      <c r="W703" s="42"/>
      <c r="X703" s="27"/>
      <c r="Y703" s="47"/>
      <c r="Z703" s="42"/>
      <c r="AA703" s="27"/>
      <c r="AB703" s="47"/>
      <c r="AC703" s="42"/>
      <c r="AD703" s="27"/>
      <c r="AE703" s="33"/>
      <c r="AF703" s="47"/>
      <c r="AG703" s="48"/>
    </row>
    <row r="704" spans="2:33" s="38" customFormat="1" x14ac:dyDescent="0.25">
      <c r="B704" s="49"/>
      <c r="C704" s="70"/>
      <c r="D704" s="42"/>
      <c r="F704" s="33"/>
      <c r="G704" s="47"/>
      <c r="H704" s="42"/>
      <c r="I704" s="27"/>
      <c r="J704" s="47"/>
      <c r="K704" s="42"/>
      <c r="L704" s="27"/>
      <c r="M704" s="47"/>
      <c r="N704" s="42"/>
      <c r="O704" s="27"/>
      <c r="P704" s="47"/>
      <c r="Q704" s="42"/>
      <c r="R704" s="27"/>
      <c r="S704" s="47"/>
      <c r="T704" s="42"/>
      <c r="U704" s="27"/>
      <c r="V704" s="47"/>
      <c r="W704" s="42"/>
      <c r="X704" s="27"/>
      <c r="Y704" s="47"/>
      <c r="Z704" s="42"/>
      <c r="AA704" s="27"/>
      <c r="AB704" s="47"/>
      <c r="AC704" s="42"/>
      <c r="AD704" s="27"/>
      <c r="AE704" s="33"/>
      <c r="AF704" s="47"/>
      <c r="AG704" s="48"/>
    </row>
    <row r="705" spans="2:33" s="38" customFormat="1" x14ac:dyDescent="0.25">
      <c r="B705" s="49"/>
      <c r="C705" s="70"/>
      <c r="D705" s="42"/>
      <c r="F705" s="33"/>
      <c r="G705" s="47"/>
      <c r="H705" s="42"/>
      <c r="I705" s="27"/>
      <c r="J705" s="47"/>
      <c r="K705" s="42"/>
      <c r="L705" s="27"/>
      <c r="M705" s="47"/>
      <c r="N705" s="42"/>
      <c r="O705" s="27"/>
      <c r="P705" s="47"/>
      <c r="Q705" s="42"/>
      <c r="R705" s="27"/>
      <c r="S705" s="47"/>
      <c r="T705" s="42"/>
      <c r="U705" s="27"/>
      <c r="V705" s="47"/>
      <c r="W705" s="42"/>
      <c r="X705" s="27"/>
      <c r="Y705" s="47"/>
      <c r="Z705" s="42"/>
      <c r="AA705" s="27"/>
      <c r="AB705" s="47"/>
      <c r="AC705" s="42"/>
      <c r="AD705" s="27"/>
      <c r="AE705" s="33"/>
      <c r="AF705" s="47"/>
      <c r="AG705" s="48"/>
    </row>
    <row r="706" spans="2:33" s="38" customFormat="1" x14ac:dyDescent="0.25">
      <c r="B706" s="49"/>
      <c r="C706" s="70"/>
      <c r="D706" s="42"/>
      <c r="F706" s="33"/>
      <c r="G706" s="47"/>
      <c r="H706" s="42"/>
      <c r="I706" s="27"/>
      <c r="J706" s="47"/>
      <c r="K706" s="42"/>
      <c r="L706" s="27"/>
      <c r="M706" s="47"/>
      <c r="N706" s="42"/>
      <c r="O706" s="27"/>
      <c r="P706" s="47"/>
      <c r="Q706" s="42"/>
      <c r="R706" s="27"/>
      <c r="S706" s="47"/>
      <c r="T706" s="42"/>
      <c r="U706" s="27"/>
      <c r="V706" s="47"/>
      <c r="W706" s="42"/>
      <c r="X706" s="27"/>
      <c r="Y706" s="47"/>
      <c r="Z706" s="42"/>
      <c r="AA706" s="27"/>
      <c r="AB706" s="47"/>
      <c r="AC706" s="42"/>
      <c r="AD706" s="27"/>
      <c r="AE706" s="33"/>
      <c r="AF706" s="47"/>
      <c r="AG706" s="48"/>
    </row>
    <row r="707" spans="2:33" s="38" customFormat="1" x14ac:dyDescent="0.25">
      <c r="B707" s="49"/>
      <c r="C707" s="70"/>
      <c r="D707" s="42"/>
      <c r="F707" s="33"/>
      <c r="G707" s="47"/>
      <c r="H707" s="42"/>
      <c r="I707" s="27"/>
      <c r="J707" s="47"/>
      <c r="K707" s="42"/>
      <c r="L707" s="27"/>
      <c r="M707" s="47"/>
      <c r="N707" s="42"/>
      <c r="O707" s="27"/>
      <c r="P707" s="47"/>
      <c r="Q707" s="42"/>
      <c r="R707" s="27"/>
      <c r="S707" s="47"/>
      <c r="T707" s="42"/>
      <c r="U707" s="27"/>
      <c r="V707" s="47"/>
      <c r="W707" s="42"/>
      <c r="X707" s="27"/>
      <c r="Y707" s="47"/>
      <c r="Z707" s="42"/>
      <c r="AA707" s="27"/>
      <c r="AB707" s="47"/>
      <c r="AC707" s="42"/>
      <c r="AD707" s="27"/>
      <c r="AE707" s="33"/>
      <c r="AF707" s="47"/>
      <c r="AG707" s="48"/>
    </row>
    <row r="708" spans="2:33" s="38" customFormat="1" x14ac:dyDescent="0.25">
      <c r="B708" s="49"/>
      <c r="C708" s="70"/>
      <c r="D708" s="42"/>
      <c r="F708" s="33"/>
      <c r="G708" s="47"/>
      <c r="H708" s="42"/>
      <c r="I708" s="27"/>
      <c r="J708" s="47"/>
      <c r="K708" s="42"/>
      <c r="L708" s="27"/>
      <c r="M708" s="47"/>
      <c r="N708" s="42"/>
      <c r="O708" s="27"/>
      <c r="P708" s="47"/>
      <c r="Q708" s="42"/>
      <c r="R708" s="27"/>
      <c r="S708" s="47"/>
      <c r="T708" s="42"/>
      <c r="U708" s="27"/>
      <c r="V708" s="47"/>
      <c r="W708" s="42"/>
      <c r="X708" s="27"/>
      <c r="Y708" s="47"/>
      <c r="Z708" s="42"/>
      <c r="AA708" s="27"/>
      <c r="AB708" s="47"/>
      <c r="AC708" s="42"/>
      <c r="AD708" s="27"/>
      <c r="AE708" s="33"/>
      <c r="AF708" s="47"/>
      <c r="AG708" s="48"/>
    </row>
    <row r="709" spans="2:33" s="38" customFormat="1" x14ac:dyDescent="0.25">
      <c r="B709" s="49"/>
      <c r="C709" s="70"/>
      <c r="D709" s="42"/>
      <c r="F709" s="33"/>
      <c r="G709" s="47"/>
      <c r="H709" s="42"/>
      <c r="I709" s="27"/>
      <c r="J709" s="47"/>
      <c r="K709" s="42"/>
      <c r="L709" s="27"/>
      <c r="M709" s="47"/>
      <c r="N709" s="42"/>
      <c r="O709" s="27"/>
      <c r="P709" s="47"/>
      <c r="Q709" s="42"/>
      <c r="R709" s="27"/>
      <c r="S709" s="47"/>
      <c r="T709" s="42"/>
      <c r="U709" s="27"/>
      <c r="V709" s="47"/>
      <c r="W709" s="42"/>
      <c r="X709" s="27"/>
      <c r="Y709" s="47"/>
      <c r="Z709" s="42"/>
      <c r="AA709" s="27"/>
      <c r="AB709" s="47"/>
      <c r="AC709" s="42"/>
      <c r="AD709" s="27"/>
      <c r="AE709" s="33"/>
      <c r="AF709" s="47"/>
      <c r="AG709" s="48"/>
    </row>
    <row r="710" spans="2:33" s="38" customFormat="1" x14ac:dyDescent="0.25">
      <c r="B710" s="49"/>
      <c r="C710" s="70"/>
      <c r="D710" s="42"/>
      <c r="F710" s="33"/>
      <c r="G710" s="47"/>
      <c r="H710" s="42"/>
      <c r="I710" s="27"/>
      <c r="J710" s="47"/>
      <c r="K710" s="42"/>
      <c r="L710" s="27"/>
      <c r="M710" s="47"/>
      <c r="N710" s="42"/>
      <c r="O710" s="27"/>
      <c r="P710" s="47"/>
      <c r="Q710" s="42"/>
      <c r="R710" s="27"/>
      <c r="S710" s="47"/>
      <c r="T710" s="42"/>
      <c r="U710" s="27"/>
      <c r="V710" s="47"/>
      <c r="W710" s="42"/>
      <c r="X710" s="27"/>
      <c r="Y710" s="47"/>
      <c r="Z710" s="42"/>
      <c r="AA710" s="27"/>
      <c r="AB710" s="47"/>
      <c r="AC710" s="42"/>
      <c r="AD710" s="27"/>
      <c r="AE710" s="33"/>
      <c r="AF710" s="47"/>
      <c r="AG710" s="48"/>
    </row>
    <row r="711" spans="2:33" s="38" customFormat="1" x14ac:dyDescent="0.25">
      <c r="B711" s="49"/>
      <c r="C711" s="70"/>
      <c r="D711" s="42"/>
      <c r="F711" s="33"/>
      <c r="G711" s="47"/>
      <c r="H711" s="42"/>
      <c r="I711" s="27"/>
      <c r="J711" s="47"/>
      <c r="K711" s="42"/>
      <c r="L711" s="27"/>
      <c r="M711" s="47"/>
      <c r="N711" s="42"/>
      <c r="O711" s="27"/>
      <c r="P711" s="47"/>
      <c r="Q711" s="42"/>
      <c r="R711" s="27"/>
      <c r="S711" s="47"/>
      <c r="T711" s="42"/>
      <c r="U711" s="27"/>
      <c r="V711" s="47"/>
      <c r="W711" s="42"/>
      <c r="X711" s="27"/>
      <c r="Y711" s="47"/>
      <c r="Z711" s="42"/>
      <c r="AA711" s="27"/>
      <c r="AB711" s="47"/>
      <c r="AC711" s="42"/>
      <c r="AD711" s="27"/>
      <c r="AE711" s="33"/>
      <c r="AF711" s="47"/>
      <c r="AG711" s="48"/>
    </row>
    <row r="712" spans="2:33" s="38" customFormat="1" x14ac:dyDescent="0.25">
      <c r="B712" s="49"/>
      <c r="C712" s="70"/>
      <c r="D712" s="42"/>
      <c r="F712" s="33"/>
      <c r="G712" s="47"/>
      <c r="H712" s="42"/>
      <c r="I712" s="27"/>
      <c r="J712" s="47"/>
      <c r="K712" s="42"/>
      <c r="L712" s="27"/>
      <c r="M712" s="47"/>
      <c r="N712" s="42"/>
      <c r="O712" s="27"/>
      <c r="P712" s="47"/>
      <c r="Q712" s="42"/>
      <c r="R712" s="27"/>
      <c r="S712" s="47"/>
      <c r="T712" s="42"/>
      <c r="U712" s="27"/>
      <c r="V712" s="47"/>
      <c r="W712" s="42"/>
      <c r="X712" s="27"/>
      <c r="Y712" s="47"/>
      <c r="Z712" s="42"/>
      <c r="AA712" s="27"/>
      <c r="AB712" s="47"/>
      <c r="AC712" s="42"/>
      <c r="AD712" s="27"/>
      <c r="AE712" s="33"/>
      <c r="AF712" s="47"/>
      <c r="AG712" s="48"/>
    </row>
    <row r="713" spans="2:33" s="38" customFormat="1" x14ac:dyDescent="0.25">
      <c r="B713" s="49"/>
      <c r="C713" s="70"/>
      <c r="D713" s="42"/>
      <c r="F713" s="33"/>
      <c r="G713" s="47"/>
      <c r="H713" s="42"/>
      <c r="I713" s="27"/>
      <c r="J713" s="47"/>
      <c r="K713" s="42"/>
      <c r="L713" s="27"/>
      <c r="M713" s="47"/>
      <c r="N713" s="42"/>
      <c r="O713" s="27"/>
      <c r="P713" s="47"/>
      <c r="Q713" s="42"/>
      <c r="R713" s="27"/>
      <c r="S713" s="47"/>
      <c r="T713" s="42"/>
      <c r="U713" s="27"/>
      <c r="V713" s="47"/>
      <c r="W713" s="42"/>
      <c r="X713" s="27"/>
      <c r="Y713" s="47"/>
      <c r="Z713" s="42"/>
      <c r="AA713" s="27"/>
      <c r="AB713" s="47"/>
      <c r="AC713" s="42"/>
      <c r="AD713" s="27"/>
      <c r="AE713" s="33"/>
      <c r="AF713" s="47"/>
      <c r="AG713" s="48"/>
    </row>
    <row r="714" spans="2:33" s="38" customFormat="1" x14ac:dyDescent="0.25">
      <c r="B714" s="49"/>
      <c r="C714" s="70"/>
      <c r="D714" s="42"/>
      <c r="F714" s="33"/>
      <c r="G714" s="47"/>
      <c r="H714" s="42"/>
      <c r="I714" s="27"/>
      <c r="J714" s="47"/>
      <c r="K714" s="42"/>
      <c r="L714" s="27"/>
      <c r="M714" s="47"/>
      <c r="N714" s="42"/>
      <c r="O714" s="27"/>
      <c r="P714" s="47"/>
      <c r="Q714" s="42"/>
      <c r="R714" s="27"/>
      <c r="S714" s="47"/>
      <c r="T714" s="42"/>
      <c r="U714" s="27"/>
      <c r="V714" s="47"/>
      <c r="W714" s="42"/>
      <c r="X714" s="27"/>
      <c r="Y714" s="47"/>
      <c r="Z714" s="42"/>
      <c r="AA714" s="27"/>
      <c r="AB714" s="47"/>
      <c r="AC714" s="42"/>
      <c r="AD714" s="27"/>
      <c r="AE714" s="33"/>
      <c r="AF714" s="47"/>
      <c r="AG714" s="48"/>
    </row>
    <row r="715" spans="2:33" s="38" customFormat="1" x14ac:dyDescent="0.25">
      <c r="B715" s="49"/>
      <c r="C715" s="70"/>
      <c r="D715" s="42"/>
      <c r="F715" s="33"/>
      <c r="G715" s="47"/>
      <c r="H715" s="42"/>
      <c r="I715" s="27"/>
      <c r="J715" s="47"/>
      <c r="K715" s="42"/>
      <c r="L715" s="27"/>
      <c r="M715" s="47"/>
      <c r="N715" s="42"/>
      <c r="O715" s="27"/>
      <c r="P715" s="47"/>
      <c r="Q715" s="42"/>
      <c r="R715" s="27"/>
      <c r="S715" s="47"/>
      <c r="T715" s="42"/>
      <c r="U715" s="27"/>
      <c r="V715" s="47"/>
      <c r="W715" s="42"/>
      <c r="X715" s="27"/>
      <c r="Y715" s="47"/>
      <c r="Z715" s="42"/>
      <c r="AA715" s="27"/>
      <c r="AB715" s="47"/>
      <c r="AC715" s="42"/>
      <c r="AD715" s="27"/>
      <c r="AE715" s="33"/>
      <c r="AF715" s="47"/>
      <c r="AG715" s="48"/>
    </row>
    <row r="716" spans="2:33" s="38" customFormat="1" x14ac:dyDescent="0.25">
      <c r="B716" s="49"/>
      <c r="C716" s="70"/>
      <c r="D716" s="42"/>
      <c r="F716" s="33"/>
      <c r="G716" s="47"/>
      <c r="H716" s="42"/>
      <c r="I716" s="27"/>
      <c r="J716" s="47"/>
      <c r="K716" s="42"/>
      <c r="L716" s="27"/>
      <c r="M716" s="47"/>
      <c r="N716" s="42"/>
      <c r="O716" s="27"/>
      <c r="P716" s="47"/>
      <c r="Q716" s="42"/>
      <c r="R716" s="27"/>
      <c r="S716" s="47"/>
      <c r="T716" s="42"/>
      <c r="U716" s="27"/>
      <c r="V716" s="47"/>
      <c r="W716" s="42"/>
      <c r="X716" s="27"/>
      <c r="Y716" s="47"/>
      <c r="Z716" s="42"/>
      <c r="AA716" s="27"/>
      <c r="AB716" s="47"/>
      <c r="AC716" s="42"/>
      <c r="AD716" s="27"/>
      <c r="AE716" s="33"/>
      <c r="AF716" s="47"/>
      <c r="AG716" s="48"/>
    </row>
    <row r="717" spans="2:33" s="38" customFormat="1" x14ac:dyDescent="0.25">
      <c r="B717" s="49"/>
      <c r="C717" s="70"/>
      <c r="D717" s="42"/>
      <c r="F717" s="33"/>
      <c r="G717" s="47"/>
      <c r="H717" s="42"/>
      <c r="I717" s="27"/>
      <c r="J717" s="47"/>
      <c r="K717" s="42"/>
      <c r="L717" s="27"/>
      <c r="M717" s="47"/>
      <c r="N717" s="42"/>
      <c r="O717" s="27"/>
      <c r="P717" s="47"/>
      <c r="Q717" s="42"/>
      <c r="R717" s="27"/>
      <c r="S717" s="47"/>
      <c r="T717" s="42"/>
      <c r="U717" s="27"/>
      <c r="V717" s="47"/>
      <c r="W717" s="42"/>
      <c r="X717" s="27"/>
      <c r="Y717" s="47"/>
      <c r="Z717" s="42"/>
      <c r="AA717" s="27"/>
      <c r="AB717" s="47"/>
      <c r="AC717" s="42"/>
      <c r="AD717" s="27"/>
      <c r="AE717" s="33"/>
      <c r="AF717" s="47"/>
      <c r="AG717" s="48"/>
    </row>
    <row r="718" spans="2:33" s="38" customFormat="1" x14ac:dyDescent="0.25">
      <c r="B718" s="49"/>
      <c r="C718" s="70"/>
      <c r="D718" s="42"/>
      <c r="F718" s="33"/>
      <c r="G718" s="47"/>
      <c r="H718" s="42"/>
      <c r="I718" s="27"/>
      <c r="J718" s="47"/>
      <c r="K718" s="42"/>
      <c r="L718" s="27"/>
      <c r="M718" s="47"/>
      <c r="N718" s="42"/>
      <c r="O718" s="27"/>
      <c r="P718" s="47"/>
      <c r="Q718" s="42"/>
      <c r="R718" s="27"/>
      <c r="S718" s="47"/>
      <c r="T718" s="42"/>
      <c r="U718" s="27"/>
      <c r="V718" s="47"/>
      <c r="W718" s="42"/>
      <c r="X718" s="27"/>
      <c r="Y718" s="47"/>
      <c r="Z718" s="42"/>
      <c r="AA718" s="27"/>
      <c r="AB718" s="47"/>
      <c r="AC718" s="42"/>
      <c r="AD718" s="27"/>
      <c r="AE718" s="33"/>
      <c r="AF718" s="47"/>
      <c r="AG718" s="48"/>
    </row>
    <row r="719" spans="2:33" s="38" customFormat="1" x14ac:dyDescent="0.25">
      <c r="B719" s="49"/>
      <c r="C719" s="70"/>
      <c r="D719" s="42"/>
      <c r="F719" s="33"/>
      <c r="G719" s="47"/>
      <c r="H719" s="42"/>
      <c r="I719" s="27"/>
      <c r="J719" s="47"/>
      <c r="K719" s="42"/>
      <c r="L719" s="27"/>
      <c r="M719" s="47"/>
      <c r="N719" s="42"/>
      <c r="O719" s="27"/>
      <c r="P719" s="47"/>
      <c r="Q719" s="42"/>
      <c r="R719" s="27"/>
      <c r="S719" s="47"/>
      <c r="T719" s="42"/>
      <c r="U719" s="27"/>
      <c r="V719" s="47"/>
      <c r="W719" s="42"/>
      <c r="X719" s="27"/>
      <c r="Y719" s="47"/>
      <c r="Z719" s="42"/>
      <c r="AA719" s="27"/>
      <c r="AB719" s="47"/>
      <c r="AC719" s="42"/>
      <c r="AD719" s="27"/>
      <c r="AE719" s="33"/>
      <c r="AF719" s="47"/>
      <c r="AG719" s="48"/>
    </row>
    <row r="720" spans="2:33" s="38" customFormat="1" x14ac:dyDescent="0.25">
      <c r="B720" s="49"/>
      <c r="C720" s="70"/>
      <c r="D720" s="42"/>
      <c r="F720" s="33"/>
      <c r="G720" s="47"/>
      <c r="H720" s="42"/>
      <c r="I720" s="27"/>
      <c r="J720" s="47"/>
      <c r="K720" s="42"/>
      <c r="L720" s="27"/>
      <c r="M720" s="47"/>
      <c r="N720" s="42"/>
      <c r="O720" s="27"/>
      <c r="P720" s="47"/>
      <c r="Q720" s="42"/>
      <c r="R720" s="27"/>
      <c r="S720" s="47"/>
      <c r="T720" s="42"/>
      <c r="U720" s="27"/>
      <c r="V720" s="47"/>
      <c r="W720" s="42"/>
      <c r="X720" s="27"/>
      <c r="Y720" s="47"/>
      <c r="Z720" s="42"/>
      <c r="AA720" s="27"/>
      <c r="AB720" s="47"/>
      <c r="AC720" s="42"/>
      <c r="AD720" s="27"/>
      <c r="AE720" s="33"/>
      <c r="AF720" s="47"/>
      <c r="AG720" s="48"/>
    </row>
    <row r="721" spans="2:33" s="38" customFormat="1" x14ac:dyDescent="0.25">
      <c r="B721" s="49"/>
      <c r="C721" s="70"/>
      <c r="D721" s="42"/>
      <c r="F721" s="33"/>
      <c r="G721" s="47"/>
      <c r="H721" s="42"/>
      <c r="I721" s="27"/>
      <c r="J721" s="47"/>
      <c r="K721" s="42"/>
      <c r="L721" s="27"/>
      <c r="M721" s="47"/>
      <c r="N721" s="42"/>
      <c r="O721" s="27"/>
      <c r="P721" s="47"/>
      <c r="Q721" s="42"/>
      <c r="R721" s="27"/>
      <c r="S721" s="47"/>
      <c r="T721" s="42"/>
      <c r="U721" s="27"/>
      <c r="V721" s="47"/>
      <c r="W721" s="42"/>
      <c r="X721" s="27"/>
      <c r="Y721" s="47"/>
      <c r="Z721" s="42"/>
      <c r="AA721" s="27"/>
      <c r="AB721" s="47"/>
      <c r="AC721" s="42"/>
      <c r="AD721" s="27"/>
      <c r="AE721" s="33"/>
      <c r="AF721" s="47"/>
      <c r="AG721" s="48"/>
    </row>
    <row r="722" spans="2:33" s="38" customFormat="1" x14ac:dyDescent="0.25">
      <c r="B722" s="49"/>
      <c r="C722" s="70"/>
      <c r="D722" s="42"/>
      <c r="F722" s="33"/>
      <c r="G722" s="47"/>
      <c r="H722" s="42"/>
      <c r="I722" s="27"/>
      <c r="J722" s="47"/>
      <c r="K722" s="42"/>
      <c r="L722" s="27"/>
      <c r="M722" s="47"/>
      <c r="N722" s="42"/>
      <c r="O722" s="27"/>
      <c r="P722" s="47"/>
      <c r="Q722" s="42"/>
      <c r="R722" s="27"/>
      <c r="S722" s="47"/>
      <c r="T722" s="42"/>
      <c r="U722" s="27"/>
      <c r="V722" s="47"/>
      <c r="W722" s="42"/>
      <c r="X722" s="27"/>
      <c r="Y722" s="47"/>
      <c r="Z722" s="42"/>
      <c r="AA722" s="27"/>
      <c r="AB722" s="47"/>
      <c r="AC722" s="42"/>
      <c r="AD722" s="27"/>
      <c r="AE722" s="33"/>
      <c r="AF722" s="47"/>
      <c r="AG722" s="48"/>
    </row>
    <row r="723" spans="2:33" s="38" customFormat="1" x14ac:dyDescent="0.25">
      <c r="B723" s="49"/>
      <c r="C723" s="70"/>
      <c r="D723" s="42"/>
      <c r="F723" s="33"/>
      <c r="G723" s="47"/>
      <c r="H723" s="42"/>
      <c r="I723" s="27"/>
      <c r="J723" s="47"/>
      <c r="K723" s="42"/>
      <c r="L723" s="27"/>
      <c r="M723" s="47"/>
      <c r="N723" s="42"/>
      <c r="O723" s="27"/>
      <c r="P723" s="47"/>
      <c r="Q723" s="42"/>
      <c r="R723" s="27"/>
      <c r="S723" s="47"/>
      <c r="T723" s="42"/>
      <c r="U723" s="27"/>
      <c r="V723" s="47"/>
      <c r="W723" s="42"/>
      <c r="X723" s="27"/>
      <c r="Y723" s="47"/>
      <c r="Z723" s="42"/>
      <c r="AA723" s="27"/>
      <c r="AB723" s="47"/>
      <c r="AC723" s="42"/>
      <c r="AD723" s="27"/>
      <c r="AE723" s="33"/>
      <c r="AF723" s="47"/>
      <c r="AG723" s="48"/>
    </row>
    <row r="724" spans="2:33" s="38" customFormat="1" x14ac:dyDescent="0.25">
      <c r="B724" s="49"/>
      <c r="C724" s="70"/>
      <c r="D724" s="42"/>
      <c r="F724" s="33"/>
      <c r="G724" s="47"/>
      <c r="H724" s="42"/>
      <c r="I724" s="27"/>
      <c r="J724" s="47"/>
      <c r="K724" s="42"/>
      <c r="L724" s="27"/>
      <c r="M724" s="47"/>
      <c r="N724" s="42"/>
      <c r="O724" s="27"/>
      <c r="P724" s="47"/>
      <c r="Q724" s="42"/>
      <c r="R724" s="27"/>
      <c r="S724" s="47"/>
      <c r="T724" s="42"/>
      <c r="U724" s="27"/>
      <c r="V724" s="47"/>
      <c r="W724" s="42"/>
      <c r="X724" s="27"/>
      <c r="Y724" s="47"/>
      <c r="Z724" s="42"/>
      <c r="AA724" s="27"/>
      <c r="AB724" s="47"/>
      <c r="AC724" s="42"/>
      <c r="AD724" s="27"/>
      <c r="AE724" s="33"/>
      <c r="AF724" s="47"/>
      <c r="AG724" s="48"/>
    </row>
    <row r="725" spans="2:33" s="38" customFormat="1" x14ac:dyDescent="0.25">
      <c r="B725" s="49"/>
      <c r="C725" s="70"/>
      <c r="D725" s="42"/>
      <c r="F725" s="33"/>
      <c r="G725" s="47"/>
      <c r="H725" s="42"/>
      <c r="I725" s="27"/>
      <c r="J725" s="47"/>
      <c r="K725" s="42"/>
      <c r="L725" s="27"/>
      <c r="M725" s="47"/>
      <c r="N725" s="42"/>
      <c r="O725" s="27"/>
      <c r="P725" s="47"/>
      <c r="Q725" s="42"/>
      <c r="R725" s="27"/>
      <c r="S725" s="47"/>
      <c r="T725" s="42"/>
      <c r="U725" s="27"/>
      <c r="V725" s="47"/>
      <c r="W725" s="42"/>
      <c r="X725" s="27"/>
      <c r="Y725" s="47"/>
      <c r="Z725" s="42"/>
      <c r="AA725" s="27"/>
      <c r="AB725" s="47"/>
      <c r="AC725" s="42"/>
      <c r="AD725" s="27"/>
      <c r="AE725" s="33"/>
      <c r="AF725" s="47"/>
      <c r="AG725" s="48"/>
    </row>
    <row r="726" spans="2:33" s="38" customFormat="1" x14ac:dyDescent="0.25">
      <c r="B726" s="49"/>
      <c r="C726" s="70"/>
      <c r="D726" s="42"/>
      <c r="F726" s="33"/>
      <c r="G726" s="47"/>
      <c r="H726" s="42"/>
      <c r="I726" s="27"/>
      <c r="J726" s="47"/>
      <c r="K726" s="42"/>
      <c r="L726" s="27"/>
      <c r="M726" s="47"/>
      <c r="N726" s="42"/>
      <c r="O726" s="27"/>
      <c r="P726" s="47"/>
      <c r="Q726" s="42"/>
      <c r="R726" s="27"/>
      <c r="S726" s="47"/>
      <c r="T726" s="42"/>
      <c r="U726" s="27"/>
      <c r="V726" s="47"/>
      <c r="W726" s="42"/>
      <c r="X726" s="27"/>
      <c r="Y726" s="47"/>
      <c r="Z726" s="42"/>
      <c r="AA726" s="27"/>
      <c r="AB726" s="47"/>
      <c r="AC726" s="42"/>
      <c r="AD726" s="27"/>
      <c r="AE726" s="33"/>
      <c r="AF726" s="47"/>
      <c r="AG726" s="48"/>
    </row>
    <row r="727" spans="2:33" s="38" customFormat="1" x14ac:dyDescent="0.25">
      <c r="B727" s="49"/>
      <c r="C727" s="70"/>
      <c r="D727" s="42"/>
      <c r="F727" s="33"/>
      <c r="G727" s="47"/>
      <c r="H727" s="42"/>
      <c r="I727" s="27"/>
      <c r="J727" s="47"/>
      <c r="K727" s="42"/>
      <c r="L727" s="27"/>
      <c r="M727" s="47"/>
      <c r="N727" s="42"/>
      <c r="O727" s="27"/>
      <c r="P727" s="47"/>
      <c r="Q727" s="42"/>
      <c r="R727" s="27"/>
      <c r="S727" s="47"/>
      <c r="T727" s="42"/>
      <c r="U727" s="27"/>
      <c r="V727" s="47"/>
      <c r="W727" s="42"/>
      <c r="X727" s="27"/>
      <c r="Y727" s="47"/>
      <c r="Z727" s="42"/>
      <c r="AA727" s="27"/>
      <c r="AB727" s="47"/>
      <c r="AC727" s="42"/>
      <c r="AD727" s="27"/>
      <c r="AE727" s="33"/>
      <c r="AF727" s="47"/>
      <c r="AG727" s="48"/>
    </row>
    <row r="728" spans="2:33" s="38" customFormat="1" x14ac:dyDescent="0.25">
      <c r="B728" s="49"/>
      <c r="C728" s="70"/>
      <c r="D728" s="42"/>
      <c r="F728" s="33"/>
      <c r="G728" s="47"/>
      <c r="H728" s="42"/>
      <c r="I728" s="27"/>
      <c r="J728" s="47"/>
      <c r="K728" s="42"/>
      <c r="L728" s="27"/>
      <c r="M728" s="47"/>
      <c r="N728" s="42"/>
      <c r="O728" s="27"/>
      <c r="P728" s="47"/>
      <c r="Q728" s="42"/>
      <c r="R728" s="27"/>
      <c r="S728" s="47"/>
      <c r="T728" s="42"/>
      <c r="U728" s="27"/>
      <c r="V728" s="47"/>
      <c r="W728" s="42"/>
      <c r="X728" s="27"/>
      <c r="Y728" s="47"/>
      <c r="Z728" s="42"/>
      <c r="AA728" s="27"/>
      <c r="AB728" s="47"/>
      <c r="AC728" s="42"/>
      <c r="AD728" s="27"/>
      <c r="AE728" s="33"/>
      <c r="AF728" s="47"/>
      <c r="AG728" s="48"/>
    </row>
    <row r="729" spans="2:33" s="38" customFormat="1" x14ac:dyDescent="0.25">
      <c r="B729" s="49"/>
      <c r="C729" s="70"/>
      <c r="D729" s="42"/>
      <c r="F729" s="33"/>
      <c r="G729" s="47"/>
      <c r="H729" s="42"/>
      <c r="I729" s="27"/>
      <c r="J729" s="47"/>
      <c r="K729" s="42"/>
      <c r="L729" s="27"/>
      <c r="M729" s="47"/>
      <c r="N729" s="42"/>
      <c r="O729" s="27"/>
      <c r="P729" s="47"/>
      <c r="Q729" s="42"/>
      <c r="R729" s="27"/>
      <c r="S729" s="47"/>
      <c r="T729" s="42"/>
      <c r="U729" s="27"/>
      <c r="V729" s="47"/>
      <c r="W729" s="42"/>
      <c r="X729" s="27"/>
      <c r="Y729" s="47"/>
      <c r="Z729" s="42"/>
      <c r="AA729" s="27"/>
      <c r="AB729" s="47"/>
      <c r="AC729" s="42"/>
      <c r="AD729" s="27"/>
      <c r="AE729" s="33"/>
      <c r="AF729" s="47"/>
      <c r="AG729" s="48"/>
    </row>
    <row r="730" spans="2:33" s="38" customFormat="1" x14ac:dyDescent="0.25">
      <c r="B730" s="49"/>
      <c r="C730" s="70"/>
      <c r="D730" s="42"/>
      <c r="F730" s="33"/>
      <c r="G730" s="47"/>
      <c r="H730" s="42"/>
      <c r="I730" s="27"/>
      <c r="J730" s="47"/>
      <c r="K730" s="42"/>
      <c r="L730" s="27"/>
      <c r="M730" s="47"/>
      <c r="N730" s="42"/>
      <c r="O730" s="27"/>
      <c r="P730" s="47"/>
      <c r="Q730" s="42"/>
      <c r="R730" s="27"/>
      <c r="S730" s="47"/>
      <c r="T730" s="42"/>
      <c r="U730" s="27"/>
      <c r="V730" s="47"/>
      <c r="W730" s="42"/>
      <c r="X730" s="27"/>
      <c r="Y730" s="47"/>
      <c r="Z730" s="42"/>
      <c r="AA730" s="27"/>
      <c r="AB730" s="47"/>
      <c r="AC730" s="42"/>
      <c r="AD730" s="27"/>
      <c r="AE730" s="33"/>
      <c r="AF730" s="47"/>
      <c r="AG730" s="48"/>
    </row>
    <row r="731" spans="2:33" s="38" customFormat="1" x14ac:dyDescent="0.25">
      <c r="B731" s="49"/>
      <c r="C731" s="70"/>
      <c r="D731" s="42"/>
      <c r="F731" s="33"/>
      <c r="G731" s="47"/>
      <c r="H731" s="42"/>
      <c r="I731" s="27"/>
      <c r="J731" s="47"/>
      <c r="K731" s="42"/>
      <c r="L731" s="27"/>
      <c r="M731" s="47"/>
      <c r="N731" s="42"/>
      <c r="O731" s="27"/>
      <c r="P731" s="47"/>
      <c r="Q731" s="42"/>
      <c r="R731" s="27"/>
      <c r="S731" s="47"/>
      <c r="T731" s="42"/>
      <c r="U731" s="27"/>
      <c r="V731" s="47"/>
      <c r="W731" s="42"/>
      <c r="X731" s="27"/>
      <c r="Y731" s="47"/>
      <c r="Z731" s="42"/>
      <c r="AA731" s="27"/>
      <c r="AB731" s="47"/>
      <c r="AC731" s="42"/>
      <c r="AD731" s="27"/>
      <c r="AE731" s="33"/>
      <c r="AF731" s="47"/>
      <c r="AG731" s="48"/>
    </row>
    <row r="732" spans="2:33" s="38" customFormat="1" x14ac:dyDescent="0.25">
      <c r="B732" s="49"/>
      <c r="C732" s="70"/>
      <c r="D732" s="42"/>
      <c r="F732" s="33"/>
      <c r="G732" s="47"/>
      <c r="H732" s="42"/>
      <c r="I732" s="27"/>
      <c r="J732" s="47"/>
      <c r="K732" s="42"/>
      <c r="L732" s="27"/>
      <c r="M732" s="47"/>
      <c r="N732" s="42"/>
      <c r="O732" s="27"/>
      <c r="P732" s="47"/>
      <c r="Q732" s="42"/>
      <c r="R732" s="27"/>
      <c r="S732" s="47"/>
      <c r="T732" s="42"/>
      <c r="U732" s="27"/>
      <c r="V732" s="47"/>
      <c r="W732" s="42"/>
      <c r="X732" s="27"/>
      <c r="Y732" s="47"/>
      <c r="Z732" s="42"/>
      <c r="AA732" s="27"/>
      <c r="AB732" s="47"/>
      <c r="AC732" s="42"/>
      <c r="AD732" s="27"/>
      <c r="AE732" s="33"/>
      <c r="AF732" s="47"/>
      <c r="AG732" s="48"/>
    </row>
    <row r="733" spans="2:33" s="38" customFormat="1" x14ac:dyDescent="0.25">
      <c r="B733" s="49"/>
      <c r="C733" s="70"/>
      <c r="D733" s="42"/>
      <c r="F733" s="33"/>
      <c r="G733" s="47"/>
      <c r="H733" s="42"/>
      <c r="I733" s="27"/>
      <c r="J733" s="47"/>
      <c r="K733" s="42"/>
      <c r="L733" s="27"/>
      <c r="M733" s="47"/>
      <c r="N733" s="42"/>
      <c r="O733" s="27"/>
      <c r="P733" s="47"/>
      <c r="Q733" s="42"/>
      <c r="R733" s="27"/>
      <c r="S733" s="47"/>
      <c r="T733" s="42"/>
      <c r="U733" s="27"/>
      <c r="V733" s="47"/>
      <c r="W733" s="42"/>
      <c r="X733" s="27"/>
      <c r="Y733" s="47"/>
      <c r="Z733" s="42"/>
      <c r="AA733" s="27"/>
      <c r="AB733" s="47"/>
      <c r="AC733" s="42"/>
      <c r="AD733" s="27"/>
      <c r="AE733" s="33"/>
      <c r="AF733" s="47"/>
      <c r="AG733" s="48"/>
    </row>
    <row r="734" spans="2:33" s="38" customFormat="1" x14ac:dyDescent="0.25">
      <c r="B734" s="49"/>
      <c r="C734" s="70"/>
      <c r="D734" s="42"/>
      <c r="F734" s="33"/>
      <c r="G734" s="47"/>
      <c r="H734" s="42"/>
      <c r="I734" s="27"/>
      <c r="J734" s="47"/>
      <c r="K734" s="42"/>
      <c r="L734" s="27"/>
      <c r="M734" s="47"/>
      <c r="N734" s="42"/>
      <c r="O734" s="27"/>
      <c r="P734" s="47"/>
      <c r="Q734" s="42"/>
      <c r="R734" s="27"/>
      <c r="S734" s="47"/>
      <c r="T734" s="42"/>
      <c r="U734" s="27"/>
      <c r="V734" s="47"/>
      <c r="W734" s="42"/>
      <c r="X734" s="27"/>
      <c r="Y734" s="47"/>
      <c r="Z734" s="42"/>
      <c r="AA734" s="27"/>
      <c r="AB734" s="47"/>
      <c r="AC734" s="42"/>
      <c r="AD734" s="27"/>
      <c r="AE734" s="33"/>
      <c r="AF734" s="47"/>
      <c r="AG734" s="48"/>
    </row>
    <row r="735" spans="2:33" s="38" customFormat="1" x14ac:dyDescent="0.25">
      <c r="B735" s="49"/>
      <c r="C735" s="70"/>
      <c r="D735" s="42"/>
      <c r="F735" s="33"/>
      <c r="G735" s="47"/>
      <c r="H735" s="42"/>
      <c r="I735" s="27"/>
      <c r="J735" s="47"/>
      <c r="K735" s="42"/>
      <c r="L735" s="27"/>
      <c r="M735" s="47"/>
      <c r="N735" s="42"/>
      <c r="O735" s="27"/>
      <c r="P735" s="47"/>
      <c r="Q735" s="42"/>
      <c r="R735" s="27"/>
      <c r="S735" s="47"/>
      <c r="T735" s="42"/>
      <c r="U735" s="27"/>
      <c r="V735" s="47"/>
      <c r="W735" s="42"/>
      <c r="X735" s="27"/>
      <c r="Y735" s="47"/>
      <c r="Z735" s="42"/>
      <c r="AA735" s="27"/>
      <c r="AB735" s="47"/>
      <c r="AC735" s="42"/>
      <c r="AD735" s="27"/>
      <c r="AE735" s="33"/>
      <c r="AF735" s="47"/>
      <c r="AG735" s="48"/>
    </row>
    <row r="736" spans="2:33" s="38" customFormat="1" x14ac:dyDescent="0.25">
      <c r="B736" s="49"/>
      <c r="C736" s="70"/>
      <c r="D736" s="42"/>
      <c r="F736" s="33"/>
      <c r="G736" s="47"/>
      <c r="H736" s="42"/>
      <c r="I736" s="27"/>
      <c r="J736" s="47"/>
      <c r="K736" s="42"/>
      <c r="L736" s="27"/>
      <c r="M736" s="47"/>
      <c r="N736" s="42"/>
      <c r="O736" s="27"/>
      <c r="P736" s="47"/>
      <c r="Q736" s="42"/>
      <c r="R736" s="27"/>
      <c r="S736" s="47"/>
      <c r="T736" s="42"/>
      <c r="U736" s="27"/>
      <c r="V736" s="47"/>
      <c r="W736" s="42"/>
      <c r="X736" s="27"/>
      <c r="Y736" s="47"/>
      <c r="Z736" s="42"/>
      <c r="AA736" s="27"/>
      <c r="AB736" s="47"/>
      <c r="AC736" s="42"/>
      <c r="AD736" s="27"/>
      <c r="AE736" s="33"/>
      <c r="AF736" s="47"/>
      <c r="AG736" s="48"/>
    </row>
    <row r="737" spans="2:33" s="38" customFormat="1" x14ac:dyDescent="0.25">
      <c r="B737" s="49"/>
      <c r="C737" s="70"/>
      <c r="D737" s="42"/>
      <c r="F737" s="33"/>
      <c r="G737" s="47"/>
      <c r="H737" s="42"/>
      <c r="I737" s="27"/>
      <c r="J737" s="47"/>
      <c r="K737" s="42"/>
      <c r="L737" s="27"/>
      <c r="M737" s="47"/>
      <c r="N737" s="42"/>
      <c r="O737" s="27"/>
      <c r="P737" s="47"/>
      <c r="Q737" s="42"/>
      <c r="R737" s="27"/>
      <c r="S737" s="47"/>
      <c r="T737" s="42"/>
      <c r="U737" s="27"/>
      <c r="V737" s="47"/>
      <c r="W737" s="42"/>
      <c r="X737" s="27"/>
      <c r="Y737" s="47"/>
      <c r="Z737" s="42"/>
      <c r="AA737" s="27"/>
      <c r="AB737" s="47"/>
      <c r="AC737" s="42"/>
      <c r="AD737" s="27"/>
      <c r="AE737" s="33"/>
      <c r="AF737" s="47"/>
      <c r="AG737" s="48"/>
    </row>
    <row r="738" spans="2:33" s="38" customFormat="1" x14ac:dyDescent="0.25">
      <c r="B738" s="49"/>
      <c r="C738" s="70"/>
      <c r="D738" s="42"/>
      <c r="F738" s="33"/>
      <c r="G738" s="47"/>
      <c r="H738" s="42"/>
      <c r="I738" s="27"/>
      <c r="J738" s="47"/>
      <c r="K738" s="42"/>
      <c r="L738" s="27"/>
      <c r="M738" s="47"/>
      <c r="N738" s="42"/>
      <c r="O738" s="27"/>
      <c r="P738" s="47"/>
      <c r="Q738" s="42"/>
      <c r="R738" s="27"/>
      <c r="S738" s="47"/>
      <c r="T738" s="42"/>
      <c r="U738" s="27"/>
      <c r="V738" s="47"/>
      <c r="W738" s="42"/>
      <c r="X738" s="27"/>
      <c r="Y738" s="47"/>
      <c r="Z738" s="42"/>
      <c r="AA738" s="27"/>
      <c r="AB738" s="47"/>
      <c r="AC738" s="42"/>
      <c r="AD738" s="27"/>
      <c r="AE738" s="33"/>
      <c r="AF738" s="47"/>
      <c r="AG738" s="48"/>
    </row>
    <row r="739" spans="2:33" s="38" customFormat="1" x14ac:dyDescent="0.25">
      <c r="B739" s="49"/>
      <c r="C739" s="70"/>
      <c r="D739" s="42"/>
      <c r="F739" s="33"/>
      <c r="G739" s="47"/>
      <c r="H739" s="42"/>
      <c r="I739" s="27"/>
      <c r="J739" s="47"/>
      <c r="K739" s="42"/>
      <c r="L739" s="27"/>
      <c r="M739" s="47"/>
      <c r="N739" s="42"/>
      <c r="O739" s="27"/>
      <c r="P739" s="47"/>
      <c r="Q739" s="42"/>
      <c r="R739" s="27"/>
      <c r="S739" s="47"/>
      <c r="T739" s="42"/>
      <c r="U739" s="27"/>
      <c r="V739" s="47"/>
      <c r="W739" s="42"/>
      <c r="X739" s="27"/>
      <c r="Y739" s="47"/>
      <c r="Z739" s="42"/>
      <c r="AA739" s="27"/>
      <c r="AB739" s="47"/>
      <c r="AC739" s="42"/>
      <c r="AD739" s="27"/>
      <c r="AE739" s="33"/>
      <c r="AF739" s="47"/>
      <c r="AG739" s="48"/>
    </row>
    <row r="740" spans="2:33" s="38" customFormat="1" x14ac:dyDescent="0.25">
      <c r="B740" s="49"/>
      <c r="C740" s="70"/>
      <c r="D740" s="42"/>
      <c r="F740" s="33"/>
      <c r="G740" s="47"/>
      <c r="H740" s="42"/>
      <c r="I740" s="27"/>
      <c r="J740" s="47"/>
      <c r="K740" s="42"/>
      <c r="L740" s="27"/>
      <c r="M740" s="47"/>
      <c r="N740" s="42"/>
      <c r="O740" s="27"/>
      <c r="P740" s="47"/>
      <c r="Q740" s="42"/>
      <c r="R740" s="27"/>
      <c r="S740" s="47"/>
      <c r="T740" s="42"/>
      <c r="U740" s="27"/>
      <c r="V740" s="47"/>
      <c r="W740" s="42"/>
      <c r="X740" s="27"/>
      <c r="Y740" s="47"/>
      <c r="Z740" s="42"/>
      <c r="AA740" s="27"/>
      <c r="AB740" s="47"/>
      <c r="AC740" s="42"/>
      <c r="AD740" s="27"/>
      <c r="AE740" s="33"/>
      <c r="AF740" s="47"/>
      <c r="AG740" s="48"/>
    </row>
    <row r="741" spans="2:33" s="38" customFormat="1" x14ac:dyDescent="0.25">
      <c r="B741" s="49"/>
      <c r="C741" s="70"/>
      <c r="D741" s="42"/>
      <c r="F741" s="33"/>
      <c r="G741" s="47"/>
      <c r="H741" s="42"/>
      <c r="I741" s="27"/>
      <c r="J741" s="47"/>
      <c r="K741" s="42"/>
      <c r="L741" s="27"/>
      <c r="M741" s="47"/>
      <c r="N741" s="42"/>
      <c r="O741" s="27"/>
      <c r="P741" s="47"/>
      <c r="Q741" s="42"/>
      <c r="R741" s="27"/>
      <c r="S741" s="47"/>
      <c r="T741" s="42"/>
      <c r="U741" s="27"/>
      <c r="V741" s="47"/>
      <c r="W741" s="42"/>
      <c r="X741" s="27"/>
      <c r="Y741" s="47"/>
      <c r="Z741" s="42"/>
      <c r="AA741" s="27"/>
      <c r="AB741" s="47"/>
      <c r="AC741" s="42"/>
      <c r="AD741" s="27"/>
      <c r="AE741" s="33"/>
      <c r="AF741" s="47"/>
      <c r="AG741" s="48"/>
    </row>
    <row r="742" spans="2:33" s="38" customFormat="1" x14ac:dyDescent="0.25">
      <c r="B742" s="49"/>
      <c r="C742" s="70"/>
      <c r="D742" s="42"/>
      <c r="F742" s="33"/>
      <c r="G742" s="47"/>
      <c r="H742" s="42"/>
      <c r="I742" s="27"/>
      <c r="J742" s="47"/>
      <c r="K742" s="42"/>
      <c r="L742" s="27"/>
      <c r="M742" s="47"/>
      <c r="N742" s="42"/>
      <c r="O742" s="27"/>
      <c r="P742" s="47"/>
      <c r="Q742" s="42"/>
      <c r="R742" s="27"/>
      <c r="S742" s="47"/>
      <c r="T742" s="42"/>
      <c r="U742" s="27"/>
      <c r="V742" s="47"/>
      <c r="W742" s="42"/>
      <c r="X742" s="27"/>
      <c r="Y742" s="47"/>
      <c r="Z742" s="42"/>
      <c r="AA742" s="27"/>
      <c r="AB742" s="47"/>
      <c r="AC742" s="42"/>
      <c r="AD742" s="27"/>
      <c r="AE742" s="33"/>
      <c r="AF742" s="47"/>
      <c r="AG742" s="48"/>
    </row>
    <row r="743" spans="2:33" s="38" customFormat="1" x14ac:dyDescent="0.25">
      <c r="B743" s="49"/>
      <c r="C743" s="70"/>
      <c r="D743" s="42"/>
      <c r="F743" s="33"/>
      <c r="G743" s="47"/>
      <c r="H743" s="42"/>
      <c r="I743" s="27"/>
      <c r="J743" s="47"/>
      <c r="K743" s="42"/>
      <c r="L743" s="27"/>
      <c r="M743" s="47"/>
      <c r="N743" s="42"/>
      <c r="O743" s="27"/>
      <c r="P743" s="47"/>
      <c r="Q743" s="42"/>
      <c r="R743" s="27"/>
      <c r="S743" s="47"/>
      <c r="T743" s="42"/>
      <c r="U743" s="27"/>
      <c r="V743" s="47"/>
      <c r="W743" s="42"/>
      <c r="X743" s="27"/>
      <c r="Y743" s="47"/>
      <c r="Z743" s="42"/>
      <c r="AA743" s="27"/>
      <c r="AB743" s="47"/>
      <c r="AC743" s="42"/>
      <c r="AD743" s="27"/>
      <c r="AE743" s="33"/>
      <c r="AF743" s="47"/>
      <c r="AG743" s="48"/>
    </row>
    <row r="744" spans="2:33" s="38" customFormat="1" x14ac:dyDescent="0.25">
      <c r="B744" s="49"/>
      <c r="C744" s="70"/>
      <c r="D744" s="42"/>
      <c r="F744" s="33"/>
      <c r="G744" s="47"/>
      <c r="H744" s="42"/>
      <c r="I744" s="27"/>
      <c r="J744" s="47"/>
      <c r="K744" s="42"/>
      <c r="L744" s="27"/>
      <c r="M744" s="47"/>
      <c r="N744" s="42"/>
      <c r="O744" s="27"/>
      <c r="P744" s="47"/>
      <c r="Q744" s="42"/>
      <c r="R744" s="27"/>
      <c r="S744" s="47"/>
      <c r="T744" s="42"/>
      <c r="U744" s="27"/>
      <c r="V744" s="47"/>
      <c r="W744" s="42"/>
      <c r="X744" s="27"/>
      <c r="Y744" s="47"/>
      <c r="Z744" s="42"/>
      <c r="AA744" s="27"/>
      <c r="AB744" s="47"/>
      <c r="AC744" s="42"/>
      <c r="AD744" s="27"/>
      <c r="AE744" s="33"/>
      <c r="AF744" s="47"/>
      <c r="AG744" s="48"/>
    </row>
    <row r="745" spans="2:33" s="38" customFormat="1" x14ac:dyDescent="0.25">
      <c r="B745" s="49"/>
      <c r="C745" s="70"/>
      <c r="D745" s="42"/>
      <c r="F745" s="33"/>
      <c r="G745" s="47"/>
      <c r="H745" s="42"/>
      <c r="I745" s="27"/>
      <c r="J745" s="47"/>
      <c r="K745" s="42"/>
      <c r="L745" s="27"/>
      <c r="M745" s="47"/>
      <c r="N745" s="42"/>
      <c r="O745" s="27"/>
      <c r="P745" s="47"/>
      <c r="Q745" s="42"/>
      <c r="R745" s="27"/>
      <c r="S745" s="47"/>
      <c r="T745" s="42"/>
      <c r="U745" s="27"/>
      <c r="V745" s="47"/>
      <c r="W745" s="42"/>
      <c r="X745" s="27"/>
      <c r="Y745" s="47"/>
      <c r="Z745" s="42"/>
      <c r="AA745" s="27"/>
      <c r="AB745" s="47"/>
      <c r="AC745" s="42"/>
      <c r="AD745" s="27"/>
      <c r="AE745" s="33"/>
      <c r="AF745" s="47"/>
      <c r="AG745" s="48"/>
    </row>
    <row r="746" spans="2:33" s="38" customFormat="1" x14ac:dyDescent="0.25">
      <c r="B746" s="49"/>
      <c r="C746" s="70"/>
      <c r="D746" s="42"/>
      <c r="F746" s="33"/>
      <c r="G746" s="47"/>
      <c r="H746" s="42"/>
      <c r="I746" s="27"/>
      <c r="J746" s="47"/>
      <c r="K746" s="42"/>
      <c r="L746" s="27"/>
      <c r="M746" s="47"/>
      <c r="N746" s="42"/>
      <c r="O746" s="27"/>
      <c r="P746" s="47"/>
      <c r="Q746" s="42"/>
      <c r="R746" s="27"/>
      <c r="S746" s="47"/>
      <c r="T746" s="42"/>
      <c r="U746" s="27"/>
      <c r="V746" s="47"/>
      <c r="W746" s="42"/>
      <c r="X746" s="27"/>
      <c r="Y746" s="47"/>
      <c r="Z746" s="42"/>
      <c r="AA746" s="27"/>
      <c r="AB746" s="47"/>
      <c r="AC746" s="42"/>
      <c r="AD746" s="27"/>
      <c r="AE746" s="33"/>
      <c r="AF746" s="47"/>
      <c r="AG746" s="48"/>
    </row>
    <row r="747" spans="2:33" s="38" customFormat="1" x14ac:dyDescent="0.25">
      <c r="B747" s="49"/>
      <c r="C747" s="70"/>
      <c r="D747" s="42"/>
      <c r="F747" s="33"/>
      <c r="G747" s="47"/>
      <c r="H747" s="42"/>
      <c r="I747" s="27"/>
      <c r="J747" s="47"/>
      <c r="K747" s="42"/>
      <c r="L747" s="27"/>
      <c r="M747" s="47"/>
      <c r="N747" s="42"/>
      <c r="O747" s="27"/>
      <c r="P747" s="47"/>
      <c r="Q747" s="42"/>
      <c r="R747" s="27"/>
      <c r="S747" s="47"/>
      <c r="T747" s="42"/>
      <c r="U747" s="27"/>
      <c r="V747" s="47"/>
      <c r="W747" s="42"/>
      <c r="X747" s="27"/>
      <c r="Y747" s="47"/>
      <c r="Z747" s="42"/>
      <c r="AA747" s="27"/>
      <c r="AB747" s="47"/>
      <c r="AC747" s="42"/>
      <c r="AD747" s="27"/>
      <c r="AE747" s="33"/>
      <c r="AF747" s="47"/>
      <c r="AG747" s="48"/>
    </row>
    <row r="748" spans="2:33" s="38" customFormat="1" x14ac:dyDescent="0.25">
      <c r="B748" s="49"/>
      <c r="C748" s="70"/>
      <c r="D748" s="42"/>
      <c r="F748" s="33"/>
      <c r="G748" s="47"/>
      <c r="H748" s="42"/>
      <c r="I748" s="27"/>
      <c r="J748" s="47"/>
      <c r="K748" s="42"/>
      <c r="L748" s="27"/>
      <c r="M748" s="47"/>
      <c r="N748" s="42"/>
      <c r="O748" s="27"/>
      <c r="P748" s="47"/>
      <c r="Q748" s="42"/>
      <c r="R748" s="27"/>
      <c r="S748" s="47"/>
      <c r="T748" s="42"/>
      <c r="U748" s="27"/>
      <c r="V748" s="47"/>
      <c r="W748" s="42"/>
      <c r="X748" s="27"/>
      <c r="Y748" s="47"/>
      <c r="Z748" s="42"/>
      <c r="AA748" s="27"/>
      <c r="AB748" s="47"/>
      <c r="AC748" s="42"/>
      <c r="AD748" s="27"/>
      <c r="AE748" s="33"/>
      <c r="AF748" s="47"/>
      <c r="AG748" s="48"/>
    </row>
    <row r="749" spans="2:33" s="38" customFormat="1" x14ac:dyDescent="0.25">
      <c r="B749" s="49"/>
      <c r="C749" s="70"/>
      <c r="D749" s="42"/>
      <c r="F749" s="33"/>
      <c r="G749" s="47"/>
      <c r="H749" s="42"/>
      <c r="I749" s="27"/>
      <c r="J749" s="47"/>
      <c r="K749" s="42"/>
      <c r="L749" s="27"/>
      <c r="M749" s="47"/>
      <c r="N749" s="42"/>
      <c r="O749" s="27"/>
      <c r="P749" s="47"/>
      <c r="Q749" s="42"/>
      <c r="R749" s="27"/>
      <c r="S749" s="47"/>
      <c r="T749" s="42"/>
      <c r="U749" s="27"/>
      <c r="V749" s="47"/>
      <c r="W749" s="42"/>
      <c r="X749" s="27"/>
      <c r="Y749" s="47"/>
      <c r="Z749" s="42"/>
      <c r="AA749" s="27"/>
      <c r="AB749" s="47"/>
      <c r="AC749" s="42"/>
      <c r="AD749" s="27"/>
      <c r="AE749" s="33"/>
      <c r="AF749" s="47"/>
      <c r="AG749" s="48"/>
    </row>
    <row r="750" spans="2:33" s="38" customFormat="1" x14ac:dyDescent="0.25">
      <c r="B750" s="49"/>
      <c r="C750" s="70"/>
      <c r="D750" s="42"/>
      <c r="F750" s="33"/>
      <c r="G750" s="47"/>
      <c r="H750" s="42"/>
      <c r="I750" s="27"/>
      <c r="J750" s="47"/>
      <c r="K750" s="42"/>
      <c r="L750" s="27"/>
      <c r="M750" s="47"/>
      <c r="N750" s="42"/>
      <c r="O750" s="27"/>
      <c r="P750" s="47"/>
      <c r="Q750" s="42"/>
      <c r="R750" s="27"/>
      <c r="S750" s="47"/>
      <c r="T750" s="42"/>
      <c r="U750" s="27"/>
      <c r="V750" s="47"/>
      <c r="W750" s="42"/>
      <c r="X750" s="27"/>
      <c r="Y750" s="47"/>
      <c r="Z750" s="42"/>
      <c r="AA750" s="27"/>
      <c r="AB750" s="47"/>
      <c r="AC750" s="42"/>
      <c r="AD750" s="27"/>
      <c r="AE750" s="33"/>
      <c r="AF750" s="47"/>
      <c r="AG750" s="48"/>
    </row>
    <row r="751" spans="2:33" s="38" customFormat="1" x14ac:dyDescent="0.25">
      <c r="B751" s="49"/>
      <c r="C751" s="70"/>
      <c r="D751" s="42"/>
      <c r="F751" s="33"/>
      <c r="G751" s="47"/>
      <c r="H751" s="42"/>
      <c r="I751" s="27"/>
      <c r="J751" s="47"/>
      <c r="K751" s="42"/>
      <c r="L751" s="27"/>
      <c r="M751" s="47"/>
      <c r="N751" s="42"/>
      <c r="O751" s="27"/>
      <c r="P751" s="47"/>
      <c r="Q751" s="42"/>
      <c r="R751" s="27"/>
      <c r="S751" s="47"/>
      <c r="T751" s="42"/>
      <c r="U751" s="27"/>
      <c r="V751" s="47"/>
      <c r="W751" s="42"/>
      <c r="X751" s="27"/>
      <c r="Y751" s="47"/>
      <c r="Z751" s="42"/>
      <c r="AA751" s="27"/>
      <c r="AB751" s="47"/>
      <c r="AC751" s="42"/>
      <c r="AD751" s="27"/>
      <c r="AE751" s="33"/>
      <c r="AF751" s="47"/>
      <c r="AG751" s="48"/>
    </row>
    <row r="752" spans="2:33" s="38" customFormat="1" x14ac:dyDescent="0.25">
      <c r="B752" s="49"/>
      <c r="C752" s="70"/>
      <c r="D752" s="42"/>
      <c r="F752" s="33"/>
      <c r="G752" s="47"/>
      <c r="H752" s="42"/>
      <c r="I752" s="27"/>
      <c r="J752" s="47"/>
      <c r="K752" s="42"/>
      <c r="L752" s="27"/>
      <c r="M752" s="47"/>
      <c r="N752" s="42"/>
      <c r="O752" s="27"/>
      <c r="P752" s="47"/>
      <c r="Q752" s="42"/>
      <c r="R752" s="27"/>
      <c r="S752" s="47"/>
      <c r="T752" s="42"/>
      <c r="U752" s="27"/>
      <c r="V752" s="47"/>
      <c r="W752" s="42"/>
      <c r="X752" s="27"/>
      <c r="Y752" s="47"/>
      <c r="Z752" s="42"/>
      <c r="AA752" s="27"/>
      <c r="AB752" s="47"/>
      <c r="AC752" s="42"/>
      <c r="AD752" s="27"/>
      <c r="AE752" s="33"/>
      <c r="AF752" s="47"/>
      <c r="AG752" s="48"/>
    </row>
    <row r="753" spans="2:33" s="38" customFormat="1" x14ac:dyDescent="0.25">
      <c r="B753" s="49"/>
      <c r="C753" s="70"/>
      <c r="D753" s="42"/>
      <c r="F753" s="33"/>
      <c r="G753" s="47"/>
      <c r="H753" s="42"/>
      <c r="I753" s="27"/>
      <c r="J753" s="47"/>
      <c r="K753" s="42"/>
      <c r="L753" s="27"/>
      <c r="M753" s="47"/>
      <c r="N753" s="42"/>
      <c r="O753" s="27"/>
      <c r="P753" s="47"/>
      <c r="Q753" s="42"/>
      <c r="R753" s="27"/>
      <c r="S753" s="47"/>
      <c r="T753" s="42"/>
      <c r="U753" s="27"/>
      <c r="V753" s="47"/>
      <c r="W753" s="42"/>
      <c r="X753" s="27"/>
      <c r="Y753" s="47"/>
      <c r="Z753" s="42"/>
      <c r="AA753" s="27"/>
      <c r="AB753" s="47"/>
      <c r="AC753" s="42"/>
      <c r="AD753" s="27"/>
      <c r="AE753" s="33"/>
      <c r="AF753" s="47"/>
      <c r="AG753" s="48"/>
    </row>
    <row r="754" spans="2:33" s="38" customFormat="1" x14ac:dyDescent="0.25">
      <c r="B754" s="49"/>
      <c r="C754" s="70"/>
      <c r="D754" s="42"/>
      <c r="F754" s="33"/>
      <c r="G754" s="47"/>
      <c r="H754" s="42"/>
      <c r="I754" s="27"/>
      <c r="J754" s="47"/>
      <c r="K754" s="42"/>
      <c r="L754" s="27"/>
      <c r="M754" s="47"/>
      <c r="N754" s="42"/>
      <c r="O754" s="27"/>
      <c r="P754" s="47"/>
      <c r="Q754" s="42"/>
      <c r="R754" s="27"/>
      <c r="S754" s="47"/>
      <c r="T754" s="42"/>
      <c r="U754" s="27"/>
      <c r="V754" s="47"/>
      <c r="W754" s="42"/>
      <c r="X754" s="27"/>
      <c r="Y754" s="47"/>
      <c r="Z754" s="42"/>
      <c r="AA754" s="27"/>
      <c r="AB754" s="47"/>
      <c r="AC754" s="42"/>
      <c r="AD754" s="27"/>
      <c r="AE754" s="33"/>
      <c r="AF754" s="47"/>
      <c r="AG754" s="48"/>
    </row>
    <row r="755" spans="2:33" s="38" customFormat="1" x14ac:dyDescent="0.25">
      <c r="B755" s="49"/>
      <c r="C755" s="70"/>
      <c r="D755" s="42"/>
      <c r="F755" s="33"/>
      <c r="G755" s="47"/>
      <c r="H755" s="42"/>
      <c r="I755" s="27"/>
      <c r="J755" s="47"/>
      <c r="K755" s="42"/>
      <c r="L755" s="27"/>
      <c r="M755" s="47"/>
      <c r="N755" s="42"/>
      <c r="O755" s="27"/>
      <c r="P755" s="47"/>
      <c r="Q755" s="42"/>
      <c r="R755" s="27"/>
      <c r="S755" s="47"/>
      <c r="T755" s="42"/>
      <c r="U755" s="27"/>
      <c r="V755" s="47"/>
      <c r="W755" s="42"/>
      <c r="X755" s="27"/>
      <c r="Y755" s="47"/>
      <c r="Z755" s="42"/>
      <c r="AA755" s="27"/>
      <c r="AB755" s="47"/>
      <c r="AC755" s="42"/>
      <c r="AD755" s="27"/>
      <c r="AE755" s="33"/>
      <c r="AF755" s="47"/>
      <c r="AG755" s="48"/>
    </row>
    <row r="756" spans="2:33" s="38" customFormat="1" x14ac:dyDescent="0.25">
      <c r="B756" s="49"/>
      <c r="C756" s="70"/>
      <c r="D756" s="42"/>
      <c r="F756" s="33"/>
      <c r="G756" s="47"/>
      <c r="H756" s="42"/>
      <c r="I756" s="27"/>
      <c r="J756" s="47"/>
      <c r="K756" s="42"/>
      <c r="L756" s="27"/>
      <c r="M756" s="47"/>
      <c r="N756" s="42"/>
      <c r="O756" s="27"/>
      <c r="P756" s="47"/>
      <c r="Q756" s="42"/>
      <c r="R756" s="27"/>
      <c r="S756" s="47"/>
      <c r="T756" s="42"/>
      <c r="U756" s="27"/>
      <c r="V756" s="47"/>
      <c r="W756" s="42"/>
      <c r="X756" s="27"/>
      <c r="Y756" s="47"/>
      <c r="Z756" s="42"/>
      <c r="AA756" s="27"/>
      <c r="AB756" s="47"/>
      <c r="AC756" s="42"/>
      <c r="AD756" s="27"/>
      <c r="AE756" s="33"/>
      <c r="AF756" s="47"/>
      <c r="AG756" s="48"/>
    </row>
    <row r="757" spans="2:33" s="38" customFormat="1" x14ac:dyDescent="0.25">
      <c r="B757" s="49"/>
      <c r="C757" s="70"/>
      <c r="D757" s="42"/>
      <c r="F757" s="33"/>
      <c r="G757" s="47"/>
      <c r="H757" s="42"/>
      <c r="I757" s="27"/>
      <c r="J757" s="47"/>
      <c r="K757" s="42"/>
      <c r="L757" s="27"/>
      <c r="M757" s="47"/>
      <c r="N757" s="42"/>
      <c r="O757" s="27"/>
      <c r="P757" s="47"/>
      <c r="Q757" s="42"/>
      <c r="R757" s="27"/>
      <c r="S757" s="47"/>
      <c r="T757" s="42"/>
      <c r="U757" s="27"/>
      <c r="V757" s="47"/>
      <c r="W757" s="42"/>
      <c r="X757" s="27"/>
      <c r="Y757" s="47"/>
      <c r="Z757" s="42"/>
      <c r="AA757" s="27"/>
      <c r="AB757" s="47"/>
      <c r="AC757" s="42"/>
      <c r="AD757" s="27"/>
      <c r="AE757" s="33"/>
      <c r="AF757" s="47"/>
      <c r="AG757" s="48"/>
    </row>
    <row r="758" spans="2:33" s="38" customFormat="1" x14ac:dyDescent="0.25">
      <c r="B758" s="49"/>
      <c r="C758" s="70"/>
      <c r="D758" s="42"/>
      <c r="F758" s="33"/>
      <c r="G758" s="47"/>
      <c r="H758" s="42"/>
      <c r="I758" s="27"/>
      <c r="J758" s="47"/>
      <c r="K758" s="42"/>
      <c r="L758" s="27"/>
      <c r="M758" s="47"/>
      <c r="N758" s="42"/>
      <c r="O758" s="27"/>
      <c r="P758" s="47"/>
      <c r="Q758" s="42"/>
      <c r="R758" s="27"/>
      <c r="S758" s="47"/>
      <c r="T758" s="42"/>
      <c r="U758" s="27"/>
      <c r="V758" s="47"/>
      <c r="W758" s="42"/>
      <c r="X758" s="27"/>
      <c r="Y758" s="47"/>
      <c r="Z758" s="42"/>
      <c r="AA758" s="27"/>
      <c r="AB758" s="47"/>
      <c r="AC758" s="42"/>
      <c r="AD758" s="27"/>
      <c r="AE758" s="33"/>
      <c r="AF758" s="47"/>
      <c r="AG758" s="48"/>
    </row>
    <row r="759" spans="2:33" s="38" customFormat="1" x14ac:dyDescent="0.25">
      <c r="B759" s="49"/>
      <c r="C759" s="70"/>
      <c r="D759" s="42"/>
      <c r="F759" s="33"/>
      <c r="G759" s="47"/>
      <c r="H759" s="42"/>
      <c r="I759" s="27"/>
      <c r="J759" s="47"/>
      <c r="K759" s="42"/>
      <c r="L759" s="27"/>
      <c r="M759" s="47"/>
      <c r="N759" s="42"/>
      <c r="O759" s="27"/>
      <c r="P759" s="47"/>
      <c r="Q759" s="42"/>
      <c r="R759" s="27"/>
      <c r="S759" s="47"/>
      <c r="T759" s="42"/>
      <c r="U759" s="27"/>
      <c r="V759" s="47"/>
      <c r="W759" s="42"/>
      <c r="X759" s="27"/>
      <c r="Y759" s="47"/>
      <c r="Z759" s="42"/>
      <c r="AA759" s="27"/>
      <c r="AB759" s="47"/>
      <c r="AC759" s="42"/>
      <c r="AD759" s="27"/>
      <c r="AE759" s="33"/>
      <c r="AF759" s="47"/>
      <c r="AG759" s="48"/>
    </row>
    <row r="760" spans="2:33" s="38" customFormat="1" x14ac:dyDescent="0.25">
      <c r="B760" s="49"/>
      <c r="C760" s="70"/>
      <c r="D760" s="42"/>
      <c r="F760" s="33"/>
      <c r="G760" s="47"/>
      <c r="H760" s="42"/>
      <c r="I760" s="27"/>
      <c r="J760" s="47"/>
      <c r="K760" s="42"/>
      <c r="L760" s="27"/>
      <c r="M760" s="47"/>
      <c r="N760" s="42"/>
      <c r="O760" s="27"/>
      <c r="P760" s="47"/>
      <c r="Q760" s="42"/>
      <c r="R760" s="27"/>
      <c r="S760" s="47"/>
      <c r="T760" s="42"/>
      <c r="U760" s="27"/>
      <c r="V760" s="47"/>
      <c r="W760" s="42"/>
      <c r="X760" s="27"/>
      <c r="Y760" s="47"/>
      <c r="Z760" s="42"/>
      <c r="AA760" s="27"/>
      <c r="AB760" s="47"/>
      <c r="AC760" s="42"/>
      <c r="AD760" s="27"/>
      <c r="AE760" s="33"/>
      <c r="AF760" s="47"/>
      <c r="AG760" s="48"/>
    </row>
    <row r="761" spans="2:33" s="38" customFormat="1" x14ac:dyDescent="0.25">
      <c r="B761" s="49"/>
      <c r="C761" s="70"/>
      <c r="D761" s="42"/>
      <c r="F761" s="33"/>
      <c r="G761" s="47"/>
      <c r="H761" s="42"/>
      <c r="I761" s="27"/>
      <c r="J761" s="47"/>
      <c r="K761" s="42"/>
      <c r="L761" s="27"/>
      <c r="M761" s="47"/>
      <c r="N761" s="42"/>
      <c r="O761" s="27"/>
      <c r="P761" s="47"/>
      <c r="Q761" s="42"/>
      <c r="R761" s="27"/>
      <c r="S761" s="47"/>
      <c r="T761" s="42"/>
      <c r="U761" s="27"/>
      <c r="V761" s="47"/>
      <c r="W761" s="42"/>
      <c r="X761" s="27"/>
      <c r="Y761" s="47"/>
      <c r="Z761" s="42"/>
      <c r="AA761" s="27"/>
      <c r="AB761" s="47"/>
      <c r="AC761" s="42"/>
      <c r="AD761" s="27"/>
      <c r="AE761" s="33"/>
      <c r="AF761" s="47"/>
      <c r="AG761" s="48"/>
    </row>
    <row r="762" spans="2:33" s="38" customFormat="1" x14ac:dyDescent="0.25">
      <c r="B762" s="49"/>
      <c r="C762" s="70"/>
      <c r="D762" s="42"/>
      <c r="F762" s="33"/>
      <c r="G762" s="47"/>
      <c r="H762" s="42"/>
      <c r="I762" s="27"/>
      <c r="J762" s="47"/>
      <c r="K762" s="42"/>
      <c r="L762" s="27"/>
      <c r="M762" s="47"/>
      <c r="N762" s="42"/>
      <c r="O762" s="27"/>
      <c r="P762" s="47"/>
      <c r="Q762" s="42"/>
      <c r="R762" s="27"/>
      <c r="S762" s="47"/>
      <c r="T762" s="42"/>
      <c r="U762" s="27"/>
      <c r="V762" s="47"/>
      <c r="W762" s="42"/>
      <c r="X762" s="27"/>
      <c r="Y762" s="47"/>
      <c r="Z762" s="42"/>
      <c r="AA762" s="27"/>
      <c r="AB762" s="47"/>
      <c r="AC762" s="42"/>
      <c r="AD762" s="27"/>
      <c r="AE762" s="33"/>
      <c r="AF762" s="47"/>
      <c r="AG762" s="48"/>
    </row>
    <row r="763" spans="2:33" s="38" customFormat="1" x14ac:dyDescent="0.25">
      <c r="B763" s="49"/>
      <c r="C763" s="70"/>
      <c r="D763" s="42"/>
      <c r="F763" s="33"/>
      <c r="G763" s="47"/>
      <c r="H763" s="42"/>
      <c r="I763" s="27"/>
      <c r="J763" s="47"/>
      <c r="K763" s="42"/>
      <c r="L763" s="27"/>
      <c r="M763" s="47"/>
      <c r="N763" s="42"/>
      <c r="O763" s="27"/>
      <c r="P763" s="47"/>
      <c r="Q763" s="42"/>
      <c r="R763" s="27"/>
      <c r="S763" s="47"/>
      <c r="T763" s="42"/>
      <c r="U763" s="27"/>
      <c r="V763" s="47"/>
      <c r="W763" s="42"/>
      <c r="X763" s="27"/>
      <c r="Y763" s="47"/>
      <c r="Z763" s="42"/>
      <c r="AA763" s="27"/>
      <c r="AB763" s="47"/>
      <c r="AC763" s="42"/>
      <c r="AD763" s="27"/>
      <c r="AE763" s="33"/>
      <c r="AF763" s="47"/>
      <c r="AG763" s="48"/>
    </row>
    <row r="764" spans="2:33" s="38" customFormat="1" x14ac:dyDescent="0.25">
      <c r="B764" s="49"/>
      <c r="C764" s="70"/>
      <c r="D764" s="42"/>
      <c r="F764" s="33"/>
      <c r="G764" s="47"/>
      <c r="H764" s="42"/>
      <c r="I764" s="27"/>
      <c r="J764" s="47"/>
      <c r="K764" s="42"/>
      <c r="L764" s="27"/>
      <c r="M764" s="47"/>
      <c r="N764" s="42"/>
      <c r="O764" s="27"/>
      <c r="P764" s="47"/>
      <c r="Q764" s="42"/>
      <c r="R764" s="27"/>
      <c r="S764" s="47"/>
      <c r="T764" s="42"/>
      <c r="U764" s="27"/>
      <c r="V764" s="47"/>
      <c r="W764" s="42"/>
      <c r="X764" s="27"/>
      <c r="Y764" s="47"/>
      <c r="Z764" s="42"/>
      <c r="AA764" s="27"/>
      <c r="AB764" s="47"/>
      <c r="AC764" s="42"/>
      <c r="AD764" s="27"/>
      <c r="AE764" s="33"/>
      <c r="AF764" s="47"/>
      <c r="AG764" s="48"/>
    </row>
    <row r="765" spans="2:33" s="38" customFormat="1" x14ac:dyDescent="0.25">
      <c r="B765" s="49"/>
      <c r="C765" s="70"/>
      <c r="D765" s="42"/>
      <c r="F765" s="33"/>
      <c r="G765" s="47"/>
      <c r="H765" s="42"/>
      <c r="I765" s="27"/>
      <c r="J765" s="47"/>
      <c r="K765" s="42"/>
      <c r="L765" s="27"/>
      <c r="M765" s="47"/>
      <c r="N765" s="42"/>
      <c r="O765" s="27"/>
      <c r="P765" s="47"/>
      <c r="Q765" s="42"/>
      <c r="R765" s="27"/>
      <c r="S765" s="47"/>
      <c r="T765" s="42"/>
      <c r="U765" s="27"/>
      <c r="V765" s="47"/>
      <c r="W765" s="42"/>
      <c r="X765" s="27"/>
      <c r="Y765" s="47"/>
      <c r="Z765" s="42"/>
      <c r="AA765" s="27"/>
      <c r="AB765" s="47"/>
      <c r="AC765" s="42"/>
      <c r="AD765" s="27"/>
      <c r="AE765" s="33"/>
      <c r="AF765" s="47"/>
      <c r="AG765" s="48"/>
    </row>
    <row r="766" spans="2:33" s="38" customFormat="1" x14ac:dyDescent="0.25">
      <c r="B766" s="49"/>
      <c r="C766" s="70"/>
      <c r="D766" s="42"/>
      <c r="F766" s="33"/>
      <c r="G766" s="47"/>
      <c r="H766" s="42"/>
      <c r="I766" s="27"/>
      <c r="J766" s="47"/>
      <c r="K766" s="42"/>
      <c r="L766" s="27"/>
      <c r="M766" s="47"/>
      <c r="N766" s="42"/>
      <c r="O766" s="27"/>
      <c r="P766" s="47"/>
      <c r="Q766" s="42"/>
      <c r="R766" s="27"/>
      <c r="S766" s="47"/>
      <c r="T766" s="42"/>
      <c r="U766" s="27"/>
      <c r="V766" s="47"/>
      <c r="W766" s="42"/>
      <c r="X766" s="27"/>
      <c r="Y766" s="47"/>
      <c r="Z766" s="42"/>
      <c r="AA766" s="27"/>
      <c r="AB766" s="47"/>
      <c r="AC766" s="42"/>
      <c r="AD766" s="27"/>
      <c r="AE766" s="33"/>
      <c r="AF766" s="47"/>
      <c r="AG766" s="48"/>
    </row>
    <row r="767" spans="2:33" s="38" customFormat="1" x14ac:dyDescent="0.25">
      <c r="B767" s="49"/>
      <c r="C767" s="70"/>
      <c r="D767" s="42"/>
      <c r="F767" s="33"/>
      <c r="G767" s="47"/>
      <c r="H767" s="42"/>
      <c r="I767" s="27"/>
      <c r="J767" s="47"/>
      <c r="K767" s="42"/>
      <c r="L767" s="27"/>
      <c r="M767" s="47"/>
      <c r="N767" s="42"/>
      <c r="O767" s="27"/>
      <c r="P767" s="47"/>
      <c r="Q767" s="42"/>
      <c r="R767" s="27"/>
      <c r="S767" s="47"/>
      <c r="T767" s="42"/>
      <c r="U767" s="27"/>
      <c r="V767" s="47"/>
      <c r="W767" s="42"/>
      <c r="X767" s="27"/>
      <c r="Y767" s="47"/>
      <c r="Z767" s="42"/>
      <c r="AA767" s="27"/>
      <c r="AB767" s="47"/>
      <c r="AC767" s="42"/>
      <c r="AD767" s="27"/>
      <c r="AE767" s="33"/>
      <c r="AF767" s="47"/>
      <c r="AG767" s="48"/>
    </row>
    <row r="768" spans="2:33" s="38" customFormat="1" x14ac:dyDescent="0.25">
      <c r="B768" s="49"/>
      <c r="C768" s="70"/>
      <c r="D768" s="42"/>
      <c r="F768" s="33"/>
      <c r="G768" s="47"/>
      <c r="H768" s="42"/>
      <c r="I768" s="27"/>
      <c r="J768" s="47"/>
      <c r="K768" s="42"/>
      <c r="L768" s="27"/>
      <c r="M768" s="47"/>
      <c r="N768" s="42"/>
      <c r="O768" s="27"/>
      <c r="P768" s="47"/>
      <c r="Q768" s="42"/>
      <c r="R768" s="27"/>
      <c r="S768" s="47"/>
      <c r="T768" s="42"/>
      <c r="U768" s="27"/>
      <c r="V768" s="47"/>
      <c r="W768" s="42"/>
      <c r="X768" s="27"/>
      <c r="Y768" s="47"/>
      <c r="Z768" s="42"/>
      <c r="AA768" s="27"/>
      <c r="AB768" s="47"/>
      <c r="AC768" s="42"/>
      <c r="AD768" s="27"/>
      <c r="AE768" s="33"/>
      <c r="AF768" s="47"/>
      <c r="AG768" s="48"/>
    </row>
    <row r="769" spans="2:33" s="38" customFormat="1" x14ac:dyDescent="0.25">
      <c r="B769" s="49"/>
      <c r="C769" s="70"/>
      <c r="D769" s="42"/>
      <c r="F769" s="33"/>
      <c r="G769" s="47"/>
      <c r="H769" s="42"/>
      <c r="I769" s="27"/>
      <c r="J769" s="47"/>
      <c r="K769" s="42"/>
      <c r="L769" s="27"/>
      <c r="M769" s="47"/>
      <c r="N769" s="42"/>
      <c r="O769" s="27"/>
      <c r="P769" s="47"/>
      <c r="Q769" s="42"/>
      <c r="R769" s="27"/>
      <c r="S769" s="47"/>
      <c r="T769" s="42"/>
      <c r="U769" s="27"/>
      <c r="V769" s="47"/>
      <c r="W769" s="42"/>
      <c r="X769" s="27"/>
      <c r="Y769" s="47"/>
      <c r="Z769" s="42"/>
      <c r="AA769" s="27"/>
      <c r="AB769" s="47"/>
      <c r="AC769" s="42"/>
      <c r="AD769" s="27"/>
      <c r="AE769" s="33"/>
      <c r="AF769" s="47"/>
      <c r="AG769" s="48"/>
    </row>
    <row r="770" spans="2:33" s="38" customFormat="1" x14ac:dyDescent="0.25">
      <c r="B770" s="49"/>
      <c r="C770" s="70"/>
      <c r="D770" s="42"/>
      <c r="F770" s="33"/>
      <c r="G770" s="47"/>
      <c r="H770" s="42"/>
      <c r="I770" s="27"/>
      <c r="J770" s="47"/>
      <c r="K770" s="42"/>
      <c r="L770" s="27"/>
      <c r="M770" s="47"/>
      <c r="N770" s="42"/>
      <c r="O770" s="27"/>
      <c r="P770" s="47"/>
      <c r="Q770" s="42"/>
      <c r="R770" s="27"/>
      <c r="S770" s="47"/>
      <c r="T770" s="42"/>
      <c r="U770" s="27"/>
      <c r="V770" s="47"/>
      <c r="W770" s="42"/>
      <c r="X770" s="27"/>
      <c r="Y770" s="47"/>
      <c r="Z770" s="42"/>
      <c r="AA770" s="27"/>
      <c r="AB770" s="47"/>
      <c r="AC770" s="42"/>
      <c r="AD770" s="27"/>
      <c r="AE770" s="33"/>
      <c r="AF770" s="47"/>
      <c r="AG770" s="48"/>
    </row>
    <row r="771" spans="2:33" s="38" customFormat="1" x14ac:dyDescent="0.25">
      <c r="B771" s="49"/>
      <c r="C771" s="70"/>
      <c r="D771" s="42"/>
      <c r="F771" s="33"/>
      <c r="G771" s="47"/>
      <c r="H771" s="42"/>
      <c r="I771" s="27"/>
      <c r="J771" s="47"/>
      <c r="K771" s="42"/>
      <c r="L771" s="27"/>
      <c r="M771" s="47"/>
      <c r="N771" s="42"/>
      <c r="O771" s="27"/>
      <c r="P771" s="47"/>
      <c r="Q771" s="42"/>
      <c r="R771" s="27"/>
      <c r="S771" s="47"/>
      <c r="T771" s="42"/>
      <c r="U771" s="27"/>
      <c r="V771" s="47"/>
      <c r="W771" s="42"/>
      <c r="X771" s="27"/>
      <c r="Y771" s="47"/>
      <c r="Z771" s="42"/>
      <c r="AA771" s="27"/>
      <c r="AB771" s="47"/>
      <c r="AC771" s="42"/>
      <c r="AD771" s="27"/>
      <c r="AE771" s="33"/>
      <c r="AF771" s="47"/>
      <c r="AG771" s="48"/>
    </row>
    <row r="772" spans="2:33" s="38" customFormat="1" x14ac:dyDescent="0.25">
      <c r="B772" s="49"/>
      <c r="C772" s="70"/>
      <c r="D772" s="42"/>
      <c r="F772" s="33"/>
      <c r="G772" s="47"/>
      <c r="H772" s="42"/>
      <c r="I772" s="27"/>
      <c r="J772" s="47"/>
      <c r="K772" s="42"/>
      <c r="L772" s="27"/>
      <c r="M772" s="47"/>
      <c r="N772" s="42"/>
      <c r="O772" s="27"/>
      <c r="P772" s="47"/>
      <c r="Q772" s="42"/>
      <c r="R772" s="27"/>
      <c r="S772" s="47"/>
      <c r="T772" s="42"/>
      <c r="U772" s="27"/>
      <c r="V772" s="47"/>
      <c r="W772" s="42"/>
      <c r="X772" s="27"/>
      <c r="Y772" s="47"/>
      <c r="Z772" s="42"/>
      <c r="AA772" s="27"/>
      <c r="AB772" s="47"/>
      <c r="AC772" s="42"/>
      <c r="AD772" s="27"/>
      <c r="AE772" s="33"/>
      <c r="AF772" s="47"/>
      <c r="AG772" s="48"/>
    </row>
    <row r="773" spans="2:33" s="38" customFormat="1" x14ac:dyDescent="0.25">
      <c r="B773" s="49"/>
      <c r="C773" s="70"/>
      <c r="D773" s="42"/>
      <c r="F773" s="46"/>
      <c r="G773" s="47"/>
      <c r="H773" s="42"/>
      <c r="I773" s="42"/>
      <c r="J773" s="47"/>
      <c r="K773" s="42"/>
      <c r="L773" s="42"/>
      <c r="M773" s="47"/>
      <c r="N773" s="42"/>
      <c r="O773" s="42"/>
      <c r="P773" s="47"/>
      <c r="Q773" s="42"/>
      <c r="R773" s="42"/>
      <c r="S773" s="47"/>
      <c r="T773" s="42"/>
      <c r="U773" s="42"/>
      <c r="V773" s="47"/>
      <c r="W773" s="42"/>
      <c r="X773" s="42"/>
      <c r="Y773" s="47"/>
      <c r="Z773" s="42"/>
      <c r="AA773" s="42"/>
      <c r="AB773" s="47"/>
      <c r="AC773" s="42"/>
      <c r="AD773" s="42"/>
      <c r="AE773" s="46"/>
      <c r="AF773" s="47"/>
      <c r="AG773" s="48"/>
    </row>
    <row r="774" spans="2:33" s="38" customFormat="1" x14ac:dyDescent="0.25">
      <c r="B774" s="49"/>
      <c r="C774" s="70"/>
      <c r="D774" s="42"/>
      <c r="F774" s="46"/>
      <c r="G774" s="47"/>
      <c r="H774" s="42"/>
      <c r="I774" s="42"/>
      <c r="J774" s="47"/>
      <c r="K774" s="42"/>
      <c r="L774" s="42"/>
      <c r="M774" s="47"/>
      <c r="N774" s="42"/>
      <c r="O774" s="42"/>
      <c r="P774" s="47"/>
      <c r="Q774" s="42"/>
      <c r="R774" s="42"/>
      <c r="S774" s="47"/>
      <c r="T774" s="42"/>
      <c r="U774" s="42"/>
      <c r="V774" s="47"/>
      <c r="W774" s="42"/>
      <c r="X774" s="42"/>
      <c r="Y774" s="47"/>
      <c r="Z774" s="42"/>
      <c r="AA774" s="42"/>
      <c r="AB774" s="47"/>
      <c r="AC774" s="42"/>
      <c r="AD774" s="42"/>
      <c r="AE774" s="46"/>
      <c r="AF774" s="47"/>
      <c r="AG774" s="48"/>
    </row>
    <row r="775" spans="2:33" s="38" customFormat="1" x14ac:dyDescent="0.25">
      <c r="B775" s="49"/>
      <c r="C775" s="70"/>
      <c r="D775" s="42"/>
      <c r="F775" s="46"/>
      <c r="G775" s="47"/>
      <c r="H775" s="42"/>
      <c r="I775" s="42"/>
      <c r="J775" s="47"/>
      <c r="K775" s="42"/>
      <c r="L775" s="42"/>
      <c r="M775" s="47"/>
      <c r="N775" s="42"/>
      <c r="O775" s="42"/>
      <c r="P775" s="47"/>
      <c r="Q775" s="42"/>
      <c r="R775" s="42"/>
      <c r="S775" s="47"/>
      <c r="T775" s="42"/>
      <c r="U775" s="42"/>
      <c r="V775" s="47"/>
      <c r="W775" s="42"/>
      <c r="X775" s="42"/>
      <c r="Y775" s="47"/>
      <c r="Z775" s="42"/>
      <c r="AA775" s="42"/>
      <c r="AB775" s="47"/>
      <c r="AC775" s="42"/>
      <c r="AD775" s="42"/>
      <c r="AE775" s="46"/>
      <c r="AF775" s="47"/>
      <c r="AG775" s="48"/>
    </row>
    <row r="776" spans="2:33" s="38" customFormat="1" x14ac:dyDescent="0.25">
      <c r="B776" s="49"/>
      <c r="C776" s="70"/>
      <c r="D776" s="42"/>
      <c r="F776" s="46"/>
      <c r="G776" s="47"/>
      <c r="H776" s="42"/>
      <c r="I776" s="42"/>
      <c r="J776" s="47"/>
      <c r="K776" s="42"/>
      <c r="L776" s="42"/>
      <c r="M776" s="47"/>
      <c r="N776" s="42"/>
      <c r="O776" s="42"/>
      <c r="P776" s="47"/>
      <c r="Q776" s="42"/>
      <c r="R776" s="42"/>
      <c r="S776" s="47"/>
      <c r="T776" s="42"/>
      <c r="U776" s="42"/>
      <c r="V776" s="47"/>
      <c r="W776" s="42"/>
      <c r="X776" s="42"/>
      <c r="Y776" s="47"/>
      <c r="Z776" s="42"/>
      <c r="AA776" s="42"/>
      <c r="AB776" s="47"/>
      <c r="AC776" s="42"/>
      <c r="AD776" s="42"/>
      <c r="AE776" s="46"/>
      <c r="AF776" s="47"/>
      <c r="AG776" s="48"/>
    </row>
    <row r="777" spans="2:33" s="38" customFormat="1" x14ac:dyDescent="0.25">
      <c r="B777" s="49"/>
      <c r="C777" s="70"/>
      <c r="D777" s="42"/>
      <c r="F777" s="46"/>
      <c r="G777" s="47"/>
      <c r="H777" s="42"/>
      <c r="I777" s="42"/>
      <c r="J777" s="47"/>
      <c r="K777" s="42"/>
      <c r="L777" s="42"/>
      <c r="M777" s="47"/>
      <c r="N777" s="42"/>
      <c r="O777" s="42"/>
      <c r="P777" s="47"/>
      <c r="Q777" s="42"/>
      <c r="R777" s="42"/>
      <c r="S777" s="47"/>
      <c r="T777" s="42"/>
      <c r="U777" s="42"/>
      <c r="V777" s="47"/>
      <c r="W777" s="42"/>
      <c r="X777" s="42"/>
      <c r="Y777" s="47"/>
      <c r="Z777" s="42"/>
      <c r="AA777" s="42"/>
      <c r="AB777" s="47"/>
      <c r="AC777" s="42"/>
      <c r="AD777" s="42"/>
      <c r="AE777" s="46"/>
      <c r="AF777" s="47"/>
      <c r="AG777" s="48"/>
    </row>
    <row r="778" spans="2:33" s="38" customFormat="1" x14ac:dyDescent="0.25">
      <c r="B778" s="49"/>
      <c r="C778" s="70"/>
      <c r="D778" s="42"/>
      <c r="F778" s="46"/>
      <c r="G778" s="47"/>
      <c r="H778" s="42"/>
      <c r="I778" s="42"/>
      <c r="J778" s="47"/>
      <c r="K778" s="42"/>
      <c r="L778" s="42"/>
      <c r="M778" s="47"/>
      <c r="N778" s="42"/>
      <c r="O778" s="42"/>
      <c r="P778" s="47"/>
      <c r="Q778" s="42"/>
      <c r="R778" s="42"/>
      <c r="S778" s="47"/>
      <c r="T778" s="42"/>
      <c r="U778" s="42"/>
      <c r="V778" s="47"/>
      <c r="W778" s="42"/>
      <c r="X778" s="42"/>
      <c r="Y778" s="47"/>
      <c r="Z778" s="42"/>
      <c r="AA778" s="42"/>
      <c r="AB778" s="47"/>
      <c r="AC778" s="42"/>
      <c r="AD778" s="42"/>
      <c r="AE778" s="46"/>
      <c r="AF778" s="47"/>
      <c r="AG778" s="48"/>
    </row>
    <row r="779" spans="2:33" s="38" customFormat="1" x14ac:dyDescent="0.25">
      <c r="B779" s="49"/>
      <c r="C779" s="70"/>
      <c r="D779" s="42"/>
      <c r="F779" s="46"/>
      <c r="G779" s="47"/>
      <c r="H779" s="42"/>
      <c r="I779" s="42"/>
      <c r="J779" s="47"/>
      <c r="K779" s="42"/>
      <c r="L779" s="42"/>
      <c r="M779" s="47"/>
      <c r="N779" s="42"/>
      <c r="O779" s="42"/>
      <c r="P779" s="47"/>
      <c r="Q779" s="42"/>
      <c r="R779" s="42"/>
      <c r="S779" s="47"/>
      <c r="T779" s="42"/>
      <c r="U779" s="42"/>
      <c r="V779" s="47"/>
      <c r="W779" s="42"/>
      <c r="X779" s="42"/>
      <c r="Y779" s="47"/>
      <c r="Z779" s="42"/>
      <c r="AA779" s="42"/>
      <c r="AB779" s="47"/>
      <c r="AC779" s="42"/>
      <c r="AD779" s="42"/>
      <c r="AE779" s="46"/>
      <c r="AF779" s="47"/>
      <c r="AG779" s="48"/>
    </row>
    <row r="780" spans="2:33" s="38" customFormat="1" x14ac:dyDescent="0.25">
      <c r="B780" s="49"/>
      <c r="C780" s="70"/>
      <c r="D780" s="42"/>
      <c r="F780" s="46"/>
      <c r="G780" s="47"/>
      <c r="H780" s="42"/>
      <c r="I780" s="42"/>
      <c r="J780" s="47"/>
      <c r="K780" s="42"/>
      <c r="L780" s="42"/>
      <c r="M780" s="47"/>
      <c r="N780" s="42"/>
      <c r="O780" s="42"/>
      <c r="P780" s="47"/>
      <c r="Q780" s="42"/>
      <c r="R780" s="42"/>
      <c r="S780" s="47"/>
      <c r="T780" s="42"/>
      <c r="U780" s="42"/>
      <c r="V780" s="47"/>
      <c r="W780" s="42"/>
      <c r="X780" s="42"/>
      <c r="Y780" s="47"/>
      <c r="Z780" s="42"/>
      <c r="AA780" s="42"/>
      <c r="AB780" s="47"/>
      <c r="AC780" s="42"/>
      <c r="AD780" s="42"/>
      <c r="AE780" s="46"/>
      <c r="AF780" s="47"/>
      <c r="AG780" s="48"/>
    </row>
    <row r="781" spans="2:33" s="38" customFormat="1" x14ac:dyDescent="0.25">
      <c r="B781" s="49"/>
      <c r="C781" s="70"/>
      <c r="D781" s="42"/>
      <c r="F781" s="46"/>
      <c r="G781" s="47"/>
      <c r="H781" s="42"/>
      <c r="I781" s="42"/>
      <c r="J781" s="47"/>
      <c r="K781" s="42"/>
      <c r="L781" s="42"/>
      <c r="M781" s="47"/>
      <c r="N781" s="42"/>
      <c r="O781" s="42"/>
      <c r="P781" s="47"/>
      <c r="Q781" s="42"/>
      <c r="R781" s="42"/>
      <c r="S781" s="47"/>
      <c r="T781" s="42"/>
      <c r="U781" s="42"/>
      <c r="V781" s="47"/>
      <c r="W781" s="42"/>
      <c r="X781" s="42"/>
      <c r="Y781" s="47"/>
      <c r="Z781" s="42"/>
      <c r="AA781" s="42"/>
      <c r="AB781" s="47"/>
      <c r="AC781" s="42"/>
      <c r="AD781" s="42"/>
      <c r="AE781" s="46"/>
      <c r="AF781" s="47"/>
      <c r="AG781" s="48"/>
    </row>
    <row r="782" spans="2:33" s="38" customFormat="1" x14ac:dyDescent="0.25">
      <c r="B782" s="49"/>
      <c r="C782" s="70"/>
      <c r="D782" s="42"/>
      <c r="F782" s="46"/>
      <c r="G782" s="47"/>
      <c r="H782" s="42"/>
      <c r="I782" s="42"/>
      <c r="J782" s="47"/>
      <c r="K782" s="42"/>
      <c r="L782" s="42"/>
      <c r="M782" s="47"/>
      <c r="N782" s="42"/>
      <c r="O782" s="42"/>
      <c r="P782" s="47"/>
      <c r="Q782" s="42"/>
      <c r="R782" s="42"/>
      <c r="S782" s="47"/>
      <c r="T782" s="42"/>
      <c r="U782" s="42"/>
      <c r="V782" s="47"/>
      <c r="W782" s="42"/>
      <c r="X782" s="42"/>
      <c r="Y782" s="47"/>
      <c r="Z782" s="42"/>
      <c r="AA782" s="42"/>
      <c r="AB782" s="47"/>
      <c r="AC782" s="42"/>
      <c r="AD782" s="42"/>
      <c r="AE782" s="46"/>
      <c r="AF782" s="47"/>
      <c r="AG782" s="48"/>
    </row>
    <row r="783" spans="2:33" s="38" customFormat="1" x14ac:dyDescent="0.25">
      <c r="B783" s="49"/>
      <c r="C783" s="70"/>
      <c r="D783" s="42"/>
      <c r="F783" s="46"/>
      <c r="G783" s="47"/>
      <c r="H783" s="42"/>
      <c r="I783" s="42"/>
      <c r="J783" s="47"/>
      <c r="K783" s="42"/>
      <c r="L783" s="42"/>
      <c r="M783" s="47"/>
      <c r="N783" s="42"/>
      <c r="O783" s="42"/>
      <c r="P783" s="47"/>
      <c r="Q783" s="42"/>
      <c r="R783" s="42"/>
      <c r="S783" s="47"/>
      <c r="T783" s="42"/>
      <c r="U783" s="42"/>
      <c r="V783" s="47"/>
      <c r="W783" s="42"/>
      <c r="X783" s="42"/>
      <c r="Y783" s="47"/>
      <c r="Z783" s="42"/>
      <c r="AA783" s="42"/>
      <c r="AB783" s="47"/>
      <c r="AC783" s="42"/>
      <c r="AD783" s="42"/>
      <c r="AE783" s="46"/>
      <c r="AF783" s="47"/>
      <c r="AG783" s="48"/>
    </row>
    <row r="784" spans="2:33" s="38" customFormat="1" x14ac:dyDescent="0.25">
      <c r="B784" s="49"/>
      <c r="C784" s="70"/>
      <c r="D784" s="42"/>
      <c r="F784" s="46"/>
      <c r="G784" s="47"/>
      <c r="H784" s="42"/>
      <c r="I784" s="42"/>
      <c r="J784" s="47"/>
      <c r="K784" s="42"/>
      <c r="L784" s="42"/>
      <c r="M784" s="47"/>
      <c r="N784" s="42"/>
      <c r="O784" s="42"/>
      <c r="P784" s="47"/>
      <c r="Q784" s="42"/>
      <c r="R784" s="42"/>
      <c r="S784" s="47"/>
      <c r="T784" s="42"/>
      <c r="U784" s="42"/>
      <c r="V784" s="47"/>
      <c r="W784" s="42"/>
      <c r="X784" s="42"/>
      <c r="Y784" s="47"/>
      <c r="Z784" s="42"/>
      <c r="AA784" s="42"/>
      <c r="AB784" s="47"/>
      <c r="AC784" s="42"/>
      <c r="AD784" s="42"/>
      <c r="AE784" s="46"/>
      <c r="AF784" s="47"/>
      <c r="AG784" s="48"/>
    </row>
    <row r="785" spans="2:33" s="38" customFormat="1" x14ac:dyDescent="0.25">
      <c r="B785" s="49"/>
      <c r="C785" s="70"/>
      <c r="D785" s="42"/>
      <c r="F785" s="46"/>
      <c r="G785" s="47"/>
      <c r="H785" s="42"/>
      <c r="I785" s="42"/>
      <c r="J785" s="47"/>
      <c r="K785" s="42"/>
      <c r="L785" s="42"/>
      <c r="M785" s="47"/>
      <c r="N785" s="42"/>
      <c r="O785" s="42"/>
      <c r="P785" s="47"/>
      <c r="Q785" s="42"/>
      <c r="R785" s="42"/>
      <c r="S785" s="47"/>
      <c r="T785" s="42"/>
      <c r="U785" s="42"/>
      <c r="V785" s="47"/>
      <c r="W785" s="42"/>
      <c r="X785" s="42"/>
      <c r="Y785" s="47"/>
      <c r="Z785" s="42"/>
      <c r="AA785" s="42"/>
      <c r="AB785" s="47"/>
      <c r="AC785" s="42"/>
      <c r="AD785" s="42"/>
      <c r="AE785" s="46"/>
      <c r="AF785" s="47"/>
      <c r="AG785" s="48"/>
    </row>
    <row r="786" spans="2:33" s="38" customFormat="1" x14ac:dyDescent="0.25">
      <c r="B786" s="49"/>
      <c r="C786" s="70"/>
      <c r="D786" s="42"/>
      <c r="F786" s="46"/>
      <c r="G786" s="47"/>
      <c r="H786" s="42"/>
      <c r="I786" s="42"/>
      <c r="J786" s="47"/>
      <c r="K786" s="42"/>
      <c r="L786" s="42"/>
      <c r="M786" s="47"/>
      <c r="N786" s="42"/>
      <c r="O786" s="42"/>
      <c r="P786" s="47"/>
      <c r="Q786" s="42"/>
      <c r="R786" s="42"/>
      <c r="S786" s="47"/>
      <c r="T786" s="42"/>
      <c r="U786" s="42"/>
      <c r="V786" s="47"/>
      <c r="W786" s="42"/>
      <c r="X786" s="42"/>
      <c r="Y786" s="47"/>
      <c r="Z786" s="42"/>
      <c r="AA786" s="42"/>
      <c r="AB786" s="47"/>
      <c r="AC786" s="42"/>
      <c r="AD786" s="42"/>
      <c r="AE786" s="46"/>
      <c r="AF786" s="47"/>
      <c r="AG786" s="48"/>
    </row>
    <row r="787" spans="2:33" s="38" customFormat="1" x14ac:dyDescent="0.25">
      <c r="B787" s="49"/>
      <c r="C787" s="70"/>
      <c r="D787" s="42"/>
      <c r="F787" s="46"/>
      <c r="G787" s="47"/>
      <c r="H787" s="42"/>
      <c r="I787" s="42"/>
      <c r="J787" s="47"/>
      <c r="K787" s="42"/>
      <c r="L787" s="42"/>
      <c r="M787" s="47"/>
      <c r="N787" s="42"/>
      <c r="O787" s="42"/>
      <c r="P787" s="47"/>
      <c r="Q787" s="42"/>
      <c r="R787" s="42"/>
      <c r="S787" s="47"/>
      <c r="T787" s="42"/>
      <c r="U787" s="42"/>
      <c r="V787" s="47"/>
      <c r="W787" s="42"/>
      <c r="X787" s="42"/>
      <c r="Y787" s="47"/>
      <c r="Z787" s="42"/>
      <c r="AA787" s="42"/>
      <c r="AB787" s="47"/>
      <c r="AC787" s="42"/>
      <c r="AD787" s="42"/>
      <c r="AE787" s="46"/>
      <c r="AF787" s="47"/>
      <c r="AG787" s="48"/>
    </row>
    <row r="788" spans="2:33" s="38" customFormat="1" x14ac:dyDescent="0.25">
      <c r="B788" s="49"/>
      <c r="C788" s="70"/>
      <c r="D788" s="42"/>
      <c r="F788" s="46"/>
      <c r="G788" s="47"/>
      <c r="H788" s="42"/>
      <c r="I788" s="42"/>
      <c r="J788" s="47"/>
      <c r="K788" s="42"/>
      <c r="L788" s="42"/>
      <c r="M788" s="47"/>
      <c r="N788" s="42"/>
      <c r="O788" s="42"/>
      <c r="P788" s="47"/>
      <c r="Q788" s="42"/>
      <c r="R788" s="42"/>
      <c r="S788" s="47"/>
      <c r="T788" s="42"/>
      <c r="U788" s="42"/>
      <c r="V788" s="47"/>
      <c r="W788" s="42"/>
      <c r="X788" s="42"/>
      <c r="Y788" s="47"/>
      <c r="Z788" s="42"/>
      <c r="AA788" s="42"/>
      <c r="AB788" s="47"/>
      <c r="AC788" s="42"/>
      <c r="AD788" s="42"/>
      <c r="AE788" s="46"/>
      <c r="AF788" s="47"/>
      <c r="AG788" s="48"/>
    </row>
    <row r="789" spans="2:33" s="38" customFormat="1" x14ac:dyDescent="0.25">
      <c r="B789" s="49"/>
      <c r="C789" s="70"/>
      <c r="D789" s="42"/>
      <c r="F789" s="46"/>
      <c r="G789" s="47"/>
      <c r="H789" s="42"/>
      <c r="I789" s="42"/>
      <c r="J789" s="47"/>
      <c r="K789" s="42"/>
      <c r="L789" s="42"/>
      <c r="M789" s="47"/>
      <c r="N789" s="42"/>
      <c r="O789" s="42"/>
      <c r="P789" s="47"/>
      <c r="Q789" s="42"/>
      <c r="R789" s="42"/>
      <c r="S789" s="47"/>
      <c r="T789" s="42"/>
      <c r="U789" s="42"/>
      <c r="V789" s="47"/>
      <c r="W789" s="42"/>
      <c r="X789" s="42"/>
      <c r="Y789" s="47"/>
      <c r="Z789" s="42"/>
      <c r="AA789" s="42"/>
      <c r="AB789" s="47"/>
      <c r="AC789" s="42"/>
      <c r="AD789" s="42"/>
      <c r="AE789" s="46"/>
      <c r="AF789" s="47"/>
      <c r="AG789" s="48"/>
    </row>
    <row r="790" spans="2:33" s="38" customFormat="1" x14ac:dyDescent="0.25">
      <c r="B790" s="49"/>
      <c r="C790" s="70"/>
      <c r="D790" s="42"/>
      <c r="F790" s="46"/>
      <c r="G790" s="47"/>
      <c r="H790" s="42"/>
      <c r="I790" s="42"/>
      <c r="J790" s="47"/>
      <c r="K790" s="42"/>
      <c r="L790" s="42"/>
      <c r="M790" s="47"/>
      <c r="N790" s="42"/>
      <c r="O790" s="42"/>
      <c r="P790" s="47"/>
      <c r="Q790" s="42"/>
      <c r="R790" s="42"/>
      <c r="S790" s="47"/>
      <c r="T790" s="42"/>
      <c r="U790" s="42"/>
      <c r="V790" s="47"/>
      <c r="W790" s="42"/>
      <c r="X790" s="42"/>
      <c r="Y790" s="47"/>
      <c r="Z790" s="42"/>
      <c r="AA790" s="42"/>
      <c r="AB790" s="47"/>
      <c r="AC790" s="42"/>
      <c r="AD790" s="42"/>
      <c r="AE790" s="46"/>
      <c r="AF790" s="47"/>
      <c r="AG790" s="48"/>
    </row>
    <row r="791" spans="2:33" s="38" customFormat="1" x14ac:dyDescent="0.25">
      <c r="B791" s="49"/>
      <c r="C791" s="70"/>
      <c r="D791" s="42"/>
      <c r="F791" s="46"/>
      <c r="G791" s="47"/>
      <c r="H791" s="42"/>
      <c r="I791" s="42"/>
      <c r="J791" s="47"/>
      <c r="K791" s="42"/>
      <c r="L791" s="42"/>
      <c r="M791" s="47"/>
      <c r="N791" s="42"/>
      <c r="O791" s="42"/>
      <c r="P791" s="47"/>
      <c r="Q791" s="42"/>
      <c r="R791" s="42"/>
      <c r="S791" s="47"/>
      <c r="T791" s="42"/>
      <c r="U791" s="42"/>
      <c r="V791" s="47"/>
      <c r="W791" s="42"/>
      <c r="X791" s="42"/>
      <c r="Y791" s="47"/>
      <c r="Z791" s="42"/>
      <c r="AA791" s="42"/>
      <c r="AB791" s="47"/>
      <c r="AC791" s="42"/>
      <c r="AD791" s="42"/>
      <c r="AE791" s="46"/>
      <c r="AF791" s="47"/>
      <c r="AG791" s="48"/>
    </row>
    <row r="792" spans="2:33" s="38" customFormat="1" x14ac:dyDescent="0.25">
      <c r="B792" s="49"/>
      <c r="C792" s="70"/>
      <c r="D792" s="42"/>
      <c r="F792" s="46"/>
      <c r="G792" s="47"/>
      <c r="H792" s="42"/>
      <c r="I792" s="42"/>
      <c r="J792" s="47"/>
      <c r="K792" s="42"/>
      <c r="L792" s="42"/>
      <c r="M792" s="47"/>
      <c r="N792" s="42"/>
      <c r="O792" s="42"/>
      <c r="P792" s="47"/>
      <c r="Q792" s="42"/>
      <c r="R792" s="42"/>
      <c r="S792" s="47"/>
      <c r="T792" s="42"/>
      <c r="U792" s="42"/>
      <c r="V792" s="47"/>
      <c r="W792" s="42"/>
      <c r="X792" s="42"/>
      <c r="Y792" s="47"/>
      <c r="Z792" s="42"/>
      <c r="AA792" s="42"/>
      <c r="AB792" s="47"/>
      <c r="AC792" s="42"/>
      <c r="AD792" s="42"/>
      <c r="AE792" s="46"/>
      <c r="AF792" s="47"/>
      <c r="AG792" s="48"/>
    </row>
    <row r="793" spans="2:33" s="38" customFormat="1" x14ac:dyDescent="0.25">
      <c r="B793" s="49"/>
      <c r="C793" s="70"/>
      <c r="D793" s="42"/>
      <c r="F793" s="46"/>
      <c r="G793" s="47"/>
      <c r="H793" s="42"/>
      <c r="I793" s="42"/>
      <c r="J793" s="47"/>
      <c r="K793" s="42"/>
      <c r="L793" s="42"/>
      <c r="M793" s="47"/>
      <c r="N793" s="42"/>
      <c r="O793" s="42"/>
      <c r="P793" s="47"/>
      <c r="Q793" s="42"/>
      <c r="R793" s="42"/>
      <c r="S793" s="47"/>
      <c r="T793" s="42"/>
      <c r="U793" s="42"/>
      <c r="V793" s="47"/>
      <c r="W793" s="42"/>
      <c r="X793" s="42"/>
      <c r="Y793" s="47"/>
      <c r="Z793" s="42"/>
      <c r="AA793" s="42"/>
      <c r="AB793" s="47"/>
      <c r="AC793" s="42"/>
      <c r="AD793" s="42"/>
      <c r="AE793" s="46"/>
      <c r="AF793" s="47"/>
      <c r="AG793" s="48"/>
    </row>
    <row r="794" spans="2:33" s="38" customFormat="1" x14ac:dyDescent="0.25">
      <c r="B794" s="49"/>
      <c r="C794" s="70"/>
      <c r="D794" s="42"/>
      <c r="F794" s="46"/>
      <c r="G794" s="47"/>
      <c r="H794" s="42"/>
      <c r="I794" s="42"/>
      <c r="J794" s="47"/>
      <c r="K794" s="42"/>
      <c r="L794" s="42"/>
      <c r="M794" s="47"/>
      <c r="N794" s="42"/>
      <c r="O794" s="42"/>
      <c r="P794" s="47"/>
      <c r="Q794" s="42"/>
      <c r="R794" s="42"/>
      <c r="S794" s="47"/>
      <c r="T794" s="42"/>
      <c r="U794" s="42"/>
      <c r="V794" s="47"/>
      <c r="W794" s="42"/>
      <c r="X794" s="42"/>
      <c r="Y794" s="47"/>
      <c r="Z794" s="42"/>
      <c r="AA794" s="42"/>
      <c r="AB794" s="47"/>
      <c r="AC794" s="42"/>
      <c r="AD794" s="42"/>
      <c r="AE794" s="46"/>
      <c r="AF794" s="47"/>
      <c r="AG794" s="48"/>
    </row>
    <row r="795" spans="2:33" s="38" customFormat="1" x14ac:dyDescent="0.25">
      <c r="B795" s="49"/>
      <c r="C795" s="70"/>
      <c r="D795" s="42"/>
      <c r="F795" s="46"/>
      <c r="G795" s="47"/>
      <c r="H795" s="42"/>
      <c r="I795" s="42"/>
      <c r="J795" s="47"/>
      <c r="K795" s="42"/>
      <c r="L795" s="42"/>
      <c r="M795" s="47"/>
      <c r="N795" s="42"/>
      <c r="O795" s="42"/>
      <c r="P795" s="47"/>
      <c r="Q795" s="42"/>
      <c r="R795" s="42"/>
      <c r="S795" s="47"/>
      <c r="T795" s="42"/>
      <c r="U795" s="42"/>
      <c r="V795" s="47"/>
      <c r="W795" s="42"/>
      <c r="X795" s="42"/>
      <c r="Y795" s="47"/>
      <c r="Z795" s="42"/>
      <c r="AA795" s="42"/>
      <c r="AB795" s="47"/>
      <c r="AC795" s="42"/>
      <c r="AD795" s="42"/>
      <c r="AE795" s="46"/>
      <c r="AF795" s="47"/>
      <c r="AG795" s="48"/>
    </row>
    <row r="796" spans="2:33" s="38" customFormat="1" x14ac:dyDescent="0.25">
      <c r="B796" s="49"/>
      <c r="C796" s="70"/>
      <c r="D796" s="42"/>
      <c r="F796" s="46"/>
      <c r="G796" s="47"/>
      <c r="H796" s="42"/>
      <c r="I796" s="42"/>
      <c r="J796" s="47"/>
      <c r="K796" s="42"/>
      <c r="L796" s="42"/>
      <c r="M796" s="47"/>
      <c r="N796" s="42"/>
      <c r="O796" s="42"/>
      <c r="P796" s="47"/>
      <c r="Q796" s="42"/>
      <c r="R796" s="42"/>
      <c r="S796" s="47"/>
      <c r="T796" s="42"/>
      <c r="U796" s="42"/>
      <c r="V796" s="47"/>
      <c r="W796" s="42"/>
      <c r="X796" s="42"/>
      <c r="Y796" s="47"/>
      <c r="Z796" s="42"/>
      <c r="AA796" s="42"/>
      <c r="AB796" s="47"/>
      <c r="AC796" s="42"/>
      <c r="AD796" s="42"/>
      <c r="AE796" s="46"/>
      <c r="AF796" s="47"/>
      <c r="AG796" s="48"/>
    </row>
    <row r="797" spans="2:33" s="38" customFormat="1" x14ac:dyDescent="0.25">
      <c r="B797" s="49"/>
      <c r="C797" s="70"/>
      <c r="D797" s="42"/>
      <c r="F797" s="46"/>
      <c r="G797" s="47"/>
      <c r="H797" s="42"/>
      <c r="I797" s="42"/>
      <c r="J797" s="47"/>
      <c r="K797" s="42"/>
      <c r="L797" s="42"/>
      <c r="M797" s="47"/>
      <c r="N797" s="42"/>
      <c r="O797" s="42"/>
      <c r="P797" s="47"/>
      <c r="Q797" s="42"/>
      <c r="R797" s="42"/>
      <c r="S797" s="47"/>
      <c r="T797" s="42"/>
      <c r="U797" s="42"/>
      <c r="V797" s="47"/>
      <c r="W797" s="42"/>
      <c r="X797" s="42"/>
      <c r="Y797" s="47"/>
      <c r="Z797" s="42"/>
      <c r="AA797" s="42"/>
      <c r="AB797" s="47"/>
      <c r="AC797" s="42"/>
      <c r="AD797" s="42"/>
      <c r="AE797" s="46"/>
      <c r="AF797" s="47"/>
      <c r="AG797" s="48"/>
    </row>
    <row r="798" spans="2:33" s="38" customFormat="1" x14ac:dyDescent="0.25">
      <c r="B798" s="49"/>
      <c r="C798" s="70"/>
      <c r="D798" s="42"/>
      <c r="F798" s="46"/>
      <c r="G798" s="47"/>
      <c r="H798" s="42"/>
      <c r="I798" s="42"/>
      <c r="J798" s="47"/>
      <c r="K798" s="42"/>
      <c r="L798" s="42"/>
      <c r="M798" s="47"/>
      <c r="N798" s="42"/>
      <c r="O798" s="42"/>
      <c r="P798" s="47"/>
      <c r="Q798" s="42"/>
      <c r="R798" s="42"/>
      <c r="S798" s="47"/>
      <c r="T798" s="42"/>
      <c r="U798" s="42"/>
      <c r="V798" s="47"/>
      <c r="W798" s="42"/>
      <c r="X798" s="42"/>
      <c r="Y798" s="47"/>
      <c r="Z798" s="42"/>
      <c r="AA798" s="42"/>
      <c r="AB798" s="47"/>
      <c r="AC798" s="42"/>
      <c r="AD798" s="42"/>
      <c r="AE798" s="46"/>
      <c r="AF798" s="47"/>
      <c r="AG798" s="48"/>
    </row>
    <row r="799" spans="2:33" s="38" customFormat="1" x14ac:dyDescent="0.25">
      <c r="B799" s="49"/>
      <c r="C799" s="70"/>
      <c r="D799" s="42"/>
      <c r="F799" s="46"/>
      <c r="G799" s="47"/>
      <c r="H799" s="42"/>
      <c r="I799" s="42"/>
      <c r="J799" s="47"/>
      <c r="K799" s="42"/>
      <c r="L799" s="42"/>
      <c r="M799" s="47"/>
      <c r="N799" s="42"/>
      <c r="O799" s="42"/>
      <c r="P799" s="47"/>
      <c r="Q799" s="42"/>
      <c r="R799" s="42"/>
      <c r="S799" s="47"/>
      <c r="T799" s="42"/>
      <c r="U799" s="42"/>
      <c r="V799" s="47"/>
      <c r="W799" s="42"/>
      <c r="X799" s="42"/>
      <c r="Y799" s="47"/>
      <c r="Z799" s="42"/>
      <c r="AA799" s="42"/>
      <c r="AB799" s="47"/>
      <c r="AC799" s="42"/>
      <c r="AD799" s="42"/>
      <c r="AE799" s="46"/>
      <c r="AF799" s="47"/>
      <c r="AG799" s="48"/>
    </row>
    <row r="800" spans="2:33" s="38" customFormat="1" x14ac:dyDescent="0.25">
      <c r="B800" s="49"/>
      <c r="C800" s="70"/>
      <c r="D800" s="42"/>
      <c r="F800" s="46"/>
      <c r="G800" s="47"/>
      <c r="H800" s="42"/>
      <c r="I800" s="42"/>
      <c r="J800" s="47"/>
      <c r="K800" s="42"/>
      <c r="L800" s="42"/>
      <c r="M800" s="47"/>
      <c r="N800" s="42"/>
      <c r="O800" s="42"/>
      <c r="P800" s="47"/>
      <c r="Q800" s="42"/>
      <c r="R800" s="42"/>
      <c r="S800" s="47"/>
      <c r="T800" s="42"/>
      <c r="U800" s="42"/>
      <c r="V800" s="47"/>
      <c r="W800" s="42"/>
      <c r="X800" s="42"/>
      <c r="Y800" s="47"/>
      <c r="Z800" s="42"/>
      <c r="AA800" s="42"/>
      <c r="AB800" s="47"/>
      <c r="AC800" s="42"/>
      <c r="AD800" s="42"/>
      <c r="AE800" s="46"/>
      <c r="AF800" s="47"/>
      <c r="AG800" s="48"/>
    </row>
    <row r="801" spans="2:33" s="38" customFormat="1" x14ac:dyDescent="0.25">
      <c r="B801" s="49"/>
      <c r="C801" s="70"/>
      <c r="D801" s="42"/>
      <c r="F801" s="46"/>
      <c r="G801" s="47"/>
      <c r="H801" s="42"/>
      <c r="I801" s="42"/>
      <c r="J801" s="47"/>
      <c r="K801" s="42"/>
      <c r="L801" s="42"/>
      <c r="M801" s="47"/>
      <c r="N801" s="42"/>
      <c r="O801" s="42"/>
      <c r="P801" s="47"/>
      <c r="Q801" s="42"/>
      <c r="R801" s="42"/>
      <c r="S801" s="47"/>
      <c r="T801" s="42"/>
      <c r="U801" s="42"/>
      <c r="V801" s="47"/>
      <c r="W801" s="42"/>
      <c r="X801" s="42"/>
      <c r="Y801" s="47"/>
      <c r="Z801" s="42"/>
      <c r="AA801" s="42"/>
      <c r="AB801" s="47"/>
      <c r="AC801" s="42"/>
      <c r="AD801" s="42"/>
      <c r="AE801" s="46"/>
      <c r="AF801" s="47"/>
      <c r="AG801" s="48"/>
    </row>
    <row r="802" spans="2:33" s="38" customFormat="1" x14ac:dyDescent="0.25">
      <c r="B802" s="49"/>
      <c r="C802" s="70"/>
      <c r="D802" s="42"/>
      <c r="F802" s="46"/>
      <c r="G802" s="47"/>
      <c r="H802" s="42"/>
      <c r="I802" s="42"/>
      <c r="J802" s="47"/>
      <c r="K802" s="42"/>
      <c r="L802" s="42"/>
      <c r="M802" s="47"/>
      <c r="N802" s="42"/>
      <c r="O802" s="42"/>
      <c r="P802" s="47"/>
      <c r="Q802" s="42"/>
      <c r="R802" s="42"/>
      <c r="S802" s="47"/>
      <c r="T802" s="42"/>
      <c r="U802" s="42"/>
      <c r="V802" s="47"/>
      <c r="W802" s="42"/>
      <c r="X802" s="42"/>
      <c r="Y802" s="47"/>
      <c r="Z802" s="42"/>
      <c r="AA802" s="42"/>
      <c r="AB802" s="47"/>
      <c r="AC802" s="42"/>
      <c r="AD802" s="42"/>
      <c r="AE802" s="46"/>
      <c r="AF802" s="47"/>
      <c r="AG802" s="48"/>
    </row>
    <row r="803" spans="2:33" s="38" customFormat="1" x14ac:dyDescent="0.25">
      <c r="B803" s="49"/>
      <c r="C803" s="70"/>
      <c r="D803" s="42"/>
      <c r="F803" s="46"/>
      <c r="G803" s="47"/>
      <c r="H803" s="42"/>
      <c r="I803" s="42"/>
      <c r="J803" s="47"/>
      <c r="K803" s="42"/>
      <c r="L803" s="42"/>
      <c r="M803" s="47"/>
      <c r="N803" s="42"/>
      <c r="O803" s="42"/>
      <c r="P803" s="47"/>
      <c r="Q803" s="42"/>
      <c r="R803" s="42"/>
      <c r="S803" s="47"/>
      <c r="T803" s="42"/>
      <c r="U803" s="42"/>
      <c r="V803" s="47"/>
      <c r="W803" s="42"/>
      <c r="X803" s="42"/>
      <c r="Y803" s="47"/>
      <c r="Z803" s="42"/>
      <c r="AA803" s="42"/>
      <c r="AB803" s="47"/>
      <c r="AC803" s="42"/>
      <c r="AD803" s="42"/>
      <c r="AE803" s="46"/>
      <c r="AF803" s="47"/>
      <c r="AG803" s="48"/>
    </row>
    <row r="804" spans="2:33" s="38" customFormat="1" x14ac:dyDescent="0.25">
      <c r="B804" s="49"/>
      <c r="C804" s="70"/>
      <c r="D804" s="42"/>
      <c r="F804" s="46"/>
      <c r="G804" s="47"/>
      <c r="H804" s="42"/>
      <c r="I804" s="42"/>
      <c r="J804" s="47"/>
      <c r="K804" s="42"/>
      <c r="L804" s="42"/>
      <c r="M804" s="47"/>
      <c r="N804" s="42"/>
      <c r="O804" s="42"/>
      <c r="P804" s="47"/>
      <c r="Q804" s="42"/>
      <c r="R804" s="42"/>
      <c r="S804" s="47"/>
      <c r="T804" s="42"/>
      <c r="U804" s="42"/>
      <c r="V804" s="47"/>
      <c r="W804" s="42"/>
      <c r="X804" s="42"/>
      <c r="Y804" s="47"/>
      <c r="Z804" s="42"/>
      <c r="AA804" s="42"/>
      <c r="AB804" s="47"/>
      <c r="AC804" s="42"/>
      <c r="AD804" s="42"/>
      <c r="AE804" s="46"/>
      <c r="AF804" s="47"/>
      <c r="AG804" s="48"/>
    </row>
    <row r="805" spans="2:33" s="38" customFormat="1" x14ac:dyDescent="0.25">
      <c r="B805" s="49"/>
      <c r="C805" s="70"/>
      <c r="D805" s="42"/>
      <c r="F805" s="46"/>
      <c r="G805" s="47"/>
      <c r="H805" s="42"/>
      <c r="I805" s="42"/>
      <c r="J805" s="47"/>
      <c r="K805" s="42"/>
      <c r="L805" s="42"/>
      <c r="M805" s="47"/>
      <c r="N805" s="42"/>
      <c r="O805" s="42"/>
      <c r="P805" s="47"/>
      <c r="Q805" s="42"/>
      <c r="R805" s="42"/>
      <c r="S805" s="47"/>
      <c r="T805" s="42"/>
      <c r="U805" s="42"/>
      <c r="V805" s="47"/>
      <c r="W805" s="42"/>
      <c r="X805" s="42"/>
      <c r="Y805" s="47"/>
      <c r="Z805" s="42"/>
      <c r="AA805" s="42"/>
      <c r="AB805" s="47"/>
      <c r="AC805" s="42"/>
      <c r="AD805" s="42"/>
      <c r="AE805" s="46"/>
      <c r="AF805" s="47"/>
      <c r="AG805" s="48"/>
    </row>
    <row r="806" spans="2:33" s="38" customFormat="1" x14ac:dyDescent="0.25">
      <c r="B806" s="49"/>
      <c r="C806" s="70"/>
      <c r="D806" s="42"/>
      <c r="F806" s="46"/>
      <c r="G806" s="47"/>
      <c r="H806" s="42"/>
      <c r="I806" s="42"/>
      <c r="J806" s="47"/>
      <c r="K806" s="42"/>
      <c r="L806" s="42"/>
      <c r="M806" s="47"/>
      <c r="N806" s="42"/>
      <c r="O806" s="42"/>
      <c r="P806" s="47"/>
      <c r="Q806" s="42"/>
      <c r="R806" s="42"/>
      <c r="S806" s="47"/>
      <c r="T806" s="42"/>
      <c r="U806" s="42"/>
      <c r="V806" s="47"/>
      <c r="W806" s="42"/>
      <c r="X806" s="42"/>
      <c r="Y806" s="47"/>
      <c r="Z806" s="42"/>
      <c r="AA806" s="42"/>
      <c r="AB806" s="47"/>
      <c r="AC806" s="42"/>
      <c r="AD806" s="42"/>
      <c r="AE806" s="46"/>
      <c r="AF806" s="47"/>
      <c r="AG806" s="48"/>
    </row>
    <row r="807" spans="2:33" s="38" customFormat="1" x14ac:dyDescent="0.25">
      <c r="B807" s="49"/>
      <c r="C807" s="70"/>
      <c r="D807" s="42"/>
      <c r="F807" s="46"/>
      <c r="G807" s="47"/>
      <c r="H807" s="42"/>
      <c r="I807" s="42"/>
      <c r="J807" s="47"/>
      <c r="K807" s="42"/>
      <c r="L807" s="42"/>
      <c r="M807" s="47"/>
      <c r="N807" s="42"/>
      <c r="O807" s="42"/>
      <c r="P807" s="47"/>
      <c r="Q807" s="42"/>
      <c r="R807" s="42"/>
      <c r="S807" s="47"/>
      <c r="T807" s="42"/>
      <c r="U807" s="42"/>
      <c r="V807" s="47"/>
      <c r="W807" s="42"/>
      <c r="X807" s="42"/>
      <c r="Y807" s="47"/>
      <c r="Z807" s="42"/>
      <c r="AA807" s="42"/>
      <c r="AB807" s="47"/>
      <c r="AC807" s="42"/>
      <c r="AD807" s="42"/>
      <c r="AE807" s="46"/>
      <c r="AF807" s="47"/>
      <c r="AG807" s="48"/>
    </row>
    <row r="808" spans="2:33" s="38" customFormat="1" x14ac:dyDescent="0.25">
      <c r="B808" s="49"/>
      <c r="C808" s="70"/>
      <c r="D808" s="42"/>
      <c r="F808" s="46"/>
      <c r="G808" s="47"/>
      <c r="H808" s="42"/>
      <c r="I808" s="42"/>
      <c r="J808" s="47"/>
      <c r="K808" s="42"/>
      <c r="L808" s="42"/>
      <c r="M808" s="47"/>
      <c r="N808" s="42"/>
      <c r="O808" s="42"/>
      <c r="P808" s="47"/>
      <c r="Q808" s="42"/>
      <c r="R808" s="42"/>
      <c r="S808" s="47"/>
      <c r="T808" s="42"/>
      <c r="U808" s="42"/>
      <c r="V808" s="47"/>
      <c r="W808" s="42"/>
      <c r="X808" s="42"/>
      <c r="Y808" s="47"/>
      <c r="Z808" s="42"/>
      <c r="AA808" s="42"/>
      <c r="AB808" s="47"/>
      <c r="AC808" s="42"/>
      <c r="AD808" s="42"/>
      <c r="AE808" s="46"/>
      <c r="AF808" s="47"/>
      <c r="AG808" s="48"/>
    </row>
    <row r="809" spans="2:33" s="38" customFormat="1" x14ac:dyDescent="0.25">
      <c r="B809" s="49"/>
      <c r="C809" s="70"/>
      <c r="D809" s="42"/>
      <c r="F809" s="46"/>
      <c r="G809" s="47"/>
      <c r="H809" s="42"/>
      <c r="I809" s="42"/>
      <c r="J809" s="47"/>
      <c r="K809" s="42"/>
      <c r="L809" s="42"/>
      <c r="M809" s="47"/>
      <c r="N809" s="42"/>
      <c r="O809" s="42"/>
      <c r="P809" s="47"/>
      <c r="Q809" s="42"/>
      <c r="R809" s="42"/>
      <c r="S809" s="47"/>
      <c r="T809" s="42"/>
      <c r="U809" s="42"/>
      <c r="V809" s="47"/>
      <c r="W809" s="42"/>
      <c r="X809" s="42"/>
      <c r="Y809" s="47"/>
      <c r="Z809" s="42"/>
      <c r="AA809" s="42"/>
      <c r="AB809" s="47"/>
      <c r="AC809" s="42"/>
      <c r="AD809" s="42"/>
      <c r="AE809" s="46"/>
      <c r="AF809" s="47"/>
      <c r="AG809" s="48"/>
    </row>
    <row r="810" spans="2:33" s="38" customFormat="1" x14ac:dyDescent="0.25">
      <c r="B810" s="49"/>
      <c r="C810" s="70"/>
      <c r="D810" s="42"/>
      <c r="F810" s="46"/>
      <c r="G810" s="47"/>
      <c r="H810" s="42"/>
      <c r="I810" s="42"/>
      <c r="J810" s="47"/>
      <c r="K810" s="42"/>
      <c r="L810" s="42"/>
      <c r="M810" s="47"/>
      <c r="N810" s="42"/>
      <c r="O810" s="42"/>
      <c r="P810" s="47"/>
      <c r="Q810" s="42"/>
      <c r="R810" s="42"/>
      <c r="S810" s="47"/>
      <c r="T810" s="42"/>
      <c r="U810" s="42"/>
      <c r="V810" s="47"/>
      <c r="W810" s="42"/>
      <c r="X810" s="42"/>
      <c r="Y810" s="47"/>
      <c r="Z810" s="42"/>
      <c r="AA810" s="42"/>
      <c r="AB810" s="47"/>
      <c r="AC810" s="42"/>
      <c r="AD810" s="42"/>
      <c r="AE810" s="46"/>
      <c r="AF810" s="47"/>
      <c r="AG810" s="48"/>
    </row>
    <row r="811" spans="2:33" s="38" customFormat="1" x14ac:dyDescent="0.25">
      <c r="B811" s="49"/>
      <c r="C811" s="70"/>
      <c r="D811" s="42"/>
      <c r="F811" s="46"/>
      <c r="G811" s="47"/>
      <c r="H811" s="42"/>
      <c r="I811" s="42"/>
      <c r="J811" s="47"/>
      <c r="K811" s="42"/>
      <c r="L811" s="42"/>
      <c r="M811" s="47"/>
      <c r="N811" s="42"/>
      <c r="O811" s="42"/>
      <c r="P811" s="47"/>
      <c r="Q811" s="42"/>
      <c r="R811" s="42"/>
      <c r="S811" s="47"/>
      <c r="T811" s="42"/>
      <c r="U811" s="42"/>
      <c r="V811" s="47"/>
      <c r="W811" s="42"/>
      <c r="X811" s="42"/>
      <c r="Y811" s="47"/>
      <c r="Z811" s="42"/>
      <c r="AA811" s="42"/>
      <c r="AB811" s="47"/>
      <c r="AC811" s="42"/>
      <c r="AD811" s="42"/>
      <c r="AE811" s="46"/>
      <c r="AF811" s="47"/>
      <c r="AG811" s="48"/>
    </row>
    <row r="812" spans="2:33" s="38" customFormat="1" x14ac:dyDescent="0.25">
      <c r="B812" s="49"/>
      <c r="C812" s="70"/>
      <c r="D812" s="42"/>
      <c r="F812" s="46"/>
      <c r="G812" s="47"/>
      <c r="H812" s="42"/>
      <c r="I812" s="42"/>
      <c r="J812" s="47"/>
      <c r="K812" s="42"/>
      <c r="L812" s="42"/>
      <c r="M812" s="47"/>
      <c r="N812" s="42"/>
      <c r="O812" s="42"/>
      <c r="P812" s="47"/>
      <c r="Q812" s="42"/>
      <c r="R812" s="42"/>
      <c r="S812" s="47"/>
      <c r="T812" s="42"/>
      <c r="U812" s="42"/>
      <c r="V812" s="47"/>
      <c r="W812" s="42"/>
      <c r="X812" s="42"/>
      <c r="Y812" s="47"/>
      <c r="Z812" s="42"/>
      <c r="AA812" s="42"/>
      <c r="AB812" s="47"/>
      <c r="AC812" s="42"/>
      <c r="AD812" s="42"/>
      <c r="AE812" s="46"/>
      <c r="AF812" s="47"/>
      <c r="AG812" s="48"/>
    </row>
    <row r="813" spans="2:33" s="38" customFormat="1" x14ac:dyDescent="0.25">
      <c r="B813" s="49"/>
      <c r="C813" s="70"/>
      <c r="D813" s="42"/>
      <c r="F813" s="46"/>
      <c r="G813" s="47"/>
      <c r="H813" s="42"/>
      <c r="I813" s="42"/>
      <c r="J813" s="47"/>
      <c r="K813" s="42"/>
      <c r="L813" s="42"/>
      <c r="M813" s="47"/>
      <c r="N813" s="42"/>
      <c r="O813" s="42"/>
      <c r="P813" s="47"/>
      <c r="Q813" s="42"/>
      <c r="R813" s="42"/>
      <c r="S813" s="47"/>
      <c r="T813" s="42"/>
      <c r="U813" s="42"/>
      <c r="V813" s="47"/>
      <c r="W813" s="42"/>
      <c r="X813" s="42"/>
      <c r="Y813" s="47"/>
      <c r="Z813" s="42"/>
      <c r="AA813" s="42"/>
      <c r="AB813" s="47"/>
      <c r="AC813" s="42"/>
      <c r="AD813" s="42"/>
      <c r="AE813" s="46"/>
      <c r="AF813" s="47"/>
      <c r="AG813" s="48"/>
    </row>
    <row r="814" spans="2:33" s="38" customFormat="1" x14ac:dyDescent="0.25">
      <c r="B814" s="49"/>
      <c r="C814" s="70"/>
      <c r="D814" s="42"/>
      <c r="F814" s="46"/>
      <c r="G814" s="47"/>
      <c r="H814" s="42"/>
      <c r="I814" s="42"/>
      <c r="J814" s="47"/>
      <c r="K814" s="42"/>
      <c r="L814" s="42"/>
      <c r="M814" s="47"/>
      <c r="N814" s="42"/>
      <c r="O814" s="42"/>
      <c r="P814" s="47"/>
      <c r="Q814" s="42"/>
      <c r="R814" s="42"/>
      <c r="S814" s="47"/>
      <c r="T814" s="42"/>
      <c r="U814" s="42"/>
      <c r="V814" s="47"/>
      <c r="W814" s="42"/>
      <c r="X814" s="42"/>
      <c r="Y814" s="47"/>
      <c r="Z814" s="42"/>
      <c r="AA814" s="42"/>
      <c r="AB814" s="47"/>
      <c r="AC814" s="42"/>
      <c r="AD814" s="42"/>
      <c r="AE814" s="46"/>
      <c r="AF814" s="47"/>
      <c r="AG814" s="48"/>
    </row>
    <row r="815" spans="2:33" s="38" customFormat="1" x14ac:dyDescent="0.25">
      <c r="B815" s="49"/>
      <c r="C815" s="70"/>
      <c r="D815" s="42"/>
      <c r="F815" s="46"/>
      <c r="G815" s="47"/>
      <c r="H815" s="42"/>
      <c r="I815" s="42"/>
      <c r="J815" s="47"/>
      <c r="K815" s="42"/>
      <c r="L815" s="42"/>
      <c r="M815" s="47"/>
      <c r="N815" s="42"/>
      <c r="O815" s="42"/>
      <c r="P815" s="47"/>
      <c r="Q815" s="42"/>
      <c r="R815" s="42"/>
      <c r="S815" s="47"/>
      <c r="T815" s="42"/>
      <c r="U815" s="42"/>
      <c r="V815" s="47"/>
      <c r="W815" s="42"/>
      <c r="X815" s="42"/>
      <c r="Y815" s="47"/>
      <c r="Z815" s="42"/>
      <c r="AA815" s="42"/>
      <c r="AB815" s="47"/>
      <c r="AC815" s="42"/>
      <c r="AD815" s="42"/>
      <c r="AE815" s="46"/>
      <c r="AF815" s="47"/>
      <c r="AG815" s="48"/>
    </row>
    <row r="816" spans="2:33" s="38" customFormat="1" x14ac:dyDescent="0.25">
      <c r="B816" s="49"/>
      <c r="C816" s="70"/>
      <c r="D816" s="42"/>
      <c r="F816" s="46"/>
      <c r="G816" s="47"/>
      <c r="H816" s="42"/>
      <c r="I816" s="42"/>
      <c r="J816" s="47"/>
      <c r="K816" s="42"/>
      <c r="L816" s="42"/>
      <c r="M816" s="47"/>
      <c r="N816" s="42"/>
      <c r="O816" s="42"/>
      <c r="P816" s="47"/>
      <c r="Q816" s="42"/>
      <c r="R816" s="42"/>
      <c r="S816" s="47"/>
      <c r="T816" s="42"/>
      <c r="U816" s="42"/>
      <c r="V816" s="47"/>
      <c r="W816" s="42"/>
      <c r="X816" s="42"/>
      <c r="Y816" s="47"/>
      <c r="Z816" s="42"/>
      <c r="AA816" s="42"/>
      <c r="AB816" s="47"/>
      <c r="AC816" s="42"/>
      <c r="AD816" s="42"/>
      <c r="AE816" s="46"/>
      <c r="AF816" s="47"/>
      <c r="AG816" s="48"/>
    </row>
    <row r="817" spans="2:33" s="38" customFormat="1" x14ac:dyDescent="0.25">
      <c r="B817" s="49"/>
      <c r="C817" s="70"/>
      <c r="D817" s="42"/>
      <c r="F817" s="46"/>
      <c r="G817" s="47"/>
      <c r="H817" s="42"/>
      <c r="I817" s="42"/>
      <c r="J817" s="47"/>
      <c r="K817" s="42"/>
      <c r="L817" s="42"/>
      <c r="M817" s="47"/>
      <c r="N817" s="42"/>
      <c r="O817" s="42"/>
      <c r="P817" s="47"/>
      <c r="Q817" s="42"/>
      <c r="R817" s="42"/>
      <c r="S817" s="47"/>
      <c r="T817" s="42"/>
      <c r="U817" s="42"/>
      <c r="V817" s="47"/>
      <c r="W817" s="42"/>
      <c r="X817" s="42"/>
      <c r="Y817" s="47"/>
      <c r="Z817" s="42"/>
      <c r="AA817" s="42"/>
      <c r="AB817" s="47"/>
      <c r="AC817" s="42"/>
      <c r="AD817" s="42"/>
      <c r="AE817" s="46"/>
      <c r="AF817" s="47"/>
      <c r="AG817" s="48"/>
    </row>
    <row r="818" spans="2:33" s="38" customFormat="1" x14ac:dyDescent="0.25">
      <c r="B818" s="49"/>
      <c r="C818" s="70"/>
      <c r="D818" s="42"/>
      <c r="F818" s="46"/>
      <c r="G818" s="47"/>
      <c r="H818" s="42"/>
      <c r="I818" s="42"/>
      <c r="J818" s="47"/>
      <c r="K818" s="42"/>
      <c r="L818" s="42"/>
      <c r="M818" s="47"/>
      <c r="N818" s="42"/>
      <c r="O818" s="42"/>
      <c r="P818" s="47"/>
      <c r="Q818" s="42"/>
      <c r="R818" s="42"/>
      <c r="S818" s="47"/>
      <c r="T818" s="42"/>
      <c r="U818" s="42"/>
      <c r="V818" s="47"/>
      <c r="W818" s="42"/>
      <c r="X818" s="42"/>
      <c r="Y818" s="47"/>
      <c r="Z818" s="42"/>
      <c r="AA818" s="42"/>
      <c r="AB818" s="47"/>
      <c r="AC818" s="42"/>
      <c r="AD818" s="42"/>
      <c r="AE818" s="46"/>
      <c r="AF818" s="47"/>
      <c r="AG818" s="48"/>
    </row>
    <row r="819" spans="2:33" s="38" customFormat="1" x14ac:dyDescent="0.25">
      <c r="B819" s="49"/>
      <c r="C819" s="70"/>
      <c r="D819" s="42"/>
      <c r="F819" s="46"/>
      <c r="G819" s="47"/>
      <c r="H819" s="42"/>
      <c r="I819" s="42"/>
      <c r="J819" s="47"/>
      <c r="K819" s="42"/>
      <c r="L819" s="42"/>
      <c r="M819" s="47"/>
      <c r="N819" s="42"/>
      <c r="O819" s="42"/>
      <c r="P819" s="47"/>
      <c r="Q819" s="42"/>
      <c r="R819" s="42"/>
      <c r="S819" s="47"/>
      <c r="T819" s="42"/>
      <c r="U819" s="42"/>
      <c r="V819" s="47"/>
      <c r="W819" s="42"/>
      <c r="X819" s="42"/>
      <c r="Y819" s="47"/>
      <c r="Z819" s="42"/>
      <c r="AA819" s="42"/>
      <c r="AB819" s="47"/>
      <c r="AC819" s="42"/>
      <c r="AD819" s="42"/>
      <c r="AE819" s="46"/>
      <c r="AF819" s="47"/>
      <c r="AG819" s="48"/>
    </row>
    <row r="820" spans="2:33" s="38" customFormat="1" x14ac:dyDescent="0.25">
      <c r="B820" s="49"/>
      <c r="C820" s="70"/>
      <c r="D820" s="42"/>
      <c r="F820" s="46"/>
      <c r="G820" s="47"/>
      <c r="H820" s="42"/>
      <c r="I820" s="42"/>
      <c r="J820" s="47"/>
      <c r="K820" s="42"/>
      <c r="L820" s="42"/>
      <c r="M820" s="47"/>
      <c r="N820" s="42"/>
      <c r="O820" s="42"/>
      <c r="P820" s="47"/>
      <c r="Q820" s="42"/>
      <c r="R820" s="42"/>
      <c r="S820" s="47"/>
      <c r="T820" s="42"/>
      <c r="U820" s="42"/>
      <c r="V820" s="47"/>
      <c r="W820" s="42"/>
      <c r="X820" s="42"/>
      <c r="Y820" s="47"/>
      <c r="Z820" s="42"/>
      <c r="AA820" s="42"/>
      <c r="AB820" s="47"/>
      <c r="AC820" s="42"/>
      <c r="AD820" s="42"/>
      <c r="AE820" s="46"/>
      <c r="AF820" s="47"/>
      <c r="AG820" s="48"/>
    </row>
    <row r="821" spans="2:33" s="38" customFormat="1" x14ac:dyDescent="0.25">
      <c r="B821" s="49"/>
      <c r="C821" s="70"/>
      <c r="D821" s="42"/>
      <c r="F821" s="46"/>
      <c r="G821" s="47"/>
      <c r="H821" s="42"/>
      <c r="I821" s="42"/>
      <c r="J821" s="47"/>
      <c r="K821" s="42"/>
      <c r="L821" s="42"/>
      <c r="M821" s="47"/>
      <c r="N821" s="42"/>
      <c r="O821" s="42"/>
      <c r="P821" s="47"/>
      <c r="Q821" s="42"/>
      <c r="R821" s="42"/>
      <c r="S821" s="47"/>
      <c r="T821" s="42"/>
      <c r="U821" s="42"/>
      <c r="V821" s="47"/>
      <c r="W821" s="42"/>
      <c r="X821" s="42"/>
      <c r="Y821" s="47"/>
      <c r="Z821" s="42"/>
      <c r="AA821" s="42"/>
      <c r="AB821" s="47"/>
      <c r="AC821" s="42"/>
      <c r="AD821" s="42"/>
      <c r="AE821" s="46"/>
      <c r="AF821" s="47"/>
      <c r="AG821" s="48"/>
    </row>
    <row r="822" spans="2:33" s="38" customFormat="1" x14ac:dyDescent="0.25">
      <c r="B822" s="49"/>
      <c r="C822" s="70"/>
      <c r="D822" s="42"/>
      <c r="F822" s="46"/>
      <c r="G822" s="47"/>
      <c r="H822" s="42"/>
      <c r="I822" s="42"/>
      <c r="J822" s="47"/>
      <c r="K822" s="42"/>
      <c r="L822" s="42"/>
      <c r="M822" s="47"/>
      <c r="N822" s="42"/>
      <c r="O822" s="42"/>
      <c r="P822" s="47"/>
      <c r="Q822" s="42"/>
      <c r="R822" s="42"/>
      <c r="S822" s="47"/>
      <c r="T822" s="42"/>
      <c r="U822" s="42"/>
      <c r="V822" s="47"/>
      <c r="W822" s="42"/>
      <c r="X822" s="42"/>
      <c r="Y822" s="47"/>
      <c r="Z822" s="42"/>
      <c r="AA822" s="42"/>
      <c r="AB822" s="47"/>
      <c r="AC822" s="42"/>
      <c r="AD822" s="42"/>
      <c r="AE822" s="46"/>
      <c r="AF822" s="47"/>
      <c r="AG822" s="48"/>
    </row>
    <row r="823" spans="2:33" s="38" customFormat="1" x14ac:dyDescent="0.25">
      <c r="B823" s="49"/>
      <c r="C823" s="70"/>
      <c r="D823" s="42"/>
      <c r="F823" s="46"/>
      <c r="G823" s="47"/>
      <c r="H823" s="42"/>
      <c r="I823" s="42"/>
      <c r="J823" s="47"/>
      <c r="K823" s="42"/>
      <c r="L823" s="42"/>
      <c r="M823" s="47"/>
      <c r="N823" s="42"/>
      <c r="O823" s="42"/>
      <c r="P823" s="47"/>
      <c r="Q823" s="42"/>
      <c r="R823" s="42"/>
      <c r="S823" s="47"/>
      <c r="T823" s="42"/>
      <c r="U823" s="42"/>
      <c r="V823" s="47"/>
      <c r="W823" s="42"/>
      <c r="X823" s="42"/>
      <c r="Y823" s="47"/>
      <c r="Z823" s="42"/>
      <c r="AA823" s="42"/>
      <c r="AB823" s="47"/>
      <c r="AC823" s="42"/>
      <c r="AD823" s="42"/>
      <c r="AE823" s="46"/>
      <c r="AF823" s="47"/>
      <c r="AG823" s="48"/>
    </row>
    <row r="824" spans="2:33" s="38" customFormat="1" x14ac:dyDescent="0.25">
      <c r="B824" s="49"/>
      <c r="C824" s="70"/>
      <c r="D824" s="42"/>
      <c r="F824" s="46"/>
      <c r="G824" s="47"/>
      <c r="H824" s="42"/>
      <c r="I824" s="42"/>
      <c r="J824" s="47"/>
      <c r="K824" s="42"/>
      <c r="L824" s="42"/>
      <c r="M824" s="47"/>
      <c r="N824" s="42"/>
      <c r="O824" s="42"/>
      <c r="P824" s="47"/>
      <c r="Q824" s="42"/>
      <c r="R824" s="42"/>
      <c r="S824" s="47"/>
      <c r="T824" s="42"/>
      <c r="U824" s="42"/>
      <c r="V824" s="47"/>
      <c r="W824" s="42"/>
      <c r="X824" s="42"/>
      <c r="Y824" s="47"/>
      <c r="Z824" s="42"/>
      <c r="AA824" s="42"/>
      <c r="AB824" s="47"/>
      <c r="AC824" s="42"/>
      <c r="AD824" s="42"/>
      <c r="AE824" s="46"/>
      <c r="AF824" s="47"/>
      <c r="AG824" s="48"/>
    </row>
    <row r="825" spans="2:33" s="38" customFormat="1" x14ac:dyDescent="0.25">
      <c r="B825" s="49"/>
      <c r="C825" s="70"/>
      <c r="D825" s="42"/>
      <c r="F825" s="46"/>
      <c r="G825" s="47"/>
      <c r="H825" s="42"/>
      <c r="I825" s="42"/>
      <c r="J825" s="47"/>
      <c r="K825" s="42"/>
      <c r="L825" s="42"/>
      <c r="M825" s="47"/>
      <c r="N825" s="42"/>
      <c r="O825" s="42"/>
      <c r="P825" s="47"/>
      <c r="Q825" s="42"/>
      <c r="R825" s="42"/>
      <c r="S825" s="47"/>
      <c r="T825" s="42"/>
      <c r="U825" s="42"/>
      <c r="V825" s="47"/>
      <c r="W825" s="42"/>
      <c r="X825" s="42"/>
      <c r="Y825" s="47"/>
      <c r="Z825" s="42"/>
      <c r="AA825" s="42"/>
      <c r="AB825" s="47"/>
      <c r="AC825" s="42"/>
      <c r="AD825" s="42"/>
      <c r="AE825" s="46"/>
      <c r="AF825" s="47"/>
      <c r="AG825" s="48"/>
    </row>
    <row r="826" spans="2:33" s="38" customFormat="1" x14ac:dyDescent="0.25">
      <c r="B826" s="49"/>
      <c r="C826" s="70"/>
      <c r="D826" s="42"/>
      <c r="F826" s="46"/>
      <c r="G826" s="47"/>
      <c r="H826" s="42"/>
      <c r="I826" s="42"/>
      <c r="J826" s="47"/>
      <c r="K826" s="42"/>
      <c r="L826" s="42"/>
      <c r="M826" s="47"/>
      <c r="N826" s="42"/>
      <c r="O826" s="42"/>
      <c r="P826" s="47"/>
      <c r="Q826" s="42"/>
      <c r="R826" s="42"/>
      <c r="S826" s="47"/>
      <c r="T826" s="42"/>
      <c r="U826" s="42"/>
      <c r="V826" s="47"/>
      <c r="W826" s="42"/>
      <c r="X826" s="42"/>
      <c r="Y826" s="47"/>
      <c r="Z826" s="42"/>
      <c r="AA826" s="42"/>
      <c r="AB826" s="47"/>
      <c r="AC826" s="42"/>
      <c r="AD826" s="42"/>
      <c r="AE826" s="46"/>
      <c r="AF826" s="47"/>
      <c r="AG826" s="48"/>
    </row>
    <row r="827" spans="2:33" s="38" customFormat="1" x14ac:dyDescent="0.25">
      <c r="B827" s="49"/>
      <c r="C827" s="70"/>
      <c r="D827" s="42"/>
      <c r="F827" s="46"/>
      <c r="G827" s="47"/>
      <c r="H827" s="42"/>
      <c r="I827" s="42"/>
      <c r="J827" s="47"/>
      <c r="K827" s="42"/>
      <c r="L827" s="42"/>
      <c r="M827" s="47"/>
      <c r="N827" s="42"/>
      <c r="O827" s="42"/>
      <c r="P827" s="47"/>
      <c r="Q827" s="42"/>
      <c r="R827" s="42"/>
      <c r="S827" s="47"/>
      <c r="T827" s="42"/>
      <c r="U827" s="42"/>
      <c r="V827" s="47"/>
      <c r="W827" s="42"/>
      <c r="X827" s="42"/>
      <c r="Y827" s="47"/>
      <c r="Z827" s="42"/>
      <c r="AA827" s="42"/>
      <c r="AB827" s="47"/>
      <c r="AC827" s="42"/>
      <c r="AD827" s="42"/>
      <c r="AE827" s="46"/>
      <c r="AF827" s="47"/>
      <c r="AG827" s="48"/>
    </row>
    <row r="828" spans="2:33" s="38" customFormat="1" x14ac:dyDescent="0.25">
      <c r="B828" s="49"/>
      <c r="C828" s="70"/>
      <c r="D828" s="42"/>
      <c r="F828" s="46"/>
      <c r="G828" s="47"/>
      <c r="H828" s="42"/>
      <c r="I828" s="42"/>
      <c r="J828" s="47"/>
      <c r="K828" s="42"/>
      <c r="L828" s="42"/>
      <c r="M828" s="47"/>
      <c r="N828" s="42"/>
      <c r="O828" s="42"/>
      <c r="P828" s="47"/>
      <c r="Q828" s="42"/>
      <c r="R828" s="42"/>
      <c r="S828" s="47"/>
      <c r="T828" s="42"/>
      <c r="U828" s="42"/>
      <c r="V828" s="47"/>
      <c r="W828" s="42"/>
      <c r="X828" s="42"/>
      <c r="Y828" s="47"/>
      <c r="Z828" s="42"/>
      <c r="AA828" s="42"/>
      <c r="AB828" s="47"/>
      <c r="AC828" s="42"/>
      <c r="AD828" s="42"/>
      <c r="AE828" s="46"/>
      <c r="AF828" s="47"/>
      <c r="AG828" s="48"/>
    </row>
    <row r="829" spans="2:33" s="38" customFormat="1" x14ac:dyDescent="0.25">
      <c r="B829" s="49"/>
      <c r="C829" s="70"/>
      <c r="D829" s="42"/>
      <c r="F829" s="46"/>
      <c r="G829" s="47"/>
      <c r="H829" s="42"/>
      <c r="I829" s="42"/>
      <c r="J829" s="47"/>
      <c r="K829" s="42"/>
      <c r="L829" s="42"/>
      <c r="M829" s="47"/>
      <c r="N829" s="42"/>
      <c r="O829" s="42"/>
      <c r="P829" s="47"/>
      <c r="Q829" s="42"/>
      <c r="R829" s="42"/>
      <c r="S829" s="47"/>
      <c r="T829" s="42"/>
      <c r="U829" s="42"/>
      <c r="V829" s="47"/>
      <c r="W829" s="42"/>
      <c r="X829" s="42"/>
      <c r="Y829" s="47"/>
      <c r="Z829" s="42"/>
      <c r="AA829" s="42"/>
      <c r="AB829" s="47"/>
      <c r="AC829" s="42"/>
      <c r="AD829" s="42"/>
      <c r="AE829" s="46"/>
      <c r="AF829" s="47"/>
      <c r="AG829" s="48"/>
    </row>
    <row r="830" spans="2:33" s="38" customFormat="1" x14ac:dyDescent="0.25">
      <c r="B830" s="49"/>
      <c r="C830" s="70"/>
      <c r="D830" s="42"/>
      <c r="F830" s="46"/>
      <c r="G830" s="47"/>
      <c r="H830" s="42"/>
      <c r="I830" s="42"/>
      <c r="J830" s="47"/>
      <c r="K830" s="42"/>
      <c r="L830" s="42"/>
      <c r="M830" s="47"/>
      <c r="N830" s="42"/>
      <c r="O830" s="42"/>
      <c r="P830" s="47"/>
      <c r="Q830" s="42"/>
      <c r="R830" s="42"/>
      <c r="S830" s="47"/>
      <c r="T830" s="42"/>
      <c r="U830" s="42"/>
      <c r="V830" s="47"/>
      <c r="W830" s="42"/>
      <c r="X830" s="42"/>
      <c r="Y830" s="47"/>
      <c r="Z830" s="42"/>
      <c r="AA830" s="42"/>
      <c r="AB830" s="47"/>
      <c r="AC830" s="42"/>
      <c r="AD830" s="42"/>
      <c r="AE830" s="46"/>
      <c r="AF830" s="47"/>
      <c r="AG830" s="48"/>
    </row>
    <row r="831" spans="2:33" s="38" customFormat="1" x14ac:dyDescent="0.25">
      <c r="B831" s="49"/>
      <c r="C831" s="70"/>
      <c r="D831" s="42"/>
      <c r="F831" s="46"/>
      <c r="G831" s="47"/>
      <c r="H831" s="42"/>
      <c r="I831" s="42"/>
      <c r="J831" s="47"/>
      <c r="K831" s="42"/>
      <c r="L831" s="42"/>
      <c r="M831" s="47"/>
      <c r="N831" s="42"/>
      <c r="O831" s="42"/>
      <c r="P831" s="47"/>
      <c r="Q831" s="42"/>
      <c r="R831" s="42"/>
      <c r="S831" s="47"/>
      <c r="T831" s="42"/>
      <c r="U831" s="42"/>
      <c r="V831" s="47"/>
      <c r="W831" s="42"/>
      <c r="X831" s="42"/>
      <c r="Y831" s="47"/>
      <c r="Z831" s="42"/>
      <c r="AA831" s="42"/>
      <c r="AB831" s="47"/>
      <c r="AC831" s="42"/>
      <c r="AD831" s="42"/>
      <c r="AE831" s="46"/>
      <c r="AF831" s="47"/>
      <c r="AG831" s="48"/>
    </row>
    <row r="832" spans="2:33" s="38" customFormat="1" x14ac:dyDescent="0.25">
      <c r="B832" s="49"/>
      <c r="C832" s="70"/>
      <c r="D832" s="42"/>
      <c r="F832" s="46"/>
      <c r="G832" s="47"/>
      <c r="H832" s="42"/>
      <c r="I832" s="42"/>
      <c r="J832" s="47"/>
      <c r="K832" s="42"/>
      <c r="L832" s="42"/>
      <c r="M832" s="47"/>
      <c r="N832" s="42"/>
      <c r="O832" s="42"/>
      <c r="P832" s="47"/>
      <c r="Q832" s="42"/>
      <c r="R832" s="42"/>
      <c r="S832" s="47"/>
      <c r="T832" s="42"/>
      <c r="U832" s="42"/>
      <c r="V832" s="47"/>
      <c r="W832" s="42"/>
      <c r="X832" s="42"/>
      <c r="Y832" s="47"/>
      <c r="Z832" s="42"/>
      <c r="AA832" s="42"/>
      <c r="AB832" s="47"/>
      <c r="AC832" s="42"/>
      <c r="AD832" s="42"/>
      <c r="AE832" s="46"/>
      <c r="AF832" s="47"/>
      <c r="AG832" s="48"/>
    </row>
    <row r="833" spans="2:33" s="38" customFormat="1" x14ac:dyDescent="0.25">
      <c r="B833" s="49"/>
      <c r="C833" s="70"/>
      <c r="D833" s="42"/>
      <c r="F833" s="46"/>
      <c r="G833" s="47"/>
      <c r="H833" s="42"/>
      <c r="I833" s="42"/>
      <c r="J833" s="47"/>
      <c r="K833" s="42"/>
      <c r="L833" s="42"/>
      <c r="M833" s="47"/>
      <c r="N833" s="42"/>
      <c r="O833" s="42"/>
      <c r="P833" s="47"/>
      <c r="Q833" s="42"/>
      <c r="R833" s="42"/>
      <c r="S833" s="47"/>
      <c r="T833" s="42"/>
      <c r="U833" s="42"/>
      <c r="V833" s="47"/>
      <c r="W833" s="42"/>
      <c r="X833" s="42"/>
      <c r="Y833" s="47"/>
      <c r="Z833" s="42"/>
      <c r="AA833" s="42"/>
      <c r="AB833" s="47"/>
      <c r="AC833" s="42"/>
      <c r="AD833" s="42"/>
      <c r="AE833" s="46"/>
      <c r="AF833" s="47"/>
      <c r="AG833" s="48"/>
    </row>
    <row r="834" spans="2:33" s="38" customFormat="1" x14ac:dyDescent="0.25">
      <c r="B834" s="49"/>
      <c r="C834" s="70"/>
      <c r="D834" s="42"/>
      <c r="F834" s="46"/>
      <c r="G834" s="47"/>
      <c r="H834" s="42"/>
      <c r="I834" s="42"/>
      <c r="J834" s="47"/>
      <c r="K834" s="42"/>
      <c r="L834" s="42"/>
      <c r="M834" s="47"/>
      <c r="N834" s="42"/>
      <c r="O834" s="42"/>
      <c r="P834" s="47"/>
      <c r="Q834" s="42"/>
      <c r="R834" s="42"/>
      <c r="S834" s="47"/>
      <c r="T834" s="42"/>
      <c r="U834" s="42"/>
      <c r="V834" s="47"/>
      <c r="W834" s="42"/>
      <c r="X834" s="42"/>
      <c r="Y834" s="47"/>
      <c r="Z834" s="42"/>
      <c r="AA834" s="42"/>
      <c r="AB834" s="47"/>
      <c r="AC834" s="42"/>
      <c r="AD834" s="42"/>
      <c r="AE834" s="46"/>
      <c r="AF834" s="47"/>
      <c r="AG834" s="48"/>
    </row>
    <row r="835" spans="2:33" s="38" customFormat="1" x14ac:dyDescent="0.25">
      <c r="B835" s="49"/>
      <c r="C835" s="70"/>
      <c r="D835" s="42"/>
      <c r="F835" s="46"/>
      <c r="G835" s="47"/>
      <c r="H835" s="42"/>
      <c r="I835" s="42"/>
      <c r="J835" s="47"/>
      <c r="K835" s="42"/>
      <c r="L835" s="42"/>
      <c r="M835" s="47"/>
      <c r="N835" s="42"/>
      <c r="O835" s="42"/>
      <c r="P835" s="47"/>
      <c r="Q835" s="42"/>
      <c r="R835" s="42"/>
      <c r="S835" s="47"/>
      <c r="T835" s="42"/>
      <c r="U835" s="42"/>
      <c r="V835" s="47"/>
      <c r="W835" s="42"/>
      <c r="X835" s="42"/>
      <c r="Y835" s="47"/>
      <c r="Z835" s="42"/>
      <c r="AA835" s="42"/>
      <c r="AB835" s="47"/>
      <c r="AC835" s="42"/>
      <c r="AD835" s="42"/>
      <c r="AE835" s="46"/>
      <c r="AF835" s="47"/>
      <c r="AG835" s="48"/>
    </row>
    <row r="836" spans="2:33" s="38" customFormat="1" x14ac:dyDescent="0.25">
      <c r="B836" s="49"/>
      <c r="C836" s="70"/>
      <c r="D836" s="42"/>
      <c r="F836" s="46"/>
      <c r="G836" s="47"/>
      <c r="H836" s="42"/>
      <c r="I836" s="42"/>
      <c r="J836" s="47"/>
      <c r="K836" s="42"/>
      <c r="L836" s="42"/>
      <c r="M836" s="47"/>
      <c r="N836" s="42"/>
      <c r="O836" s="42"/>
      <c r="P836" s="47"/>
      <c r="Q836" s="42"/>
      <c r="R836" s="42"/>
      <c r="S836" s="47"/>
      <c r="T836" s="42"/>
      <c r="U836" s="42"/>
      <c r="V836" s="47"/>
      <c r="W836" s="42"/>
      <c r="X836" s="42"/>
      <c r="Y836" s="47"/>
      <c r="Z836" s="42"/>
      <c r="AA836" s="42"/>
      <c r="AB836" s="47"/>
      <c r="AC836" s="42"/>
      <c r="AD836" s="42"/>
      <c r="AE836" s="46"/>
      <c r="AF836" s="47"/>
      <c r="AG836" s="48"/>
    </row>
    <row r="837" spans="2:33" s="38" customFormat="1" x14ac:dyDescent="0.25">
      <c r="B837" s="49"/>
      <c r="C837" s="70"/>
      <c r="D837" s="42"/>
      <c r="F837" s="46"/>
      <c r="G837" s="47"/>
      <c r="H837" s="42"/>
      <c r="I837" s="42"/>
      <c r="J837" s="47"/>
      <c r="K837" s="42"/>
      <c r="L837" s="42"/>
      <c r="M837" s="47"/>
      <c r="N837" s="42"/>
      <c r="O837" s="42"/>
      <c r="P837" s="47"/>
      <c r="Q837" s="42"/>
      <c r="R837" s="42"/>
      <c r="S837" s="47"/>
      <c r="T837" s="42"/>
      <c r="U837" s="42"/>
      <c r="V837" s="47"/>
      <c r="W837" s="42"/>
      <c r="X837" s="42"/>
      <c r="Y837" s="47"/>
      <c r="Z837" s="42"/>
      <c r="AA837" s="42"/>
      <c r="AB837" s="47"/>
      <c r="AC837" s="42"/>
      <c r="AD837" s="42"/>
      <c r="AE837" s="46"/>
      <c r="AF837" s="47"/>
      <c r="AG837" s="48"/>
    </row>
    <row r="838" spans="2:33" s="38" customFormat="1" x14ac:dyDescent="0.25">
      <c r="B838" s="49"/>
      <c r="C838" s="70"/>
      <c r="D838" s="42"/>
      <c r="F838" s="46"/>
      <c r="G838" s="47"/>
      <c r="H838" s="42"/>
      <c r="I838" s="42"/>
      <c r="J838" s="47"/>
      <c r="K838" s="42"/>
      <c r="L838" s="42"/>
      <c r="M838" s="47"/>
      <c r="N838" s="42"/>
      <c r="O838" s="42"/>
      <c r="P838" s="47"/>
      <c r="Q838" s="42"/>
      <c r="R838" s="42"/>
      <c r="S838" s="47"/>
      <c r="T838" s="42"/>
      <c r="U838" s="42"/>
      <c r="V838" s="47"/>
      <c r="W838" s="42"/>
      <c r="X838" s="42"/>
      <c r="Y838" s="47"/>
      <c r="Z838" s="42"/>
      <c r="AA838" s="42"/>
      <c r="AB838" s="47"/>
      <c r="AC838" s="42"/>
      <c r="AD838" s="42"/>
      <c r="AE838" s="46"/>
      <c r="AF838" s="47"/>
      <c r="AG838" s="48"/>
    </row>
    <row r="839" spans="2:33" s="38" customFormat="1" x14ac:dyDescent="0.25">
      <c r="B839" s="49"/>
      <c r="C839" s="70"/>
      <c r="D839" s="42"/>
      <c r="F839" s="46"/>
      <c r="G839" s="47"/>
      <c r="H839" s="42"/>
      <c r="I839" s="42"/>
      <c r="J839" s="47"/>
      <c r="K839" s="42"/>
      <c r="L839" s="42"/>
      <c r="M839" s="47"/>
      <c r="N839" s="42"/>
      <c r="O839" s="42"/>
      <c r="P839" s="47"/>
      <c r="Q839" s="42"/>
      <c r="R839" s="42"/>
      <c r="S839" s="47"/>
      <c r="T839" s="42"/>
      <c r="U839" s="42"/>
      <c r="V839" s="47"/>
      <c r="W839" s="42"/>
      <c r="X839" s="42"/>
      <c r="Y839" s="47"/>
      <c r="Z839" s="42"/>
      <c r="AA839" s="42"/>
      <c r="AB839" s="47"/>
      <c r="AC839" s="42"/>
      <c r="AD839" s="42"/>
      <c r="AE839" s="46"/>
      <c r="AF839" s="47"/>
      <c r="AG839" s="48"/>
    </row>
    <row r="840" spans="2:33" s="38" customFormat="1" x14ac:dyDescent="0.25">
      <c r="B840" s="49"/>
      <c r="C840" s="70"/>
      <c r="D840" s="42"/>
      <c r="F840" s="46"/>
      <c r="G840" s="47"/>
      <c r="H840" s="42"/>
      <c r="I840" s="42"/>
      <c r="J840" s="47"/>
      <c r="K840" s="42"/>
      <c r="L840" s="42"/>
      <c r="M840" s="47"/>
      <c r="N840" s="42"/>
      <c r="O840" s="42"/>
      <c r="P840" s="47"/>
      <c r="Q840" s="42"/>
      <c r="R840" s="42"/>
      <c r="S840" s="47"/>
      <c r="T840" s="42"/>
      <c r="U840" s="42"/>
      <c r="V840" s="47"/>
      <c r="W840" s="42"/>
      <c r="X840" s="42"/>
      <c r="Y840" s="47"/>
      <c r="Z840" s="42"/>
      <c r="AA840" s="42"/>
      <c r="AB840" s="47"/>
      <c r="AC840" s="42"/>
      <c r="AD840" s="42"/>
      <c r="AE840" s="46"/>
      <c r="AF840" s="47"/>
      <c r="AG840" s="48"/>
    </row>
    <row r="841" spans="2:33" s="38" customFormat="1" x14ac:dyDescent="0.25">
      <c r="B841" s="49"/>
      <c r="C841" s="70"/>
      <c r="D841" s="42"/>
      <c r="F841" s="46"/>
      <c r="G841" s="47"/>
      <c r="H841" s="42"/>
      <c r="I841" s="42"/>
      <c r="J841" s="47"/>
      <c r="K841" s="42"/>
      <c r="L841" s="42"/>
      <c r="M841" s="47"/>
      <c r="N841" s="42"/>
      <c r="O841" s="42"/>
      <c r="P841" s="47"/>
      <c r="Q841" s="42"/>
      <c r="R841" s="42"/>
      <c r="S841" s="47"/>
      <c r="T841" s="42"/>
      <c r="U841" s="42"/>
      <c r="V841" s="47"/>
      <c r="W841" s="42"/>
      <c r="X841" s="42"/>
      <c r="Y841" s="47"/>
      <c r="Z841" s="42"/>
      <c r="AA841" s="42"/>
      <c r="AB841" s="47"/>
      <c r="AC841" s="42"/>
      <c r="AD841" s="42"/>
      <c r="AE841" s="46"/>
      <c r="AF841" s="47"/>
      <c r="AG841" s="48"/>
    </row>
    <row r="842" spans="2:33" s="38" customFormat="1" x14ac:dyDescent="0.25">
      <c r="B842" s="49"/>
      <c r="C842" s="70"/>
      <c r="D842" s="42"/>
      <c r="F842" s="46"/>
      <c r="G842" s="47"/>
      <c r="H842" s="42"/>
      <c r="I842" s="42"/>
      <c r="J842" s="47"/>
      <c r="K842" s="42"/>
      <c r="L842" s="42"/>
      <c r="M842" s="47"/>
      <c r="N842" s="42"/>
      <c r="O842" s="42"/>
      <c r="P842" s="47"/>
      <c r="Q842" s="42"/>
      <c r="R842" s="42"/>
      <c r="S842" s="47"/>
      <c r="T842" s="42"/>
      <c r="U842" s="42"/>
      <c r="V842" s="47"/>
      <c r="W842" s="42"/>
      <c r="X842" s="42"/>
      <c r="Y842" s="47"/>
      <c r="Z842" s="42"/>
      <c r="AA842" s="42"/>
      <c r="AB842" s="47"/>
      <c r="AC842" s="42"/>
      <c r="AD842" s="42"/>
      <c r="AE842" s="46"/>
      <c r="AF842" s="47"/>
      <c r="AG842" s="48"/>
    </row>
    <row r="843" spans="2:33" s="38" customFormat="1" x14ac:dyDescent="0.25">
      <c r="B843" s="49"/>
      <c r="C843" s="70"/>
      <c r="D843" s="42"/>
      <c r="F843" s="46"/>
      <c r="G843" s="47"/>
      <c r="H843" s="42"/>
      <c r="I843" s="42"/>
      <c r="J843" s="47"/>
      <c r="K843" s="42"/>
      <c r="L843" s="42"/>
      <c r="M843" s="47"/>
      <c r="N843" s="42"/>
      <c r="O843" s="42"/>
      <c r="P843" s="47"/>
      <c r="Q843" s="42"/>
      <c r="R843" s="42"/>
      <c r="S843" s="47"/>
      <c r="T843" s="42"/>
      <c r="U843" s="42"/>
      <c r="V843" s="47"/>
      <c r="W843" s="42"/>
      <c r="X843" s="42"/>
      <c r="Y843" s="47"/>
      <c r="Z843" s="42"/>
      <c r="AA843" s="42"/>
      <c r="AB843" s="47"/>
      <c r="AC843" s="42"/>
      <c r="AD843" s="42"/>
      <c r="AE843" s="46"/>
      <c r="AF843" s="47"/>
      <c r="AG843" s="48"/>
    </row>
    <row r="844" spans="2:33" s="38" customFormat="1" x14ac:dyDescent="0.25">
      <c r="B844" s="49"/>
      <c r="C844" s="70"/>
      <c r="D844" s="42"/>
      <c r="F844" s="46"/>
      <c r="G844" s="47"/>
      <c r="H844" s="42"/>
      <c r="I844" s="42"/>
      <c r="J844" s="47"/>
      <c r="K844" s="42"/>
      <c r="L844" s="42"/>
      <c r="M844" s="47"/>
      <c r="N844" s="42"/>
      <c r="O844" s="42"/>
      <c r="P844" s="47"/>
      <c r="Q844" s="42"/>
      <c r="R844" s="42"/>
      <c r="S844" s="47"/>
      <c r="T844" s="42"/>
      <c r="U844" s="42"/>
      <c r="V844" s="47"/>
      <c r="W844" s="42"/>
      <c r="X844" s="42"/>
      <c r="Y844" s="47"/>
      <c r="Z844" s="42"/>
      <c r="AA844" s="42"/>
      <c r="AB844" s="47"/>
      <c r="AC844" s="42"/>
      <c r="AD844" s="42"/>
      <c r="AE844" s="46"/>
      <c r="AF844" s="47"/>
      <c r="AG844" s="48"/>
    </row>
    <row r="845" spans="2:33" s="38" customFormat="1" x14ac:dyDescent="0.25">
      <c r="B845" s="49"/>
      <c r="C845" s="70"/>
      <c r="D845" s="42"/>
      <c r="F845" s="46"/>
      <c r="G845" s="47"/>
      <c r="H845" s="42"/>
      <c r="I845" s="42"/>
      <c r="J845" s="47"/>
      <c r="K845" s="42"/>
      <c r="L845" s="42"/>
      <c r="M845" s="47"/>
      <c r="N845" s="42"/>
      <c r="O845" s="42"/>
      <c r="P845" s="47"/>
      <c r="Q845" s="42"/>
      <c r="R845" s="42"/>
      <c r="S845" s="47"/>
      <c r="T845" s="42"/>
      <c r="U845" s="42"/>
      <c r="V845" s="47"/>
      <c r="W845" s="42"/>
      <c r="X845" s="42"/>
      <c r="Y845" s="47"/>
      <c r="Z845" s="42"/>
      <c r="AA845" s="42"/>
      <c r="AB845" s="47"/>
      <c r="AC845" s="42"/>
      <c r="AD845" s="42"/>
      <c r="AE845" s="46"/>
      <c r="AF845" s="47"/>
      <c r="AG845" s="48"/>
    </row>
    <row r="846" spans="2:33" s="38" customFormat="1" x14ac:dyDescent="0.25">
      <c r="B846" s="49"/>
      <c r="C846" s="70"/>
      <c r="D846" s="42"/>
      <c r="F846" s="46"/>
      <c r="G846" s="47"/>
      <c r="H846" s="42"/>
      <c r="I846" s="42"/>
      <c r="J846" s="47"/>
      <c r="K846" s="42"/>
      <c r="L846" s="42"/>
      <c r="M846" s="47"/>
      <c r="N846" s="42"/>
      <c r="O846" s="42"/>
      <c r="P846" s="47"/>
      <c r="Q846" s="42"/>
      <c r="R846" s="42"/>
      <c r="S846" s="47"/>
      <c r="T846" s="42"/>
      <c r="U846" s="42"/>
      <c r="V846" s="47"/>
      <c r="W846" s="42"/>
      <c r="X846" s="42"/>
      <c r="Y846" s="47"/>
      <c r="Z846" s="42"/>
      <c r="AA846" s="42"/>
      <c r="AB846" s="47"/>
      <c r="AC846" s="42"/>
      <c r="AD846" s="42"/>
      <c r="AE846" s="46"/>
      <c r="AF846" s="47"/>
      <c r="AG846" s="48"/>
    </row>
    <row r="847" spans="2:33" s="38" customFormat="1" x14ac:dyDescent="0.25">
      <c r="B847" s="49"/>
      <c r="C847" s="70"/>
      <c r="D847" s="42"/>
      <c r="F847" s="46"/>
      <c r="G847" s="47"/>
      <c r="H847" s="42"/>
      <c r="I847" s="42"/>
      <c r="J847" s="47"/>
      <c r="K847" s="42"/>
      <c r="L847" s="42"/>
      <c r="M847" s="47"/>
      <c r="N847" s="42"/>
      <c r="O847" s="42"/>
      <c r="P847" s="47"/>
      <c r="Q847" s="42"/>
      <c r="R847" s="42"/>
      <c r="S847" s="47"/>
      <c r="T847" s="42"/>
      <c r="U847" s="42"/>
      <c r="V847" s="47"/>
      <c r="W847" s="42"/>
      <c r="X847" s="42"/>
      <c r="Y847" s="47"/>
      <c r="Z847" s="42"/>
      <c r="AA847" s="42"/>
      <c r="AB847" s="47"/>
      <c r="AC847" s="42"/>
      <c r="AD847" s="42"/>
      <c r="AE847" s="46"/>
      <c r="AF847" s="47"/>
      <c r="AG847" s="48"/>
    </row>
    <row r="848" spans="2:33" s="38" customFormat="1" x14ac:dyDescent="0.25">
      <c r="B848" s="49"/>
      <c r="C848" s="70"/>
      <c r="D848" s="42"/>
      <c r="F848" s="46"/>
      <c r="G848" s="47"/>
      <c r="H848" s="42"/>
      <c r="I848" s="42"/>
      <c r="J848" s="47"/>
      <c r="K848" s="42"/>
      <c r="L848" s="42"/>
      <c r="M848" s="47"/>
      <c r="N848" s="42"/>
      <c r="O848" s="42"/>
      <c r="P848" s="47"/>
      <c r="Q848" s="42"/>
      <c r="R848" s="42"/>
      <c r="S848" s="47"/>
      <c r="T848" s="42"/>
      <c r="U848" s="42"/>
      <c r="V848" s="47"/>
      <c r="W848" s="42"/>
      <c r="X848" s="42"/>
      <c r="Y848" s="47"/>
      <c r="Z848" s="42"/>
      <c r="AA848" s="42"/>
      <c r="AB848" s="47"/>
      <c r="AC848" s="42"/>
      <c r="AD848" s="42"/>
      <c r="AE848" s="46"/>
      <c r="AF848" s="47"/>
      <c r="AG848" s="48"/>
    </row>
    <row r="849" spans="2:33" s="38" customFormat="1" x14ac:dyDescent="0.25">
      <c r="B849" s="49"/>
      <c r="C849" s="70"/>
      <c r="D849" s="42"/>
      <c r="F849" s="46"/>
      <c r="G849" s="47"/>
      <c r="H849" s="42"/>
      <c r="I849" s="42"/>
      <c r="J849" s="47"/>
      <c r="K849" s="42"/>
      <c r="L849" s="42"/>
      <c r="M849" s="47"/>
      <c r="N849" s="42"/>
      <c r="O849" s="42"/>
      <c r="P849" s="47"/>
      <c r="Q849" s="42"/>
      <c r="R849" s="42"/>
      <c r="S849" s="47"/>
      <c r="T849" s="42"/>
      <c r="U849" s="42"/>
      <c r="V849" s="47"/>
      <c r="W849" s="42"/>
      <c r="X849" s="42"/>
      <c r="Y849" s="47"/>
      <c r="Z849" s="42"/>
      <c r="AA849" s="42"/>
      <c r="AB849" s="47"/>
      <c r="AC849" s="42"/>
      <c r="AD849" s="42"/>
      <c r="AE849" s="46"/>
      <c r="AF849" s="47"/>
      <c r="AG849" s="48"/>
    </row>
    <row r="850" spans="2:33" s="38" customFormat="1" x14ac:dyDescent="0.25">
      <c r="B850" s="49"/>
      <c r="C850" s="70"/>
      <c r="D850" s="42"/>
      <c r="F850" s="46"/>
      <c r="G850" s="47"/>
      <c r="H850" s="42"/>
      <c r="I850" s="42"/>
      <c r="J850" s="47"/>
      <c r="K850" s="42"/>
      <c r="L850" s="42"/>
      <c r="M850" s="47"/>
      <c r="N850" s="42"/>
      <c r="O850" s="42"/>
      <c r="P850" s="47"/>
      <c r="Q850" s="42"/>
      <c r="R850" s="42"/>
      <c r="S850" s="47"/>
      <c r="T850" s="42"/>
      <c r="U850" s="42"/>
      <c r="V850" s="47"/>
      <c r="W850" s="42"/>
      <c r="X850" s="42"/>
      <c r="Y850" s="47"/>
      <c r="Z850" s="42"/>
      <c r="AA850" s="42"/>
      <c r="AB850" s="47"/>
      <c r="AC850" s="42"/>
      <c r="AD850" s="42"/>
      <c r="AE850" s="46"/>
      <c r="AF850" s="47"/>
      <c r="AG850" s="48"/>
    </row>
    <row r="851" spans="2:33" s="38" customFormat="1" x14ac:dyDescent="0.25">
      <c r="B851" s="49"/>
      <c r="C851" s="70"/>
      <c r="D851" s="42"/>
      <c r="F851" s="46"/>
      <c r="G851" s="47"/>
      <c r="H851" s="42"/>
      <c r="I851" s="42"/>
      <c r="J851" s="47"/>
      <c r="K851" s="42"/>
      <c r="L851" s="42"/>
      <c r="M851" s="47"/>
      <c r="N851" s="42"/>
      <c r="O851" s="42"/>
      <c r="P851" s="47"/>
      <c r="Q851" s="42"/>
      <c r="R851" s="42"/>
      <c r="S851" s="47"/>
      <c r="T851" s="42"/>
      <c r="U851" s="42"/>
      <c r="V851" s="47"/>
      <c r="W851" s="42"/>
      <c r="X851" s="42"/>
      <c r="Y851" s="47"/>
      <c r="Z851" s="42"/>
      <c r="AA851" s="42"/>
      <c r="AB851" s="47"/>
      <c r="AC851" s="42"/>
      <c r="AD851" s="42"/>
      <c r="AE851" s="46"/>
      <c r="AF851" s="47"/>
      <c r="AG851" s="48"/>
    </row>
    <row r="852" spans="2:33" s="38" customFormat="1" x14ac:dyDescent="0.25">
      <c r="B852" s="49"/>
      <c r="C852" s="70"/>
      <c r="D852" s="42"/>
      <c r="F852" s="46"/>
      <c r="G852" s="47"/>
      <c r="H852" s="42"/>
      <c r="I852" s="42"/>
      <c r="J852" s="47"/>
      <c r="K852" s="42"/>
      <c r="L852" s="42"/>
      <c r="M852" s="47"/>
      <c r="N852" s="42"/>
      <c r="O852" s="42"/>
      <c r="P852" s="47"/>
      <c r="Q852" s="42"/>
      <c r="R852" s="42"/>
      <c r="S852" s="47"/>
      <c r="T852" s="42"/>
      <c r="U852" s="42"/>
      <c r="V852" s="47"/>
      <c r="W852" s="42"/>
      <c r="X852" s="42"/>
      <c r="Y852" s="47"/>
      <c r="Z852" s="42"/>
      <c r="AA852" s="42"/>
      <c r="AB852" s="47"/>
      <c r="AC852" s="42"/>
      <c r="AD852" s="42"/>
      <c r="AE852" s="46"/>
      <c r="AF852" s="47"/>
      <c r="AG852" s="48"/>
    </row>
    <row r="853" spans="2:33" s="38" customFormat="1" x14ac:dyDescent="0.25">
      <c r="B853" s="49"/>
      <c r="C853" s="70"/>
      <c r="D853" s="42"/>
      <c r="F853" s="46"/>
      <c r="G853" s="47"/>
      <c r="H853" s="42"/>
      <c r="I853" s="42"/>
      <c r="J853" s="47"/>
      <c r="K853" s="42"/>
      <c r="L853" s="42"/>
      <c r="M853" s="47"/>
      <c r="N853" s="42"/>
      <c r="O853" s="42"/>
      <c r="P853" s="47"/>
      <c r="Q853" s="42"/>
      <c r="R853" s="42"/>
      <c r="S853" s="47"/>
      <c r="T853" s="42"/>
      <c r="U853" s="42"/>
      <c r="V853" s="47"/>
      <c r="W853" s="42"/>
      <c r="X853" s="42"/>
      <c r="Y853" s="47"/>
      <c r="Z853" s="42"/>
      <c r="AA853" s="42"/>
      <c r="AB853" s="47"/>
      <c r="AC853" s="42"/>
      <c r="AD853" s="42"/>
      <c r="AE853" s="46"/>
      <c r="AF853" s="47"/>
      <c r="AG853" s="48"/>
    </row>
    <row r="854" spans="2:33" s="38" customFormat="1" x14ac:dyDescent="0.25">
      <c r="B854" s="49"/>
      <c r="C854" s="70"/>
      <c r="D854" s="42"/>
      <c r="F854" s="46"/>
      <c r="G854" s="47"/>
      <c r="H854" s="42"/>
      <c r="I854" s="42"/>
      <c r="J854" s="47"/>
      <c r="K854" s="42"/>
      <c r="L854" s="42"/>
      <c r="M854" s="47"/>
      <c r="N854" s="42"/>
      <c r="O854" s="42"/>
      <c r="P854" s="47"/>
      <c r="Q854" s="42"/>
      <c r="R854" s="42"/>
      <c r="S854" s="47"/>
      <c r="T854" s="42"/>
      <c r="U854" s="42"/>
      <c r="V854" s="47"/>
      <c r="W854" s="42"/>
      <c r="X854" s="42"/>
      <c r="Y854" s="47"/>
      <c r="Z854" s="42"/>
      <c r="AA854" s="42"/>
      <c r="AB854" s="47"/>
      <c r="AC854" s="42"/>
      <c r="AD854" s="42"/>
      <c r="AE854" s="46"/>
      <c r="AF854" s="47"/>
      <c r="AG854" s="48"/>
    </row>
    <row r="855" spans="2:33" s="38" customFormat="1" x14ac:dyDescent="0.25">
      <c r="B855" s="49"/>
      <c r="C855" s="70"/>
      <c r="D855" s="42"/>
      <c r="F855" s="46"/>
      <c r="G855" s="47"/>
      <c r="H855" s="42"/>
      <c r="I855" s="42"/>
      <c r="J855" s="47"/>
      <c r="K855" s="42"/>
      <c r="L855" s="42"/>
      <c r="M855" s="47"/>
      <c r="N855" s="42"/>
      <c r="O855" s="42"/>
      <c r="P855" s="47"/>
      <c r="Q855" s="42"/>
      <c r="R855" s="42"/>
      <c r="S855" s="47"/>
      <c r="T855" s="42"/>
      <c r="U855" s="42"/>
      <c r="V855" s="47"/>
      <c r="W855" s="42"/>
      <c r="X855" s="42"/>
      <c r="Y855" s="47"/>
      <c r="Z855" s="42"/>
      <c r="AA855" s="42"/>
      <c r="AB855" s="47"/>
      <c r="AC855" s="42"/>
      <c r="AD855" s="42"/>
      <c r="AE855" s="46"/>
      <c r="AF855" s="47"/>
      <c r="AG855" s="48"/>
    </row>
    <row r="856" spans="2:33" s="38" customFormat="1" x14ac:dyDescent="0.25">
      <c r="B856" s="49"/>
      <c r="C856" s="70"/>
      <c r="D856" s="42"/>
      <c r="F856" s="46"/>
      <c r="G856" s="47"/>
      <c r="H856" s="42"/>
      <c r="I856" s="42"/>
      <c r="J856" s="47"/>
      <c r="K856" s="42"/>
      <c r="L856" s="42"/>
      <c r="M856" s="47"/>
      <c r="N856" s="42"/>
      <c r="O856" s="42"/>
      <c r="P856" s="47"/>
      <c r="Q856" s="42"/>
      <c r="R856" s="42"/>
      <c r="S856" s="47"/>
      <c r="T856" s="42"/>
      <c r="U856" s="42"/>
      <c r="V856" s="47"/>
      <c r="W856" s="42"/>
      <c r="X856" s="42"/>
      <c r="Y856" s="47"/>
      <c r="Z856" s="42"/>
      <c r="AA856" s="42"/>
      <c r="AB856" s="47"/>
      <c r="AC856" s="42"/>
      <c r="AD856" s="42"/>
      <c r="AE856" s="46"/>
      <c r="AF856" s="47"/>
      <c r="AG856" s="48"/>
    </row>
    <row r="857" spans="2:33" s="38" customFormat="1" x14ac:dyDescent="0.25">
      <c r="B857" s="49"/>
      <c r="C857" s="70"/>
      <c r="D857" s="42"/>
      <c r="F857" s="46"/>
      <c r="G857" s="47"/>
      <c r="H857" s="42"/>
      <c r="I857" s="42"/>
      <c r="J857" s="47"/>
      <c r="K857" s="42"/>
      <c r="L857" s="42"/>
      <c r="M857" s="47"/>
      <c r="N857" s="42"/>
      <c r="O857" s="42"/>
      <c r="P857" s="47"/>
      <c r="Q857" s="42"/>
      <c r="R857" s="42"/>
      <c r="S857" s="47"/>
      <c r="T857" s="42"/>
      <c r="U857" s="42"/>
      <c r="V857" s="47"/>
      <c r="W857" s="42"/>
      <c r="X857" s="42"/>
      <c r="Y857" s="47"/>
      <c r="Z857" s="42"/>
      <c r="AA857" s="42"/>
      <c r="AB857" s="47"/>
      <c r="AC857" s="42"/>
      <c r="AD857" s="42"/>
      <c r="AE857" s="46"/>
      <c r="AF857" s="47"/>
      <c r="AG857" s="48"/>
    </row>
    <row r="858" spans="2:33" s="38" customFormat="1" x14ac:dyDescent="0.25">
      <c r="B858" s="49"/>
      <c r="C858" s="70"/>
      <c r="D858" s="42"/>
      <c r="F858" s="46"/>
      <c r="G858" s="47"/>
      <c r="H858" s="42"/>
      <c r="I858" s="42"/>
      <c r="J858" s="47"/>
      <c r="K858" s="42"/>
      <c r="L858" s="42"/>
      <c r="M858" s="47"/>
      <c r="N858" s="42"/>
      <c r="O858" s="42"/>
      <c r="P858" s="47"/>
      <c r="Q858" s="42"/>
      <c r="R858" s="42"/>
      <c r="S858" s="47"/>
      <c r="T858" s="42"/>
      <c r="U858" s="42"/>
      <c r="V858" s="47"/>
      <c r="W858" s="42"/>
      <c r="X858" s="42"/>
      <c r="Y858" s="47"/>
      <c r="Z858" s="42"/>
      <c r="AA858" s="42"/>
      <c r="AB858" s="47"/>
      <c r="AC858" s="42"/>
      <c r="AD858" s="42"/>
      <c r="AE858" s="46"/>
      <c r="AF858" s="47"/>
      <c r="AG858" s="48"/>
    </row>
    <row r="859" spans="2:33" s="38" customFormat="1" x14ac:dyDescent="0.25">
      <c r="B859" s="49"/>
      <c r="C859" s="70"/>
      <c r="D859" s="42"/>
      <c r="F859" s="46"/>
      <c r="G859" s="47"/>
      <c r="H859" s="42"/>
      <c r="I859" s="42"/>
      <c r="J859" s="47"/>
      <c r="K859" s="42"/>
      <c r="L859" s="42"/>
      <c r="M859" s="47"/>
      <c r="N859" s="42"/>
      <c r="O859" s="42"/>
      <c r="P859" s="47"/>
      <c r="Q859" s="42"/>
      <c r="R859" s="42"/>
      <c r="S859" s="47"/>
      <c r="T859" s="42"/>
      <c r="U859" s="42"/>
      <c r="V859" s="47"/>
      <c r="W859" s="42"/>
      <c r="X859" s="42"/>
      <c r="Y859" s="47"/>
      <c r="Z859" s="42"/>
      <c r="AA859" s="42"/>
      <c r="AB859" s="47"/>
      <c r="AC859" s="42"/>
      <c r="AD859" s="42"/>
      <c r="AE859" s="46"/>
      <c r="AF859" s="47"/>
      <c r="AG859" s="48"/>
    </row>
    <row r="860" spans="2:33" s="38" customFormat="1" x14ac:dyDescent="0.25">
      <c r="B860" s="49"/>
      <c r="C860" s="70"/>
      <c r="D860" s="42"/>
      <c r="F860" s="46"/>
      <c r="G860" s="47"/>
      <c r="H860" s="42"/>
      <c r="I860" s="42"/>
      <c r="J860" s="47"/>
      <c r="K860" s="42"/>
      <c r="L860" s="42"/>
      <c r="M860" s="47"/>
      <c r="N860" s="42"/>
      <c r="O860" s="42"/>
      <c r="P860" s="47"/>
      <c r="Q860" s="42"/>
      <c r="R860" s="42"/>
      <c r="S860" s="47"/>
      <c r="T860" s="42"/>
      <c r="U860" s="42"/>
      <c r="V860" s="47"/>
      <c r="W860" s="42"/>
      <c r="X860" s="42"/>
      <c r="Y860" s="47"/>
      <c r="Z860" s="42"/>
      <c r="AA860" s="42"/>
      <c r="AB860" s="47"/>
      <c r="AC860" s="42"/>
      <c r="AD860" s="42"/>
      <c r="AE860" s="46"/>
      <c r="AF860" s="47"/>
      <c r="AG860" s="48"/>
    </row>
    <row r="861" spans="2:33" s="38" customFormat="1" x14ac:dyDescent="0.25">
      <c r="B861" s="49"/>
      <c r="C861" s="70"/>
      <c r="D861" s="42"/>
      <c r="F861" s="46"/>
      <c r="G861" s="47"/>
      <c r="H861" s="42"/>
      <c r="I861" s="42"/>
      <c r="J861" s="47"/>
      <c r="K861" s="42"/>
      <c r="L861" s="42"/>
      <c r="M861" s="47"/>
      <c r="N861" s="42"/>
      <c r="O861" s="42"/>
      <c r="P861" s="47"/>
      <c r="Q861" s="42"/>
      <c r="R861" s="42"/>
      <c r="S861" s="47"/>
      <c r="T861" s="42"/>
      <c r="U861" s="42"/>
      <c r="V861" s="47"/>
      <c r="W861" s="42"/>
      <c r="X861" s="42"/>
      <c r="Y861" s="47"/>
      <c r="Z861" s="42"/>
      <c r="AA861" s="42"/>
      <c r="AB861" s="47"/>
      <c r="AC861" s="42"/>
      <c r="AD861" s="42"/>
      <c r="AE861" s="46"/>
      <c r="AF861" s="47"/>
      <c r="AG861" s="48"/>
    </row>
    <row r="862" spans="2:33" s="38" customFormat="1" x14ac:dyDescent="0.25">
      <c r="B862" s="49"/>
      <c r="C862" s="70"/>
      <c r="D862" s="42"/>
      <c r="F862" s="46"/>
      <c r="G862" s="47"/>
      <c r="H862" s="42"/>
      <c r="I862" s="42"/>
      <c r="J862" s="47"/>
      <c r="K862" s="42"/>
      <c r="L862" s="42"/>
      <c r="M862" s="47"/>
      <c r="N862" s="42"/>
      <c r="O862" s="42"/>
      <c r="P862" s="47"/>
      <c r="Q862" s="42"/>
      <c r="R862" s="42"/>
      <c r="S862" s="47"/>
      <c r="T862" s="42"/>
      <c r="U862" s="42"/>
      <c r="V862" s="47"/>
      <c r="W862" s="42"/>
      <c r="X862" s="42"/>
      <c r="Y862" s="47"/>
      <c r="Z862" s="42"/>
      <c r="AA862" s="42"/>
      <c r="AB862" s="47"/>
      <c r="AC862" s="42"/>
      <c r="AD862" s="42"/>
      <c r="AE862" s="46"/>
      <c r="AF862" s="47"/>
      <c r="AG862" s="48"/>
    </row>
    <row r="863" spans="2:33" s="38" customFormat="1" x14ac:dyDescent="0.25">
      <c r="B863" s="49"/>
      <c r="C863" s="70"/>
      <c r="D863" s="42"/>
      <c r="F863" s="46"/>
      <c r="G863" s="47"/>
      <c r="H863" s="42"/>
      <c r="I863" s="42"/>
      <c r="J863" s="47"/>
      <c r="K863" s="42"/>
      <c r="L863" s="42"/>
      <c r="M863" s="47"/>
      <c r="N863" s="42"/>
      <c r="O863" s="42"/>
      <c r="P863" s="47"/>
      <c r="Q863" s="42"/>
      <c r="R863" s="42"/>
      <c r="S863" s="47"/>
      <c r="T863" s="42"/>
      <c r="U863" s="42"/>
      <c r="V863" s="47"/>
      <c r="W863" s="42"/>
      <c r="X863" s="42"/>
      <c r="Y863" s="47"/>
      <c r="Z863" s="42"/>
      <c r="AA863" s="42"/>
      <c r="AB863" s="47"/>
      <c r="AC863" s="42"/>
      <c r="AD863" s="42"/>
      <c r="AE863" s="46"/>
      <c r="AF863" s="47"/>
      <c r="AG863" s="48"/>
    </row>
    <row r="864" spans="2:33" s="38" customFormat="1" x14ac:dyDescent="0.25">
      <c r="B864" s="49"/>
      <c r="C864" s="70"/>
      <c r="D864" s="42"/>
      <c r="F864" s="46"/>
      <c r="G864" s="47"/>
      <c r="H864" s="42"/>
      <c r="I864" s="42"/>
      <c r="J864" s="47"/>
      <c r="K864" s="42"/>
      <c r="L864" s="42"/>
      <c r="M864" s="47"/>
      <c r="N864" s="42"/>
      <c r="O864" s="42"/>
      <c r="P864" s="47"/>
      <c r="Q864" s="42"/>
      <c r="R864" s="42"/>
      <c r="S864" s="47"/>
      <c r="T864" s="42"/>
      <c r="U864" s="42"/>
      <c r="V864" s="47"/>
      <c r="W864" s="42"/>
      <c r="X864" s="42"/>
      <c r="Y864" s="47"/>
      <c r="Z864" s="42"/>
      <c r="AA864" s="42"/>
      <c r="AB864" s="47"/>
      <c r="AC864" s="42"/>
      <c r="AD864" s="42"/>
      <c r="AE864" s="46"/>
      <c r="AF864" s="47"/>
      <c r="AG864" s="48"/>
    </row>
    <row r="865" spans="2:33" s="38" customFormat="1" x14ac:dyDescent="0.25">
      <c r="B865" s="49"/>
      <c r="C865" s="70"/>
      <c r="D865" s="42"/>
      <c r="F865" s="46"/>
      <c r="G865" s="47"/>
      <c r="H865" s="42"/>
      <c r="I865" s="42"/>
      <c r="J865" s="47"/>
      <c r="K865" s="42"/>
      <c r="L865" s="42"/>
      <c r="M865" s="47"/>
      <c r="N865" s="42"/>
      <c r="O865" s="42"/>
      <c r="P865" s="47"/>
      <c r="Q865" s="42"/>
      <c r="R865" s="42"/>
      <c r="S865" s="47"/>
      <c r="T865" s="42"/>
      <c r="U865" s="42"/>
      <c r="V865" s="47"/>
      <c r="W865" s="42"/>
      <c r="X865" s="42"/>
      <c r="Y865" s="47"/>
      <c r="Z865" s="42"/>
      <c r="AA865" s="42"/>
      <c r="AB865" s="47"/>
      <c r="AC865" s="42"/>
      <c r="AD865" s="42"/>
      <c r="AE865" s="46"/>
      <c r="AF865" s="47"/>
      <c r="AG865" s="48"/>
    </row>
    <row r="866" spans="2:33" s="38" customFormat="1" x14ac:dyDescent="0.25">
      <c r="B866" s="49"/>
      <c r="C866" s="70"/>
      <c r="D866" s="42"/>
      <c r="F866" s="46"/>
      <c r="G866" s="47"/>
      <c r="H866" s="42"/>
      <c r="I866" s="42"/>
      <c r="J866" s="47"/>
      <c r="K866" s="42"/>
      <c r="L866" s="42"/>
      <c r="M866" s="47"/>
      <c r="N866" s="42"/>
      <c r="O866" s="42"/>
      <c r="P866" s="47"/>
      <c r="Q866" s="42"/>
      <c r="R866" s="42"/>
      <c r="S866" s="47"/>
      <c r="T866" s="42"/>
      <c r="U866" s="42"/>
      <c r="V866" s="47"/>
      <c r="W866" s="42"/>
      <c r="X866" s="42"/>
      <c r="Y866" s="47"/>
      <c r="Z866" s="42"/>
      <c r="AA866" s="42"/>
      <c r="AB866" s="47"/>
      <c r="AC866" s="42"/>
      <c r="AD866" s="42"/>
      <c r="AE866" s="46"/>
      <c r="AF866" s="47"/>
      <c r="AG866" s="48"/>
    </row>
    <row r="867" spans="2:33" s="38" customFormat="1" x14ac:dyDescent="0.25">
      <c r="B867" s="49"/>
      <c r="C867" s="70"/>
      <c r="D867" s="42"/>
      <c r="F867" s="46"/>
      <c r="G867" s="47"/>
      <c r="H867" s="42"/>
      <c r="I867" s="42"/>
      <c r="J867" s="47"/>
      <c r="K867" s="42"/>
      <c r="L867" s="42"/>
      <c r="M867" s="47"/>
      <c r="N867" s="42"/>
      <c r="O867" s="42"/>
      <c r="P867" s="47"/>
      <c r="Q867" s="42"/>
      <c r="R867" s="42"/>
      <c r="S867" s="47"/>
      <c r="T867" s="42"/>
      <c r="U867" s="42"/>
      <c r="V867" s="47"/>
      <c r="W867" s="42"/>
      <c r="X867" s="42"/>
      <c r="Y867" s="47"/>
      <c r="Z867" s="42"/>
      <c r="AA867" s="42"/>
      <c r="AB867" s="47"/>
      <c r="AC867" s="42"/>
      <c r="AD867" s="42"/>
      <c r="AE867" s="46"/>
      <c r="AF867" s="47"/>
      <c r="AG867" s="48"/>
    </row>
    <row r="868" spans="2:33" s="38" customFormat="1" x14ac:dyDescent="0.25">
      <c r="B868" s="49"/>
      <c r="C868" s="70"/>
      <c r="D868" s="42"/>
      <c r="F868" s="46"/>
      <c r="G868" s="47"/>
      <c r="H868" s="42"/>
      <c r="I868" s="42"/>
      <c r="J868" s="47"/>
      <c r="K868" s="42"/>
      <c r="L868" s="42"/>
      <c r="M868" s="47"/>
      <c r="N868" s="42"/>
      <c r="O868" s="42"/>
      <c r="P868" s="47"/>
      <c r="Q868" s="42"/>
      <c r="R868" s="42"/>
      <c r="S868" s="47"/>
      <c r="T868" s="42"/>
      <c r="U868" s="42"/>
      <c r="V868" s="47"/>
      <c r="W868" s="42"/>
      <c r="X868" s="42"/>
      <c r="Y868" s="47"/>
      <c r="Z868" s="42"/>
      <c r="AA868" s="42"/>
      <c r="AB868" s="47"/>
      <c r="AC868" s="42"/>
      <c r="AD868" s="42"/>
      <c r="AE868" s="46"/>
      <c r="AF868" s="47"/>
      <c r="AG868" s="48"/>
    </row>
    <row r="869" spans="2:33" s="38" customFormat="1" x14ac:dyDescent="0.25">
      <c r="B869" s="49"/>
      <c r="C869" s="70"/>
      <c r="D869" s="42"/>
      <c r="F869" s="46"/>
      <c r="G869" s="47"/>
      <c r="H869" s="42"/>
      <c r="I869" s="42"/>
      <c r="J869" s="47"/>
      <c r="K869" s="42"/>
      <c r="L869" s="42"/>
      <c r="M869" s="47"/>
      <c r="N869" s="42"/>
      <c r="O869" s="42"/>
      <c r="P869" s="47"/>
      <c r="Q869" s="42"/>
      <c r="R869" s="42"/>
      <c r="S869" s="47"/>
      <c r="T869" s="42"/>
      <c r="U869" s="42"/>
      <c r="V869" s="47"/>
      <c r="W869" s="42"/>
      <c r="X869" s="42"/>
      <c r="Y869" s="47"/>
      <c r="Z869" s="42"/>
      <c r="AA869" s="42"/>
      <c r="AB869" s="47"/>
      <c r="AC869" s="42"/>
      <c r="AD869" s="42"/>
      <c r="AE869" s="46"/>
      <c r="AF869" s="47"/>
      <c r="AG869" s="48"/>
    </row>
    <row r="870" spans="2:33" s="38" customFormat="1" x14ac:dyDescent="0.25">
      <c r="B870" s="49"/>
      <c r="C870" s="70"/>
      <c r="D870" s="42"/>
      <c r="F870" s="46"/>
      <c r="G870" s="47"/>
      <c r="H870" s="42"/>
      <c r="I870" s="42"/>
      <c r="J870" s="47"/>
      <c r="K870" s="42"/>
      <c r="L870" s="42"/>
      <c r="M870" s="47"/>
      <c r="N870" s="42"/>
      <c r="O870" s="42"/>
      <c r="P870" s="47"/>
      <c r="Q870" s="42"/>
      <c r="R870" s="42"/>
      <c r="S870" s="47"/>
      <c r="T870" s="42"/>
      <c r="U870" s="42"/>
      <c r="V870" s="47"/>
      <c r="W870" s="42"/>
      <c r="X870" s="42"/>
      <c r="Y870" s="47"/>
      <c r="Z870" s="42"/>
      <c r="AA870" s="42"/>
      <c r="AB870" s="47"/>
      <c r="AC870" s="42"/>
      <c r="AD870" s="42"/>
      <c r="AE870" s="46"/>
      <c r="AF870" s="47"/>
      <c r="AG870" s="48"/>
    </row>
    <row r="871" spans="2:33" s="38" customFormat="1" x14ac:dyDescent="0.25">
      <c r="B871" s="49"/>
      <c r="C871" s="70"/>
      <c r="D871" s="42"/>
      <c r="F871" s="46"/>
      <c r="G871" s="47"/>
      <c r="H871" s="42"/>
      <c r="I871" s="42"/>
      <c r="J871" s="47"/>
      <c r="K871" s="42"/>
      <c r="L871" s="42"/>
      <c r="M871" s="47"/>
      <c r="N871" s="42"/>
      <c r="O871" s="42"/>
      <c r="P871" s="47"/>
      <c r="Q871" s="42"/>
      <c r="R871" s="42"/>
      <c r="S871" s="47"/>
      <c r="T871" s="42"/>
      <c r="U871" s="42"/>
      <c r="V871" s="47"/>
      <c r="W871" s="42"/>
      <c r="X871" s="42"/>
      <c r="Y871" s="47"/>
      <c r="Z871" s="42"/>
      <c r="AA871" s="42"/>
      <c r="AB871" s="47"/>
      <c r="AC871" s="42"/>
      <c r="AD871" s="42"/>
      <c r="AE871" s="46"/>
      <c r="AF871" s="47"/>
      <c r="AG871" s="48"/>
    </row>
    <row r="872" spans="2:33" s="38" customFormat="1" x14ac:dyDescent="0.25">
      <c r="B872" s="49"/>
      <c r="C872" s="70"/>
      <c r="D872" s="42"/>
      <c r="F872" s="46"/>
      <c r="G872" s="47"/>
      <c r="H872" s="42"/>
      <c r="I872" s="42"/>
      <c r="J872" s="47"/>
      <c r="K872" s="42"/>
      <c r="L872" s="42"/>
      <c r="M872" s="47"/>
      <c r="N872" s="42"/>
      <c r="O872" s="42"/>
      <c r="P872" s="47"/>
      <c r="Q872" s="42"/>
      <c r="R872" s="42"/>
      <c r="S872" s="47"/>
      <c r="T872" s="42"/>
      <c r="U872" s="42"/>
      <c r="V872" s="47"/>
      <c r="W872" s="42"/>
      <c r="X872" s="42"/>
      <c r="Y872" s="47"/>
      <c r="Z872" s="42"/>
      <c r="AA872" s="42"/>
      <c r="AB872" s="47"/>
      <c r="AC872" s="42"/>
      <c r="AD872" s="42"/>
      <c r="AE872" s="46"/>
      <c r="AF872" s="47"/>
      <c r="AG872" s="48"/>
    </row>
    <row r="873" spans="2:33" s="38" customFormat="1" x14ac:dyDescent="0.25">
      <c r="B873" s="49"/>
      <c r="C873" s="70"/>
      <c r="D873" s="42"/>
      <c r="F873" s="46"/>
      <c r="G873" s="47"/>
      <c r="H873" s="42"/>
      <c r="I873" s="42"/>
      <c r="J873" s="47"/>
      <c r="K873" s="42"/>
      <c r="L873" s="42"/>
      <c r="M873" s="47"/>
      <c r="N873" s="42"/>
      <c r="O873" s="42"/>
      <c r="P873" s="47"/>
      <c r="Q873" s="42"/>
      <c r="R873" s="42"/>
      <c r="S873" s="47"/>
      <c r="T873" s="42"/>
      <c r="U873" s="42"/>
      <c r="V873" s="47"/>
      <c r="W873" s="42"/>
      <c r="X873" s="42"/>
      <c r="Y873" s="47"/>
      <c r="Z873" s="42"/>
      <c r="AA873" s="42"/>
      <c r="AB873" s="47"/>
      <c r="AC873" s="42"/>
      <c r="AD873" s="42"/>
      <c r="AE873" s="46"/>
      <c r="AF873" s="47"/>
      <c r="AG873" s="48"/>
    </row>
    <row r="874" spans="2:33" s="38" customFormat="1" x14ac:dyDescent="0.25">
      <c r="B874" s="49"/>
      <c r="C874" s="70"/>
      <c r="D874" s="42"/>
      <c r="F874" s="46"/>
      <c r="G874" s="47"/>
      <c r="H874" s="42"/>
      <c r="I874" s="42"/>
      <c r="J874" s="47"/>
      <c r="K874" s="42"/>
      <c r="L874" s="42"/>
      <c r="M874" s="47"/>
      <c r="N874" s="42"/>
      <c r="O874" s="42"/>
      <c r="P874" s="47"/>
      <c r="Q874" s="42"/>
      <c r="R874" s="42"/>
      <c r="S874" s="47"/>
      <c r="T874" s="42"/>
      <c r="U874" s="42"/>
      <c r="V874" s="47"/>
      <c r="W874" s="42"/>
      <c r="X874" s="42"/>
      <c r="Y874" s="47"/>
      <c r="Z874" s="42"/>
      <c r="AA874" s="42"/>
      <c r="AB874" s="47"/>
      <c r="AC874" s="42"/>
      <c r="AD874" s="42"/>
      <c r="AE874" s="46"/>
      <c r="AF874" s="47"/>
      <c r="AG874" s="48"/>
    </row>
    <row r="875" spans="2:33" s="38" customFormat="1" x14ac:dyDescent="0.25">
      <c r="B875" s="49"/>
      <c r="C875" s="70"/>
      <c r="D875" s="42"/>
      <c r="F875" s="46"/>
      <c r="G875" s="47"/>
      <c r="H875" s="42"/>
      <c r="I875" s="42"/>
      <c r="J875" s="47"/>
      <c r="K875" s="42"/>
      <c r="L875" s="42"/>
      <c r="M875" s="47"/>
      <c r="N875" s="42"/>
      <c r="O875" s="42"/>
      <c r="P875" s="47"/>
      <c r="Q875" s="42"/>
      <c r="R875" s="42"/>
      <c r="S875" s="47"/>
      <c r="T875" s="42"/>
      <c r="U875" s="42"/>
      <c r="V875" s="47"/>
      <c r="W875" s="42"/>
      <c r="X875" s="42"/>
      <c r="Y875" s="47"/>
      <c r="Z875" s="42"/>
      <c r="AA875" s="42"/>
      <c r="AB875" s="47"/>
      <c r="AC875" s="42"/>
      <c r="AD875" s="42"/>
      <c r="AE875" s="46"/>
      <c r="AF875" s="47"/>
      <c r="AG875" s="48"/>
    </row>
    <row r="876" spans="2:33" s="38" customFormat="1" x14ac:dyDescent="0.25">
      <c r="B876" s="49"/>
      <c r="C876" s="70"/>
      <c r="D876" s="42"/>
      <c r="F876" s="46"/>
      <c r="G876" s="47"/>
      <c r="H876" s="42"/>
      <c r="I876" s="42"/>
      <c r="J876" s="47"/>
      <c r="K876" s="42"/>
      <c r="L876" s="42"/>
      <c r="M876" s="47"/>
      <c r="N876" s="42"/>
      <c r="O876" s="42"/>
      <c r="P876" s="47"/>
      <c r="Q876" s="42"/>
      <c r="R876" s="42"/>
      <c r="S876" s="47"/>
      <c r="T876" s="42"/>
      <c r="U876" s="42"/>
      <c r="V876" s="47"/>
      <c r="W876" s="42"/>
      <c r="X876" s="42"/>
      <c r="Y876" s="47"/>
      <c r="Z876" s="42"/>
      <c r="AA876" s="42"/>
      <c r="AB876" s="47"/>
      <c r="AC876" s="42"/>
      <c r="AD876" s="42"/>
      <c r="AE876" s="46"/>
      <c r="AF876" s="47"/>
      <c r="AG876" s="48"/>
    </row>
    <row r="877" spans="2:33" s="38" customFormat="1" x14ac:dyDescent="0.25">
      <c r="B877" s="49"/>
      <c r="C877" s="70"/>
      <c r="D877" s="42"/>
      <c r="F877" s="46"/>
      <c r="G877" s="47"/>
      <c r="H877" s="42"/>
      <c r="I877" s="42"/>
      <c r="J877" s="47"/>
      <c r="K877" s="42"/>
      <c r="L877" s="42"/>
      <c r="M877" s="47"/>
      <c r="N877" s="42"/>
      <c r="O877" s="42"/>
      <c r="P877" s="47"/>
      <c r="Q877" s="42"/>
      <c r="R877" s="42"/>
      <c r="S877" s="47"/>
      <c r="T877" s="42"/>
      <c r="U877" s="42"/>
      <c r="V877" s="47"/>
      <c r="W877" s="42"/>
      <c r="X877" s="42"/>
      <c r="Y877" s="47"/>
      <c r="Z877" s="42"/>
      <c r="AA877" s="42"/>
      <c r="AB877" s="47"/>
      <c r="AC877" s="42"/>
      <c r="AD877" s="42"/>
      <c r="AE877" s="46"/>
      <c r="AF877" s="47"/>
      <c r="AG877" s="48"/>
    </row>
    <row r="878" spans="2:33" s="38" customFormat="1" x14ac:dyDescent="0.25">
      <c r="B878" s="49"/>
      <c r="C878" s="70"/>
      <c r="D878" s="42"/>
      <c r="F878" s="46"/>
      <c r="G878" s="47"/>
      <c r="H878" s="42"/>
      <c r="I878" s="42"/>
      <c r="J878" s="47"/>
      <c r="K878" s="42"/>
      <c r="L878" s="42"/>
      <c r="M878" s="47"/>
      <c r="N878" s="42"/>
      <c r="O878" s="42"/>
      <c r="P878" s="47"/>
      <c r="Q878" s="42"/>
      <c r="R878" s="42"/>
      <c r="S878" s="47"/>
      <c r="T878" s="42"/>
      <c r="U878" s="42"/>
      <c r="V878" s="47"/>
      <c r="W878" s="42"/>
      <c r="X878" s="42"/>
      <c r="Y878" s="47"/>
      <c r="Z878" s="42"/>
      <c r="AA878" s="42"/>
      <c r="AB878" s="47"/>
      <c r="AC878" s="42"/>
      <c r="AD878" s="42"/>
      <c r="AE878" s="46"/>
      <c r="AF878" s="47"/>
      <c r="AG878" s="48"/>
    </row>
    <row r="879" spans="2:33" s="38" customFormat="1" x14ac:dyDescent="0.25">
      <c r="B879" s="49"/>
      <c r="C879" s="70"/>
      <c r="D879" s="42"/>
      <c r="F879" s="46"/>
      <c r="G879" s="47"/>
      <c r="H879" s="42"/>
      <c r="I879" s="42"/>
      <c r="J879" s="47"/>
      <c r="K879" s="42"/>
      <c r="L879" s="42"/>
      <c r="M879" s="47"/>
      <c r="N879" s="42"/>
      <c r="O879" s="42"/>
      <c r="P879" s="47"/>
      <c r="Q879" s="42"/>
      <c r="R879" s="42"/>
      <c r="S879" s="47"/>
      <c r="T879" s="42"/>
      <c r="U879" s="42"/>
      <c r="V879" s="47"/>
      <c r="W879" s="42"/>
      <c r="X879" s="42"/>
      <c r="Y879" s="47"/>
      <c r="Z879" s="42"/>
      <c r="AA879" s="42"/>
      <c r="AB879" s="47"/>
      <c r="AC879" s="42"/>
      <c r="AD879" s="42"/>
      <c r="AE879" s="46"/>
      <c r="AF879" s="47"/>
      <c r="AG879" s="48"/>
    </row>
    <row r="880" spans="2:33" s="38" customFormat="1" x14ac:dyDescent="0.25">
      <c r="B880" s="49"/>
      <c r="C880" s="70"/>
      <c r="D880" s="42"/>
      <c r="F880" s="46"/>
      <c r="G880" s="47"/>
      <c r="H880" s="42"/>
      <c r="I880" s="42"/>
      <c r="J880" s="47"/>
      <c r="K880" s="42"/>
      <c r="L880" s="42"/>
      <c r="M880" s="47"/>
      <c r="N880" s="42"/>
      <c r="O880" s="42"/>
      <c r="P880" s="47"/>
      <c r="Q880" s="42"/>
      <c r="R880" s="42"/>
      <c r="S880" s="47"/>
      <c r="T880" s="42"/>
      <c r="U880" s="42"/>
      <c r="V880" s="47"/>
      <c r="W880" s="42"/>
      <c r="X880" s="42"/>
      <c r="Y880" s="47"/>
      <c r="Z880" s="42"/>
      <c r="AA880" s="42"/>
      <c r="AB880" s="47"/>
      <c r="AC880" s="42"/>
      <c r="AD880" s="42"/>
      <c r="AE880" s="46"/>
      <c r="AF880" s="47"/>
      <c r="AG880" s="48"/>
    </row>
    <row r="881" spans="2:33" s="38" customFormat="1" x14ac:dyDescent="0.25">
      <c r="B881" s="49"/>
      <c r="C881" s="70"/>
      <c r="D881" s="42"/>
      <c r="F881" s="46"/>
      <c r="G881" s="47"/>
      <c r="H881" s="42"/>
      <c r="I881" s="42"/>
      <c r="J881" s="47"/>
      <c r="K881" s="42"/>
      <c r="L881" s="42"/>
      <c r="M881" s="47"/>
      <c r="N881" s="42"/>
      <c r="O881" s="42"/>
      <c r="P881" s="47"/>
      <c r="Q881" s="42"/>
      <c r="R881" s="42"/>
      <c r="S881" s="47"/>
      <c r="T881" s="42"/>
      <c r="U881" s="42"/>
      <c r="V881" s="47"/>
      <c r="W881" s="42"/>
      <c r="X881" s="42"/>
      <c r="Y881" s="47"/>
      <c r="Z881" s="42"/>
      <c r="AA881" s="42"/>
      <c r="AB881" s="47"/>
      <c r="AC881" s="42"/>
      <c r="AD881" s="42"/>
      <c r="AE881" s="46"/>
      <c r="AF881" s="47"/>
      <c r="AG881" s="48"/>
    </row>
    <row r="882" spans="2:33" s="38" customFormat="1" x14ac:dyDescent="0.25">
      <c r="B882" s="49"/>
      <c r="C882" s="70"/>
      <c r="D882" s="42"/>
      <c r="F882" s="46"/>
      <c r="G882" s="47"/>
      <c r="H882" s="42"/>
      <c r="I882" s="42"/>
      <c r="J882" s="47"/>
      <c r="K882" s="42"/>
      <c r="L882" s="42"/>
      <c r="M882" s="47"/>
      <c r="N882" s="42"/>
      <c r="O882" s="42"/>
      <c r="P882" s="47"/>
      <c r="Q882" s="42"/>
      <c r="R882" s="42"/>
      <c r="S882" s="47"/>
      <c r="T882" s="42"/>
      <c r="U882" s="42"/>
      <c r="V882" s="47"/>
      <c r="W882" s="42"/>
      <c r="X882" s="42"/>
      <c r="Y882" s="47"/>
      <c r="Z882" s="42"/>
      <c r="AA882" s="42"/>
      <c r="AB882" s="47"/>
      <c r="AC882" s="42"/>
      <c r="AD882" s="42"/>
      <c r="AE882" s="46"/>
      <c r="AF882" s="47"/>
      <c r="AG882" s="48"/>
    </row>
    <row r="883" spans="2:33" s="38" customFormat="1" x14ac:dyDescent="0.25">
      <c r="B883" s="49"/>
      <c r="C883" s="70"/>
      <c r="D883" s="42"/>
      <c r="F883" s="46"/>
      <c r="G883" s="47"/>
      <c r="H883" s="42"/>
      <c r="I883" s="42"/>
      <c r="J883" s="47"/>
      <c r="K883" s="42"/>
      <c r="L883" s="42"/>
      <c r="M883" s="47"/>
      <c r="N883" s="42"/>
      <c r="O883" s="42"/>
      <c r="P883" s="47"/>
      <c r="Q883" s="42"/>
      <c r="R883" s="42"/>
      <c r="S883" s="47"/>
      <c r="T883" s="42"/>
      <c r="U883" s="42"/>
      <c r="V883" s="47"/>
      <c r="W883" s="42"/>
      <c r="X883" s="42"/>
      <c r="Y883" s="47"/>
      <c r="Z883" s="42"/>
      <c r="AA883" s="42"/>
      <c r="AB883" s="47"/>
      <c r="AC883" s="42"/>
      <c r="AD883" s="42"/>
      <c r="AE883" s="46"/>
      <c r="AF883" s="47"/>
      <c r="AG883" s="48"/>
    </row>
    <row r="884" spans="2:33" s="38" customFormat="1" x14ac:dyDescent="0.25">
      <c r="B884" s="49"/>
      <c r="C884" s="70"/>
      <c r="D884" s="42"/>
      <c r="F884" s="46"/>
      <c r="G884" s="47"/>
      <c r="H884" s="42"/>
      <c r="I884" s="42"/>
      <c r="J884" s="47"/>
      <c r="K884" s="42"/>
      <c r="L884" s="42"/>
      <c r="M884" s="47"/>
      <c r="N884" s="42"/>
      <c r="O884" s="42"/>
      <c r="P884" s="47"/>
      <c r="Q884" s="42"/>
      <c r="R884" s="42"/>
      <c r="S884" s="47"/>
      <c r="T884" s="42"/>
      <c r="U884" s="42"/>
      <c r="V884" s="47"/>
      <c r="W884" s="42"/>
      <c r="X884" s="42"/>
      <c r="Y884" s="47"/>
      <c r="Z884" s="42"/>
      <c r="AA884" s="42"/>
      <c r="AB884" s="47"/>
      <c r="AC884" s="42"/>
      <c r="AD884" s="42"/>
      <c r="AE884" s="46"/>
      <c r="AF884" s="47"/>
      <c r="AG884" s="48"/>
    </row>
    <row r="885" spans="2:33" s="38" customFormat="1" x14ac:dyDescent="0.25">
      <c r="B885" s="49"/>
      <c r="C885" s="70"/>
      <c r="D885" s="42"/>
      <c r="F885" s="46"/>
      <c r="G885" s="47"/>
      <c r="H885" s="42"/>
      <c r="I885" s="42"/>
      <c r="J885" s="47"/>
      <c r="K885" s="42"/>
      <c r="L885" s="42"/>
      <c r="M885" s="47"/>
      <c r="N885" s="42"/>
      <c r="O885" s="42"/>
      <c r="P885" s="47"/>
      <c r="Q885" s="42"/>
      <c r="R885" s="42"/>
      <c r="S885" s="47"/>
      <c r="T885" s="42"/>
      <c r="U885" s="42"/>
      <c r="V885" s="47"/>
      <c r="W885" s="42"/>
      <c r="X885" s="42"/>
      <c r="Y885" s="47"/>
      <c r="Z885" s="42"/>
      <c r="AA885" s="42"/>
      <c r="AB885" s="47"/>
      <c r="AC885" s="42"/>
      <c r="AD885" s="42"/>
      <c r="AE885" s="46"/>
      <c r="AF885" s="47"/>
      <c r="AG885" s="48"/>
    </row>
    <row r="886" spans="2:33" s="38" customFormat="1" x14ac:dyDescent="0.25">
      <c r="B886" s="49"/>
      <c r="C886" s="70"/>
      <c r="D886" s="42"/>
      <c r="F886" s="46"/>
      <c r="G886" s="47"/>
      <c r="H886" s="42"/>
      <c r="I886" s="42"/>
      <c r="J886" s="47"/>
      <c r="K886" s="42"/>
      <c r="L886" s="42"/>
      <c r="M886" s="47"/>
      <c r="N886" s="42"/>
      <c r="O886" s="42"/>
      <c r="P886" s="47"/>
      <c r="Q886" s="42"/>
      <c r="R886" s="42"/>
      <c r="S886" s="47"/>
      <c r="T886" s="42"/>
      <c r="U886" s="42"/>
      <c r="V886" s="47"/>
      <c r="W886" s="42"/>
      <c r="X886" s="42"/>
      <c r="Y886" s="47"/>
      <c r="Z886" s="42"/>
      <c r="AA886" s="42"/>
      <c r="AB886" s="47"/>
      <c r="AC886" s="42"/>
      <c r="AD886" s="42"/>
      <c r="AE886" s="46"/>
      <c r="AF886" s="47"/>
      <c r="AG886" s="48"/>
    </row>
    <row r="887" spans="2:33" s="38" customFormat="1" x14ac:dyDescent="0.25">
      <c r="B887" s="49"/>
      <c r="C887" s="70"/>
      <c r="D887" s="42"/>
      <c r="F887" s="46"/>
      <c r="G887" s="47"/>
      <c r="H887" s="42"/>
      <c r="I887" s="42"/>
      <c r="J887" s="47"/>
      <c r="K887" s="42"/>
      <c r="L887" s="42"/>
      <c r="M887" s="47"/>
      <c r="N887" s="42"/>
      <c r="O887" s="42"/>
      <c r="P887" s="47"/>
      <c r="Q887" s="42"/>
      <c r="R887" s="42"/>
      <c r="S887" s="47"/>
      <c r="T887" s="42"/>
      <c r="U887" s="42"/>
      <c r="V887" s="47"/>
      <c r="W887" s="42"/>
      <c r="X887" s="42"/>
      <c r="Y887" s="47"/>
      <c r="Z887" s="42"/>
      <c r="AA887" s="42"/>
      <c r="AB887" s="47"/>
      <c r="AC887" s="42"/>
      <c r="AD887" s="42"/>
      <c r="AE887" s="46"/>
      <c r="AF887" s="47"/>
      <c r="AG887" s="48"/>
    </row>
    <row r="888" spans="2:33" s="38" customFormat="1" x14ac:dyDescent="0.25">
      <c r="B888" s="49"/>
      <c r="C888" s="70"/>
      <c r="D888" s="42"/>
      <c r="F888" s="46"/>
      <c r="G888" s="47"/>
      <c r="H888" s="42"/>
      <c r="I888" s="42"/>
      <c r="J888" s="47"/>
      <c r="K888" s="42"/>
      <c r="L888" s="42"/>
      <c r="M888" s="47"/>
      <c r="N888" s="42"/>
      <c r="O888" s="42"/>
      <c r="P888" s="47"/>
      <c r="Q888" s="42"/>
      <c r="R888" s="42"/>
      <c r="S888" s="47"/>
      <c r="T888" s="42"/>
      <c r="U888" s="42"/>
      <c r="V888" s="47"/>
      <c r="W888" s="42"/>
      <c r="X888" s="42"/>
      <c r="Y888" s="47"/>
      <c r="Z888" s="42"/>
      <c r="AA888" s="42"/>
      <c r="AB888" s="47"/>
      <c r="AC888" s="42"/>
      <c r="AD888" s="42"/>
      <c r="AE888" s="46"/>
      <c r="AF888" s="47"/>
      <c r="AG888" s="48"/>
    </row>
    <row r="889" spans="2:33" s="38" customFormat="1" x14ac:dyDescent="0.25">
      <c r="B889" s="49"/>
      <c r="C889" s="70"/>
      <c r="D889" s="42"/>
      <c r="F889" s="46"/>
      <c r="G889" s="47"/>
      <c r="H889" s="42"/>
      <c r="I889" s="42"/>
      <c r="J889" s="47"/>
      <c r="K889" s="42"/>
      <c r="L889" s="42"/>
      <c r="M889" s="47"/>
      <c r="N889" s="42"/>
      <c r="O889" s="42"/>
      <c r="P889" s="47"/>
      <c r="Q889" s="42"/>
      <c r="R889" s="42"/>
      <c r="S889" s="47"/>
      <c r="T889" s="42"/>
      <c r="U889" s="42"/>
      <c r="V889" s="47"/>
      <c r="W889" s="42"/>
      <c r="X889" s="42"/>
      <c r="Y889" s="47"/>
      <c r="Z889" s="42"/>
      <c r="AA889" s="42"/>
      <c r="AB889" s="47"/>
      <c r="AC889" s="42"/>
      <c r="AD889" s="42"/>
      <c r="AE889" s="46"/>
      <c r="AF889" s="47"/>
      <c r="AG889" s="48"/>
    </row>
    <row r="890" spans="2:33" s="38" customFormat="1" x14ac:dyDescent="0.25">
      <c r="B890" s="49"/>
      <c r="C890" s="70"/>
      <c r="D890" s="42"/>
      <c r="F890" s="46"/>
      <c r="G890" s="47"/>
      <c r="H890" s="42"/>
      <c r="I890" s="42"/>
      <c r="J890" s="47"/>
      <c r="K890" s="42"/>
      <c r="L890" s="42"/>
      <c r="M890" s="47"/>
      <c r="N890" s="42"/>
      <c r="O890" s="42"/>
      <c r="P890" s="47"/>
      <c r="Q890" s="42"/>
      <c r="R890" s="42"/>
      <c r="S890" s="47"/>
      <c r="T890" s="42"/>
      <c r="U890" s="42"/>
      <c r="V890" s="47"/>
      <c r="W890" s="42"/>
      <c r="X890" s="42"/>
      <c r="Y890" s="47"/>
      <c r="Z890" s="42"/>
      <c r="AA890" s="42"/>
      <c r="AB890" s="47"/>
      <c r="AC890" s="42"/>
      <c r="AD890" s="42"/>
      <c r="AE890" s="46"/>
      <c r="AF890" s="47"/>
      <c r="AG890" s="48"/>
    </row>
    <row r="891" spans="2:33" s="38" customFormat="1" x14ac:dyDescent="0.25">
      <c r="B891" s="49"/>
      <c r="C891" s="70"/>
      <c r="D891" s="42"/>
      <c r="F891" s="46"/>
      <c r="G891" s="47"/>
      <c r="H891" s="42"/>
      <c r="I891" s="42"/>
      <c r="J891" s="47"/>
      <c r="K891" s="42"/>
      <c r="L891" s="42"/>
      <c r="M891" s="47"/>
      <c r="N891" s="42"/>
      <c r="O891" s="42"/>
      <c r="P891" s="47"/>
      <c r="Q891" s="42"/>
      <c r="R891" s="42"/>
      <c r="S891" s="47"/>
      <c r="T891" s="42"/>
      <c r="U891" s="42"/>
      <c r="V891" s="47"/>
      <c r="W891" s="42"/>
      <c r="X891" s="42"/>
      <c r="Y891" s="47"/>
      <c r="Z891" s="42"/>
      <c r="AA891" s="42"/>
      <c r="AB891" s="47"/>
      <c r="AC891" s="42"/>
      <c r="AD891" s="42"/>
      <c r="AE891" s="46"/>
      <c r="AF891" s="47"/>
      <c r="AG891" s="48"/>
    </row>
    <row r="892" spans="2:33" s="38" customFormat="1" x14ac:dyDescent="0.25">
      <c r="B892" s="49"/>
      <c r="C892" s="70"/>
      <c r="D892" s="42"/>
      <c r="F892" s="46"/>
      <c r="G892" s="47"/>
      <c r="H892" s="42"/>
      <c r="I892" s="42"/>
      <c r="J892" s="47"/>
      <c r="K892" s="42"/>
      <c r="L892" s="42"/>
      <c r="M892" s="47"/>
      <c r="N892" s="42"/>
      <c r="O892" s="42"/>
      <c r="P892" s="47"/>
      <c r="Q892" s="42"/>
      <c r="R892" s="42"/>
      <c r="S892" s="47"/>
      <c r="T892" s="42"/>
      <c r="U892" s="42"/>
      <c r="V892" s="47"/>
      <c r="W892" s="42"/>
      <c r="X892" s="42"/>
      <c r="Y892" s="47"/>
      <c r="Z892" s="42"/>
      <c r="AA892" s="42"/>
      <c r="AB892" s="47"/>
      <c r="AC892" s="42"/>
      <c r="AD892" s="42"/>
      <c r="AE892" s="46"/>
      <c r="AF892" s="47"/>
      <c r="AG892" s="48"/>
    </row>
    <row r="893" spans="2:33" s="38" customFormat="1" x14ac:dyDescent="0.25">
      <c r="B893" s="49"/>
      <c r="C893" s="70"/>
      <c r="D893" s="42"/>
      <c r="F893" s="46"/>
      <c r="G893" s="47"/>
      <c r="H893" s="42"/>
      <c r="I893" s="42"/>
      <c r="J893" s="47"/>
      <c r="K893" s="42"/>
      <c r="L893" s="42"/>
      <c r="M893" s="47"/>
      <c r="N893" s="42"/>
      <c r="O893" s="42"/>
      <c r="P893" s="47"/>
      <c r="Q893" s="42"/>
      <c r="R893" s="42"/>
      <c r="S893" s="47"/>
      <c r="T893" s="42"/>
      <c r="U893" s="42"/>
      <c r="V893" s="47"/>
      <c r="W893" s="42"/>
      <c r="X893" s="42"/>
      <c r="Y893" s="47"/>
      <c r="Z893" s="42"/>
      <c r="AA893" s="42"/>
      <c r="AB893" s="47"/>
      <c r="AC893" s="42"/>
      <c r="AD893" s="42"/>
      <c r="AE893" s="46"/>
      <c r="AF893" s="47"/>
      <c r="AG893" s="48"/>
    </row>
    <row r="894" spans="2:33" s="38" customFormat="1" x14ac:dyDescent="0.25">
      <c r="B894" s="49"/>
      <c r="C894" s="70"/>
      <c r="D894" s="42"/>
      <c r="F894" s="46"/>
      <c r="G894" s="47"/>
      <c r="H894" s="42"/>
      <c r="I894" s="42"/>
      <c r="J894" s="47"/>
      <c r="K894" s="42"/>
      <c r="L894" s="42"/>
      <c r="M894" s="47"/>
      <c r="N894" s="42"/>
      <c r="O894" s="42"/>
      <c r="P894" s="47"/>
      <c r="Q894" s="42"/>
      <c r="R894" s="42"/>
      <c r="S894" s="47"/>
      <c r="T894" s="42"/>
      <c r="U894" s="42"/>
      <c r="V894" s="47"/>
      <c r="W894" s="42"/>
      <c r="X894" s="42"/>
      <c r="Y894" s="47"/>
      <c r="Z894" s="42"/>
      <c r="AA894" s="42"/>
      <c r="AB894" s="47"/>
      <c r="AC894" s="42"/>
      <c r="AD894" s="42"/>
      <c r="AE894" s="46"/>
      <c r="AF894" s="47"/>
      <c r="AG894" s="48"/>
    </row>
    <row r="895" spans="2:33" s="38" customFormat="1" x14ac:dyDescent="0.25">
      <c r="B895" s="49"/>
      <c r="C895" s="70"/>
      <c r="D895" s="42"/>
      <c r="F895" s="46"/>
      <c r="G895" s="47"/>
      <c r="H895" s="42"/>
      <c r="I895" s="42"/>
      <c r="J895" s="47"/>
      <c r="K895" s="42"/>
      <c r="L895" s="42"/>
      <c r="M895" s="47"/>
      <c r="N895" s="42"/>
      <c r="O895" s="42"/>
      <c r="P895" s="47"/>
      <c r="Q895" s="42"/>
      <c r="R895" s="42"/>
      <c r="S895" s="47"/>
      <c r="T895" s="42"/>
      <c r="U895" s="42"/>
      <c r="V895" s="47"/>
      <c r="W895" s="42"/>
      <c r="X895" s="42"/>
      <c r="Y895" s="47"/>
      <c r="Z895" s="42"/>
      <c r="AA895" s="42"/>
      <c r="AB895" s="47"/>
      <c r="AC895" s="42"/>
      <c r="AD895" s="42"/>
      <c r="AE895" s="46"/>
      <c r="AF895" s="47"/>
      <c r="AG895" s="48"/>
    </row>
    <row r="896" spans="2:33" s="38" customFormat="1" x14ac:dyDescent="0.25">
      <c r="B896" s="49"/>
      <c r="C896" s="70"/>
      <c r="D896" s="42"/>
      <c r="F896" s="46"/>
      <c r="G896" s="47"/>
      <c r="H896" s="42"/>
      <c r="I896" s="42"/>
      <c r="J896" s="47"/>
      <c r="K896" s="42"/>
      <c r="L896" s="42"/>
      <c r="M896" s="47"/>
      <c r="N896" s="42"/>
      <c r="O896" s="42"/>
      <c r="P896" s="47"/>
      <c r="Q896" s="42"/>
      <c r="R896" s="42"/>
      <c r="S896" s="47"/>
      <c r="T896" s="42"/>
      <c r="U896" s="42"/>
      <c r="V896" s="47"/>
      <c r="W896" s="42"/>
      <c r="X896" s="42"/>
      <c r="Y896" s="47"/>
      <c r="Z896" s="42"/>
      <c r="AA896" s="42"/>
      <c r="AB896" s="47"/>
      <c r="AC896" s="42"/>
      <c r="AD896" s="42"/>
      <c r="AE896" s="46"/>
      <c r="AF896" s="47"/>
      <c r="AG896" s="48"/>
    </row>
    <row r="897" spans="2:33" s="38" customFormat="1" x14ac:dyDescent="0.25">
      <c r="B897" s="49"/>
      <c r="C897" s="70"/>
      <c r="D897" s="42"/>
      <c r="F897" s="46"/>
      <c r="G897" s="47"/>
      <c r="H897" s="42"/>
      <c r="I897" s="42"/>
      <c r="J897" s="47"/>
      <c r="K897" s="42"/>
      <c r="L897" s="42"/>
      <c r="M897" s="47"/>
      <c r="N897" s="42"/>
      <c r="O897" s="42"/>
      <c r="P897" s="47"/>
      <c r="Q897" s="42"/>
      <c r="R897" s="42"/>
      <c r="S897" s="47"/>
      <c r="T897" s="42"/>
      <c r="U897" s="42"/>
      <c r="V897" s="47"/>
      <c r="W897" s="42"/>
      <c r="X897" s="42"/>
      <c r="Y897" s="47"/>
      <c r="Z897" s="42"/>
      <c r="AA897" s="42"/>
      <c r="AB897" s="47"/>
      <c r="AC897" s="42"/>
      <c r="AD897" s="42"/>
      <c r="AE897" s="46"/>
      <c r="AF897" s="47"/>
      <c r="AG897" s="48"/>
    </row>
    <row r="898" spans="2:33" s="38" customFormat="1" x14ac:dyDescent="0.25">
      <c r="B898" s="49"/>
      <c r="C898" s="70"/>
      <c r="D898" s="42"/>
      <c r="F898" s="46"/>
      <c r="G898" s="47"/>
      <c r="H898" s="42"/>
      <c r="I898" s="42"/>
      <c r="J898" s="47"/>
      <c r="K898" s="42"/>
      <c r="L898" s="42"/>
      <c r="M898" s="47"/>
      <c r="N898" s="42"/>
      <c r="O898" s="42"/>
      <c r="P898" s="47"/>
      <c r="Q898" s="42"/>
      <c r="R898" s="42"/>
      <c r="S898" s="47"/>
      <c r="T898" s="42"/>
      <c r="U898" s="42"/>
      <c r="V898" s="47"/>
      <c r="W898" s="42"/>
      <c r="X898" s="42"/>
      <c r="Y898" s="47"/>
      <c r="Z898" s="42"/>
      <c r="AA898" s="42"/>
      <c r="AB898" s="47"/>
      <c r="AC898" s="42"/>
      <c r="AD898" s="42"/>
      <c r="AE898" s="46"/>
      <c r="AF898" s="47"/>
      <c r="AG898" s="48"/>
    </row>
    <row r="899" spans="2:33" s="38" customFormat="1" x14ac:dyDescent="0.25">
      <c r="B899" s="49"/>
      <c r="C899" s="70"/>
      <c r="D899" s="42"/>
      <c r="F899" s="46"/>
      <c r="G899" s="47"/>
      <c r="H899" s="42"/>
      <c r="I899" s="42"/>
      <c r="J899" s="47"/>
      <c r="K899" s="42"/>
      <c r="L899" s="42"/>
      <c r="M899" s="47"/>
      <c r="N899" s="42"/>
      <c r="O899" s="42"/>
      <c r="P899" s="47"/>
      <c r="Q899" s="42"/>
      <c r="R899" s="42"/>
      <c r="S899" s="47"/>
      <c r="T899" s="42"/>
      <c r="U899" s="42"/>
      <c r="V899" s="47"/>
      <c r="W899" s="42"/>
      <c r="X899" s="42"/>
      <c r="Y899" s="47"/>
      <c r="Z899" s="42"/>
      <c r="AA899" s="42"/>
      <c r="AB899" s="47"/>
      <c r="AC899" s="42"/>
      <c r="AD899" s="42"/>
      <c r="AE899" s="46"/>
      <c r="AF899" s="47"/>
      <c r="AG899" s="48"/>
    </row>
    <row r="900" spans="2:33" s="38" customFormat="1" x14ac:dyDescent="0.25">
      <c r="B900" s="49"/>
      <c r="C900" s="70"/>
      <c r="D900" s="42"/>
      <c r="F900" s="46"/>
      <c r="G900" s="47"/>
      <c r="H900" s="42"/>
      <c r="I900" s="42"/>
      <c r="J900" s="47"/>
      <c r="K900" s="42"/>
      <c r="L900" s="42"/>
      <c r="M900" s="47"/>
      <c r="N900" s="42"/>
      <c r="O900" s="42"/>
      <c r="P900" s="47"/>
      <c r="Q900" s="42"/>
      <c r="R900" s="42"/>
      <c r="S900" s="47"/>
      <c r="T900" s="42"/>
      <c r="U900" s="42"/>
      <c r="V900" s="47"/>
      <c r="W900" s="42"/>
      <c r="X900" s="42"/>
      <c r="Y900" s="47"/>
      <c r="Z900" s="42"/>
      <c r="AA900" s="42"/>
      <c r="AB900" s="47"/>
      <c r="AC900" s="42"/>
      <c r="AD900" s="42"/>
      <c r="AE900" s="46"/>
      <c r="AF900" s="47"/>
      <c r="AG900" s="48"/>
    </row>
    <row r="901" spans="2:33" s="38" customFormat="1" x14ac:dyDescent="0.25">
      <c r="B901" s="49"/>
      <c r="C901" s="70"/>
      <c r="D901" s="42"/>
      <c r="F901" s="46"/>
      <c r="G901" s="47"/>
      <c r="H901" s="42"/>
      <c r="I901" s="42"/>
      <c r="J901" s="47"/>
      <c r="K901" s="42"/>
      <c r="L901" s="42"/>
      <c r="M901" s="47"/>
      <c r="N901" s="42"/>
      <c r="O901" s="42"/>
      <c r="P901" s="47"/>
      <c r="Q901" s="42"/>
      <c r="R901" s="42"/>
      <c r="S901" s="47"/>
      <c r="T901" s="42"/>
      <c r="U901" s="42"/>
      <c r="V901" s="47"/>
      <c r="W901" s="42"/>
      <c r="X901" s="42"/>
      <c r="Y901" s="47"/>
      <c r="Z901" s="42"/>
      <c r="AA901" s="42"/>
      <c r="AB901" s="47"/>
      <c r="AC901" s="42"/>
      <c r="AD901" s="42"/>
      <c r="AE901" s="46"/>
      <c r="AF901" s="47"/>
      <c r="AG901" s="48"/>
    </row>
    <row r="902" spans="2:33" s="38" customFormat="1" x14ac:dyDescent="0.25">
      <c r="B902" s="49"/>
      <c r="C902" s="70"/>
      <c r="D902" s="42"/>
      <c r="F902" s="46"/>
      <c r="G902" s="47"/>
      <c r="H902" s="42"/>
      <c r="I902" s="42"/>
      <c r="J902" s="47"/>
      <c r="K902" s="42"/>
      <c r="L902" s="42"/>
      <c r="M902" s="47"/>
      <c r="N902" s="42"/>
      <c r="O902" s="42"/>
      <c r="P902" s="47"/>
      <c r="Q902" s="42"/>
      <c r="R902" s="42"/>
      <c r="S902" s="47"/>
      <c r="T902" s="42"/>
      <c r="U902" s="42"/>
      <c r="V902" s="47"/>
      <c r="W902" s="42"/>
      <c r="X902" s="42"/>
      <c r="Y902" s="47"/>
      <c r="Z902" s="42"/>
      <c r="AA902" s="42"/>
      <c r="AB902" s="47"/>
      <c r="AC902" s="42"/>
      <c r="AD902" s="42"/>
      <c r="AE902" s="46"/>
      <c r="AF902" s="47"/>
      <c r="AG902" s="48"/>
    </row>
    <row r="903" spans="2:33" s="38" customFormat="1" x14ac:dyDescent="0.25">
      <c r="B903" s="49"/>
      <c r="C903" s="70"/>
      <c r="D903" s="42"/>
      <c r="F903" s="46"/>
      <c r="G903" s="47"/>
      <c r="H903" s="42"/>
      <c r="I903" s="42"/>
      <c r="J903" s="47"/>
      <c r="K903" s="42"/>
      <c r="L903" s="42"/>
      <c r="M903" s="47"/>
      <c r="N903" s="42"/>
      <c r="O903" s="42"/>
      <c r="P903" s="47"/>
      <c r="Q903" s="42"/>
      <c r="R903" s="42"/>
      <c r="S903" s="47"/>
      <c r="T903" s="42"/>
      <c r="U903" s="42"/>
      <c r="V903" s="47"/>
      <c r="W903" s="42"/>
      <c r="X903" s="42"/>
      <c r="Y903" s="47"/>
      <c r="Z903" s="42"/>
      <c r="AA903" s="42"/>
      <c r="AB903" s="47"/>
      <c r="AC903" s="42"/>
      <c r="AD903" s="42"/>
      <c r="AE903" s="46"/>
      <c r="AF903" s="47"/>
      <c r="AG903" s="48"/>
    </row>
    <row r="904" spans="2:33" s="38" customFormat="1" x14ac:dyDescent="0.25">
      <c r="B904" s="49"/>
      <c r="C904" s="70"/>
      <c r="D904" s="42"/>
      <c r="F904" s="46"/>
      <c r="G904" s="47"/>
      <c r="H904" s="42"/>
      <c r="I904" s="42"/>
      <c r="J904" s="47"/>
      <c r="K904" s="42"/>
      <c r="L904" s="42"/>
      <c r="M904" s="47"/>
      <c r="N904" s="42"/>
      <c r="O904" s="42"/>
      <c r="P904" s="47"/>
      <c r="Q904" s="42"/>
      <c r="R904" s="42"/>
      <c r="S904" s="47"/>
      <c r="T904" s="42"/>
      <c r="U904" s="42"/>
      <c r="V904" s="47"/>
      <c r="W904" s="42"/>
      <c r="X904" s="42"/>
      <c r="Y904" s="47"/>
      <c r="Z904" s="42"/>
      <c r="AA904" s="42"/>
      <c r="AB904" s="47"/>
      <c r="AC904" s="42"/>
      <c r="AD904" s="42"/>
      <c r="AE904" s="46"/>
      <c r="AF904" s="47"/>
      <c r="AG904" s="48"/>
    </row>
    <row r="905" spans="2:33" s="38" customFormat="1" x14ac:dyDescent="0.25">
      <c r="B905" s="49"/>
      <c r="C905" s="70"/>
      <c r="D905" s="42"/>
      <c r="F905" s="46"/>
      <c r="G905" s="47"/>
      <c r="H905" s="42"/>
      <c r="I905" s="42"/>
      <c r="J905" s="47"/>
      <c r="K905" s="42"/>
      <c r="L905" s="42"/>
      <c r="M905" s="47"/>
      <c r="N905" s="42"/>
      <c r="O905" s="42"/>
      <c r="P905" s="47"/>
      <c r="Q905" s="42"/>
      <c r="R905" s="42"/>
      <c r="S905" s="47"/>
      <c r="T905" s="42"/>
      <c r="U905" s="42"/>
      <c r="V905" s="47"/>
      <c r="W905" s="42"/>
      <c r="X905" s="42"/>
      <c r="Y905" s="47"/>
      <c r="Z905" s="42"/>
      <c r="AA905" s="42"/>
      <c r="AB905" s="47"/>
      <c r="AC905" s="42"/>
      <c r="AD905" s="42"/>
      <c r="AE905" s="46"/>
      <c r="AF905" s="47"/>
      <c r="AG905" s="48"/>
    </row>
    <row r="906" spans="2:33" s="38" customFormat="1" x14ac:dyDescent="0.25">
      <c r="B906" s="49"/>
      <c r="C906" s="70"/>
      <c r="D906" s="42"/>
      <c r="F906" s="46"/>
      <c r="G906" s="47"/>
      <c r="H906" s="42"/>
      <c r="I906" s="42"/>
      <c r="J906" s="47"/>
      <c r="K906" s="42"/>
      <c r="L906" s="42"/>
      <c r="M906" s="47"/>
      <c r="N906" s="42"/>
      <c r="O906" s="42"/>
      <c r="P906" s="47"/>
      <c r="Q906" s="42"/>
      <c r="R906" s="42"/>
      <c r="S906" s="47"/>
      <c r="T906" s="42"/>
      <c r="U906" s="42"/>
      <c r="V906" s="47"/>
      <c r="W906" s="42"/>
      <c r="X906" s="42"/>
      <c r="Y906" s="47"/>
      <c r="Z906" s="42"/>
      <c r="AA906" s="42"/>
      <c r="AB906" s="47"/>
      <c r="AC906" s="42"/>
      <c r="AD906" s="42"/>
      <c r="AE906" s="46"/>
      <c r="AF906" s="47"/>
      <c r="AG906" s="48"/>
    </row>
    <row r="907" spans="2:33" s="38" customFormat="1" x14ac:dyDescent="0.25">
      <c r="B907" s="49"/>
      <c r="C907" s="70"/>
      <c r="D907" s="42"/>
      <c r="F907" s="46"/>
      <c r="G907" s="47"/>
      <c r="H907" s="42"/>
      <c r="I907" s="42"/>
      <c r="J907" s="47"/>
      <c r="K907" s="42"/>
      <c r="L907" s="42"/>
      <c r="M907" s="47"/>
      <c r="N907" s="42"/>
      <c r="O907" s="42"/>
      <c r="P907" s="47"/>
      <c r="Q907" s="42"/>
      <c r="R907" s="42"/>
      <c r="S907" s="47"/>
      <c r="T907" s="42"/>
      <c r="U907" s="42"/>
      <c r="V907" s="47"/>
      <c r="W907" s="42"/>
      <c r="X907" s="42"/>
      <c r="Y907" s="47"/>
      <c r="Z907" s="42"/>
      <c r="AA907" s="42"/>
      <c r="AB907" s="47"/>
      <c r="AC907" s="42"/>
      <c r="AD907" s="42"/>
      <c r="AE907" s="46"/>
      <c r="AF907" s="47"/>
      <c r="AG907" s="48"/>
    </row>
    <row r="908" spans="2:33" s="38" customFormat="1" x14ac:dyDescent="0.25">
      <c r="B908" s="49"/>
      <c r="C908" s="70"/>
      <c r="D908" s="42"/>
      <c r="F908" s="46"/>
      <c r="G908" s="47"/>
      <c r="H908" s="42"/>
      <c r="I908" s="42"/>
      <c r="J908" s="47"/>
      <c r="K908" s="42"/>
      <c r="L908" s="42"/>
      <c r="M908" s="47"/>
      <c r="N908" s="42"/>
      <c r="O908" s="42"/>
      <c r="P908" s="47"/>
      <c r="Q908" s="42"/>
      <c r="R908" s="42"/>
      <c r="S908" s="47"/>
      <c r="T908" s="42"/>
      <c r="U908" s="42"/>
      <c r="V908" s="47"/>
      <c r="W908" s="42"/>
      <c r="X908" s="42"/>
      <c r="Y908" s="47"/>
      <c r="Z908" s="42"/>
      <c r="AA908" s="42"/>
      <c r="AB908" s="47"/>
      <c r="AC908" s="42"/>
      <c r="AD908" s="42"/>
      <c r="AE908" s="46"/>
      <c r="AF908" s="47"/>
      <c r="AG908" s="48"/>
    </row>
    <row r="909" spans="2:33" s="38" customFormat="1" x14ac:dyDescent="0.25">
      <c r="B909" s="49"/>
      <c r="C909" s="70"/>
      <c r="D909" s="42"/>
      <c r="F909" s="46"/>
      <c r="G909" s="47"/>
      <c r="H909" s="42"/>
      <c r="I909" s="42"/>
      <c r="J909" s="47"/>
      <c r="K909" s="42"/>
      <c r="L909" s="42"/>
      <c r="M909" s="47"/>
      <c r="N909" s="42"/>
      <c r="O909" s="42"/>
      <c r="P909" s="47"/>
      <c r="Q909" s="42"/>
      <c r="R909" s="42"/>
      <c r="S909" s="47"/>
      <c r="T909" s="42"/>
      <c r="U909" s="42"/>
      <c r="V909" s="47"/>
      <c r="W909" s="42"/>
      <c r="X909" s="42"/>
      <c r="Y909" s="47"/>
      <c r="Z909" s="42"/>
      <c r="AA909" s="42"/>
      <c r="AB909" s="47"/>
      <c r="AC909" s="42"/>
      <c r="AD909" s="42"/>
      <c r="AE909" s="46"/>
      <c r="AF909" s="47"/>
      <c r="AG909" s="48"/>
    </row>
    <row r="910" spans="2:33" s="38" customFormat="1" x14ac:dyDescent="0.25">
      <c r="B910" s="49"/>
      <c r="C910" s="70"/>
      <c r="D910" s="42"/>
      <c r="F910" s="46"/>
      <c r="G910" s="47"/>
      <c r="H910" s="42"/>
      <c r="I910" s="42"/>
      <c r="J910" s="47"/>
      <c r="K910" s="42"/>
      <c r="L910" s="42"/>
      <c r="M910" s="47"/>
      <c r="N910" s="42"/>
      <c r="O910" s="42"/>
      <c r="P910" s="47"/>
      <c r="Q910" s="42"/>
      <c r="R910" s="42"/>
      <c r="S910" s="47"/>
      <c r="T910" s="42"/>
      <c r="U910" s="42"/>
      <c r="V910" s="47"/>
      <c r="W910" s="42"/>
      <c r="X910" s="42"/>
      <c r="Y910" s="47"/>
      <c r="Z910" s="42"/>
      <c r="AA910" s="42"/>
      <c r="AB910" s="47"/>
      <c r="AC910" s="42"/>
      <c r="AD910" s="42"/>
      <c r="AE910" s="46"/>
      <c r="AF910" s="47"/>
      <c r="AG910" s="48"/>
    </row>
    <row r="911" spans="2:33" s="38" customFormat="1" x14ac:dyDescent="0.25">
      <c r="B911" s="49"/>
      <c r="C911" s="70"/>
      <c r="D911" s="42"/>
      <c r="F911" s="46"/>
      <c r="G911" s="47"/>
      <c r="H911" s="42"/>
      <c r="I911" s="42"/>
      <c r="J911" s="47"/>
      <c r="K911" s="42"/>
      <c r="L911" s="42"/>
      <c r="M911" s="47"/>
      <c r="N911" s="42"/>
      <c r="O911" s="42"/>
      <c r="P911" s="47"/>
      <c r="Q911" s="42"/>
      <c r="R911" s="42"/>
      <c r="S911" s="47"/>
      <c r="T911" s="42"/>
      <c r="U911" s="42"/>
      <c r="V911" s="47"/>
      <c r="W911" s="42"/>
      <c r="X911" s="42"/>
      <c r="Y911" s="47"/>
      <c r="Z911" s="42"/>
      <c r="AA911" s="42"/>
      <c r="AB911" s="47"/>
      <c r="AC911" s="42"/>
      <c r="AD911" s="42"/>
      <c r="AE911" s="46"/>
      <c r="AF911" s="47"/>
      <c r="AG911" s="48"/>
    </row>
    <row r="912" spans="2:33" s="38" customFormat="1" x14ac:dyDescent="0.25">
      <c r="B912" s="49"/>
      <c r="C912" s="70"/>
      <c r="D912" s="42"/>
      <c r="F912" s="46"/>
      <c r="G912" s="47"/>
      <c r="H912" s="42"/>
      <c r="I912" s="42"/>
      <c r="J912" s="47"/>
      <c r="K912" s="42"/>
      <c r="L912" s="42"/>
      <c r="M912" s="47"/>
      <c r="N912" s="42"/>
      <c r="O912" s="42"/>
      <c r="P912" s="47"/>
      <c r="Q912" s="42"/>
      <c r="R912" s="42"/>
      <c r="S912" s="47"/>
      <c r="T912" s="42"/>
      <c r="U912" s="42"/>
      <c r="V912" s="47"/>
      <c r="W912" s="42"/>
      <c r="X912" s="42"/>
      <c r="Y912" s="47"/>
      <c r="Z912" s="42"/>
      <c r="AA912" s="42"/>
      <c r="AB912" s="47"/>
      <c r="AC912" s="42"/>
      <c r="AD912" s="42"/>
      <c r="AE912" s="46"/>
      <c r="AF912" s="47"/>
      <c r="AG912" s="48"/>
    </row>
    <row r="913" spans="2:33" s="38" customFormat="1" x14ac:dyDescent="0.25">
      <c r="B913" s="49"/>
      <c r="C913" s="70"/>
      <c r="D913" s="42"/>
      <c r="F913" s="46"/>
      <c r="G913" s="47"/>
      <c r="H913" s="42"/>
      <c r="I913" s="42"/>
      <c r="J913" s="47"/>
      <c r="K913" s="42"/>
      <c r="L913" s="42"/>
      <c r="M913" s="47"/>
      <c r="N913" s="42"/>
      <c r="O913" s="42"/>
      <c r="P913" s="47"/>
      <c r="Q913" s="42"/>
      <c r="R913" s="42"/>
      <c r="S913" s="47"/>
      <c r="T913" s="42"/>
      <c r="U913" s="42"/>
      <c r="V913" s="47"/>
      <c r="W913" s="42"/>
      <c r="X913" s="42"/>
      <c r="Y913" s="47"/>
      <c r="Z913" s="42"/>
      <c r="AA913" s="42"/>
      <c r="AB913" s="47"/>
      <c r="AC913" s="42"/>
      <c r="AD913" s="42"/>
      <c r="AE913" s="46"/>
      <c r="AF913" s="47"/>
      <c r="AG913" s="48"/>
    </row>
    <row r="914" spans="2:33" s="38" customFormat="1" x14ac:dyDescent="0.25">
      <c r="B914" s="49"/>
      <c r="C914" s="70"/>
      <c r="D914" s="42"/>
      <c r="F914" s="46"/>
      <c r="G914" s="47"/>
      <c r="H914" s="42"/>
      <c r="I914" s="42"/>
      <c r="J914" s="47"/>
      <c r="K914" s="42"/>
      <c r="L914" s="42"/>
      <c r="M914" s="47"/>
      <c r="N914" s="42"/>
      <c r="O914" s="42"/>
      <c r="P914" s="47"/>
      <c r="Q914" s="42"/>
      <c r="R914" s="42"/>
      <c r="S914" s="47"/>
      <c r="T914" s="42"/>
      <c r="U914" s="42"/>
      <c r="V914" s="47"/>
      <c r="W914" s="42"/>
      <c r="X914" s="42"/>
      <c r="Y914" s="47"/>
      <c r="Z914" s="42"/>
      <c r="AA914" s="42"/>
      <c r="AB914" s="47"/>
      <c r="AC914" s="42"/>
      <c r="AD914" s="42"/>
      <c r="AE914" s="46"/>
      <c r="AF914" s="47"/>
      <c r="AG914" s="48"/>
    </row>
    <row r="915" spans="2:33" s="38" customFormat="1" x14ac:dyDescent="0.25">
      <c r="B915" s="49"/>
      <c r="C915" s="70"/>
      <c r="D915" s="42"/>
      <c r="F915" s="46"/>
      <c r="G915" s="47"/>
      <c r="H915" s="42"/>
      <c r="I915" s="42"/>
      <c r="J915" s="47"/>
      <c r="K915" s="42"/>
      <c r="L915" s="42"/>
      <c r="M915" s="47"/>
      <c r="N915" s="42"/>
      <c r="O915" s="42"/>
      <c r="P915" s="47"/>
      <c r="Q915" s="42"/>
      <c r="R915" s="42"/>
      <c r="S915" s="47"/>
      <c r="T915" s="42"/>
      <c r="U915" s="42"/>
      <c r="V915" s="47"/>
      <c r="W915" s="42"/>
      <c r="X915" s="42"/>
      <c r="Y915" s="47"/>
      <c r="Z915" s="42"/>
      <c r="AA915" s="42"/>
      <c r="AB915" s="47"/>
      <c r="AC915" s="42"/>
      <c r="AD915" s="42"/>
      <c r="AE915" s="46"/>
      <c r="AF915" s="47"/>
      <c r="AG915" s="48"/>
    </row>
    <row r="916" spans="2:33" s="38" customFormat="1" x14ac:dyDescent="0.25">
      <c r="B916" s="49"/>
      <c r="C916" s="70"/>
      <c r="D916" s="42"/>
      <c r="F916" s="46"/>
      <c r="G916" s="47"/>
      <c r="H916" s="42"/>
      <c r="I916" s="42"/>
      <c r="J916" s="47"/>
      <c r="K916" s="42"/>
      <c r="L916" s="42"/>
      <c r="M916" s="47"/>
      <c r="N916" s="42"/>
      <c r="O916" s="42"/>
      <c r="P916" s="47"/>
      <c r="Q916" s="42"/>
      <c r="R916" s="42"/>
      <c r="S916" s="47"/>
      <c r="T916" s="42"/>
      <c r="U916" s="42"/>
      <c r="V916" s="47"/>
      <c r="W916" s="42"/>
      <c r="X916" s="42"/>
      <c r="Y916" s="47"/>
      <c r="Z916" s="42"/>
      <c r="AA916" s="42"/>
      <c r="AB916" s="47"/>
      <c r="AC916" s="42"/>
      <c r="AD916" s="42"/>
      <c r="AE916" s="46"/>
      <c r="AF916" s="47"/>
      <c r="AG916" s="48"/>
    </row>
    <row r="917" spans="2:33" s="38" customFormat="1" x14ac:dyDescent="0.25">
      <c r="B917" s="49"/>
      <c r="C917" s="70"/>
      <c r="D917" s="42"/>
      <c r="F917" s="46"/>
      <c r="G917" s="47"/>
      <c r="H917" s="42"/>
      <c r="I917" s="42"/>
      <c r="J917" s="47"/>
      <c r="K917" s="42"/>
      <c r="L917" s="42"/>
      <c r="M917" s="47"/>
      <c r="N917" s="42"/>
      <c r="O917" s="42"/>
      <c r="P917" s="47"/>
      <c r="Q917" s="42"/>
      <c r="R917" s="42"/>
      <c r="S917" s="47"/>
      <c r="T917" s="42"/>
      <c r="U917" s="42"/>
      <c r="V917" s="47"/>
      <c r="W917" s="42"/>
      <c r="X917" s="42"/>
      <c r="Y917" s="47"/>
      <c r="Z917" s="42"/>
      <c r="AA917" s="42"/>
      <c r="AB917" s="47"/>
      <c r="AC917" s="42"/>
      <c r="AD917" s="42"/>
      <c r="AE917" s="46"/>
      <c r="AF917" s="47"/>
      <c r="AG917" s="48"/>
    </row>
    <row r="918" spans="2:33" s="38" customFormat="1" x14ac:dyDescent="0.25">
      <c r="B918" s="49"/>
      <c r="C918" s="70"/>
      <c r="D918" s="42"/>
      <c r="F918" s="46"/>
      <c r="G918" s="47"/>
      <c r="H918" s="42"/>
      <c r="I918" s="42"/>
      <c r="J918" s="47"/>
      <c r="K918" s="42"/>
      <c r="L918" s="42"/>
      <c r="M918" s="47"/>
      <c r="N918" s="42"/>
      <c r="O918" s="42"/>
      <c r="P918" s="47"/>
      <c r="Q918" s="42"/>
      <c r="R918" s="42"/>
      <c r="S918" s="47"/>
      <c r="T918" s="42"/>
      <c r="U918" s="42"/>
      <c r="V918" s="47"/>
      <c r="W918" s="42"/>
      <c r="X918" s="42"/>
      <c r="Y918" s="47"/>
      <c r="Z918" s="42"/>
      <c r="AA918" s="42"/>
      <c r="AB918" s="47"/>
      <c r="AC918" s="42"/>
      <c r="AD918" s="42"/>
      <c r="AE918" s="46"/>
      <c r="AF918" s="47"/>
      <c r="AG918" s="48"/>
    </row>
    <row r="919" spans="2:33" s="38" customFormat="1" x14ac:dyDescent="0.25">
      <c r="B919" s="49"/>
      <c r="C919" s="70"/>
      <c r="D919" s="42"/>
      <c r="F919" s="46"/>
      <c r="G919" s="47"/>
      <c r="H919" s="42"/>
      <c r="I919" s="42"/>
      <c r="J919" s="47"/>
      <c r="K919" s="42"/>
      <c r="L919" s="42"/>
      <c r="M919" s="47"/>
      <c r="N919" s="42"/>
      <c r="O919" s="42"/>
      <c r="P919" s="47"/>
      <c r="Q919" s="42"/>
      <c r="R919" s="42"/>
      <c r="S919" s="47"/>
      <c r="T919" s="42"/>
      <c r="U919" s="42"/>
      <c r="V919" s="47"/>
      <c r="W919" s="42"/>
      <c r="X919" s="42"/>
      <c r="Y919" s="47"/>
      <c r="Z919" s="42"/>
      <c r="AA919" s="42"/>
      <c r="AB919" s="47"/>
      <c r="AC919" s="42"/>
      <c r="AD919" s="42"/>
      <c r="AE919" s="46"/>
      <c r="AF919" s="47"/>
      <c r="AG919" s="48"/>
    </row>
    <row r="920" spans="2:33" s="38" customFormat="1" x14ac:dyDescent="0.25">
      <c r="B920" s="49"/>
      <c r="C920" s="70"/>
      <c r="D920" s="42"/>
      <c r="F920" s="46"/>
      <c r="G920" s="47"/>
      <c r="H920" s="42"/>
      <c r="I920" s="42"/>
      <c r="J920" s="47"/>
      <c r="K920" s="42"/>
      <c r="L920" s="42"/>
      <c r="M920" s="47"/>
      <c r="N920" s="42"/>
      <c r="O920" s="42"/>
      <c r="P920" s="47"/>
      <c r="Q920" s="42"/>
      <c r="R920" s="42"/>
      <c r="S920" s="47"/>
      <c r="T920" s="42"/>
      <c r="U920" s="42"/>
      <c r="V920" s="47"/>
      <c r="W920" s="42"/>
      <c r="X920" s="42"/>
      <c r="Y920" s="47"/>
      <c r="Z920" s="42"/>
      <c r="AA920" s="42"/>
      <c r="AB920" s="47"/>
      <c r="AC920" s="42"/>
      <c r="AD920" s="42"/>
      <c r="AE920" s="46"/>
      <c r="AF920" s="47"/>
      <c r="AG920" s="48"/>
    </row>
    <row r="921" spans="2:33" s="38" customFormat="1" x14ac:dyDescent="0.25">
      <c r="B921" s="49"/>
      <c r="C921" s="70"/>
      <c r="D921" s="42"/>
      <c r="F921" s="46"/>
      <c r="G921" s="47"/>
      <c r="H921" s="42"/>
      <c r="I921" s="42"/>
      <c r="J921" s="47"/>
      <c r="K921" s="42"/>
      <c r="L921" s="42"/>
      <c r="M921" s="47"/>
      <c r="N921" s="42"/>
      <c r="O921" s="42"/>
      <c r="P921" s="47"/>
      <c r="Q921" s="42"/>
      <c r="R921" s="42"/>
      <c r="S921" s="47"/>
      <c r="T921" s="42"/>
      <c r="U921" s="42"/>
      <c r="V921" s="47"/>
      <c r="W921" s="42"/>
      <c r="X921" s="42"/>
      <c r="Y921" s="47"/>
      <c r="Z921" s="42"/>
      <c r="AA921" s="42"/>
      <c r="AB921" s="47"/>
      <c r="AC921" s="42"/>
      <c r="AD921" s="42"/>
      <c r="AE921" s="46"/>
      <c r="AF921" s="47"/>
      <c r="AG921" s="48"/>
    </row>
    <row r="922" spans="2:33" s="38" customFormat="1" x14ac:dyDescent="0.25">
      <c r="B922" s="49"/>
      <c r="C922" s="70"/>
      <c r="D922" s="42"/>
      <c r="F922" s="46"/>
      <c r="G922" s="47"/>
      <c r="H922" s="42"/>
      <c r="I922" s="42"/>
      <c r="J922" s="47"/>
      <c r="K922" s="42"/>
      <c r="L922" s="42"/>
      <c r="M922" s="47"/>
      <c r="N922" s="42"/>
      <c r="O922" s="42"/>
      <c r="P922" s="47"/>
      <c r="Q922" s="42"/>
      <c r="R922" s="42"/>
      <c r="S922" s="47"/>
      <c r="T922" s="42"/>
      <c r="U922" s="42"/>
      <c r="V922" s="47"/>
      <c r="W922" s="42"/>
      <c r="X922" s="42"/>
      <c r="Y922" s="47"/>
      <c r="Z922" s="42"/>
      <c r="AA922" s="42"/>
      <c r="AB922" s="47"/>
      <c r="AC922" s="42"/>
      <c r="AD922" s="42"/>
      <c r="AE922" s="46"/>
      <c r="AF922" s="47"/>
      <c r="AG922" s="48"/>
    </row>
    <row r="923" spans="2:33" s="38" customFormat="1" x14ac:dyDescent="0.25">
      <c r="B923" s="49"/>
      <c r="C923" s="70"/>
      <c r="D923" s="42"/>
      <c r="F923" s="46"/>
      <c r="G923" s="47"/>
      <c r="H923" s="42"/>
      <c r="I923" s="42"/>
      <c r="J923" s="47"/>
      <c r="K923" s="42"/>
      <c r="L923" s="42"/>
      <c r="M923" s="47"/>
      <c r="N923" s="42"/>
      <c r="O923" s="42"/>
      <c r="P923" s="47"/>
      <c r="Q923" s="42"/>
      <c r="R923" s="42"/>
      <c r="S923" s="47"/>
      <c r="T923" s="42"/>
      <c r="U923" s="42"/>
      <c r="V923" s="47"/>
      <c r="W923" s="42"/>
      <c r="X923" s="42"/>
      <c r="Y923" s="47"/>
      <c r="Z923" s="42"/>
      <c r="AA923" s="42"/>
      <c r="AB923" s="47"/>
      <c r="AC923" s="42"/>
      <c r="AD923" s="42"/>
      <c r="AE923" s="46"/>
      <c r="AF923" s="47"/>
      <c r="AG923" s="48"/>
    </row>
    <row r="924" spans="2:33" s="38" customFormat="1" x14ac:dyDescent="0.25">
      <c r="B924" s="49"/>
      <c r="C924" s="70"/>
      <c r="D924" s="42"/>
      <c r="F924" s="46"/>
      <c r="G924" s="47"/>
      <c r="H924" s="42"/>
      <c r="I924" s="42"/>
      <c r="J924" s="47"/>
      <c r="K924" s="42"/>
      <c r="L924" s="42"/>
      <c r="M924" s="47"/>
      <c r="N924" s="42"/>
      <c r="O924" s="42"/>
      <c r="P924" s="47"/>
      <c r="Q924" s="42"/>
      <c r="R924" s="42"/>
      <c r="S924" s="47"/>
      <c r="T924" s="42"/>
      <c r="U924" s="42"/>
      <c r="V924" s="47"/>
      <c r="W924" s="42"/>
      <c r="X924" s="42"/>
      <c r="Y924" s="47"/>
      <c r="Z924" s="42"/>
      <c r="AA924" s="42"/>
      <c r="AB924" s="47"/>
      <c r="AC924" s="42"/>
      <c r="AD924" s="42"/>
      <c r="AE924" s="46"/>
      <c r="AF924" s="47"/>
      <c r="AG924" s="48"/>
    </row>
    <row r="925" spans="2:33" s="38" customFormat="1" x14ac:dyDescent="0.25">
      <c r="B925" s="49"/>
      <c r="C925" s="70"/>
      <c r="D925" s="42"/>
      <c r="F925" s="46"/>
      <c r="G925" s="47"/>
      <c r="H925" s="42"/>
      <c r="I925" s="42"/>
      <c r="J925" s="47"/>
      <c r="K925" s="42"/>
      <c r="L925" s="42"/>
      <c r="M925" s="47"/>
      <c r="N925" s="42"/>
      <c r="O925" s="42"/>
      <c r="P925" s="47"/>
      <c r="Q925" s="42"/>
      <c r="R925" s="42"/>
      <c r="S925" s="47"/>
      <c r="T925" s="42"/>
      <c r="U925" s="42"/>
      <c r="V925" s="47"/>
      <c r="W925" s="42"/>
      <c r="X925" s="42"/>
      <c r="Y925" s="47"/>
      <c r="Z925" s="42"/>
      <c r="AA925" s="42"/>
      <c r="AB925" s="47"/>
      <c r="AC925" s="42"/>
      <c r="AD925" s="42"/>
      <c r="AE925" s="46"/>
      <c r="AF925" s="47"/>
      <c r="AG925" s="48"/>
    </row>
    <row r="926" spans="2:33" s="38" customFormat="1" x14ac:dyDescent="0.25">
      <c r="B926" s="49"/>
      <c r="C926" s="70"/>
      <c r="D926" s="42"/>
      <c r="F926" s="46"/>
      <c r="G926" s="47"/>
      <c r="H926" s="42"/>
      <c r="I926" s="42"/>
      <c r="J926" s="47"/>
      <c r="K926" s="42"/>
      <c r="L926" s="42"/>
      <c r="M926" s="47"/>
      <c r="N926" s="42"/>
      <c r="O926" s="42"/>
      <c r="P926" s="47"/>
      <c r="Q926" s="42"/>
      <c r="R926" s="42"/>
      <c r="S926" s="47"/>
      <c r="T926" s="42"/>
      <c r="U926" s="42"/>
      <c r="V926" s="47"/>
      <c r="W926" s="42"/>
      <c r="X926" s="42"/>
      <c r="Y926" s="47"/>
      <c r="Z926" s="42"/>
      <c r="AA926" s="42"/>
      <c r="AB926" s="47"/>
      <c r="AC926" s="42"/>
      <c r="AD926" s="42"/>
      <c r="AE926" s="46"/>
      <c r="AF926" s="47"/>
      <c r="AG926" s="48"/>
    </row>
    <row r="927" spans="2:33" s="38" customFormat="1" x14ac:dyDescent="0.25">
      <c r="B927" s="49"/>
      <c r="C927" s="70"/>
      <c r="D927" s="42"/>
      <c r="F927" s="46"/>
      <c r="G927" s="47"/>
      <c r="H927" s="42"/>
      <c r="I927" s="42"/>
      <c r="J927" s="47"/>
      <c r="K927" s="42"/>
      <c r="L927" s="42"/>
      <c r="M927" s="47"/>
      <c r="N927" s="42"/>
      <c r="O927" s="42"/>
      <c r="P927" s="47"/>
      <c r="Q927" s="42"/>
      <c r="R927" s="42"/>
      <c r="S927" s="47"/>
      <c r="T927" s="42"/>
      <c r="U927" s="42"/>
      <c r="V927" s="47"/>
      <c r="W927" s="42"/>
      <c r="X927" s="42"/>
      <c r="Y927" s="47"/>
      <c r="Z927" s="42"/>
      <c r="AA927" s="42"/>
      <c r="AB927" s="47"/>
      <c r="AC927" s="42"/>
      <c r="AD927" s="42"/>
      <c r="AE927" s="46"/>
      <c r="AF927" s="47"/>
      <c r="AG927" s="48"/>
    </row>
    <row r="928" spans="2:33" s="38" customFormat="1" x14ac:dyDescent="0.25">
      <c r="B928" s="49"/>
      <c r="C928" s="70"/>
      <c r="D928" s="42"/>
      <c r="F928" s="46"/>
      <c r="G928" s="47"/>
      <c r="H928" s="42"/>
      <c r="I928" s="42"/>
      <c r="J928" s="47"/>
      <c r="K928" s="42"/>
      <c r="L928" s="42"/>
      <c r="M928" s="47"/>
      <c r="N928" s="42"/>
      <c r="O928" s="42"/>
      <c r="P928" s="47"/>
      <c r="Q928" s="42"/>
      <c r="R928" s="42"/>
      <c r="S928" s="47"/>
      <c r="T928" s="42"/>
      <c r="U928" s="42"/>
      <c r="V928" s="47"/>
      <c r="W928" s="42"/>
      <c r="X928" s="42"/>
      <c r="Y928" s="47"/>
      <c r="Z928" s="42"/>
      <c r="AA928" s="42"/>
      <c r="AB928" s="47"/>
      <c r="AC928" s="42"/>
      <c r="AD928" s="42"/>
      <c r="AE928" s="46"/>
      <c r="AF928" s="47"/>
      <c r="AG928" s="48"/>
    </row>
    <row r="929" spans="2:33" s="38" customFormat="1" x14ac:dyDescent="0.25">
      <c r="B929" s="49"/>
      <c r="C929" s="70"/>
      <c r="D929" s="42"/>
      <c r="F929" s="46"/>
      <c r="G929" s="47"/>
      <c r="H929" s="42"/>
      <c r="I929" s="42"/>
      <c r="J929" s="47"/>
      <c r="K929" s="42"/>
      <c r="L929" s="42"/>
      <c r="M929" s="47"/>
      <c r="N929" s="42"/>
      <c r="O929" s="42"/>
      <c r="P929" s="47"/>
      <c r="Q929" s="42"/>
      <c r="R929" s="42"/>
      <c r="S929" s="47"/>
      <c r="T929" s="42"/>
      <c r="U929" s="42"/>
      <c r="V929" s="47"/>
      <c r="W929" s="42"/>
      <c r="X929" s="42"/>
      <c r="Y929" s="47"/>
      <c r="Z929" s="42"/>
      <c r="AA929" s="42"/>
      <c r="AB929" s="47"/>
      <c r="AC929" s="42"/>
      <c r="AD929" s="42"/>
      <c r="AE929" s="46"/>
      <c r="AF929" s="47"/>
      <c r="AG929" s="48"/>
    </row>
    <row r="930" spans="2:33" s="38" customFormat="1" x14ac:dyDescent="0.25">
      <c r="B930" s="49"/>
      <c r="C930" s="70"/>
      <c r="D930" s="42"/>
      <c r="F930" s="46"/>
      <c r="G930" s="47"/>
      <c r="H930" s="42"/>
      <c r="I930" s="42"/>
      <c r="J930" s="47"/>
      <c r="K930" s="42"/>
      <c r="L930" s="42"/>
      <c r="M930" s="47"/>
      <c r="N930" s="42"/>
      <c r="O930" s="42"/>
      <c r="P930" s="47"/>
      <c r="Q930" s="42"/>
      <c r="R930" s="42"/>
      <c r="S930" s="47"/>
      <c r="T930" s="42"/>
      <c r="U930" s="42"/>
      <c r="V930" s="47"/>
      <c r="W930" s="42"/>
      <c r="X930" s="42"/>
      <c r="Y930" s="47"/>
      <c r="Z930" s="42"/>
      <c r="AA930" s="42"/>
      <c r="AB930" s="47"/>
      <c r="AC930" s="42"/>
      <c r="AD930" s="42"/>
      <c r="AE930" s="46"/>
      <c r="AF930" s="47"/>
      <c r="AG930" s="48"/>
    </row>
    <row r="931" spans="2:33" s="38" customFormat="1" x14ac:dyDescent="0.25">
      <c r="B931" s="49"/>
      <c r="C931" s="70"/>
      <c r="D931" s="42"/>
      <c r="F931" s="46"/>
      <c r="G931" s="47"/>
      <c r="H931" s="42"/>
      <c r="I931" s="42"/>
      <c r="J931" s="47"/>
      <c r="K931" s="42"/>
      <c r="L931" s="42"/>
      <c r="M931" s="47"/>
      <c r="N931" s="42"/>
      <c r="O931" s="42"/>
      <c r="P931" s="47"/>
      <c r="Q931" s="42"/>
      <c r="R931" s="42"/>
      <c r="S931" s="47"/>
      <c r="T931" s="42"/>
      <c r="U931" s="42"/>
      <c r="V931" s="47"/>
      <c r="W931" s="42"/>
      <c r="X931" s="42"/>
      <c r="Y931" s="47"/>
      <c r="Z931" s="42"/>
      <c r="AA931" s="42"/>
      <c r="AB931" s="47"/>
      <c r="AC931" s="42"/>
      <c r="AD931" s="42"/>
      <c r="AE931" s="46"/>
      <c r="AF931" s="47"/>
      <c r="AG931" s="48"/>
    </row>
    <row r="932" spans="2:33" s="38" customFormat="1" x14ac:dyDescent="0.25">
      <c r="B932" s="49"/>
      <c r="C932" s="70"/>
      <c r="D932" s="42"/>
      <c r="F932" s="46"/>
      <c r="G932" s="47"/>
      <c r="H932" s="42"/>
      <c r="I932" s="42"/>
      <c r="J932" s="47"/>
      <c r="K932" s="42"/>
      <c r="L932" s="42"/>
      <c r="M932" s="47"/>
      <c r="N932" s="42"/>
      <c r="O932" s="42"/>
      <c r="P932" s="47"/>
      <c r="Q932" s="42"/>
      <c r="R932" s="42"/>
      <c r="S932" s="47"/>
      <c r="T932" s="42"/>
      <c r="U932" s="42"/>
      <c r="V932" s="47"/>
      <c r="W932" s="42"/>
      <c r="X932" s="42"/>
      <c r="Y932" s="47"/>
      <c r="Z932" s="42"/>
      <c r="AA932" s="42"/>
      <c r="AB932" s="47"/>
      <c r="AC932" s="42"/>
      <c r="AD932" s="42"/>
      <c r="AE932" s="46"/>
      <c r="AF932" s="47"/>
      <c r="AG932" s="48"/>
    </row>
    <row r="933" spans="2:33" s="38" customFormat="1" x14ac:dyDescent="0.25">
      <c r="B933" s="49"/>
      <c r="C933" s="70"/>
      <c r="D933" s="42"/>
      <c r="F933" s="46"/>
      <c r="G933" s="47"/>
      <c r="H933" s="42"/>
      <c r="I933" s="42"/>
      <c r="J933" s="47"/>
      <c r="K933" s="42"/>
      <c r="L933" s="42"/>
      <c r="M933" s="47"/>
      <c r="N933" s="42"/>
      <c r="O933" s="42"/>
      <c r="P933" s="47"/>
      <c r="Q933" s="42"/>
      <c r="R933" s="42"/>
      <c r="S933" s="47"/>
      <c r="T933" s="42"/>
      <c r="U933" s="42"/>
      <c r="V933" s="47"/>
      <c r="W933" s="42"/>
      <c r="X933" s="42"/>
      <c r="Y933" s="47"/>
      <c r="Z933" s="42"/>
      <c r="AA933" s="42"/>
      <c r="AB933" s="47"/>
      <c r="AC933" s="42"/>
      <c r="AD933" s="42"/>
      <c r="AE933" s="46"/>
      <c r="AF933" s="47"/>
      <c r="AG933" s="48"/>
    </row>
    <row r="934" spans="2:33" s="38" customFormat="1" x14ac:dyDescent="0.25">
      <c r="B934" s="49"/>
      <c r="C934" s="70"/>
      <c r="D934" s="42"/>
      <c r="F934" s="46"/>
      <c r="G934" s="47"/>
      <c r="H934" s="42"/>
      <c r="I934" s="42"/>
      <c r="J934" s="47"/>
      <c r="K934" s="42"/>
      <c r="L934" s="42"/>
      <c r="M934" s="47"/>
      <c r="N934" s="42"/>
      <c r="O934" s="42"/>
      <c r="P934" s="47"/>
      <c r="Q934" s="42"/>
      <c r="R934" s="42"/>
      <c r="S934" s="47"/>
      <c r="T934" s="42"/>
      <c r="U934" s="42"/>
      <c r="V934" s="47"/>
      <c r="W934" s="42"/>
      <c r="X934" s="42"/>
      <c r="Y934" s="47"/>
      <c r="Z934" s="42"/>
      <c r="AA934" s="42"/>
      <c r="AB934" s="47"/>
      <c r="AC934" s="42"/>
      <c r="AD934" s="42"/>
      <c r="AE934" s="46"/>
      <c r="AF934" s="47"/>
      <c r="AG934" s="48"/>
    </row>
    <row r="935" spans="2:33" s="38" customFormat="1" x14ac:dyDescent="0.25">
      <c r="B935" s="49"/>
      <c r="C935" s="70"/>
      <c r="D935" s="42"/>
      <c r="F935" s="46"/>
      <c r="G935" s="47"/>
      <c r="H935" s="42"/>
      <c r="I935" s="42"/>
      <c r="J935" s="47"/>
      <c r="K935" s="42"/>
      <c r="L935" s="42"/>
      <c r="M935" s="47"/>
      <c r="N935" s="42"/>
      <c r="O935" s="42"/>
      <c r="P935" s="47"/>
      <c r="Q935" s="42"/>
      <c r="R935" s="42"/>
      <c r="S935" s="47"/>
      <c r="T935" s="42"/>
      <c r="U935" s="42"/>
      <c r="V935" s="47"/>
      <c r="W935" s="42"/>
      <c r="X935" s="42"/>
      <c r="Y935" s="47"/>
      <c r="Z935" s="42"/>
      <c r="AA935" s="42"/>
      <c r="AB935" s="47"/>
      <c r="AC935" s="42"/>
      <c r="AD935" s="42"/>
      <c r="AE935" s="46"/>
      <c r="AF935" s="47"/>
      <c r="AG935" s="48"/>
    </row>
    <row r="936" spans="2:33" s="38" customFormat="1" x14ac:dyDescent="0.25">
      <c r="B936" s="49"/>
      <c r="C936" s="70"/>
      <c r="D936" s="42"/>
      <c r="F936" s="46"/>
      <c r="G936" s="47"/>
      <c r="H936" s="42"/>
      <c r="I936" s="42"/>
      <c r="J936" s="47"/>
      <c r="K936" s="42"/>
      <c r="L936" s="42"/>
      <c r="M936" s="47"/>
      <c r="N936" s="42"/>
      <c r="O936" s="42"/>
      <c r="P936" s="47"/>
      <c r="Q936" s="42"/>
      <c r="R936" s="42"/>
      <c r="S936" s="47"/>
      <c r="T936" s="42"/>
      <c r="U936" s="42"/>
      <c r="V936" s="47"/>
      <c r="W936" s="42"/>
      <c r="X936" s="42"/>
      <c r="Y936" s="47"/>
      <c r="Z936" s="42"/>
      <c r="AA936" s="42"/>
      <c r="AB936" s="47"/>
      <c r="AC936" s="42"/>
      <c r="AD936" s="42"/>
      <c r="AE936" s="46"/>
      <c r="AF936" s="47"/>
      <c r="AG936" s="48"/>
    </row>
    <row r="937" spans="2:33" s="38" customFormat="1" x14ac:dyDescent="0.25">
      <c r="B937" s="49"/>
      <c r="C937" s="70"/>
      <c r="D937" s="42"/>
      <c r="F937" s="46"/>
      <c r="G937" s="47"/>
      <c r="H937" s="42"/>
      <c r="I937" s="42"/>
      <c r="J937" s="47"/>
      <c r="K937" s="42"/>
      <c r="L937" s="42"/>
      <c r="M937" s="47"/>
      <c r="N937" s="42"/>
      <c r="O937" s="42"/>
      <c r="P937" s="47"/>
      <c r="Q937" s="42"/>
      <c r="R937" s="42"/>
      <c r="S937" s="47"/>
      <c r="T937" s="42"/>
      <c r="U937" s="42"/>
      <c r="V937" s="47"/>
      <c r="W937" s="42"/>
      <c r="X937" s="42"/>
      <c r="Y937" s="47"/>
      <c r="Z937" s="42"/>
      <c r="AA937" s="42"/>
      <c r="AB937" s="47"/>
      <c r="AC937" s="42"/>
      <c r="AD937" s="42"/>
      <c r="AE937" s="46"/>
      <c r="AF937" s="47"/>
      <c r="AG937" s="48"/>
    </row>
    <row r="938" spans="2:33" s="38" customFormat="1" x14ac:dyDescent="0.25">
      <c r="B938" s="49"/>
      <c r="C938" s="70"/>
      <c r="D938" s="42"/>
      <c r="F938" s="46"/>
      <c r="G938" s="47"/>
      <c r="H938" s="42"/>
      <c r="I938" s="42"/>
      <c r="J938" s="47"/>
      <c r="K938" s="42"/>
      <c r="L938" s="42"/>
      <c r="M938" s="47"/>
      <c r="N938" s="42"/>
      <c r="O938" s="42"/>
      <c r="P938" s="47"/>
      <c r="Q938" s="42"/>
      <c r="R938" s="42"/>
      <c r="S938" s="47"/>
      <c r="T938" s="42"/>
      <c r="U938" s="42"/>
      <c r="V938" s="47"/>
      <c r="W938" s="42"/>
      <c r="X938" s="42"/>
      <c r="Y938" s="47"/>
      <c r="Z938" s="42"/>
      <c r="AA938" s="42"/>
      <c r="AB938" s="47"/>
      <c r="AC938" s="42"/>
      <c r="AD938" s="42"/>
      <c r="AE938" s="46"/>
      <c r="AF938" s="47"/>
      <c r="AG938" s="48"/>
    </row>
    <row r="939" spans="2:33" s="38" customFormat="1" x14ac:dyDescent="0.25">
      <c r="B939" s="49"/>
      <c r="C939" s="70"/>
      <c r="D939" s="42"/>
      <c r="F939" s="46"/>
      <c r="G939" s="47"/>
      <c r="H939" s="42"/>
      <c r="I939" s="42"/>
      <c r="J939" s="47"/>
      <c r="K939" s="42"/>
      <c r="L939" s="42"/>
      <c r="M939" s="47"/>
      <c r="N939" s="42"/>
      <c r="O939" s="42"/>
      <c r="P939" s="47"/>
      <c r="Q939" s="42"/>
      <c r="R939" s="42"/>
      <c r="S939" s="47"/>
      <c r="T939" s="42"/>
      <c r="U939" s="42"/>
      <c r="V939" s="47"/>
      <c r="W939" s="42"/>
      <c r="X939" s="42"/>
      <c r="Y939" s="47"/>
      <c r="Z939" s="42"/>
      <c r="AA939" s="42"/>
      <c r="AB939" s="47"/>
      <c r="AC939" s="42"/>
      <c r="AD939" s="42"/>
      <c r="AE939" s="46"/>
      <c r="AF939" s="47"/>
      <c r="AG939" s="48"/>
    </row>
    <row r="940" spans="2:33" s="38" customFormat="1" x14ac:dyDescent="0.25">
      <c r="B940" s="49"/>
      <c r="C940" s="70"/>
      <c r="D940" s="42"/>
      <c r="F940" s="46"/>
      <c r="G940" s="47"/>
      <c r="H940" s="42"/>
      <c r="I940" s="42"/>
      <c r="J940" s="47"/>
      <c r="K940" s="42"/>
      <c r="L940" s="42"/>
      <c r="M940" s="47"/>
      <c r="N940" s="42"/>
      <c r="O940" s="42"/>
      <c r="P940" s="47"/>
      <c r="Q940" s="42"/>
      <c r="R940" s="42"/>
      <c r="S940" s="47"/>
      <c r="T940" s="42"/>
      <c r="U940" s="42"/>
      <c r="V940" s="47"/>
      <c r="W940" s="42"/>
      <c r="X940" s="42"/>
      <c r="Y940" s="47"/>
      <c r="Z940" s="42"/>
      <c r="AA940" s="42"/>
      <c r="AB940" s="47"/>
      <c r="AC940" s="42"/>
      <c r="AD940" s="42"/>
      <c r="AE940" s="46"/>
      <c r="AF940" s="47"/>
      <c r="AG940" s="48"/>
    </row>
    <row r="941" spans="2:33" s="38" customFormat="1" x14ac:dyDescent="0.25">
      <c r="B941" s="49"/>
      <c r="C941" s="70"/>
      <c r="D941" s="42"/>
      <c r="F941" s="46"/>
      <c r="G941" s="47"/>
      <c r="H941" s="42"/>
      <c r="I941" s="42"/>
      <c r="J941" s="47"/>
      <c r="K941" s="42"/>
      <c r="L941" s="42"/>
      <c r="M941" s="47"/>
      <c r="N941" s="42"/>
      <c r="O941" s="42"/>
      <c r="P941" s="47"/>
      <c r="Q941" s="42"/>
      <c r="R941" s="42"/>
      <c r="S941" s="47"/>
      <c r="T941" s="42"/>
      <c r="U941" s="42"/>
      <c r="V941" s="47"/>
      <c r="W941" s="42"/>
      <c r="X941" s="42"/>
      <c r="Y941" s="47"/>
      <c r="Z941" s="42"/>
      <c r="AA941" s="42"/>
      <c r="AB941" s="47"/>
      <c r="AC941" s="42"/>
      <c r="AD941" s="42"/>
      <c r="AE941" s="46"/>
      <c r="AF941" s="47"/>
      <c r="AG941" s="48"/>
    </row>
    <row r="942" spans="2:33" s="38" customFormat="1" x14ac:dyDescent="0.25">
      <c r="B942" s="49"/>
      <c r="C942" s="70"/>
      <c r="D942" s="42"/>
      <c r="F942" s="46"/>
      <c r="G942" s="47"/>
      <c r="H942" s="42"/>
      <c r="I942" s="42"/>
      <c r="J942" s="47"/>
      <c r="K942" s="42"/>
      <c r="L942" s="42"/>
      <c r="M942" s="47"/>
      <c r="N942" s="42"/>
      <c r="O942" s="42"/>
      <c r="P942" s="47"/>
      <c r="Q942" s="42"/>
      <c r="R942" s="42"/>
      <c r="S942" s="47"/>
      <c r="T942" s="42"/>
      <c r="U942" s="42"/>
      <c r="V942" s="47"/>
      <c r="W942" s="42"/>
      <c r="X942" s="42"/>
      <c r="Y942" s="47"/>
      <c r="Z942" s="42"/>
      <c r="AA942" s="42"/>
      <c r="AB942" s="47"/>
      <c r="AC942" s="42"/>
      <c r="AD942" s="42"/>
      <c r="AE942" s="46"/>
      <c r="AF942" s="47"/>
      <c r="AG942" s="48"/>
    </row>
    <row r="943" spans="2:33" s="38" customFormat="1" x14ac:dyDescent="0.25">
      <c r="B943" s="49"/>
      <c r="C943" s="70"/>
      <c r="D943" s="42"/>
      <c r="F943" s="46"/>
      <c r="G943" s="47"/>
      <c r="H943" s="42"/>
      <c r="I943" s="42"/>
      <c r="J943" s="47"/>
      <c r="K943" s="42"/>
      <c r="L943" s="42"/>
      <c r="M943" s="47"/>
      <c r="N943" s="42"/>
      <c r="O943" s="42"/>
      <c r="P943" s="47"/>
      <c r="Q943" s="42"/>
      <c r="R943" s="42"/>
      <c r="S943" s="47"/>
      <c r="T943" s="42"/>
      <c r="U943" s="42"/>
      <c r="V943" s="47"/>
      <c r="W943" s="42"/>
      <c r="X943" s="42"/>
      <c r="Y943" s="47"/>
      <c r="Z943" s="42"/>
      <c r="AA943" s="42"/>
      <c r="AB943" s="47"/>
      <c r="AC943" s="42"/>
      <c r="AD943" s="42"/>
      <c r="AE943" s="46"/>
      <c r="AF943" s="47"/>
      <c r="AG943" s="48"/>
    </row>
    <row r="944" spans="2:33" s="38" customFormat="1" x14ac:dyDescent="0.25">
      <c r="B944" s="49"/>
      <c r="C944" s="70"/>
      <c r="D944" s="42"/>
      <c r="F944" s="46"/>
      <c r="G944" s="47"/>
      <c r="H944" s="42"/>
      <c r="I944" s="42"/>
      <c r="J944" s="47"/>
      <c r="K944" s="42"/>
      <c r="L944" s="42"/>
      <c r="M944" s="47"/>
      <c r="N944" s="42"/>
      <c r="O944" s="42"/>
      <c r="P944" s="47"/>
      <c r="Q944" s="42"/>
      <c r="R944" s="42"/>
      <c r="S944" s="47"/>
      <c r="T944" s="42"/>
      <c r="U944" s="42"/>
      <c r="V944" s="47"/>
      <c r="W944" s="42"/>
      <c r="X944" s="42"/>
      <c r="Y944" s="47"/>
      <c r="Z944" s="42"/>
      <c r="AA944" s="42"/>
      <c r="AB944" s="47"/>
      <c r="AC944" s="42"/>
      <c r="AD944" s="42"/>
      <c r="AE944" s="46"/>
      <c r="AF944" s="47"/>
      <c r="AG944" s="48"/>
    </row>
    <row r="945" spans="2:33" s="38" customFormat="1" x14ac:dyDescent="0.25">
      <c r="B945" s="49"/>
      <c r="C945" s="70"/>
      <c r="D945" s="42"/>
      <c r="F945" s="46"/>
      <c r="G945" s="47"/>
      <c r="H945" s="42"/>
      <c r="I945" s="42"/>
      <c r="J945" s="47"/>
      <c r="K945" s="42"/>
      <c r="L945" s="42"/>
      <c r="M945" s="47"/>
      <c r="N945" s="42"/>
      <c r="O945" s="42"/>
      <c r="P945" s="47"/>
      <c r="Q945" s="42"/>
      <c r="R945" s="42"/>
      <c r="S945" s="47"/>
      <c r="T945" s="42"/>
      <c r="U945" s="42"/>
      <c r="V945" s="47"/>
      <c r="W945" s="42"/>
      <c r="X945" s="42"/>
      <c r="Y945" s="47"/>
      <c r="Z945" s="42"/>
      <c r="AA945" s="42"/>
      <c r="AB945" s="47"/>
      <c r="AC945" s="42"/>
      <c r="AD945" s="42"/>
      <c r="AE945" s="46"/>
      <c r="AF945" s="47"/>
      <c r="AG945" s="48"/>
    </row>
    <row r="946" spans="2:33" s="38" customFormat="1" x14ac:dyDescent="0.25">
      <c r="B946" s="49"/>
      <c r="C946" s="70"/>
      <c r="D946" s="42"/>
      <c r="F946" s="46"/>
      <c r="G946" s="47"/>
      <c r="H946" s="42"/>
      <c r="I946" s="42"/>
      <c r="J946" s="47"/>
      <c r="K946" s="42"/>
      <c r="L946" s="42"/>
      <c r="M946" s="47"/>
      <c r="N946" s="42"/>
      <c r="O946" s="42"/>
      <c r="P946" s="47"/>
      <c r="Q946" s="42"/>
      <c r="R946" s="42"/>
      <c r="S946" s="47"/>
      <c r="T946" s="42"/>
      <c r="U946" s="42"/>
      <c r="V946" s="47"/>
      <c r="W946" s="42"/>
      <c r="X946" s="42"/>
      <c r="Y946" s="47"/>
      <c r="Z946" s="42"/>
      <c r="AA946" s="42"/>
      <c r="AB946" s="47"/>
      <c r="AC946" s="42"/>
      <c r="AD946" s="42"/>
      <c r="AE946" s="46"/>
      <c r="AF946" s="47"/>
      <c r="AG946" s="48"/>
    </row>
    <row r="947" spans="2:33" s="38" customFormat="1" x14ac:dyDescent="0.25">
      <c r="B947" s="49"/>
      <c r="C947" s="70"/>
      <c r="D947" s="42"/>
      <c r="F947" s="46"/>
      <c r="G947" s="47"/>
      <c r="H947" s="42"/>
      <c r="I947" s="42"/>
      <c r="J947" s="47"/>
      <c r="K947" s="42"/>
      <c r="L947" s="42"/>
      <c r="M947" s="47"/>
      <c r="N947" s="42"/>
      <c r="O947" s="42"/>
      <c r="P947" s="47"/>
      <c r="Q947" s="42"/>
      <c r="R947" s="42"/>
      <c r="S947" s="47"/>
      <c r="T947" s="42"/>
      <c r="U947" s="42"/>
      <c r="V947" s="47"/>
      <c r="W947" s="42"/>
      <c r="X947" s="42"/>
      <c r="Y947" s="47"/>
      <c r="Z947" s="42"/>
      <c r="AA947" s="42"/>
      <c r="AB947" s="47"/>
      <c r="AC947" s="42"/>
      <c r="AD947" s="42"/>
      <c r="AE947" s="46"/>
      <c r="AF947" s="47"/>
      <c r="AG947" s="48"/>
    </row>
    <row r="948" spans="2:33" s="38" customFormat="1" x14ac:dyDescent="0.25">
      <c r="B948" s="49"/>
      <c r="C948" s="70"/>
      <c r="D948" s="42"/>
      <c r="F948" s="46"/>
      <c r="G948" s="47"/>
      <c r="H948" s="42"/>
      <c r="I948" s="42"/>
      <c r="J948" s="47"/>
      <c r="K948" s="42"/>
      <c r="L948" s="42"/>
      <c r="M948" s="47"/>
      <c r="N948" s="42"/>
      <c r="O948" s="42"/>
      <c r="P948" s="47"/>
      <c r="Q948" s="42"/>
      <c r="R948" s="42"/>
      <c r="S948" s="47"/>
      <c r="T948" s="42"/>
      <c r="U948" s="42"/>
      <c r="V948" s="47"/>
      <c r="W948" s="42"/>
      <c r="X948" s="42"/>
      <c r="Y948" s="47"/>
      <c r="Z948" s="42"/>
      <c r="AA948" s="42"/>
      <c r="AB948" s="47"/>
      <c r="AC948" s="42"/>
      <c r="AD948" s="42"/>
      <c r="AE948" s="46"/>
      <c r="AF948" s="47"/>
      <c r="AG948" s="48"/>
    </row>
    <row r="949" spans="2:33" s="38" customFormat="1" x14ac:dyDescent="0.25">
      <c r="B949" s="49"/>
      <c r="C949" s="70"/>
      <c r="D949" s="42"/>
      <c r="F949" s="46"/>
      <c r="G949" s="47"/>
      <c r="H949" s="42"/>
      <c r="I949" s="42"/>
      <c r="J949" s="47"/>
      <c r="K949" s="42"/>
      <c r="L949" s="42"/>
      <c r="M949" s="47"/>
      <c r="N949" s="42"/>
      <c r="O949" s="42"/>
      <c r="P949" s="47"/>
      <c r="Q949" s="42"/>
      <c r="R949" s="42"/>
      <c r="S949" s="47"/>
      <c r="T949" s="42"/>
      <c r="U949" s="42"/>
      <c r="V949" s="47"/>
      <c r="W949" s="42"/>
      <c r="X949" s="42"/>
      <c r="Y949" s="47"/>
      <c r="Z949" s="42"/>
      <c r="AA949" s="42"/>
      <c r="AB949" s="47"/>
      <c r="AC949" s="42"/>
      <c r="AD949" s="42"/>
      <c r="AE949" s="46"/>
      <c r="AF949" s="47"/>
      <c r="AG949" s="48"/>
    </row>
    <row r="950" spans="2:33" s="38" customFormat="1" x14ac:dyDescent="0.25">
      <c r="B950" s="49"/>
      <c r="C950" s="70"/>
      <c r="D950" s="42"/>
      <c r="F950" s="46"/>
      <c r="G950" s="47"/>
      <c r="H950" s="42"/>
      <c r="I950" s="42"/>
      <c r="J950" s="47"/>
      <c r="K950" s="42"/>
      <c r="L950" s="42"/>
      <c r="M950" s="47"/>
      <c r="N950" s="42"/>
      <c r="O950" s="42"/>
      <c r="P950" s="47"/>
      <c r="Q950" s="42"/>
      <c r="R950" s="42"/>
      <c r="S950" s="47"/>
      <c r="T950" s="42"/>
      <c r="U950" s="42"/>
      <c r="V950" s="47"/>
      <c r="W950" s="42"/>
      <c r="X950" s="42"/>
      <c r="Y950" s="47"/>
      <c r="Z950" s="42"/>
      <c r="AA950" s="42"/>
      <c r="AB950" s="47"/>
      <c r="AC950" s="42"/>
      <c r="AD950" s="42"/>
      <c r="AE950" s="46"/>
      <c r="AF950" s="47"/>
      <c r="AG950" s="48"/>
    </row>
    <row r="951" spans="2:33" s="38" customFormat="1" x14ac:dyDescent="0.25">
      <c r="B951" s="49"/>
      <c r="C951" s="70"/>
      <c r="D951" s="42"/>
      <c r="F951" s="46"/>
      <c r="G951" s="47"/>
      <c r="H951" s="42"/>
      <c r="I951" s="42"/>
      <c r="J951" s="47"/>
      <c r="K951" s="42"/>
      <c r="L951" s="42"/>
      <c r="M951" s="47"/>
      <c r="N951" s="42"/>
      <c r="O951" s="42"/>
      <c r="P951" s="47"/>
      <c r="Q951" s="42"/>
      <c r="R951" s="42"/>
      <c r="S951" s="47"/>
      <c r="T951" s="42"/>
      <c r="U951" s="42"/>
      <c r="V951" s="47"/>
      <c r="W951" s="42"/>
      <c r="X951" s="42"/>
      <c r="Y951" s="47"/>
      <c r="Z951" s="42"/>
      <c r="AA951" s="42"/>
      <c r="AB951" s="47"/>
      <c r="AC951" s="42"/>
      <c r="AD951" s="42"/>
      <c r="AE951" s="46"/>
      <c r="AF951" s="47"/>
      <c r="AG951" s="48"/>
    </row>
    <row r="952" spans="2:33" s="38" customFormat="1" x14ac:dyDescent="0.25">
      <c r="B952" s="49"/>
      <c r="C952" s="70"/>
      <c r="D952" s="42"/>
      <c r="F952" s="46"/>
      <c r="G952" s="47"/>
      <c r="H952" s="42"/>
      <c r="I952" s="42"/>
      <c r="J952" s="47"/>
      <c r="K952" s="42"/>
      <c r="L952" s="42"/>
      <c r="M952" s="47"/>
      <c r="N952" s="42"/>
      <c r="O952" s="42"/>
      <c r="P952" s="47"/>
      <c r="Q952" s="42"/>
      <c r="R952" s="42"/>
      <c r="S952" s="47"/>
      <c r="T952" s="42"/>
      <c r="U952" s="42"/>
      <c r="V952" s="47"/>
      <c r="W952" s="42"/>
      <c r="X952" s="42"/>
      <c r="Y952" s="47"/>
      <c r="Z952" s="42"/>
      <c r="AA952" s="42"/>
      <c r="AB952" s="47"/>
      <c r="AC952" s="42"/>
      <c r="AD952" s="42"/>
      <c r="AE952" s="46"/>
      <c r="AF952" s="47"/>
      <c r="AG952" s="48"/>
    </row>
    <row r="953" spans="2:33" s="38" customFormat="1" x14ac:dyDescent="0.25">
      <c r="B953" s="49"/>
      <c r="C953" s="70"/>
      <c r="D953" s="42"/>
      <c r="F953" s="46"/>
      <c r="G953" s="47"/>
      <c r="H953" s="42"/>
      <c r="I953" s="42"/>
      <c r="J953" s="47"/>
      <c r="K953" s="42"/>
      <c r="L953" s="42"/>
      <c r="M953" s="47"/>
      <c r="N953" s="42"/>
      <c r="O953" s="42"/>
      <c r="P953" s="47"/>
      <c r="Q953" s="42"/>
      <c r="R953" s="42"/>
      <c r="S953" s="47"/>
      <c r="T953" s="42"/>
      <c r="U953" s="42"/>
      <c r="V953" s="47"/>
      <c r="W953" s="42"/>
      <c r="X953" s="42"/>
      <c r="Y953" s="47"/>
      <c r="Z953" s="42"/>
      <c r="AA953" s="42"/>
      <c r="AB953" s="47"/>
      <c r="AC953" s="42"/>
      <c r="AD953" s="42"/>
      <c r="AE953" s="46"/>
      <c r="AF953" s="47"/>
      <c r="AG953" s="48"/>
    </row>
    <row r="954" spans="2:33" s="38" customFormat="1" x14ac:dyDescent="0.25">
      <c r="B954" s="49"/>
      <c r="C954" s="70"/>
      <c r="D954" s="42"/>
      <c r="F954" s="46"/>
      <c r="G954" s="47"/>
      <c r="H954" s="42"/>
      <c r="I954" s="42"/>
      <c r="J954" s="47"/>
      <c r="K954" s="42"/>
      <c r="L954" s="42"/>
      <c r="M954" s="47"/>
      <c r="N954" s="42"/>
      <c r="O954" s="42"/>
      <c r="P954" s="47"/>
      <c r="Q954" s="42"/>
      <c r="R954" s="42"/>
      <c r="S954" s="47"/>
      <c r="T954" s="42"/>
      <c r="U954" s="42"/>
      <c r="V954" s="47"/>
      <c r="W954" s="42"/>
      <c r="X954" s="42"/>
      <c r="Y954" s="47"/>
      <c r="Z954" s="42"/>
      <c r="AA954" s="42"/>
      <c r="AB954" s="47"/>
      <c r="AC954" s="42"/>
      <c r="AD954" s="42"/>
      <c r="AE954" s="46"/>
      <c r="AF954" s="47"/>
      <c r="AG954" s="48"/>
    </row>
    <row r="955" spans="2:33" s="38" customFormat="1" x14ac:dyDescent="0.25">
      <c r="B955" s="49"/>
      <c r="C955" s="70"/>
      <c r="D955" s="42"/>
      <c r="F955" s="46"/>
      <c r="G955" s="47"/>
      <c r="H955" s="42"/>
      <c r="I955" s="42"/>
      <c r="J955" s="47"/>
      <c r="K955" s="42"/>
      <c r="L955" s="42"/>
      <c r="M955" s="47"/>
      <c r="N955" s="42"/>
      <c r="O955" s="42"/>
      <c r="P955" s="47"/>
      <c r="Q955" s="42"/>
      <c r="R955" s="42"/>
      <c r="S955" s="47"/>
      <c r="T955" s="42"/>
      <c r="U955" s="42"/>
      <c r="V955" s="47"/>
      <c r="W955" s="42"/>
      <c r="X955" s="42"/>
      <c r="Y955" s="47"/>
      <c r="Z955" s="42"/>
      <c r="AA955" s="42"/>
      <c r="AB955" s="47"/>
      <c r="AC955" s="42"/>
      <c r="AD955" s="42"/>
      <c r="AE955" s="46"/>
      <c r="AF955" s="47"/>
      <c r="AG955" s="48"/>
    </row>
    <row r="956" spans="2:33" s="38" customFormat="1" x14ac:dyDescent="0.25">
      <c r="B956" s="49"/>
      <c r="C956" s="70"/>
      <c r="D956" s="42"/>
      <c r="F956" s="46"/>
      <c r="G956" s="47"/>
      <c r="H956" s="42"/>
      <c r="I956" s="42"/>
      <c r="J956" s="47"/>
      <c r="K956" s="42"/>
      <c r="L956" s="42"/>
      <c r="M956" s="47"/>
      <c r="N956" s="42"/>
      <c r="O956" s="42"/>
      <c r="P956" s="47"/>
      <c r="Q956" s="42"/>
      <c r="R956" s="42"/>
      <c r="S956" s="47"/>
      <c r="T956" s="42"/>
      <c r="U956" s="42"/>
      <c r="V956" s="47"/>
      <c r="W956" s="42"/>
      <c r="X956" s="42"/>
      <c r="Y956" s="47"/>
      <c r="Z956" s="42"/>
      <c r="AA956" s="42"/>
      <c r="AB956" s="47"/>
      <c r="AC956" s="42"/>
      <c r="AD956" s="42"/>
      <c r="AE956" s="46"/>
      <c r="AF956" s="47"/>
      <c r="AG956" s="48"/>
    </row>
    <row r="957" spans="2:33" s="38" customFormat="1" x14ac:dyDescent="0.25">
      <c r="B957" s="49"/>
      <c r="C957" s="70"/>
      <c r="D957" s="42"/>
      <c r="F957" s="46"/>
      <c r="G957" s="47"/>
      <c r="H957" s="42"/>
      <c r="I957" s="42"/>
      <c r="J957" s="47"/>
      <c r="K957" s="42"/>
      <c r="L957" s="42"/>
      <c r="M957" s="47"/>
      <c r="N957" s="42"/>
      <c r="O957" s="42"/>
      <c r="P957" s="47"/>
      <c r="Q957" s="42"/>
      <c r="R957" s="42"/>
      <c r="S957" s="47"/>
      <c r="T957" s="42"/>
      <c r="U957" s="42"/>
      <c r="V957" s="47"/>
      <c r="W957" s="42"/>
      <c r="X957" s="42"/>
      <c r="Y957" s="47"/>
      <c r="Z957" s="42"/>
      <c r="AA957" s="42"/>
      <c r="AB957" s="47"/>
      <c r="AC957" s="42"/>
      <c r="AD957" s="42"/>
      <c r="AE957" s="46"/>
      <c r="AF957" s="47"/>
      <c r="AG957" s="48"/>
    </row>
    <row r="958" spans="2:33" s="38" customFormat="1" x14ac:dyDescent="0.25">
      <c r="B958" s="49"/>
      <c r="C958" s="70"/>
      <c r="D958" s="42"/>
      <c r="F958" s="46"/>
      <c r="G958" s="47"/>
      <c r="H958" s="42"/>
      <c r="I958" s="42"/>
      <c r="J958" s="47"/>
      <c r="K958" s="42"/>
      <c r="L958" s="42"/>
      <c r="M958" s="47"/>
      <c r="N958" s="42"/>
      <c r="O958" s="42"/>
      <c r="P958" s="47"/>
      <c r="Q958" s="42"/>
      <c r="R958" s="42"/>
      <c r="S958" s="47"/>
      <c r="T958" s="42"/>
      <c r="U958" s="42"/>
      <c r="V958" s="47"/>
      <c r="W958" s="42"/>
      <c r="X958" s="42"/>
      <c r="Y958" s="47"/>
      <c r="Z958" s="42"/>
      <c r="AA958" s="42"/>
      <c r="AB958" s="47"/>
      <c r="AC958" s="42"/>
      <c r="AD958" s="42"/>
      <c r="AE958" s="46"/>
      <c r="AF958" s="47"/>
      <c r="AG958" s="48"/>
    </row>
    <row r="959" spans="2:33" s="38" customFormat="1" x14ac:dyDescent="0.25">
      <c r="B959" s="49"/>
      <c r="C959" s="70"/>
      <c r="D959" s="42"/>
      <c r="F959" s="46"/>
      <c r="G959" s="47"/>
      <c r="H959" s="42"/>
      <c r="I959" s="42"/>
      <c r="J959" s="47"/>
      <c r="K959" s="42"/>
      <c r="L959" s="42"/>
      <c r="M959" s="47"/>
      <c r="N959" s="42"/>
      <c r="O959" s="42"/>
      <c r="P959" s="47"/>
      <c r="Q959" s="42"/>
      <c r="R959" s="42"/>
      <c r="S959" s="47"/>
      <c r="T959" s="42"/>
      <c r="U959" s="42"/>
      <c r="V959" s="47"/>
      <c r="W959" s="42"/>
      <c r="X959" s="42"/>
      <c r="Y959" s="47"/>
      <c r="Z959" s="42"/>
      <c r="AA959" s="42"/>
      <c r="AB959" s="47"/>
      <c r="AC959" s="42"/>
      <c r="AD959" s="42"/>
      <c r="AE959" s="46"/>
      <c r="AF959" s="47"/>
      <c r="AG959" s="48"/>
    </row>
    <row r="960" spans="2:33" s="38" customFormat="1" x14ac:dyDescent="0.25">
      <c r="B960" s="49"/>
      <c r="C960" s="70"/>
      <c r="D960" s="42"/>
      <c r="F960" s="46"/>
      <c r="G960" s="47"/>
      <c r="H960" s="42"/>
      <c r="I960" s="42"/>
      <c r="J960" s="47"/>
      <c r="K960" s="42"/>
      <c r="L960" s="42"/>
      <c r="M960" s="47"/>
      <c r="N960" s="42"/>
      <c r="O960" s="42"/>
      <c r="P960" s="47"/>
      <c r="Q960" s="42"/>
      <c r="R960" s="42"/>
      <c r="S960" s="47"/>
      <c r="T960" s="42"/>
      <c r="U960" s="42"/>
      <c r="V960" s="47"/>
      <c r="W960" s="42"/>
      <c r="X960" s="42"/>
      <c r="Y960" s="47"/>
      <c r="Z960" s="42"/>
      <c r="AA960" s="42"/>
      <c r="AB960" s="47"/>
      <c r="AC960" s="42"/>
      <c r="AD960" s="42"/>
      <c r="AE960" s="46"/>
      <c r="AF960" s="47"/>
      <c r="AG960" s="48"/>
    </row>
    <row r="961" spans="2:33" s="38" customFormat="1" x14ac:dyDescent="0.25">
      <c r="B961" s="49"/>
      <c r="C961" s="70"/>
      <c r="D961" s="42"/>
      <c r="F961" s="46"/>
      <c r="G961" s="47"/>
      <c r="H961" s="42"/>
      <c r="I961" s="42"/>
      <c r="J961" s="47"/>
      <c r="K961" s="42"/>
      <c r="L961" s="42"/>
      <c r="M961" s="47"/>
      <c r="N961" s="42"/>
      <c r="O961" s="42"/>
      <c r="P961" s="47"/>
      <c r="Q961" s="42"/>
      <c r="R961" s="42"/>
      <c r="S961" s="47"/>
      <c r="T961" s="42"/>
      <c r="U961" s="42"/>
      <c r="V961" s="47"/>
      <c r="W961" s="42"/>
      <c r="X961" s="42"/>
      <c r="Y961" s="47"/>
      <c r="Z961" s="42"/>
      <c r="AA961" s="42"/>
      <c r="AB961" s="47"/>
      <c r="AC961" s="42"/>
      <c r="AD961" s="42"/>
      <c r="AE961" s="46"/>
      <c r="AF961" s="47"/>
      <c r="AG961" s="48"/>
    </row>
    <row r="962" spans="2:33" s="38" customFormat="1" x14ac:dyDescent="0.25">
      <c r="B962" s="49"/>
      <c r="C962" s="70"/>
      <c r="D962" s="42"/>
      <c r="F962" s="46"/>
      <c r="G962" s="47"/>
      <c r="H962" s="42"/>
      <c r="I962" s="42"/>
      <c r="J962" s="47"/>
      <c r="K962" s="42"/>
      <c r="L962" s="42"/>
      <c r="M962" s="47"/>
      <c r="N962" s="42"/>
      <c r="O962" s="42"/>
      <c r="P962" s="47"/>
      <c r="Q962" s="42"/>
      <c r="R962" s="42"/>
      <c r="S962" s="47"/>
      <c r="T962" s="42"/>
      <c r="U962" s="42"/>
      <c r="V962" s="47"/>
      <c r="W962" s="42"/>
      <c r="X962" s="42"/>
      <c r="Y962" s="47"/>
      <c r="Z962" s="42"/>
      <c r="AA962" s="42"/>
      <c r="AB962" s="47"/>
      <c r="AC962" s="42"/>
      <c r="AD962" s="42"/>
      <c r="AE962" s="46"/>
      <c r="AF962" s="47"/>
      <c r="AG962" s="48"/>
    </row>
    <row r="963" spans="2:33" s="38" customFormat="1" x14ac:dyDescent="0.25">
      <c r="B963" s="49"/>
      <c r="C963" s="70"/>
      <c r="D963" s="42"/>
      <c r="F963" s="46"/>
      <c r="G963" s="47"/>
      <c r="H963" s="42"/>
      <c r="I963" s="42"/>
      <c r="J963" s="47"/>
      <c r="K963" s="42"/>
      <c r="L963" s="42"/>
      <c r="M963" s="47"/>
      <c r="N963" s="42"/>
      <c r="O963" s="42"/>
      <c r="P963" s="47"/>
      <c r="Q963" s="42"/>
      <c r="R963" s="42"/>
      <c r="S963" s="47"/>
      <c r="T963" s="42"/>
      <c r="U963" s="42"/>
      <c r="V963" s="47"/>
      <c r="W963" s="42"/>
      <c r="X963" s="42"/>
      <c r="Y963" s="47"/>
      <c r="Z963" s="42"/>
      <c r="AA963" s="42"/>
      <c r="AB963" s="47"/>
      <c r="AC963" s="42"/>
      <c r="AD963" s="42"/>
      <c r="AE963" s="46"/>
      <c r="AF963" s="47"/>
      <c r="AG963" s="48"/>
    </row>
    <row r="964" spans="2:33" s="38" customFormat="1" x14ac:dyDescent="0.25">
      <c r="B964" s="49"/>
      <c r="C964" s="70"/>
      <c r="D964" s="42"/>
      <c r="F964" s="46"/>
      <c r="G964" s="47"/>
      <c r="H964" s="42"/>
      <c r="I964" s="42"/>
      <c r="J964" s="47"/>
      <c r="K964" s="42"/>
      <c r="L964" s="42"/>
      <c r="M964" s="47"/>
      <c r="N964" s="42"/>
      <c r="O964" s="42"/>
      <c r="P964" s="47"/>
      <c r="Q964" s="42"/>
      <c r="R964" s="42"/>
      <c r="S964" s="47"/>
      <c r="T964" s="42"/>
      <c r="U964" s="42"/>
      <c r="V964" s="47"/>
      <c r="W964" s="42"/>
      <c r="X964" s="42"/>
      <c r="Y964" s="47"/>
      <c r="Z964" s="42"/>
      <c r="AA964" s="42"/>
      <c r="AB964" s="47"/>
      <c r="AC964" s="42"/>
      <c r="AD964" s="42"/>
      <c r="AE964" s="46"/>
      <c r="AF964" s="47"/>
      <c r="AG964" s="48"/>
    </row>
    <row r="965" spans="2:33" s="38" customFormat="1" x14ac:dyDescent="0.25">
      <c r="B965" s="49"/>
      <c r="C965" s="70"/>
      <c r="D965" s="42"/>
      <c r="F965" s="46"/>
      <c r="G965" s="47"/>
      <c r="H965" s="42"/>
      <c r="I965" s="42"/>
      <c r="J965" s="47"/>
      <c r="K965" s="42"/>
      <c r="L965" s="42"/>
      <c r="M965" s="47"/>
      <c r="N965" s="42"/>
      <c r="O965" s="42"/>
      <c r="P965" s="47"/>
      <c r="Q965" s="42"/>
      <c r="R965" s="42"/>
      <c r="S965" s="47"/>
      <c r="T965" s="42"/>
      <c r="U965" s="42"/>
      <c r="V965" s="47"/>
      <c r="W965" s="42"/>
      <c r="X965" s="42"/>
      <c r="Y965" s="47"/>
      <c r="Z965" s="42"/>
      <c r="AA965" s="42"/>
      <c r="AB965" s="47"/>
      <c r="AC965" s="42"/>
      <c r="AD965" s="42"/>
      <c r="AE965" s="46"/>
      <c r="AF965" s="47"/>
      <c r="AG965" s="48"/>
    </row>
    <row r="966" spans="2:33" s="38" customFormat="1" x14ac:dyDescent="0.25">
      <c r="B966" s="49"/>
      <c r="C966" s="70"/>
      <c r="D966" s="42"/>
      <c r="F966" s="46"/>
      <c r="G966" s="47"/>
      <c r="H966" s="42"/>
      <c r="I966" s="42"/>
      <c r="J966" s="47"/>
      <c r="K966" s="42"/>
      <c r="L966" s="42"/>
      <c r="M966" s="47"/>
      <c r="N966" s="42"/>
      <c r="O966" s="42"/>
      <c r="P966" s="47"/>
      <c r="Q966" s="42"/>
      <c r="R966" s="42"/>
      <c r="S966" s="47"/>
      <c r="T966" s="42"/>
      <c r="U966" s="42"/>
      <c r="V966" s="47"/>
      <c r="W966" s="42"/>
      <c r="X966" s="42"/>
      <c r="Y966" s="47"/>
      <c r="Z966" s="42"/>
      <c r="AA966" s="42"/>
      <c r="AB966" s="47"/>
      <c r="AC966" s="42"/>
      <c r="AD966" s="42"/>
      <c r="AE966" s="46"/>
      <c r="AF966" s="47"/>
      <c r="AG966" s="48"/>
    </row>
    <row r="967" spans="2:33" s="38" customFormat="1" x14ac:dyDescent="0.25">
      <c r="B967" s="49"/>
      <c r="C967" s="70"/>
      <c r="D967" s="42"/>
      <c r="F967" s="46"/>
      <c r="G967" s="47"/>
      <c r="H967" s="42"/>
      <c r="I967" s="42"/>
      <c r="J967" s="47"/>
      <c r="K967" s="42"/>
      <c r="L967" s="42"/>
      <c r="M967" s="47"/>
      <c r="N967" s="42"/>
      <c r="O967" s="42"/>
      <c r="P967" s="47"/>
      <c r="Q967" s="42"/>
      <c r="R967" s="42"/>
      <c r="S967" s="47"/>
      <c r="T967" s="42"/>
      <c r="U967" s="42"/>
      <c r="V967" s="47"/>
      <c r="W967" s="42"/>
      <c r="X967" s="42"/>
      <c r="Y967" s="47"/>
      <c r="Z967" s="42"/>
      <c r="AA967" s="42"/>
      <c r="AB967" s="47"/>
      <c r="AC967" s="42"/>
      <c r="AD967" s="42"/>
      <c r="AE967" s="46"/>
      <c r="AF967" s="47"/>
      <c r="AG967" s="48"/>
    </row>
    <row r="968" spans="2:33" s="38" customFormat="1" x14ac:dyDescent="0.25">
      <c r="B968" s="49"/>
      <c r="C968" s="70"/>
      <c r="D968" s="42"/>
      <c r="F968" s="46"/>
      <c r="G968" s="47"/>
      <c r="H968" s="42"/>
      <c r="I968" s="42"/>
      <c r="J968" s="47"/>
      <c r="K968" s="42"/>
      <c r="L968" s="42"/>
      <c r="M968" s="47"/>
      <c r="N968" s="42"/>
      <c r="O968" s="42"/>
      <c r="P968" s="47"/>
      <c r="Q968" s="42"/>
      <c r="R968" s="42"/>
      <c r="S968" s="47"/>
      <c r="T968" s="42"/>
      <c r="U968" s="42"/>
      <c r="V968" s="47"/>
      <c r="W968" s="42"/>
      <c r="X968" s="42"/>
      <c r="Y968" s="47"/>
      <c r="Z968" s="42"/>
      <c r="AA968" s="42"/>
      <c r="AB968" s="47"/>
      <c r="AC968" s="42"/>
      <c r="AD968" s="42"/>
      <c r="AE968" s="46"/>
      <c r="AF968" s="47"/>
      <c r="AG968" s="48"/>
    </row>
    <row r="969" spans="2:33" s="38" customFormat="1" x14ac:dyDescent="0.25">
      <c r="B969" s="49"/>
      <c r="C969" s="70"/>
      <c r="D969" s="42"/>
      <c r="F969" s="46"/>
      <c r="G969" s="47"/>
      <c r="H969" s="42"/>
      <c r="I969" s="42"/>
      <c r="J969" s="47"/>
      <c r="K969" s="42"/>
      <c r="L969" s="42"/>
      <c r="M969" s="47"/>
      <c r="N969" s="42"/>
      <c r="O969" s="42"/>
      <c r="P969" s="47"/>
      <c r="Q969" s="42"/>
      <c r="R969" s="42"/>
      <c r="S969" s="47"/>
      <c r="T969" s="42"/>
      <c r="U969" s="42"/>
      <c r="V969" s="47"/>
      <c r="W969" s="42"/>
      <c r="X969" s="42"/>
      <c r="Y969" s="47"/>
      <c r="Z969" s="42"/>
      <c r="AA969" s="42"/>
      <c r="AB969" s="47"/>
      <c r="AC969" s="42"/>
      <c r="AD969" s="42"/>
      <c r="AE969" s="46"/>
      <c r="AF969" s="47"/>
      <c r="AG969" s="48"/>
    </row>
    <row r="970" spans="2:33" s="38" customFormat="1" x14ac:dyDescent="0.25">
      <c r="B970" s="49"/>
      <c r="C970" s="70"/>
      <c r="D970" s="42"/>
      <c r="F970" s="46"/>
      <c r="G970" s="47"/>
      <c r="H970" s="42"/>
      <c r="I970" s="42"/>
      <c r="J970" s="47"/>
      <c r="K970" s="42"/>
      <c r="L970" s="42"/>
      <c r="M970" s="47"/>
      <c r="N970" s="42"/>
      <c r="O970" s="42"/>
      <c r="P970" s="47"/>
      <c r="Q970" s="42"/>
      <c r="R970" s="42"/>
      <c r="S970" s="47"/>
      <c r="T970" s="42"/>
      <c r="U970" s="42"/>
      <c r="V970" s="47"/>
      <c r="W970" s="42"/>
      <c r="X970" s="42"/>
      <c r="Y970" s="47"/>
      <c r="Z970" s="42"/>
      <c r="AA970" s="42"/>
      <c r="AB970" s="47"/>
      <c r="AC970" s="42"/>
      <c r="AD970" s="42"/>
      <c r="AE970" s="46"/>
      <c r="AF970" s="47"/>
      <c r="AG970" s="48"/>
    </row>
    <row r="971" spans="2:33" s="38" customFormat="1" x14ac:dyDescent="0.25">
      <c r="B971" s="49"/>
      <c r="C971" s="70"/>
      <c r="D971" s="42"/>
      <c r="F971" s="46"/>
      <c r="G971" s="47"/>
      <c r="H971" s="42"/>
      <c r="I971" s="42"/>
      <c r="J971" s="47"/>
      <c r="K971" s="42"/>
      <c r="L971" s="42"/>
      <c r="M971" s="47"/>
      <c r="N971" s="42"/>
      <c r="O971" s="42"/>
      <c r="P971" s="47"/>
      <c r="Q971" s="42"/>
      <c r="R971" s="42"/>
      <c r="S971" s="47"/>
      <c r="T971" s="42"/>
      <c r="U971" s="42"/>
      <c r="V971" s="47"/>
      <c r="W971" s="42"/>
      <c r="X971" s="42"/>
      <c r="Y971" s="47"/>
      <c r="Z971" s="42"/>
      <c r="AA971" s="42"/>
      <c r="AB971" s="47"/>
      <c r="AC971" s="42"/>
      <c r="AD971" s="42"/>
      <c r="AE971" s="46"/>
      <c r="AF971" s="47"/>
      <c r="AG971" s="48"/>
    </row>
    <row r="972" spans="2:33" s="38" customFormat="1" x14ac:dyDescent="0.25">
      <c r="B972" s="49"/>
      <c r="C972" s="70"/>
      <c r="D972" s="42"/>
      <c r="F972" s="46"/>
      <c r="G972" s="47"/>
      <c r="H972" s="42"/>
      <c r="I972" s="42"/>
      <c r="J972" s="47"/>
      <c r="K972" s="42"/>
      <c r="L972" s="42"/>
      <c r="M972" s="47"/>
      <c r="N972" s="42"/>
      <c r="O972" s="42"/>
      <c r="P972" s="47"/>
      <c r="Q972" s="42"/>
      <c r="R972" s="42"/>
      <c r="S972" s="47"/>
      <c r="T972" s="42"/>
      <c r="U972" s="42"/>
      <c r="V972" s="47"/>
      <c r="W972" s="42"/>
      <c r="X972" s="42"/>
      <c r="Y972" s="47"/>
      <c r="Z972" s="42"/>
      <c r="AA972" s="42"/>
      <c r="AB972" s="47"/>
      <c r="AC972" s="42"/>
      <c r="AD972" s="42"/>
      <c r="AE972" s="46"/>
      <c r="AF972" s="47"/>
      <c r="AG972" s="48"/>
    </row>
    <row r="973" spans="2:33" s="38" customFormat="1" x14ac:dyDescent="0.25">
      <c r="B973" s="49"/>
      <c r="C973" s="70"/>
      <c r="D973" s="42"/>
      <c r="F973" s="46"/>
      <c r="G973" s="47"/>
      <c r="H973" s="42"/>
      <c r="I973" s="42"/>
      <c r="J973" s="47"/>
      <c r="K973" s="42"/>
      <c r="L973" s="42"/>
      <c r="M973" s="47"/>
      <c r="N973" s="42"/>
      <c r="O973" s="42"/>
      <c r="P973" s="47"/>
      <c r="Q973" s="42"/>
      <c r="R973" s="42"/>
      <c r="S973" s="47"/>
      <c r="T973" s="42"/>
      <c r="U973" s="42"/>
      <c r="V973" s="47"/>
      <c r="W973" s="42"/>
      <c r="X973" s="42"/>
      <c r="Y973" s="47"/>
      <c r="Z973" s="42"/>
      <c r="AA973" s="42"/>
      <c r="AB973" s="47"/>
      <c r="AC973" s="42"/>
      <c r="AD973" s="42"/>
      <c r="AE973" s="46"/>
      <c r="AF973" s="47"/>
      <c r="AG973" s="48"/>
    </row>
    <row r="974" spans="2:33" s="38" customFormat="1" x14ac:dyDescent="0.25">
      <c r="B974" s="49"/>
      <c r="C974" s="70"/>
      <c r="D974" s="42"/>
      <c r="F974" s="46"/>
      <c r="G974" s="47"/>
      <c r="H974" s="42"/>
      <c r="I974" s="42"/>
      <c r="J974" s="47"/>
      <c r="K974" s="42"/>
      <c r="L974" s="42"/>
      <c r="M974" s="47"/>
      <c r="N974" s="42"/>
      <c r="O974" s="42"/>
      <c r="P974" s="47"/>
      <c r="Q974" s="42"/>
      <c r="R974" s="42"/>
      <c r="S974" s="47"/>
      <c r="T974" s="42"/>
      <c r="U974" s="42"/>
      <c r="V974" s="47"/>
      <c r="W974" s="42"/>
      <c r="X974" s="42"/>
      <c r="Y974" s="47"/>
      <c r="Z974" s="42"/>
      <c r="AA974" s="42"/>
      <c r="AB974" s="47"/>
      <c r="AC974" s="42"/>
      <c r="AD974" s="42"/>
      <c r="AE974" s="46"/>
      <c r="AF974" s="47"/>
      <c r="AG974" s="48"/>
    </row>
    <row r="975" spans="2:33" s="38" customFormat="1" x14ac:dyDescent="0.25">
      <c r="B975" s="49"/>
      <c r="C975" s="70"/>
      <c r="D975" s="42"/>
      <c r="F975" s="46"/>
      <c r="G975" s="47"/>
      <c r="H975" s="42"/>
      <c r="I975" s="42"/>
      <c r="J975" s="47"/>
      <c r="K975" s="42"/>
      <c r="L975" s="42"/>
      <c r="M975" s="47"/>
      <c r="N975" s="42"/>
      <c r="O975" s="42"/>
      <c r="P975" s="47"/>
      <c r="Q975" s="42"/>
      <c r="R975" s="42"/>
      <c r="S975" s="47"/>
      <c r="T975" s="42"/>
      <c r="U975" s="42"/>
      <c r="V975" s="47"/>
      <c r="W975" s="42"/>
      <c r="X975" s="42"/>
      <c r="Y975" s="47"/>
      <c r="Z975" s="42"/>
      <c r="AA975" s="42"/>
      <c r="AB975" s="47"/>
      <c r="AC975" s="42"/>
      <c r="AD975" s="42"/>
      <c r="AE975" s="46"/>
      <c r="AF975" s="47"/>
      <c r="AG975" s="48"/>
    </row>
    <row r="976" spans="2:33" s="38" customFormat="1" x14ac:dyDescent="0.25">
      <c r="B976" s="49"/>
      <c r="C976" s="70"/>
      <c r="D976" s="42"/>
      <c r="F976" s="46"/>
      <c r="G976" s="47"/>
      <c r="H976" s="42"/>
      <c r="I976" s="42"/>
      <c r="J976" s="47"/>
      <c r="K976" s="42"/>
      <c r="L976" s="42"/>
      <c r="M976" s="47"/>
      <c r="N976" s="42"/>
      <c r="O976" s="42"/>
      <c r="P976" s="47"/>
      <c r="Q976" s="42"/>
      <c r="R976" s="42"/>
      <c r="S976" s="47"/>
      <c r="T976" s="42"/>
      <c r="U976" s="42"/>
      <c r="V976" s="47"/>
      <c r="W976" s="42"/>
      <c r="X976" s="42"/>
      <c r="Y976" s="47"/>
      <c r="Z976" s="42"/>
      <c r="AA976" s="42"/>
      <c r="AB976" s="47"/>
      <c r="AC976" s="42"/>
      <c r="AD976" s="42"/>
      <c r="AE976" s="46"/>
      <c r="AF976" s="47"/>
      <c r="AG976" s="48"/>
    </row>
    <row r="977" spans="2:33" s="38" customFormat="1" x14ac:dyDescent="0.25">
      <c r="B977" s="49"/>
      <c r="C977" s="70"/>
      <c r="D977" s="42"/>
      <c r="F977" s="46"/>
      <c r="G977" s="47"/>
      <c r="H977" s="42"/>
      <c r="I977" s="42"/>
      <c r="J977" s="47"/>
      <c r="K977" s="42"/>
      <c r="L977" s="42"/>
      <c r="M977" s="47"/>
      <c r="N977" s="42"/>
      <c r="O977" s="42"/>
      <c r="P977" s="47"/>
      <c r="Q977" s="42"/>
      <c r="R977" s="42"/>
      <c r="S977" s="47"/>
      <c r="T977" s="42"/>
      <c r="U977" s="42"/>
      <c r="V977" s="47"/>
      <c r="W977" s="42"/>
      <c r="X977" s="42"/>
      <c r="Y977" s="47"/>
      <c r="Z977" s="42"/>
      <c r="AA977" s="42"/>
      <c r="AB977" s="47"/>
      <c r="AC977" s="42"/>
      <c r="AD977" s="42"/>
      <c r="AE977" s="46"/>
      <c r="AF977" s="47"/>
      <c r="AG977" s="48"/>
    </row>
    <row r="978" spans="2:33" s="38" customFormat="1" x14ac:dyDescent="0.25">
      <c r="B978" s="49"/>
      <c r="C978" s="70"/>
      <c r="D978" s="42"/>
      <c r="F978" s="46"/>
      <c r="G978" s="47"/>
      <c r="H978" s="42"/>
      <c r="I978" s="42"/>
      <c r="J978" s="47"/>
      <c r="K978" s="42"/>
      <c r="L978" s="42"/>
      <c r="M978" s="47"/>
      <c r="N978" s="42"/>
      <c r="O978" s="42"/>
      <c r="P978" s="47"/>
      <c r="Q978" s="42"/>
      <c r="R978" s="42"/>
      <c r="S978" s="47"/>
      <c r="T978" s="42"/>
      <c r="U978" s="42"/>
      <c r="V978" s="47"/>
      <c r="W978" s="42"/>
      <c r="X978" s="42"/>
      <c r="Y978" s="47"/>
      <c r="Z978" s="42"/>
      <c r="AA978" s="42"/>
      <c r="AB978" s="47"/>
      <c r="AC978" s="42"/>
      <c r="AD978" s="42"/>
      <c r="AE978" s="46"/>
      <c r="AF978" s="47"/>
      <c r="AG978" s="48"/>
    </row>
    <row r="979" spans="2:33" s="38" customFormat="1" x14ac:dyDescent="0.25">
      <c r="B979" s="49"/>
      <c r="C979" s="70"/>
      <c r="D979" s="42"/>
      <c r="F979" s="46"/>
      <c r="G979" s="47"/>
      <c r="H979" s="42"/>
      <c r="I979" s="42"/>
      <c r="J979" s="47"/>
      <c r="K979" s="42"/>
      <c r="L979" s="42"/>
      <c r="M979" s="47"/>
      <c r="N979" s="42"/>
      <c r="O979" s="42"/>
      <c r="P979" s="47"/>
      <c r="Q979" s="42"/>
      <c r="R979" s="42"/>
      <c r="S979" s="47"/>
      <c r="T979" s="42"/>
      <c r="U979" s="42"/>
      <c r="V979" s="47"/>
      <c r="W979" s="42"/>
      <c r="X979" s="42"/>
      <c r="Y979" s="47"/>
      <c r="Z979" s="42"/>
      <c r="AA979" s="42"/>
      <c r="AB979" s="47"/>
      <c r="AC979" s="42"/>
      <c r="AD979" s="42"/>
      <c r="AE979" s="46"/>
      <c r="AF979" s="47"/>
      <c r="AG979" s="48"/>
    </row>
    <row r="980" spans="2:33" s="38" customFormat="1" x14ac:dyDescent="0.25">
      <c r="B980" s="49"/>
      <c r="C980" s="70"/>
      <c r="D980" s="42"/>
      <c r="F980" s="46"/>
      <c r="G980" s="47"/>
      <c r="H980" s="42"/>
      <c r="I980" s="42"/>
      <c r="J980" s="47"/>
      <c r="K980" s="42"/>
      <c r="L980" s="42"/>
      <c r="M980" s="47"/>
      <c r="N980" s="42"/>
      <c r="O980" s="42"/>
      <c r="P980" s="47"/>
      <c r="Q980" s="42"/>
      <c r="R980" s="42"/>
      <c r="S980" s="47"/>
      <c r="T980" s="42"/>
      <c r="U980" s="42"/>
      <c r="V980" s="47"/>
      <c r="W980" s="42"/>
      <c r="X980" s="42"/>
      <c r="Y980" s="47"/>
      <c r="Z980" s="42"/>
      <c r="AA980" s="42"/>
      <c r="AB980" s="47"/>
      <c r="AC980" s="42"/>
      <c r="AD980" s="42"/>
      <c r="AE980" s="46"/>
      <c r="AF980" s="47"/>
      <c r="AG980" s="48"/>
    </row>
    <row r="981" spans="2:33" s="38" customFormat="1" x14ac:dyDescent="0.25">
      <c r="B981" s="49"/>
      <c r="C981" s="70"/>
      <c r="D981" s="42"/>
      <c r="F981" s="46"/>
      <c r="G981" s="47"/>
      <c r="H981" s="42"/>
      <c r="I981" s="42"/>
      <c r="J981" s="47"/>
      <c r="K981" s="42"/>
      <c r="L981" s="42"/>
      <c r="M981" s="47"/>
      <c r="N981" s="42"/>
      <c r="O981" s="42"/>
      <c r="P981" s="47"/>
      <c r="Q981" s="42"/>
      <c r="R981" s="42"/>
      <c r="S981" s="47"/>
      <c r="T981" s="42"/>
      <c r="U981" s="42"/>
      <c r="V981" s="47"/>
      <c r="W981" s="42"/>
      <c r="X981" s="42"/>
      <c r="Y981" s="47"/>
      <c r="Z981" s="42"/>
      <c r="AA981" s="42"/>
      <c r="AB981" s="47"/>
      <c r="AC981" s="42"/>
      <c r="AD981" s="42"/>
      <c r="AE981" s="46"/>
      <c r="AF981" s="47"/>
      <c r="AG981" s="48"/>
    </row>
    <row r="982" spans="2:33" s="38" customFormat="1" x14ac:dyDescent="0.25">
      <c r="B982" s="49"/>
      <c r="C982" s="70"/>
      <c r="D982" s="42"/>
      <c r="F982" s="46"/>
      <c r="G982" s="47"/>
      <c r="H982" s="42"/>
      <c r="I982" s="42"/>
      <c r="J982" s="47"/>
      <c r="K982" s="42"/>
      <c r="L982" s="42"/>
      <c r="M982" s="47"/>
      <c r="N982" s="42"/>
      <c r="O982" s="42"/>
      <c r="P982" s="47"/>
      <c r="Q982" s="42"/>
      <c r="R982" s="42"/>
      <c r="S982" s="47"/>
      <c r="T982" s="42"/>
      <c r="U982" s="42"/>
      <c r="V982" s="47"/>
      <c r="W982" s="42"/>
      <c r="X982" s="42"/>
      <c r="Y982" s="47"/>
      <c r="Z982" s="42"/>
      <c r="AA982" s="42"/>
      <c r="AB982" s="47"/>
      <c r="AC982" s="42"/>
      <c r="AD982" s="42"/>
      <c r="AE982" s="46"/>
      <c r="AF982" s="47"/>
      <c r="AG982" s="48"/>
    </row>
    <row r="983" spans="2:33" s="38" customFormat="1" x14ac:dyDescent="0.25">
      <c r="B983" s="49"/>
      <c r="C983" s="70"/>
      <c r="D983" s="42"/>
      <c r="F983" s="46"/>
      <c r="G983" s="47"/>
      <c r="H983" s="42"/>
      <c r="I983" s="42"/>
      <c r="J983" s="47"/>
      <c r="K983" s="42"/>
      <c r="L983" s="42"/>
      <c r="M983" s="47"/>
      <c r="N983" s="42"/>
      <c r="O983" s="42"/>
      <c r="P983" s="47"/>
      <c r="Q983" s="42"/>
      <c r="R983" s="42"/>
      <c r="S983" s="47"/>
      <c r="T983" s="42"/>
      <c r="U983" s="42"/>
      <c r="V983" s="47"/>
      <c r="W983" s="42"/>
      <c r="X983" s="42"/>
      <c r="Y983" s="47"/>
      <c r="Z983" s="42"/>
      <c r="AA983" s="42"/>
      <c r="AB983" s="47"/>
      <c r="AC983" s="42"/>
      <c r="AD983" s="42"/>
      <c r="AE983" s="46"/>
      <c r="AF983" s="47"/>
      <c r="AG983" s="48"/>
    </row>
    <row r="984" spans="2:33" s="38" customFormat="1" x14ac:dyDescent="0.25">
      <c r="B984" s="49"/>
      <c r="C984" s="70"/>
      <c r="D984" s="42"/>
      <c r="F984" s="46"/>
      <c r="G984" s="47"/>
      <c r="H984" s="42"/>
      <c r="I984" s="42"/>
      <c r="J984" s="47"/>
      <c r="K984" s="42"/>
      <c r="L984" s="42"/>
      <c r="M984" s="47"/>
      <c r="N984" s="42"/>
      <c r="O984" s="42"/>
      <c r="P984" s="47"/>
      <c r="Q984" s="42"/>
      <c r="R984" s="42"/>
      <c r="S984" s="47"/>
      <c r="T984" s="42"/>
      <c r="U984" s="42"/>
      <c r="V984" s="47"/>
      <c r="W984" s="42"/>
      <c r="X984" s="42"/>
      <c r="Y984" s="47"/>
      <c r="Z984" s="42"/>
      <c r="AA984" s="42"/>
      <c r="AB984" s="47"/>
      <c r="AC984" s="42"/>
      <c r="AD984" s="42"/>
      <c r="AE984" s="46"/>
      <c r="AF984" s="47"/>
      <c r="AG984" s="48"/>
    </row>
    <row r="985" spans="2:33" s="38" customFormat="1" x14ac:dyDescent="0.25">
      <c r="B985" s="49"/>
      <c r="C985" s="70"/>
      <c r="D985" s="42"/>
      <c r="F985" s="46"/>
      <c r="G985" s="47"/>
      <c r="H985" s="42"/>
      <c r="I985" s="42"/>
      <c r="J985" s="47"/>
      <c r="K985" s="42"/>
      <c r="L985" s="42"/>
      <c r="M985" s="47"/>
      <c r="N985" s="42"/>
      <c r="O985" s="42"/>
      <c r="P985" s="47"/>
      <c r="Q985" s="42"/>
      <c r="R985" s="42"/>
      <c r="S985" s="47"/>
      <c r="T985" s="42"/>
      <c r="U985" s="42"/>
      <c r="V985" s="47"/>
      <c r="W985" s="42"/>
      <c r="X985" s="42"/>
      <c r="Y985" s="47"/>
      <c r="Z985" s="42"/>
      <c r="AA985" s="42"/>
      <c r="AB985" s="47"/>
      <c r="AC985" s="42"/>
      <c r="AD985" s="42"/>
      <c r="AE985" s="46"/>
      <c r="AF985" s="47"/>
      <c r="AG985" s="48"/>
    </row>
    <row r="986" spans="2:33" s="38" customFormat="1" x14ac:dyDescent="0.25">
      <c r="B986" s="49"/>
      <c r="C986" s="70"/>
      <c r="D986" s="42"/>
      <c r="F986" s="46"/>
      <c r="G986" s="47"/>
      <c r="H986" s="42"/>
      <c r="I986" s="42"/>
      <c r="J986" s="47"/>
      <c r="K986" s="42"/>
      <c r="L986" s="42"/>
      <c r="M986" s="47"/>
      <c r="N986" s="42"/>
      <c r="O986" s="42"/>
      <c r="P986" s="47"/>
      <c r="Q986" s="42"/>
      <c r="R986" s="42"/>
      <c r="S986" s="47"/>
      <c r="T986" s="42"/>
      <c r="U986" s="42"/>
      <c r="V986" s="47"/>
      <c r="W986" s="42"/>
      <c r="X986" s="42"/>
      <c r="Y986" s="47"/>
      <c r="Z986" s="42"/>
      <c r="AA986" s="42"/>
      <c r="AB986" s="47"/>
      <c r="AC986" s="42"/>
      <c r="AD986" s="42"/>
      <c r="AE986" s="46"/>
      <c r="AF986" s="47"/>
      <c r="AG986" s="48"/>
    </row>
    <row r="987" spans="2:33" s="38" customFormat="1" x14ac:dyDescent="0.25">
      <c r="B987" s="49"/>
      <c r="C987" s="70"/>
      <c r="D987" s="42"/>
      <c r="F987" s="46"/>
      <c r="G987" s="47"/>
      <c r="H987" s="42"/>
      <c r="I987" s="42"/>
      <c r="J987" s="47"/>
      <c r="K987" s="42"/>
      <c r="L987" s="42"/>
      <c r="M987" s="47"/>
      <c r="N987" s="42"/>
      <c r="O987" s="42"/>
      <c r="P987" s="47"/>
      <c r="Q987" s="42"/>
      <c r="R987" s="42"/>
      <c r="S987" s="47"/>
      <c r="T987" s="42"/>
      <c r="U987" s="42"/>
      <c r="V987" s="47"/>
      <c r="W987" s="42"/>
      <c r="X987" s="42"/>
      <c r="Y987" s="47"/>
      <c r="Z987" s="42"/>
      <c r="AA987" s="42"/>
      <c r="AB987" s="47"/>
      <c r="AC987" s="42"/>
      <c r="AD987" s="42"/>
      <c r="AE987" s="46"/>
      <c r="AF987" s="47"/>
      <c r="AG987" s="48"/>
    </row>
    <row r="988" spans="2:33" s="38" customFormat="1" x14ac:dyDescent="0.25">
      <c r="B988" s="49"/>
      <c r="C988" s="70"/>
      <c r="D988" s="42"/>
      <c r="F988" s="46"/>
      <c r="G988" s="47"/>
      <c r="H988" s="42"/>
      <c r="I988" s="42"/>
      <c r="J988" s="47"/>
      <c r="K988" s="42"/>
      <c r="L988" s="42"/>
      <c r="M988" s="47"/>
      <c r="N988" s="42"/>
      <c r="O988" s="42"/>
      <c r="P988" s="47"/>
      <c r="Q988" s="42"/>
      <c r="R988" s="42"/>
      <c r="S988" s="47"/>
      <c r="T988" s="42"/>
      <c r="U988" s="42"/>
      <c r="V988" s="47"/>
      <c r="W988" s="42"/>
      <c r="X988" s="42"/>
      <c r="Y988" s="47"/>
      <c r="Z988" s="42"/>
      <c r="AA988" s="42"/>
      <c r="AB988" s="47"/>
      <c r="AC988" s="42"/>
      <c r="AD988" s="42"/>
      <c r="AE988" s="46"/>
      <c r="AF988" s="47"/>
      <c r="AG988" s="48"/>
    </row>
    <row r="989" spans="2:33" s="38" customFormat="1" x14ac:dyDescent="0.25">
      <c r="B989" s="49"/>
      <c r="C989" s="70"/>
      <c r="D989" s="42"/>
      <c r="F989" s="46"/>
      <c r="G989" s="47"/>
      <c r="H989" s="42"/>
      <c r="I989" s="42"/>
      <c r="J989" s="47"/>
      <c r="K989" s="42"/>
      <c r="L989" s="42"/>
      <c r="M989" s="47"/>
      <c r="N989" s="42"/>
      <c r="O989" s="42"/>
      <c r="P989" s="47"/>
      <c r="Q989" s="42"/>
      <c r="R989" s="42"/>
      <c r="S989" s="47"/>
      <c r="T989" s="42"/>
      <c r="U989" s="42"/>
      <c r="V989" s="47"/>
      <c r="W989" s="42"/>
      <c r="X989" s="42"/>
      <c r="Y989" s="47"/>
      <c r="Z989" s="42"/>
      <c r="AA989" s="42"/>
      <c r="AB989" s="47"/>
      <c r="AC989" s="42"/>
      <c r="AD989" s="42"/>
      <c r="AE989" s="46"/>
      <c r="AF989" s="47"/>
      <c r="AG989" s="48"/>
    </row>
    <row r="990" spans="2:33" s="38" customFormat="1" x14ac:dyDescent="0.25">
      <c r="B990" s="49"/>
      <c r="C990" s="70"/>
      <c r="D990" s="42"/>
      <c r="F990" s="46"/>
      <c r="G990" s="47"/>
      <c r="H990" s="42"/>
      <c r="I990" s="42"/>
      <c r="J990" s="47"/>
      <c r="K990" s="42"/>
      <c r="L990" s="42"/>
      <c r="M990" s="47"/>
      <c r="N990" s="42"/>
      <c r="O990" s="42"/>
      <c r="P990" s="47"/>
      <c r="Q990" s="42"/>
      <c r="R990" s="42"/>
      <c r="S990" s="47"/>
      <c r="T990" s="42"/>
      <c r="U990" s="42"/>
      <c r="V990" s="47"/>
      <c r="W990" s="42"/>
      <c r="X990" s="42"/>
      <c r="Y990" s="47"/>
      <c r="Z990" s="42"/>
      <c r="AA990" s="42"/>
      <c r="AB990" s="47"/>
      <c r="AC990" s="42"/>
      <c r="AD990" s="42"/>
      <c r="AE990" s="46"/>
      <c r="AF990" s="47"/>
      <c r="AG990" s="48"/>
    </row>
    <row r="991" spans="2:33" s="38" customFormat="1" x14ac:dyDescent="0.25">
      <c r="B991" s="49"/>
      <c r="C991" s="70"/>
      <c r="D991" s="42"/>
      <c r="F991" s="46"/>
      <c r="G991" s="47"/>
      <c r="H991" s="42"/>
      <c r="I991" s="42"/>
      <c r="J991" s="47"/>
      <c r="K991" s="42"/>
      <c r="L991" s="42"/>
      <c r="M991" s="47"/>
      <c r="N991" s="42"/>
      <c r="O991" s="42"/>
      <c r="P991" s="47"/>
      <c r="Q991" s="42"/>
      <c r="R991" s="42"/>
      <c r="S991" s="47"/>
      <c r="T991" s="42"/>
      <c r="U991" s="42"/>
      <c r="V991" s="47"/>
      <c r="W991" s="42"/>
      <c r="X991" s="42"/>
      <c r="Y991" s="47"/>
      <c r="Z991" s="42"/>
      <c r="AA991" s="42"/>
      <c r="AB991" s="47"/>
      <c r="AC991" s="42"/>
      <c r="AD991" s="42"/>
      <c r="AE991" s="46"/>
      <c r="AF991" s="47"/>
      <c r="AG991" s="48"/>
    </row>
    <row r="992" spans="2:33" s="38" customFormat="1" x14ac:dyDescent="0.25">
      <c r="B992" s="49"/>
      <c r="C992" s="70"/>
      <c r="D992" s="42"/>
      <c r="F992" s="46"/>
      <c r="G992" s="47"/>
      <c r="H992" s="42"/>
      <c r="I992" s="42"/>
      <c r="J992" s="47"/>
      <c r="K992" s="42"/>
      <c r="L992" s="42"/>
      <c r="M992" s="47"/>
      <c r="N992" s="42"/>
      <c r="O992" s="42"/>
      <c r="P992" s="47"/>
      <c r="Q992" s="42"/>
      <c r="R992" s="42"/>
      <c r="S992" s="47"/>
      <c r="T992" s="42"/>
      <c r="U992" s="42"/>
      <c r="V992" s="47"/>
      <c r="W992" s="42"/>
      <c r="X992" s="42"/>
      <c r="Y992" s="47"/>
      <c r="Z992" s="42"/>
      <c r="AA992" s="42"/>
      <c r="AB992" s="47"/>
      <c r="AC992" s="42"/>
      <c r="AD992" s="42"/>
      <c r="AE992" s="46"/>
      <c r="AF992" s="47"/>
      <c r="AG992" s="48"/>
    </row>
    <row r="993" spans="2:33" s="38" customFormat="1" x14ac:dyDescent="0.25">
      <c r="B993" s="49"/>
      <c r="C993" s="70"/>
      <c r="D993" s="42"/>
      <c r="F993" s="46"/>
      <c r="G993" s="47"/>
      <c r="H993" s="42"/>
      <c r="I993" s="42"/>
      <c r="J993" s="47"/>
      <c r="K993" s="42"/>
      <c r="L993" s="42"/>
      <c r="M993" s="47"/>
      <c r="N993" s="42"/>
      <c r="O993" s="42"/>
      <c r="P993" s="47"/>
      <c r="Q993" s="42"/>
      <c r="R993" s="42"/>
      <c r="S993" s="47"/>
      <c r="T993" s="42"/>
      <c r="U993" s="42"/>
      <c r="V993" s="47"/>
      <c r="W993" s="42"/>
      <c r="X993" s="42"/>
      <c r="Y993" s="47"/>
      <c r="Z993" s="42"/>
      <c r="AA993" s="42"/>
      <c r="AB993" s="47"/>
      <c r="AC993" s="42"/>
      <c r="AD993" s="42"/>
      <c r="AE993" s="46"/>
      <c r="AF993" s="47"/>
      <c r="AG993" s="48"/>
    </row>
    <row r="994" spans="2:33" s="38" customFormat="1" x14ac:dyDescent="0.25">
      <c r="B994" s="49"/>
      <c r="C994" s="70"/>
      <c r="D994" s="42"/>
      <c r="F994" s="46"/>
      <c r="G994" s="47"/>
      <c r="H994" s="42"/>
      <c r="I994" s="42"/>
      <c r="J994" s="47"/>
      <c r="K994" s="42"/>
      <c r="L994" s="42"/>
      <c r="M994" s="47"/>
      <c r="N994" s="42"/>
      <c r="O994" s="42"/>
      <c r="P994" s="47"/>
      <c r="Q994" s="42"/>
      <c r="R994" s="42"/>
      <c r="S994" s="47"/>
      <c r="T994" s="42"/>
      <c r="U994" s="42"/>
      <c r="V994" s="47"/>
      <c r="W994" s="42"/>
      <c r="X994" s="42"/>
      <c r="Y994" s="47"/>
      <c r="Z994" s="42"/>
      <c r="AA994" s="42"/>
      <c r="AB994" s="47"/>
      <c r="AC994" s="42"/>
      <c r="AD994" s="42"/>
      <c r="AE994" s="46"/>
      <c r="AF994" s="47"/>
      <c r="AG994" s="48"/>
    </row>
    <row r="995" spans="2:33" s="38" customFormat="1" x14ac:dyDescent="0.25">
      <c r="B995" s="49"/>
      <c r="C995" s="70"/>
      <c r="D995" s="42"/>
      <c r="F995" s="46"/>
      <c r="G995" s="47"/>
      <c r="H995" s="42"/>
      <c r="I995" s="42"/>
      <c r="J995" s="47"/>
      <c r="K995" s="42"/>
      <c r="L995" s="42"/>
      <c r="M995" s="47"/>
      <c r="N995" s="42"/>
      <c r="O995" s="42"/>
      <c r="P995" s="47"/>
      <c r="Q995" s="42"/>
      <c r="R995" s="42"/>
      <c r="S995" s="47"/>
      <c r="T995" s="42"/>
      <c r="U995" s="42"/>
      <c r="V995" s="47"/>
      <c r="W995" s="42"/>
      <c r="X995" s="42"/>
      <c r="Y995" s="47"/>
      <c r="Z995" s="42"/>
      <c r="AA995" s="42"/>
      <c r="AB995" s="47"/>
      <c r="AC995" s="42"/>
      <c r="AD995" s="42"/>
      <c r="AE995" s="46"/>
      <c r="AF995" s="47"/>
      <c r="AG995" s="48"/>
    </row>
    <row r="996" spans="2:33" s="38" customFormat="1" x14ac:dyDescent="0.25">
      <c r="B996" s="49"/>
      <c r="C996" s="70"/>
      <c r="D996" s="42"/>
      <c r="F996" s="46"/>
      <c r="G996" s="47"/>
      <c r="H996" s="42"/>
      <c r="I996" s="42"/>
      <c r="J996" s="47"/>
      <c r="K996" s="42"/>
      <c r="L996" s="42"/>
      <c r="M996" s="47"/>
      <c r="N996" s="42"/>
      <c r="O996" s="42"/>
      <c r="P996" s="47"/>
      <c r="Q996" s="42"/>
      <c r="R996" s="42"/>
      <c r="S996" s="47"/>
      <c r="T996" s="42"/>
      <c r="U996" s="42"/>
      <c r="V996" s="47"/>
      <c r="W996" s="42"/>
      <c r="X996" s="42"/>
      <c r="Y996" s="47"/>
      <c r="Z996" s="42"/>
      <c r="AA996" s="42"/>
      <c r="AB996" s="47"/>
      <c r="AC996" s="42"/>
      <c r="AD996" s="42"/>
      <c r="AE996" s="46"/>
      <c r="AF996" s="47"/>
      <c r="AG996" s="48"/>
    </row>
    <row r="997" spans="2:33" s="38" customFormat="1" x14ac:dyDescent="0.25">
      <c r="B997" s="49"/>
      <c r="C997" s="70"/>
      <c r="D997" s="42"/>
      <c r="F997" s="46"/>
      <c r="G997" s="47"/>
      <c r="H997" s="42"/>
      <c r="I997" s="42"/>
      <c r="J997" s="47"/>
      <c r="K997" s="42"/>
      <c r="L997" s="42"/>
      <c r="M997" s="47"/>
      <c r="N997" s="42"/>
      <c r="O997" s="42"/>
      <c r="P997" s="47"/>
      <c r="Q997" s="42"/>
      <c r="R997" s="42"/>
      <c r="S997" s="47"/>
      <c r="T997" s="42"/>
      <c r="U997" s="42"/>
      <c r="V997" s="47"/>
      <c r="W997" s="42"/>
      <c r="X997" s="42"/>
      <c r="Y997" s="47"/>
      <c r="Z997" s="42"/>
      <c r="AA997" s="42"/>
      <c r="AB997" s="47"/>
      <c r="AC997" s="42"/>
      <c r="AD997" s="42"/>
      <c r="AE997" s="46"/>
      <c r="AF997" s="47"/>
      <c r="AG997" s="48"/>
    </row>
    <row r="998" spans="2:33" s="38" customFormat="1" x14ac:dyDescent="0.25">
      <c r="B998" s="49"/>
      <c r="C998" s="70"/>
      <c r="D998" s="42"/>
      <c r="F998" s="46"/>
      <c r="G998" s="47"/>
      <c r="H998" s="42"/>
      <c r="I998" s="42"/>
      <c r="J998" s="47"/>
      <c r="K998" s="42"/>
      <c r="L998" s="42"/>
      <c r="M998" s="47"/>
      <c r="N998" s="42"/>
      <c r="O998" s="42"/>
      <c r="P998" s="47"/>
      <c r="Q998" s="42"/>
      <c r="R998" s="42"/>
      <c r="S998" s="47"/>
      <c r="T998" s="42"/>
      <c r="U998" s="42"/>
      <c r="V998" s="47"/>
      <c r="W998" s="42"/>
      <c r="X998" s="42"/>
      <c r="Y998" s="47"/>
      <c r="Z998" s="42"/>
      <c r="AA998" s="42"/>
      <c r="AB998" s="47"/>
      <c r="AC998" s="42"/>
      <c r="AD998" s="42"/>
      <c r="AE998" s="46"/>
      <c r="AF998" s="47"/>
      <c r="AG998" s="48"/>
    </row>
    <row r="999" spans="2:33" s="38" customFormat="1" x14ac:dyDescent="0.25">
      <c r="B999" s="49"/>
      <c r="C999" s="70"/>
      <c r="D999" s="42"/>
      <c r="F999" s="46"/>
      <c r="G999" s="47"/>
      <c r="H999" s="42"/>
      <c r="I999" s="42"/>
      <c r="J999" s="47"/>
      <c r="K999" s="42"/>
      <c r="L999" s="42"/>
      <c r="M999" s="47"/>
      <c r="N999" s="42"/>
      <c r="O999" s="42"/>
      <c r="P999" s="47"/>
      <c r="Q999" s="42"/>
      <c r="R999" s="42"/>
      <c r="S999" s="47"/>
      <c r="T999" s="42"/>
      <c r="U999" s="42"/>
      <c r="V999" s="47"/>
      <c r="W999" s="42"/>
      <c r="X999" s="42"/>
      <c r="Y999" s="47"/>
      <c r="Z999" s="42"/>
      <c r="AA999" s="42"/>
      <c r="AB999" s="47"/>
      <c r="AC999" s="42"/>
      <c r="AD999" s="42"/>
      <c r="AE999" s="46"/>
      <c r="AF999" s="47"/>
      <c r="AG999" s="48"/>
    </row>
    <row r="1000" spans="2:33" s="38" customFormat="1" x14ac:dyDescent="0.25">
      <c r="B1000" s="49"/>
      <c r="C1000" s="70"/>
      <c r="D1000" s="42"/>
      <c r="F1000" s="46"/>
      <c r="G1000" s="47"/>
      <c r="H1000" s="42"/>
      <c r="I1000" s="42"/>
      <c r="J1000" s="47"/>
      <c r="K1000" s="42"/>
      <c r="L1000" s="42"/>
      <c r="M1000" s="47"/>
      <c r="N1000" s="42"/>
      <c r="O1000" s="42"/>
      <c r="P1000" s="47"/>
      <c r="Q1000" s="42"/>
      <c r="R1000" s="42"/>
      <c r="S1000" s="47"/>
      <c r="T1000" s="42"/>
      <c r="U1000" s="42"/>
      <c r="V1000" s="47"/>
      <c r="W1000" s="42"/>
      <c r="X1000" s="42"/>
      <c r="Y1000" s="47"/>
      <c r="Z1000" s="42"/>
      <c r="AA1000" s="42"/>
      <c r="AB1000" s="47"/>
      <c r="AC1000" s="42"/>
      <c r="AD1000" s="42"/>
      <c r="AE1000" s="46"/>
      <c r="AF1000" s="47"/>
      <c r="AG1000" s="48"/>
    </row>
    <row r="1001" spans="2:33" s="38" customFormat="1" x14ac:dyDescent="0.25">
      <c r="B1001" s="49"/>
      <c r="C1001" s="70"/>
      <c r="D1001" s="42"/>
      <c r="F1001" s="46"/>
      <c r="G1001" s="47"/>
      <c r="H1001" s="42"/>
      <c r="I1001" s="42"/>
      <c r="J1001" s="47"/>
      <c r="K1001" s="42"/>
      <c r="L1001" s="42"/>
      <c r="M1001" s="47"/>
      <c r="N1001" s="42"/>
      <c r="O1001" s="42"/>
      <c r="P1001" s="47"/>
      <c r="Q1001" s="42"/>
      <c r="R1001" s="42"/>
      <c r="S1001" s="47"/>
      <c r="T1001" s="42"/>
      <c r="U1001" s="42"/>
      <c r="V1001" s="47"/>
      <c r="W1001" s="42"/>
      <c r="X1001" s="42"/>
      <c r="Y1001" s="47"/>
      <c r="Z1001" s="42"/>
      <c r="AA1001" s="42"/>
      <c r="AB1001" s="47"/>
      <c r="AC1001" s="42"/>
      <c r="AD1001" s="42"/>
      <c r="AE1001" s="46"/>
      <c r="AF1001" s="47"/>
      <c r="AG1001" s="48"/>
    </row>
    <row r="1002" spans="2:33" s="38" customFormat="1" x14ac:dyDescent="0.25">
      <c r="B1002" s="49"/>
      <c r="C1002" s="70"/>
      <c r="D1002" s="42"/>
      <c r="F1002" s="46"/>
      <c r="G1002" s="47"/>
      <c r="H1002" s="42"/>
      <c r="I1002" s="42"/>
      <c r="J1002" s="47"/>
      <c r="K1002" s="42"/>
      <c r="L1002" s="42"/>
      <c r="M1002" s="47"/>
      <c r="N1002" s="42"/>
      <c r="O1002" s="42"/>
      <c r="P1002" s="47"/>
      <c r="Q1002" s="42"/>
      <c r="R1002" s="42"/>
      <c r="S1002" s="47"/>
      <c r="T1002" s="42"/>
      <c r="U1002" s="42"/>
      <c r="V1002" s="47"/>
      <c r="W1002" s="42"/>
      <c r="X1002" s="42"/>
      <c r="Y1002" s="47"/>
      <c r="Z1002" s="42"/>
      <c r="AA1002" s="42"/>
      <c r="AB1002" s="47"/>
      <c r="AC1002" s="42"/>
      <c r="AD1002" s="42"/>
      <c r="AE1002" s="46"/>
      <c r="AF1002" s="47"/>
      <c r="AG1002" s="48"/>
    </row>
    <row r="1003" spans="2:33" s="38" customFormat="1" x14ac:dyDescent="0.25">
      <c r="B1003" s="49"/>
      <c r="C1003" s="70"/>
      <c r="D1003" s="42"/>
      <c r="F1003" s="46"/>
      <c r="G1003" s="47"/>
      <c r="H1003" s="42"/>
      <c r="I1003" s="42"/>
      <c r="J1003" s="47"/>
      <c r="K1003" s="42"/>
      <c r="L1003" s="42"/>
      <c r="M1003" s="47"/>
      <c r="N1003" s="42"/>
      <c r="O1003" s="42"/>
      <c r="P1003" s="47"/>
      <c r="Q1003" s="42"/>
      <c r="R1003" s="42"/>
      <c r="S1003" s="47"/>
      <c r="T1003" s="42"/>
      <c r="U1003" s="42"/>
      <c r="V1003" s="47"/>
      <c r="W1003" s="42"/>
      <c r="X1003" s="42"/>
      <c r="Y1003" s="47"/>
      <c r="Z1003" s="42"/>
      <c r="AA1003" s="42"/>
      <c r="AB1003" s="47"/>
      <c r="AC1003" s="42"/>
      <c r="AD1003" s="42"/>
      <c r="AE1003" s="46"/>
      <c r="AF1003" s="47"/>
      <c r="AG1003" s="48"/>
    </row>
    <row r="1004" spans="2:33" s="38" customFormat="1" x14ac:dyDescent="0.25">
      <c r="B1004" s="49"/>
      <c r="C1004" s="70"/>
      <c r="D1004" s="42"/>
      <c r="F1004" s="46"/>
      <c r="G1004" s="47"/>
      <c r="H1004" s="42"/>
      <c r="I1004" s="42"/>
      <c r="J1004" s="47"/>
      <c r="K1004" s="42"/>
      <c r="L1004" s="42"/>
      <c r="M1004" s="47"/>
      <c r="N1004" s="42"/>
      <c r="O1004" s="42"/>
      <c r="P1004" s="47"/>
      <c r="Q1004" s="42"/>
      <c r="R1004" s="42"/>
      <c r="S1004" s="47"/>
      <c r="T1004" s="42"/>
      <c r="U1004" s="42"/>
      <c r="V1004" s="47"/>
      <c r="W1004" s="42"/>
      <c r="X1004" s="42"/>
      <c r="Y1004" s="47"/>
      <c r="Z1004" s="42"/>
      <c r="AA1004" s="42"/>
      <c r="AB1004" s="47"/>
      <c r="AC1004" s="42"/>
      <c r="AD1004" s="42"/>
      <c r="AE1004" s="46"/>
      <c r="AF1004" s="47"/>
      <c r="AG1004" s="48"/>
    </row>
    <row r="1005" spans="2:33" s="38" customFormat="1" x14ac:dyDescent="0.25">
      <c r="B1005" s="49"/>
      <c r="C1005" s="70"/>
      <c r="D1005" s="42"/>
      <c r="F1005" s="46"/>
      <c r="G1005" s="47"/>
      <c r="H1005" s="42"/>
      <c r="I1005" s="42"/>
      <c r="J1005" s="47"/>
      <c r="K1005" s="42"/>
      <c r="L1005" s="42"/>
      <c r="M1005" s="47"/>
      <c r="N1005" s="42"/>
      <c r="O1005" s="42"/>
      <c r="P1005" s="47"/>
      <c r="Q1005" s="42"/>
      <c r="R1005" s="42"/>
      <c r="S1005" s="47"/>
      <c r="T1005" s="42"/>
      <c r="U1005" s="42"/>
      <c r="V1005" s="47"/>
      <c r="W1005" s="42"/>
      <c r="X1005" s="42"/>
      <c r="Y1005" s="47"/>
      <c r="Z1005" s="42"/>
      <c r="AA1005" s="42"/>
      <c r="AB1005" s="47"/>
      <c r="AC1005" s="42"/>
      <c r="AD1005" s="42"/>
      <c r="AE1005" s="46"/>
      <c r="AF1005" s="47"/>
      <c r="AG1005" s="48"/>
    </row>
    <row r="1006" spans="2:33" s="38" customFormat="1" x14ac:dyDescent="0.25">
      <c r="B1006" s="49"/>
      <c r="C1006" s="70"/>
      <c r="D1006" s="42"/>
      <c r="F1006" s="46"/>
      <c r="G1006" s="47"/>
      <c r="H1006" s="42"/>
      <c r="I1006" s="42"/>
      <c r="J1006" s="47"/>
      <c r="K1006" s="42"/>
      <c r="L1006" s="42"/>
      <c r="M1006" s="47"/>
      <c r="N1006" s="42"/>
      <c r="O1006" s="42"/>
      <c r="P1006" s="47"/>
      <c r="Q1006" s="42"/>
      <c r="R1006" s="42"/>
      <c r="S1006" s="47"/>
      <c r="T1006" s="42"/>
      <c r="U1006" s="42"/>
      <c r="V1006" s="47"/>
      <c r="W1006" s="42"/>
      <c r="X1006" s="42"/>
      <c r="Y1006" s="47"/>
      <c r="Z1006" s="42"/>
      <c r="AA1006" s="42"/>
      <c r="AB1006" s="47"/>
      <c r="AC1006" s="42"/>
      <c r="AD1006" s="42"/>
      <c r="AE1006" s="46"/>
      <c r="AF1006" s="47"/>
      <c r="AG1006" s="48"/>
    </row>
    <row r="1007" spans="2:33" s="38" customFormat="1" x14ac:dyDescent="0.25">
      <c r="B1007" s="49"/>
      <c r="C1007" s="70"/>
      <c r="D1007" s="42"/>
      <c r="F1007" s="46"/>
      <c r="G1007" s="47"/>
      <c r="H1007" s="42"/>
      <c r="I1007" s="42"/>
      <c r="J1007" s="47"/>
      <c r="K1007" s="42"/>
      <c r="L1007" s="42"/>
      <c r="M1007" s="47"/>
      <c r="N1007" s="42"/>
      <c r="O1007" s="42"/>
      <c r="P1007" s="47"/>
      <c r="Q1007" s="42"/>
      <c r="R1007" s="42"/>
      <c r="S1007" s="47"/>
      <c r="T1007" s="42"/>
      <c r="U1007" s="42"/>
      <c r="V1007" s="47"/>
      <c r="W1007" s="42"/>
      <c r="X1007" s="42"/>
      <c r="Y1007" s="47"/>
      <c r="Z1007" s="42"/>
      <c r="AA1007" s="42"/>
      <c r="AB1007" s="47"/>
      <c r="AC1007" s="42"/>
      <c r="AD1007" s="42"/>
      <c r="AE1007" s="46"/>
      <c r="AF1007" s="47"/>
      <c r="AG1007" s="48"/>
    </row>
    <row r="1008" spans="2:33" s="38" customFormat="1" x14ac:dyDescent="0.25">
      <c r="B1008" s="49"/>
      <c r="C1008" s="70"/>
      <c r="D1008" s="42"/>
      <c r="F1008" s="46"/>
      <c r="G1008" s="47"/>
      <c r="H1008" s="42"/>
      <c r="I1008" s="42"/>
      <c r="J1008" s="47"/>
      <c r="K1008" s="42"/>
      <c r="L1008" s="42"/>
      <c r="M1008" s="47"/>
      <c r="N1008" s="42"/>
      <c r="O1008" s="42"/>
      <c r="P1008" s="47"/>
      <c r="Q1008" s="42"/>
      <c r="R1008" s="42"/>
      <c r="S1008" s="47"/>
      <c r="T1008" s="42"/>
      <c r="U1008" s="42"/>
      <c r="V1008" s="47"/>
      <c r="W1008" s="42"/>
      <c r="X1008" s="42"/>
      <c r="Y1008" s="47"/>
      <c r="Z1008" s="42"/>
      <c r="AA1008" s="42"/>
      <c r="AB1008" s="47"/>
      <c r="AC1008" s="42"/>
      <c r="AD1008" s="42"/>
      <c r="AE1008" s="46"/>
      <c r="AF1008" s="47"/>
      <c r="AG1008" s="48"/>
    </row>
    <row r="1009" spans="2:33" s="38" customFormat="1" x14ac:dyDescent="0.25">
      <c r="B1009" s="49"/>
      <c r="C1009" s="70"/>
      <c r="D1009" s="42"/>
      <c r="F1009" s="46"/>
      <c r="G1009" s="47"/>
      <c r="H1009" s="42"/>
      <c r="I1009" s="42"/>
      <c r="J1009" s="47"/>
      <c r="K1009" s="42"/>
      <c r="L1009" s="42"/>
      <c r="M1009" s="47"/>
      <c r="N1009" s="42"/>
      <c r="O1009" s="42"/>
      <c r="P1009" s="47"/>
      <c r="Q1009" s="42"/>
      <c r="R1009" s="42"/>
      <c r="S1009" s="47"/>
      <c r="T1009" s="42"/>
      <c r="U1009" s="42"/>
      <c r="V1009" s="47"/>
      <c r="W1009" s="42"/>
      <c r="X1009" s="42"/>
      <c r="Y1009" s="47"/>
      <c r="Z1009" s="42"/>
      <c r="AA1009" s="42"/>
      <c r="AB1009" s="47"/>
      <c r="AC1009" s="42"/>
      <c r="AD1009" s="42"/>
      <c r="AE1009" s="46"/>
      <c r="AF1009" s="47"/>
      <c r="AG1009" s="48"/>
    </row>
    <row r="1010" spans="2:33" s="38" customFormat="1" x14ac:dyDescent="0.25">
      <c r="B1010" s="49"/>
      <c r="C1010" s="70"/>
      <c r="D1010" s="42"/>
      <c r="F1010" s="46"/>
      <c r="G1010" s="47"/>
      <c r="H1010" s="42"/>
      <c r="I1010" s="42"/>
      <c r="J1010" s="47"/>
      <c r="K1010" s="42"/>
      <c r="L1010" s="42"/>
      <c r="M1010" s="47"/>
      <c r="N1010" s="42"/>
      <c r="O1010" s="42"/>
      <c r="P1010" s="47"/>
      <c r="Q1010" s="42"/>
      <c r="R1010" s="42"/>
      <c r="S1010" s="47"/>
      <c r="T1010" s="42"/>
      <c r="U1010" s="42"/>
      <c r="V1010" s="47"/>
      <c r="W1010" s="42"/>
      <c r="X1010" s="42"/>
      <c r="Y1010" s="47"/>
      <c r="Z1010" s="42"/>
      <c r="AA1010" s="42"/>
      <c r="AB1010" s="47"/>
      <c r="AC1010" s="42"/>
      <c r="AD1010" s="42"/>
      <c r="AE1010" s="46"/>
      <c r="AF1010" s="47"/>
      <c r="AG1010" s="48"/>
    </row>
    <row r="1011" spans="2:33" s="38" customFormat="1" x14ac:dyDescent="0.25">
      <c r="B1011" s="49"/>
      <c r="C1011" s="70"/>
      <c r="D1011" s="42"/>
      <c r="F1011" s="46"/>
      <c r="G1011" s="47"/>
      <c r="H1011" s="42"/>
      <c r="I1011" s="42"/>
      <c r="J1011" s="47"/>
      <c r="K1011" s="42"/>
      <c r="L1011" s="42"/>
      <c r="M1011" s="47"/>
      <c r="N1011" s="42"/>
      <c r="O1011" s="42"/>
      <c r="P1011" s="47"/>
      <c r="Q1011" s="42"/>
      <c r="R1011" s="42"/>
      <c r="S1011" s="47"/>
      <c r="T1011" s="42"/>
      <c r="U1011" s="42"/>
      <c r="V1011" s="47"/>
      <c r="W1011" s="42"/>
      <c r="X1011" s="42"/>
      <c r="Y1011" s="47"/>
      <c r="Z1011" s="42"/>
      <c r="AA1011" s="42"/>
      <c r="AB1011" s="47"/>
      <c r="AC1011" s="42"/>
      <c r="AD1011" s="42"/>
      <c r="AE1011" s="46"/>
      <c r="AF1011" s="47"/>
      <c r="AG1011" s="48"/>
    </row>
    <row r="1012" spans="2:33" s="38" customFormat="1" x14ac:dyDescent="0.25">
      <c r="B1012" s="49"/>
      <c r="C1012" s="70"/>
      <c r="D1012" s="42"/>
      <c r="F1012" s="46"/>
      <c r="G1012" s="47"/>
      <c r="H1012" s="42"/>
      <c r="I1012" s="42"/>
      <c r="J1012" s="47"/>
      <c r="K1012" s="42"/>
      <c r="L1012" s="42"/>
      <c r="M1012" s="47"/>
      <c r="N1012" s="42"/>
      <c r="O1012" s="42"/>
      <c r="P1012" s="47"/>
      <c r="Q1012" s="42"/>
      <c r="R1012" s="42"/>
      <c r="S1012" s="47"/>
      <c r="T1012" s="42"/>
      <c r="U1012" s="42"/>
      <c r="V1012" s="47"/>
      <c r="W1012" s="42"/>
      <c r="X1012" s="42"/>
      <c r="Y1012" s="47"/>
      <c r="Z1012" s="42"/>
      <c r="AA1012" s="42"/>
      <c r="AB1012" s="47"/>
      <c r="AC1012" s="42"/>
      <c r="AD1012" s="42"/>
      <c r="AE1012" s="46"/>
      <c r="AF1012" s="47"/>
      <c r="AG1012" s="48"/>
    </row>
    <row r="1013" spans="2:33" s="38" customFormat="1" x14ac:dyDescent="0.25">
      <c r="B1013" s="49"/>
      <c r="C1013" s="70"/>
      <c r="D1013" s="42"/>
      <c r="F1013" s="46"/>
      <c r="G1013" s="47"/>
      <c r="H1013" s="42"/>
      <c r="I1013" s="42"/>
      <c r="J1013" s="47"/>
      <c r="K1013" s="42"/>
      <c r="L1013" s="42"/>
      <c r="M1013" s="47"/>
      <c r="N1013" s="42"/>
      <c r="O1013" s="42"/>
      <c r="P1013" s="47"/>
      <c r="Q1013" s="42"/>
      <c r="R1013" s="42"/>
      <c r="S1013" s="47"/>
      <c r="T1013" s="42"/>
      <c r="U1013" s="42"/>
      <c r="V1013" s="47"/>
      <c r="W1013" s="42"/>
      <c r="X1013" s="42"/>
      <c r="Y1013" s="47"/>
      <c r="Z1013" s="42"/>
      <c r="AA1013" s="42"/>
      <c r="AB1013" s="47"/>
      <c r="AC1013" s="42"/>
      <c r="AD1013" s="42"/>
      <c r="AE1013" s="46"/>
      <c r="AF1013" s="47"/>
      <c r="AG1013" s="48"/>
    </row>
    <row r="1014" spans="2:33" s="38" customFormat="1" x14ac:dyDescent="0.25">
      <c r="B1014" s="49"/>
      <c r="C1014" s="70"/>
      <c r="D1014" s="42"/>
      <c r="F1014" s="46"/>
      <c r="G1014" s="47"/>
      <c r="H1014" s="42"/>
      <c r="I1014" s="42"/>
      <c r="J1014" s="47"/>
      <c r="K1014" s="42"/>
      <c r="L1014" s="42"/>
      <c r="M1014" s="47"/>
      <c r="N1014" s="42"/>
      <c r="O1014" s="42"/>
      <c r="P1014" s="47"/>
      <c r="Q1014" s="42"/>
      <c r="R1014" s="42"/>
      <c r="S1014" s="47"/>
      <c r="T1014" s="42"/>
      <c r="U1014" s="42"/>
      <c r="V1014" s="47"/>
      <c r="W1014" s="42"/>
      <c r="X1014" s="42"/>
      <c r="Y1014" s="47"/>
      <c r="Z1014" s="42"/>
      <c r="AA1014" s="42"/>
      <c r="AB1014" s="47"/>
      <c r="AC1014" s="42"/>
      <c r="AD1014" s="42"/>
      <c r="AE1014" s="46"/>
      <c r="AF1014" s="47"/>
      <c r="AG1014" s="48"/>
    </row>
    <row r="1015" spans="2:33" s="38" customFormat="1" x14ac:dyDescent="0.25">
      <c r="B1015" s="49"/>
      <c r="C1015" s="70"/>
      <c r="D1015" s="42"/>
      <c r="F1015" s="46"/>
      <c r="G1015" s="47"/>
      <c r="H1015" s="42"/>
      <c r="I1015" s="42"/>
      <c r="J1015" s="47"/>
      <c r="K1015" s="42"/>
      <c r="L1015" s="42"/>
      <c r="M1015" s="47"/>
      <c r="N1015" s="42"/>
      <c r="O1015" s="42"/>
      <c r="P1015" s="47"/>
      <c r="Q1015" s="42"/>
      <c r="R1015" s="42"/>
      <c r="S1015" s="47"/>
      <c r="T1015" s="42"/>
      <c r="U1015" s="42"/>
      <c r="V1015" s="47"/>
      <c r="W1015" s="42"/>
      <c r="X1015" s="42"/>
      <c r="Y1015" s="47"/>
      <c r="Z1015" s="42"/>
      <c r="AA1015" s="42"/>
      <c r="AB1015" s="47"/>
      <c r="AC1015" s="42"/>
      <c r="AD1015" s="42"/>
      <c r="AE1015" s="46"/>
      <c r="AF1015" s="47"/>
      <c r="AG1015" s="48"/>
    </row>
    <row r="1016" spans="2:33" s="38" customFormat="1" x14ac:dyDescent="0.25">
      <c r="B1016" s="49"/>
      <c r="C1016" s="70"/>
      <c r="D1016" s="42"/>
      <c r="F1016" s="46"/>
      <c r="G1016" s="47"/>
      <c r="H1016" s="42"/>
      <c r="I1016" s="42"/>
      <c r="J1016" s="47"/>
      <c r="K1016" s="42"/>
      <c r="L1016" s="42"/>
      <c r="M1016" s="47"/>
      <c r="N1016" s="42"/>
      <c r="O1016" s="42"/>
      <c r="P1016" s="47"/>
      <c r="Q1016" s="42"/>
      <c r="R1016" s="42"/>
      <c r="S1016" s="47"/>
      <c r="T1016" s="42"/>
      <c r="U1016" s="42"/>
      <c r="V1016" s="47"/>
      <c r="W1016" s="42"/>
      <c r="X1016" s="42"/>
      <c r="Y1016" s="47"/>
      <c r="Z1016" s="42"/>
      <c r="AA1016" s="42"/>
      <c r="AB1016" s="47"/>
      <c r="AC1016" s="42"/>
      <c r="AD1016" s="42"/>
      <c r="AE1016" s="46"/>
      <c r="AF1016" s="47"/>
      <c r="AG1016" s="48"/>
    </row>
    <row r="1017" spans="2:33" s="38" customFormat="1" x14ac:dyDescent="0.25">
      <c r="B1017" s="49"/>
      <c r="C1017" s="70"/>
      <c r="D1017" s="42"/>
      <c r="F1017" s="46"/>
      <c r="G1017" s="47"/>
      <c r="H1017" s="42"/>
      <c r="I1017" s="42"/>
      <c r="J1017" s="47"/>
      <c r="K1017" s="42"/>
      <c r="L1017" s="42"/>
      <c r="M1017" s="47"/>
      <c r="N1017" s="42"/>
      <c r="O1017" s="42"/>
      <c r="P1017" s="47"/>
      <c r="Q1017" s="42"/>
      <c r="R1017" s="42"/>
      <c r="S1017" s="47"/>
      <c r="T1017" s="42"/>
      <c r="U1017" s="42"/>
      <c r="V1017" s="47"/>
      <c r="W1017" s="42"/>
      <c r="X1017" s="42"/>
      <c r="Y1017" s="47"/>
      <c r="Z1017" s="42"/>
      <c r="AA1017" s="42"/>
      <c r="AB1017" s="47"/>
      <c r="AC1017" s="42"/>
      <c r="AD1017" s="42"/>
      <c r="AE1017" s="46"/>
      <c r="AF1017" s="47"/>
      <c r="AG1017" s="48"/>
    </row>
    <row r="1018" spans="2:33" s="38" customFormat="1" x14ac:dyDescent="0.25">
      <c r="B1018" s="49"/>
      <c r="C1018" s="70"/>
      <c r="D1018" s="42"/>
      <c r="F1018" s="46"/>
      <c r="G1018" s="47"/>
      <c r="H1018" s="42"/>
      <c r="I1018" s="42"/>
      <c r="J1018" s="47"/>
      <c r="K1018" s="42"/>
      <c r="L1018" s="42"/>
      <c r="M1018" s="47"/>
      <c r="N1018" s="42"/>
      <c r="O1018" s="42"/>
      <c r="P1018" s="47"/>
      <c r="Q1018" s="42"/>
      <c r="R1018" s="42"/>
      <c r="S1018" s="47"/>
      <c r="T1018" s="42"/>
      <c r="U1018" s="42"/>
      <c r="V1018" s="47"/>
      <c r="W1018" s="42"/>
      <c r="X1018" s="42"/>
      <c r="Y1018" s="47"/>
      <c r="Z1018" s="42"/>
      <c r="AA1018" s="42"/>
      <c r="AB1018" s="47"/>
      <c r="AC1018" s="42"/>
      <c r="AD1018" s="42"/>
      <c r="AE1018" s="46"/>
      <c r="AF1018" s="47"/>
      <c r="AG1018" s="48"/>
    </row>
    <row r="1019" spans="2:33" s="38" customFormat="1" x14ac:dyDescent="0.25">
      <c r="B1019" s="49"/>
      <c r="C1019" s="70"/>
      <c r="D1019" s="42"/>
      <c r="F1019" s="46"/>
      <c r="G1019" s="47"/>
      <c r="H1019" s="42"/>
      <c r="I1019" s="42"/>
      <c r="J1019" s="47"/>
      <c r="K1019" s="42"/>
      <c r="L1019" s="42"/>
      <c r="M1019" s="47"/>
      <c r="N1019" s="42"/>
      <c r="O1019" s="42"/>
      <c r="P1019" s="47"/>
      <c r="Q1019" s="42"/>
      <c r="R1019" s="42"/>
      <c r="S1019" s="47"/>
      <c r="T1019" s="42"/>
      <c r="U1019" s="42"/>
      <c r="V1019" s="47"/>
      <c r="W1019" s="42"/>
      <c r="X1019" s="42"/>
      <c r="Y1019" s="47"/>
      <c r="Z1019" s="42"/>
      <c r="AA1019" s="42"/>
      <c r="AB1019" s="47"/>
      <c r="AC1019" s="42"/>
      <c r="AD1019" s="42"/>
      <c r="AE1019" s="46"/>
      <c r="AF1019" s="47"/>
      <c r="AG1019" s="48"/>
    </row>
    <row r="1020" spans="2:33" s="38" customFormat="1" x14ac:dyDescent="0.25">
      <c r="B1020" s="49"/>
      <c r="C1020" s="70"/>
      <c r="D1020" s="42"/>
      <c r="F1020" s="46"/>
      <c r="G1020" s="47"/>
      <c r="H1020" s="42"/>
      <c r="I1020" s="42"/>
      <c r="J1020" s="47"/>
      <c r="K1020" s="42"/>
      <c r="L1020" s="42"/>
      <c r="M1020" s="47"/>
      <c r="N1020" s="42"/>
      <c r="O1020" s="42"/>
      <c r="P1020" s="47"/>
      <c r="Q1020" s="42"/>
      <c r="R1020" s="42"/>
      <c r="S1020" s="47"/>
      <c r="T1020" s="42"/>
      <c r="U1020" s="42"/>
      <c r="V1020" s="47"/>
      <c r="W1020" s="42"/>
      <c r="X1020" s="42"/>
      <c r="Y1020" s="47"/>
      <c r="Z1020" s="42"/>
      <c r="AA1020" s="42"/>
      <c r="AB1020" s="47"/>
      <c r="AC1020" s="42"/>
      <c r="AD1020" s="42"/>
      <c r="AE1020" s="46"/>
      <c r="AF1020" s="47"/>
      <c r="AG1020" s="48"/>
    </row>
    <row r="1021" spans="2:33" s="38" customFormat="1" x14ac:dyDescent="0.25">
      <c r="B1021" s="49"/>
      <c r="C1021" s="70"/>
      <c r="D1021" s="42"/>
      <c r="F1021" s="46"/>
      <c r="G1021" s="47"/>
      <c r="H1021" s="42"/>
      <c r="I1021" s="42"/>
      <c r="J1021" s="47"/>
      <c r="K1021" s="42"/>
      <c r="L1021" s="42"/>
      <c r="M1021" s="47"/>
      <c r="N1021" s="42"/>
      <c r="O1021" s="42"/>
      <c r="P1021" s="47"/>
      <c r="Q1021" s="42"/>
      <c r="R1021" s="42"/>
      <c r="S1021" s="47"/>
      <c r="T1021" s="42"/>
      <c r="U1021" s="42"/>
      <c r="V1021" s="47"/>
      <c r="W1021" s="42"/>
      <c r="X1021" s="42"/>
      <c r="Y1021" s="47"/>
      <c r="Z1021" s="42"/>
      <c r="AA1021" s="42"/>
      <c r="AB1021" s="47"/>
      <c r="AC1021" s="42"/>
      <c r="AD1021" s="42"/>
      <c r="AE1021" s="46"/>
      <c r="AF1021" s="47"/>
      <c r="AG1021" s="48"/>
    </row>
    <row r="1022" spans="2:33" s="38" customFormat="1" x14ac:dyDescent="0.25">
      <c r="B1022" s="49"/>
      <c r="C1022" s="70"/>
      <c r="D1022" s="42"/>
      <c r="F1022" s="46"/>
      <c r="G1022" s="47"/>
      <c r="H1022" s="42"/>
      <c r="I1022" s="42"/>
      <c r="J1022" s="47"/>
      <c r="K1022" s="42"/>
      <c r="L1022" s="42"/>
      <c r="M1022" s="47"/>
      <c r="N1022" s="42"/>
      <c r="O1022" s="42"/>
      <c r="P1022" s="47"/>
      <c r="Q1022" s="42"/>
      <c r="R1022" s="42"/>
      <c r="S1022" s="47"/>
      <c r="T1022" s="42"/>
      <c r="U1022" s="42"/>
      <c r="V1022" s="47"/>
      <c r="W1022" s="42"/>
      <c r="X1022" s="42"/>
      <c r="Y1022" s="47"/>
      <c r="Z1022" s="42"/>
      <c r="AA1022" s="42"/>
      <c r="AB1022" s="47"/>
      <c r="AC1022" s="42"/>
      <c r="AD1022" s="42"/>
      <c r="AE1022" s="46"/>
      <c r="AF1022" s="47"/>
      <c r="AG1022" s="48"/>
    </row>
    <row r="1023" spans="2:33" s="38" customFormat="1" x14ac:dyDescent="0.25">
      <c r="B1023" s="49"/>
      <c r="C1023" s="70"/>
      <c r="D1023" s="42"/>
      <c r="F1023" s="46"/>
      <c r="G1023" s="47"/>
      <c r="H1023" s="42"/>
      <c r="I1023" s="42"/>
      <c r="J1023" s="47"/>
      <c r="K1023" s="42"/>
      <c r="L1023" s="42"/>
      <c r="M1023" s="47"/>
      <c r="N1023" s="42"/>
      <c r="O1023" s="42"/>
      <c r="P1023" s="47"/>
      <c r="Q1023" s="42"/>
      <c r="R1023" s="42"/>
      <c r="S1023" s="47"/>
      <c r="T1023" s="42"/>
      <c r="U1023" s="42"/>
      <c r="V1023" s="47"/>
      <c r="W1023" s="42"/>
      <c r="X1023" s="42"/>
      <c r="Y1023" s="47"/>
      <c r="Z1023" s="42"/>
      <c r="AA1023" s="42"/>
      <c r="AB1023" s="47"/>
      <c r="AC1023" s="42"/>
      <c r="AD1023" s="42"/>
      <c r="AE1023" s="46"/>
      <c r="AF1023" s="47"/>
      <c r="AG1023" s="48"/>
    </row>
    <row r="1024" spans="2:33" s="38" customFormat="1" x14ac:dyDescent="0.25">
      <c r="B1024" s="49"/>
      <c r="C1024" s="70"/>
      <c r="D1024" s="42"/>
      <c r="F1024" s="46"/>
      <c r="G1024" s="47"/>
      <c r="H1024" s="42"/>
      <c r="I1024" s="42"/>
      <c r="J1024" s="47"/>
      <c r="K1024" s="42"/>
      <c r="L1024" s="42"/>
      <c r="M1024" s="47"/>
      <c r="N1024" s="42"/>
      <c r="O1024" s="42"/>
      <c r="P1024" s="47"/>
      <c r="Q1024" s="42"/>
      <c r="R1024" s="42"/>
      <c r="S1024" s="47"/>
      <c r="T1024" s="42"/>
      <c r="U1024" s="42"/>
      <c r="V1024" s="47"/>
      <c r="W1024" s="42"/>
      <c r="X1024" s="42"/>
      <c r="Y1024" s="47"/>
      <c r="Z1024" s="42"/>
      <c r="AA1024" s="42"/>
      <c r="AB1024" s="47"/>
      <c r="AC1024" s="42"/>
      <c r="AD1024" s="42"/>
      <c r="AE1024" s="46"/>
      <c r="AF1024" s="47"/>
      <c r="AG1024" s="48"/>
    </row>
    <row r="1025" spans="2:33" s="38" customFormat="1" x14ac:dyDescent="0.25">
      <c r="B1025" s="49"/>
      <c r="C1025" s="70"/>
      <c r="D1025" s="42"/>
      <c r="F1025" s="46"/>
      <c r="G1025" s="47"/>
      <c r="H1025" s="42"/>
      <c r="I1025" s="42"/>
      <c r="J1025" s="47"/>
      <c r="K1025" s="42"/>
      <c r="L1025" s="42"/>
      <c r="M1025" s="47"/>
      <c r="N1025" s="42"/>
      <c r="O1025" s="42"/>
      <c r="P1025" s="47"/>
      <c r="Q1025" s="42"/>
      <c r="R1025" s="42"/>
      <c r="S1025" s="47"/>
      <c r="T1025" s="42"/>
      <c r="U1025" s="42"/>
      <c r="V1025" s="47"/>
      <c r="W1025" s="42"/>
      <c r="X1025" s="42"/>
      <c r="Y1025" s="47"/>
      <c r="Z1025" s="42"/>
      <c r="AA1025" s="42"/>
      <c r="AB1025" s="47"/>
      <c r="AC1025" s="42"/>
      <c r="AD1025" s="42"/>
      <c r="AE1025" s="46"/>
      <c r="AF1025" s="47"/>
      <c r="AG1025" s="48"/>
    </row>
    <row r="1026" spans="2:33" s="38" customFormat="1" x14ac:dyDescent="0.25">
      <c r="B1026" s="49"/>
      <c r="C1026" s="70"/>
      <c r="D1026" s="42"/>
      <c r="F1026" s="46"/>
      <c r="G1026" s="47"/>
      <c r="H1026" s="42"/>
      <c r="I1026" s="42"/>
      <c r="J1026" s="47"/>
      <c r="K1026" s="42"/>
      <c r="L1026" s="42"/>
      <c r="M1026" s="47"/>
      <c r="N1026" s="42"/>
      <c r="O1026" s="42"/>
      <c r="P1026" s="47"/>
      <c r="Q1026" s="42"/>
      <c r="R1026" s="42"/>
      <c r="S1026" s="47"/>
      <c r="T1026" s="42"/>
      <c r="U1026" s="42"/>
      <c r="V1026" s="47"/>
      <c r="W1026" s="42"/>
      <c r="X1026" s="42"/>
      <c r="Y1026" s="47"/>
      <c r="Z1026" s="42"/>
      <c r="AA1026" s="42"/>
      <c r="AB1026" s="47"/>
      <c r="AC1026" s="42"/>
      <c r="AD1026" s="42"/>
      <c r="AE1026" s="46"/>
      <c r="AF1026" s="47"/>
      <c r="AG1026" s="48"/>
    </row>
    <row r="1027" spans="2:33" s="38" customFormat="1" x14ac:dyDescent="0.25">
      <c r="B1027" s="49"/>
      <c r="C1027" s="70"/>
      <c r="D1027" s="42"/>
      <c r="F1027" s="46"/>
      <c r="G1027" s="47"/>
      <c r="H1027" s="42"/>
      <c r="I1027" s="42"/>
      <c r="J1027" s="47"/>
      <c r="K1027" s="42"/>
      <c r="L1027" s="42"/>
      <c r="M1027" s="47"/>
      <c r="N1027" s="42"/>
      <c r="O1027" s="42"/>
      <c r="P1027" s="47"/>
      <c r="Q1027" s="42"/>
      <c r="R1027" s="42"/>
      <c r="S1027" s="47"/>
      <c r="T1027" s="42"/>
      <c r="U1027" s="42"/>
      <c r="V1027" s="47"/>
      <c r="W1027" s="42"/>
      <c r="X1027" s="42"/>
      <c r="Y1027" s="47"/>
      <c r="Z1027" s="42"/>
      <c r="AA1027" s="42"/>
      <c r="AB1027" s="47"/>
      <c r="AC1027" s="42"/>
      <c r="AD1027" s="42"/>
      <c r="AE1027" s="46"/>
      <c r="AF1027" s="47"/>
      <c r="AG1027" s="48"/>
    </row>
    <row r="1028" spans="2:33" s="38" customFormat="1" x14ac:dyDescent="0.25">
      <c r="B1028" s="49"/>
      <c r="C1028" s="70"/>
      <c r="D1028" s="42"/>
      <c r="F1028" s="46"/>
      <c r="G1028" s="47"/>
      <c r="H1028" s="42"/>
      <c r="I1028" s="42"/>
      <c r="J1028" s="47"/>
      <c r="K1028" s="42"/>
      <c r="L1028" s="42"/>
      <c r="M1028" s="47"/>
      <c r="N1028" s="42"/>
      <c r="O1028" s="42"/>
      <c r="P1028" s="47"/>
      <c r="Q1028" s="42"/>
      <c r="R1028" s="42"/>
      <c r="S1028" s="47"/>
      <c r="T1028" s="42"/>
      <c r="U1028" s="42"/>
      <c r="V1028" s="47"/>
      <c r="W1028" s="42"/>
      <c r="X1028" s="42"/>
      <c r="Y1028" s="47"/>
      <c r="Z1028" s="42"/>
      <c r="AA1028" s="42"/>
      <c r="AB1028" s="47"/>
      <c r="AC1028" s="42"/>
      <c r="AD1028" s="42"/>
      <c r="AE1028" s="46"/>
      <c r="AF1028" s="47"/>
      <c r="AG1028" s="48"/>
    </row>
    <row r="1029" spans="2:33" s="38" customFormat="1" x14ac:dyDescent="0.25">
      <c r="B1029" s="49"/>
      <c r="C1029" s="70"/>
      <c r="D1029" s="42"/>
      <c r="F1029" s="46"/>
      <c r="G1029" s="47"/>
      <c r="H1029" s="42"/>
      <c r="I1029" s="42"/>
      <c r="J1029" s="47"/>
      <c r="K1029" s="42"/>
      <c r="L1029" s="42"/>
      <c r="M1029" s="47"/>
      <c r="N1029" s="42"/>
      <c r="O1029" s="42"/>
      <c r="P1029" s="47"/>
      <c r="Q1029" s="42"/>
      <c r="R1029" s="42"/>
      <c r="S1029" s="47"/>
      <c r="T1029" s="42"/>
      <c r="U1029" s="42"/>
      <c r="V1029" s="47"/>
      <c r="W1029" s="42"/>
      <c r="X1029" s="42"/>
      <c r="Y1029" s="47"/>
      <c r="Z1029" s="42"/>
      <c r="AA1029" s="42"/>
      <c r="AB1029" s="47"/>
      <c r="AC1029" s="42"/>
      <c r="AD1029" s="42"/>
      <c r="AE1029" s="46"/>
      <c r="AF1029" s="47"/>
      <c r="AG1029" s="48"/>
    </row>
    <row r="1030" spans="2:33" s="38" customFormat="1" x14ac:dyDescent="0.25">
      <c r="B1030" s="49"/>
      <c r="C1030" s="70"/>
      <c r="D1030" s="42"/>
      <c r="F1030" s="46"/>
      <c r="G1030" s="47"/>
      <c r="H1030" s="42"/>
      <c r="I1030" s="42"/>
      <c r="J1030" s="47"/>
      <c r="K1030" s="42"/>
      <c r="L1030" s="42"/>
      <c r="M1030" s="47"/>
      <c r="N1030" s="42"/>
      <c r="O1030" s="42"/>
      <c r="P1030" s="47"/>
      <c r="Q1030" s="42"/>
      <c r="R1030" s="42"/>
      <c r="S1030" s="47"/>
      <c r="T1030" s="42"/>
      <c r="U1030" s="42"/>
      <c r="V1030" s="47"/>
      <c r="W1030" s="42"/>
      <c r="X1030" s="42"/>
      <c r="Y1030" s="47"/>
      <c r="Z1030" s="42"/>
      <c r="AA1030" s="42"/>
      <c r="AB1030" s="47"/>
      <c r="AC1030" s="42"/>
      <c r="AD1030" s="42"/>
      <c r="AE1030" s="46"/>
      <c r="AF1030" s="47"/>
      <c r="AG1030" s="48"/>
    </row>
    <row r="1031" spans="2:33" s="38" customFormat="1" x14ac:dyDescent="0.25">
      <c r="B1031" s="49"/>
      <c r="C1031" s="70"/>
      <c r="D1031" s="42"/>
      <c r="F1031" s="46"/>
      <c r="G1031" s="47"/>
      <c r="H1031" s="42"/>
      <c r="I1031" s="42"/>
      <c r="J1031" s="47"/>
      <c r="K1031" s="42"/>
      <c r="L1031" s="42"/>
      <c r="M1031" s="47"/>
      <c r="N1031" s="42"/>
      <c r="O1031" s="42"/>
      <c r="P1031" s="47"/>
      <c r="Q1031" s="42"/>
      <c r="R1031" s="42"/>
      <c r="S1031" s="47"/>
      <c r="T1031" s="42"/>
      <c r="U1031" s="42"/>
      <c r="V1031" s="47"/>
      <c r="W1031" s="42"/>
      <c r="X1031" s="42"/>
      <c r="Y1031" s="47"/>
      <c r="Z1031" s="42"/>
      <c r="AA1031" s="42"/>
      <c r="AB1031" s="47"/>
      <c r="AC1031" s="42"/>
      <c r="AD1031" s="42"/>
      <c r="AE1031" s="46"/>
      <c r="AF1031" s="47"/>
      <c r="AG1031" s="48"/>
    </row>
    <row r="1032" spans="2:33" s="38" customFormat="1" x14ac:dyDescent="0.25">
      <c r="B1032" s="49"/>
      <c r="C1032" s="70"/>
      <c r="D1032" s="42"/>
      <c r="F1032" s="46"/>
      <c r="G1032" s="47"/>
      <c r="H1032" s="42"/>
      <c r="I1032" s="42"/>
      <c r="J1032" s="47"/>
      <c r="K1032" s="42"/>
      <c r="L1032" s="42"/>
      <c r="M1032" s="47"/>
      <c r="N1032" s="42"/>
      <c r="O1032" s="42"/>
      <c r="P1032" s="47"/>
      <c r="Q1032" s="42"/>
      <c r="R1032" s="42"/>
      <c r="S1032" s="47"/>
      <c r="T1032" s="42"/>
      <c r="U1032" s="42"/>
      <c r="V1032" s="47"/>
      <c r="W1032" s="42"/>
      <c r="X1032" s="42"/>
      <c r="Y1032" s="47"/>
      <c r="Z1032" s="42"/>
      <c r="AA1032" s="42"/>
      <c r="AB1032" s="47"/>
      <c r="AC1032" s="42"/>
      <c r="AD1032" s="42"/>
      <c r="AE1032" s="46"/>
      <c r="AF1032" s="47"/>
      <c r="AG1032" s="48"/>
    </row>
    <row r="1033" spans="2:33" s="38" customFormat="1" x14ac:dyDescent="0.25">
      <c r="B1033" s="49"/>
      <c r="C1033" s="70"/>
      <c r="D1033" s="42"/>
      <c r="F1033" s="46"/>
      <c r="G1033" s="47"/>
      <c r="H1033" s="42"/>
      <c r="I1033" s="42"/>
      <c r="J1033" s="47"/>
      <c r="K1033" s="42"/>
      <c r="L1033" s="42"/>
      <c r="M1033" s="47"/>
      <c r="N1033" s="42"/>
      <c r="O1033" s="42"/>
      <c r="P1033" s="47"/>
      <c r="Q1033" s="42"/>
      <c r="R1033" s="42"/>
      <c r="S1033" s="47"/>
      <c r="T1033" s="42"/>
      <c r="U1033" s="42"/>
      <c r="V1033" s="47"/>
      <c r="W1033" s="42"/>
      <c r="X1033" s="42"/>
      <c r="Y1033" s="47"/>
      <c r="Z1033" s="42"/>
      <c r="AA1033" s="42"/>
      <c r="AB1033" s="47"/>
      <c r="AC1033" s="42"/>
      <c r="AD1033" s="42"/>
      <c r="AE1033" s="46"/>
      <c r="AF1033" s="47"/>
      <c r="AG1033" s="48"/>
    </row>
    <row r="1034" spans="2:33" s="38" customFormat="1" x14ac:dyDescent="0.25">
      <c r="B1034" s="49"/>
      <c r="C1034" s="70"/>
      <c r="D1034" s="42"/>
      <c r="F1034" s="46"/>
      <c r="G1034" s="47"/>
      <c r="H1034" s="42"/>
      <c r="I1034" s="42"/>
      <c r="J1034" s="47"/>
      <c r="K1034" s="42"/>
      <c r="L1034" s="42"/>
      <c r="M1034" s="47"/>
      <c r="N1034" s="42"/>
      <c r="O1034" s="42"/>
      <c r="P1034" s="47"/>
      <c r="Q1034" s="42"/>
      <c r="R1034" s="42"/>
      <c r="S1034" s="47"/>
      <c r="T1034" s="42"/>
      <c r="U1034" s="42"/>
      <c r="V1034" s="47"/>
      <c r="W1034" s="42"/>
      <c r="X1034" s="42"/>
      <c r="Y1034" s="47"/>
      <c r="Z1034" s="42"/>
      <c r="AA1034" s="42"/>
      <c r="AB1034" s="47"/>
      <c r="AC1034" s="42"/>
      <c r="AD1034" s="42"/>
      <c r="AE1034" s="46"/>
      <c r="AF1034" s="47"/>
      <c r="AG1034" s="48"/>
    </row>
    <row r="1035" spans="2:33" s="38" customFormat="1" x14ac:dyDescent="0.25">
      <c r="B1035" s="49"/>
      <c r="C1035" s="70"/>
      <c r="D1035" s="42"/>
      <c r="F1035" s="46"/>
      <c r="G1035" s="47"/>
      <c r="H1035" s="42"/>
      <c r="I1035" s="42"/>
      <c r="J1035" s="47"/>
      <c r="K1035" s="42"/>
      <c r="L1035" s="42"/>
      <c r="M1035" s="47"/>
      <c r="N1035" s="42"/>
      <c r="O1035" s="42"/>
      <c r="P1035" s="47"/>
      <c r="Q1035" s="42"/>
      <c r="R1035" s="42"/>
      <c r="S1035" s="47"/>
      <c r="T1035" s="42"/>
      <c r="U1035" s="42"/>
      <c r="V1035" s="47"/>
      <c r="W1035" s="42"/>
      <c r="X1035" s="42"/>
      <c r="Y1035" s="47"/>
      <c r="Z1035" s="42"/>
      <c r="AA1035" s="42"/>
      <c r="AB1035" s="47"/>
      <c r="AC1035" s="42"/>
      <c r="AD1035" s="42"/>
      <c r="AE1035" s="46"/>
      <c r="AF1035" s="47"/>
      <c r="AG1035" s="48"/>
    </row>
    <row r="1036" spans="2:33" s="38" customFormat="1" x14ac:dyDescent="0.25">
      <c r="B1036" s="49"/>
      <c r="C1036" s="70"/>
      <c r="D1036" s="42"/>
      <c r="F1036" s="46"/>
      <c r="G1036" s="47"/>
      <c r="H1036" s="42"/>
      <c r="I1036" s="42"/>
      <c r="J1036" s="47"/>
      <c r="K1036" s="42"/>
      <c r="L1036" s="42"/>
      <c r="M1036" s="47"/>
      <c r="N1036" s="42"/>
      <c r="O1036" s="42"/>
      <c r="P1036" s="47"/>
      <c r="Q1036" s="42"/>
      <c r="R1036" s="42"/>
      <c r="S1036" s="47"/>
      <c r="T1036" s="42"/>
      <c r="U1036" s="42"/>
      <c r="V1036" s="47"/>
      <c r="W1036" s="42"/>
      <c r="X1036" s="42"/>
      <c r="Y1036" s="47"/>
      <c r="Z1036" s="42"/>
      <c r="AA1036" s="42"/>
      <c r="AB1036" s="47"/>
      <c r="AC1036" s="42"/>
      <c r="AD1036" s="42"/>
      <c r="AE1036" s="46"/>
      <c r="AF1036" s="47"/>
      <c r="AG1036" s="48"/>
    </row>
    <row r="1037" spans="2:33" s="38" customFormat="1" x14ac:dyDescent="0.25">
      <c r="B1037" s="49"/>
      <c r="C1037" s="70"/>
      <c r="D1037" s="42"/>
      <c r="F1037" s="46"/>
      <c r="G1037" s="47"/>
      <c r="H1037" s="42"/>
      <c r="I1037" s="42"/>
      <c r="J1037" s="47"/>
      <c r="K1037" s="42"/>
      <c r="L1037" s="42"/>
      <c r="M1037" s="47"/>
      <c r="N1037" s="42"/>
      <c r="O1037" s="42"/>
      <c r="P1037" s="47"/>
      <c r="Q1037" s="42"/>
      <c r="R1037" s="42"/>
      <c r="S1037" s="47"/>
      <c r="T1037" s="42"/>
      <c r="U1037" s="42"/>
      <c r="V1037" s="47"/>
      <c r="W1037" s="42"/>
      <c r="X1037" s="42"/>
      <c r="Y1037" s="47"/>
      <c r="Z1037" s="42"/>
      <c r="AA1037" s="42"/>
      <c r="AB1037" s="47"/>
      <c r="AC1037" s="42"/>
      <c r="AD1037" s="42"/>
      <c r="AE1037" s="46"/>
      <c r="AF1037" s="47"/>
      <c r="AG1037" s="48"/>
    </row>
    <row r="1038" spans="2:33" s="38" customFormat="1" x14ac:dyDescent="0.25">
      <c r="B1038" s="49"/>
      <c r="C1038" s="70"/>
      <c r="D1038" s="42"/>
      <c r="F1038" s="46"/>
      <c r="G1038" s="47"/>
      <c r="H1038" s="42"/>
      <c r="I1038" s="42"/>
      <c r="J1038" s="47"/>
      <c r="K1038" s="42"/>
      <c r="L1038" s="42"/>
      <c r="M1038" s="47"/>
      <c r="N1038" s="42"/>
      <c r="O1038" s="42"/>
      <c r="P1038" s="47"/>
      <c r="Q1038" s="42"/>
      <c r="R1038" s="42"/>
      <c r="S1038" s="47"/>
      <c r="T1038" s="42"/>
      <c r="U1038" s="42"/>
      <c r="V1038" s="47"/>
      <c r="W1038" s="42"/>
      <c r="X1038" s="42"/>
      <c r="Y1038" s="47"/>
      <c r="Z1038" s="42"/>
      <c r="AA1038" s="42"/>
      <c r="AB1038" s="47"/>
      <c r="AC1038" s="42"/>
      <c r="AD1038" s="42"/>
      <c r="AE1038" s="46"/>
      <c r="AF1038" s="47"/>
      <c r="AG1038" s="48"/>
    </row>
    <row r="1039" spans="2:33" s="38" customFormat="1" x14ac:dyDescent="0.25">
      <c r="B1039" s="49"/>
      <c r="C1039" s="70"/>
      <c r="D1039" s="42"/>
      <c r="F1039" s="46"/>
      <c r="G1039" s="47"/>
      <c r="H1039" s="42"/>
      <c r="I1039" s="42"/>
      <c r="J1039" s="47"/>
      <c r="K1039" s="42"/>
      <c r="L1039" s="42"/>
      <c r="M1039" s="47"/>
      <c r="N1039" s="42"/>
      <c r="O1039" s="42"/>
      <c r="P1039" s="47"/>
      <c r="Q1039" s="42"/>
      <c r="R1039" s="42"/>
      <c r="S1039" s="47"/>
      <c r="T1039" s="42"/>
      <c r="U1039" s="42"/>
      <c r="V1039" s="47"/>
      <c r="W1039" s="42"/>
      <c r="X1039" s="42"/>
      <c r="Y1039" s="47"/>
      <c r="Z1039" s="42"/>
      <c r="AA1039" s="42"/>
      <c r="AB1039" s="47"/>
      <c r="AC1039" s="42"/>
      <c r="AD1039" s="42"/>
      <c r="AE1039" s="46"/>
      <c r="AF1039" s="47"/>
      <c r="AG1039" s="48"/>
    </row>
    <row r="1040" spans="2:33" s="38" customFormat="1" x14ac:dyDescent="0.25">
      <c r="B1040" s="49"/>
      <c r="C1040" s="70"/>
      <c r="D1040" s="42"/>
      <c r="F1040" s="46"/>
      <c r="G1040" s="47"/>
      <c r="H1040" s="42"/>
      <c r="I1040" s="42"/>
      <c r="J1040" s="47"/>
      <c r="K1040" s="42"/>
      <c r="L1040" s="42"/>
      <c r="M1040" s="47"/>
      <c r="N1040" s="42"/>
      <c r="O1040" s="42"/>
      <c r="P1040" s="47"/>
      <c r="Q1040" s="42"/>
      <c r="R1040" s="42"/>
      <c r="S1040" s="47"/>
      <c r="T1040" s="42"/>
      <c r="U1040" s="42"/>
      <c r="V1040" s="47"/>
      <c r="W1040" s="42"/>
      <c r="X1040" s="42"/>
      <c r="Y1040" s="47"/>
      <c r="Z1040" s="42"/>
      <c r="AA1040" s="42"/>
      <c r="AB1040" s="47"/>
      <c r="AC1040" s="42"/>
      <c r="AD1040" s="42"/>
      <c r="AE1040" s="46"/>
      <c r="AF1040" s="47"/>
      <c r="AG1040" s="48"/>
    </row>
    <row r="1041" spans="2:33" s="38" customFormat="1" x14ac:dyDescent="0.25">
      <c r="B1041" s="49"/>
      <c r="C1041" s="70"/>
      <c r="D1041" s="42"/>
      <c r="F1041" s="46"/>
      <c r="G1041" s="47"/>
      <c r="H1041" s="42"/>
      <c r="I1041" s="42"/>
      <c r="J1041" s="47"/>
      <c r="K1041" s="42"/>
      <c r="L1041" s="42"/>
      <c r="M1041" s="47"/>
      <c r="N1041" s="42"/>
      <c r="O1041" s="42"/>
      <c r="P1041" s="47"/>
      <c r="Q1041" s="42"/>
      <c r="R1041" s="42"/>
      <c r="S1041" s="47"/>
      <c r="T1041" s="42"/>
      <c r="U1041" s="42"/>
      <c r="V1041" s="47"/>
      <c r="W1041" s="42"/>
      <c r="X1041" s="42"/>
      <c r="Y1041" s="47"/>
      <c r="Z1041" s="42"/>
      <c r="AA1041" s="42"/>
      <c r="AB1041" s="47"/>
      <c r="AC1041" s="42"/>
      <c r="AD1041" s="42"/>
      <c r="AE1041" s="46"/>
      <c r="AF1041" s="47"/>
      <c r="AG1041" s="48"/>
    </row>
    <row r="1042" spans="2:33" s="38" customFormat="1" x14ac:dyDescent="0.25">
      <c r="B1042" s="49"/>
      <c r="C1042" s="70"/>
      <c r="D1042" s="42"/>
      <c r="F1042" s="46"/>
      <c r="G1042" s="47"/>
      <c r="H1042" s="42"/>
      <c r="I1042" s="42"/>
      <c r="J1042" s="47"/>
      <c r="K1042" s="42"/>
      <c r="L1042" s="42"/>
      <c r="M1042" s="47"/>
      <c r="N1042" s="42"/>
      <c r="O1042" s="42"/>
      <c r="P1042" s="47"/>
      <c r="Q1042" s="42"/>
      <c r="R1042" s="42"/>
      <c r="S1042" s="47"/>
      <c r="T1042" s="42"/>
      <c r="U1042" s="42"/>
      <c r="V1042" s="47"/>
      <c r="W1042" s="42"/>
      <c r="X1042" s="42"/>
      <c r="Y1042" s="47"/>
      <c r="Z1042" s="42"/>
      <c r="AA1042" s="42"/>
      <c r="AB1042" s="47"/>
      <c r="AC1042" s="42"/>
      <c r="AD1042" s="42"/>
      <c r="AE1042" s="46"/>
      <c r="AF1042" s="47"/>
      <c r="AG1042" s="48"/>
    </row>
    <row r="1043" spans="2:33" s="38" customFormat="1" x14ac:dyDescent="0.25">
      <c r="B1043" s="49"/>
      <c r="C1043" s="70"/>
      <c r="D1043" s="42"/>
      <c r="F1043" s="46"/>
      <c r="G1043" s="47"/>
      <c r="H1043" s="42"/>
      <c r="I1043" s="42"/>
      <c r="J1043" s="47"/>
      <c r="K1043" s="42"/>
      <c r="L1043" s="42"/>
      <c r="M1043" s="47"/>
      <c r="N1043" s="42"/>
      <c r="O1043" s="42"/>
      <c r="P1043" s="47"/>
      <c r="Q1043" s="42"/>
      <c r="R1043" s="42"/>
      <c r="S1043" s="47"/>
      <c r="T1043" s="42"/>
      <c r="U1043" s="42"/>
      <c r="V1043" s="47"/>
      <c r="W1043" s="42"/>
      <c r="X1043" s="42"/>
      <c r="Y1043" s="47"/>
      <c r="Z1043" s="42"/>
      <c r="AA1043" s="42"/>
      <c r="AB1043" s="47"/>
      <c r="AC1043" s="42"/>
      <c r="AD1043" s="42"/>
      <c r="AE1043" s="46"/>
      <c r="AF1043" s="47"/>
      <c r="AG1043" s="48"/>
    </row>
    <row r="1044" spans="2:33" s="38" customFormat="1" x14ac:dyDescent="0.25">
      <c r="B1044" s="49"/>
      <c r="C1044" s="70"/>
      <c r="D1044" s="42"/>
      <c r="F1044" s="46"/>
      <c r="G1044" s="47"/>
      <c r="H1044" s="42"/>
      <c r="I1044" s="42"/>
      <c r="J1044" s="47"/>
      <c r="K1044" s="42"/>
      <c r="L1044" s="42"/>
      <c r="M1044" s="47"/>
      <c r="N1044" s="42"/>
      <c r="O1044" s="42"/>
      <c r="P1044" s="47"/>
      <c r="Q1044" s="42"/>
      <c r="R1044" s="42"/>
      <c r="S1044" s="47"/>
      <c r="T1044" s="42"/>
      <c r="U1044" s="42"/>
      <c r="V1044" s="47"/>
      <c r="W1044" s="42"/>
      <c r="X1044" s="42"/>
      <c r="Y1044" s="47"/>
      <c r="Z1044" s="42"/>
      <c r="AA1044" s="42"/>
      <c r="AB1044" s="47"/>
      <c r="AC1044" s="42"/>
      <c r="AD1044" s="42"/>
      <c r="AE1044" s="46"/>
      <c r="AF1044" s="47"/>
      <c r="AG1044" s="48"/>
    </row>
    <row r="1045" spans="2:33" s="38" customFormat="1" x14ac:dyDescent="0.25">
      <c r="B1045" s="49"/>
      <c r="C1045" s="70"/>
      <c r="D1045" s="42"/>
      <c r="F1045" s="46"/>
      <c r="G1045" s="47"/>
      <c r="H1045" s="42"/>
      <c r="I1045" s="42"/>
      <c r="J1045" s="47"/>
      <c r="K1045" s="42"/>
      <c r="L1045" s="42"/>
      <c r="M1045" s="47"/>
      <c r="N1045" s="42"/>
      <c r="O1045" s="42"/>
      <c r="P1045" s="47"/>
      <c r="Q1045" s="42"/>
      <c r="R1045" s="42"/>
      <c r="S1045" s="47"/>
      <c r="T1045" s="42"/>
      <c r="U1045" s="42"/>
      <c r="V1045" s="47"/>
      <c r="W1045" s="42"/>
      <c r="X1045" s="42"/>
      <c r="Y1045" s="47"/>
      <c r="Z1045" s="42"/>
      <c r="AA1045" s="42"/>
      <c r="AB1045" s="47"/>
      <c r="AC1045" s="42"/>
      <c r="AD1045" s="42"/>
      <c r="AE1045" s="46"/>
      <c r="AF1045" s="47"/>
      <c r="AG1045" s="48"/>
    </row>
    <row r="1046" spans="2:33" s="38" customFormat="1" x14ac:dyDescent="0.25">
      <c r="B1046" s="49"/>
      <c r="C1046" s="70"/>
      <c r="D1046" s="42"/>
      <c r="F1046" s="46"/>
      <c r="G1046" s="47"/>
      <c r="H1046" s="42"/>
      <c r="I1046" s="42"/>
      <c r="J1046" s="47"/>
      <c r="K1046" s="42"/>
      <c r="L1046" s="42"/>
      <c r="M1046" s="47"/>
      <c r="N1046" s="42"/>
      <c r="O1046" s="42"/>
      <c r="P1046" s="47"/>
      <c r="Q1046" s="42"/>
      <c r="R1046" s="42"/>
      <c r="S1046" s="47"/>
      <c r="T1046" s="42"/>
      <c r="U1046" s="42"/>
      <c r="V1046" s="47"/>
      <c r="W1046" s="42"/>
      <c r="X1046" s="42"/>
      <c r="Y1046" s="47"/>
      <c r="Z1046" s="42"/>
      <c r="AA1046" s="42"/>
      <c r="AB1046" s="47"/>
      <c r="AC1046" s="42"/>
      <c r="AD1046" s="42"/>
      <c r="AE1046" s="46"/>
      <c r="AF1046" s="47"/>
      <c r="AG1046" s="48"/>
    </row>
    <row r="1047" spans="2:33" s="38" customFormat="1" x14ac:dyDescent="0.25">
      <c r="B1047" s="49"/>
      <c r="C1047" s="70"/>
      <c r="D1047" s="42"/>
      <c r="F1047" s="46"/>
      <c r="G1047" s="47"/>
      <c r="H1047" s="42"/>
      <c r="I1047" s="42"/>
      <c r="J1047" s="47"/>
      <c r="K1047" s="42"/>
      <c r="L1047" s="42"/>
      <c r="M1047" s="47"/>
      <c r="N1047" s="42"/>
      <c r="O1047" s="42"/>
      <c r="P1047" s="47"/>
      <c r="Q1047" s="42"/>
      <c r="R1047" s="42"/>
      <c r="S1047" s="47"/>
      <c r="T1047" s="42"/>
      <c r="U1047" s="42"/>
      <c r="V1047" s="47"/>
      <c r="W1047" s="42"/>
      <c r="X1047" s="42"/>
      <c r="Y1047" s="47"/>
      <c r="Z1047" s="42"/>
      <c r="AA1047" s="42"/>
      <c r="AB1047" s="47"/>
      <c r="AC1047" s="42"/>
      <c r="AD1047" s="42"/>
      <c r="AE1047" s="46"/>
      <c r="AF1047" s="47"/>
      <c r="AG1047" s="48"/>
    </row>
    <row r="1048" spans="2:33" s="38" customFormat="1" x14ac:dyDescent="0.25">
      <c r="B1048" s="49"/>
      <c r="C1048" s="70"/>
      <c r="D1048" s="42"/>
      <c r="F1048" s="46"/>
      <c r="G1048" s="47"/>
      <c r="H1048" s="42"/>
      <c r="I1048" s="42"/>
      <c r="J1048" s="47"/>
      <c r="K1048" s="42"/>
      <c r="L1048" s="42"/>
      <c r="M1048" s="47"/>
      <c r="N1048" s="42"/>
      <c r="O1048" s="42"/>
      <c r="P1048" s="47"/>
      <c r="Q1048" s="42"/>
      <c r="R1048" s="42"/>
      <c r="S1048" s="47"/>
      <c r="T1048" s="42"/>
      <c r="U1048" s="42"/>
      <c r="V1048" s="47"/>
      <c r="W1048" s="42"/>
      <c r="X1048" s="42"/>
      <c r="Y1048" s="47"/>
      <c r="Z1048" s="42"/>
      <c r="AA1048" s="42"/>
      <c r="AB1048" s="47"/>
      <c r="AC1048" s="42"/>
      <c r="AD1048" s="42"/>
      <c r="AE1048" s="46"/>
      <c r="AF1048" s="47"/>
      <c r="AG1048" s="48"/>
    </row>
    <row r="1049" spans="2:33" s="38" customFormat="1" x14ac:dyDescent="0.25">
      <c r="B1049" s="49"/>
      <c r="C1049" s="70"/>
      <c r="D1049" s="42"/>
      <c r="F1049" s="46"/>
      <c r="G1049" s="47"/>
      <c r="H1049" s="42"/>
      <c r="I1049" s="42"/>
      <c r="J1049" s="47"/>
      <c r="K1049" s="42"/>
      <c r="L1049" s="42"/>
      <c r="M1049" s="47"/>
      <c r="N1049" s="42"/>
      <c r="O1049" s="42"/>
      <c r="P1049" s="47"/>
      <c r="Q1049" s="42"/>
      <c r="R1049" s="42"/>
      <c r="S1049" s="47"/>
      <c r="T1049" s="42"/>
      <c r="U1049" s="42"/>
      <c r="V1049" s="47"/>
      <c r="W1049" s="42"/>
      <c r="X1049" s="42"/>
      <c r="Y1049" s="47"/>
      <c r="Z1049" s="42"/>
      <c r="AA1049" s="42"/>
      <c r="AB1049" s="47"/>
      <c r="AC1049" s="42"/>
      <c r="AD1049" s="42"/>
      <c r="AE1049" s="46"/>
      <c r="AF1049" s="47"/>
      <c r="AG1049" s="48"/>
    </row>
    <row r="1050" spans="2:33" s="38" customFormat="1" x14ac:dyDescent="0.25">
      <c r="B1050" s="49"/>
      <c r="C1050" s="70"/>
      <c r="D1050" s="42"/>
      <c r="F1050" s="46"/>
      <c r="G1050" s="47"/>
      <c r="H1050" s="42"/>
      <c r="I1050" s="42"/>
      <c r="J1050" s="47"/>
      <c r="K1050" s="42"/>
      <c r="L1050" s="42"/>
      <c r="M1050" s="47"/>
      <c r="N1050" s="42"/>
      <c r="O1050" s="42"/>
      <c r="P1050" s="47"/>
      <c r="Q1050" s="42"/>
      <c r="R1050" s="42"/>
      <c r="S1050" s="47"/>
      <c r="T1050" s="42"/>
      <c r="U1050" s="42"/>
      <c r="V1050" s="47"/>
      <c r="W1050" s="42"/>
      <c r="X1050" s="42"/>
      <c r="Y1050" s="47"/>
      <c r="Z1050" s="42"/>
      <c r="AA1050" s="42"/>
      <c r="AB1050" s="47"/>
      <c r="AC1050" s="42"/>
      <c r="AD1050" s="42"/>
      <c r="AE1050" s="46"/>
      <c r="AF1050" s="47"/>
      <c r="AG1050" s="48"/>
    </row>
    <row r="1051" spans="2:33" s="38" customFormat="1" x14ac:dyDescent="0.25">
      <c r="B1051" s="49"/>
      <c r="C1051" s="70"/>
      <c r="D1051" s="42"/>
      <c r="F1051" s="46"/>
      <c r="G1051" s="47"/>
      <c r="H1051" s="42"/>
      <c r="I1051" s="42"/>
      <c r="J1051" s="47"/>
      <c r="K1051" s="42"/>
      <c r="L1051" s="42"/>
      <c r="M1051" s="47"/>
      <c r="N1051" s="42"/>
      <c r="O1051" s="42"/>
      <c r="P1051" s="47"/>
      <c r="Q1051" s="42"/>
      <c r="R1051" s="42"/>
      <c r="S1051" s="47"/>
      <c r="T1051" s="42"/>
      <c r="U1051" s="42"/>
      <c r="V1051" s="47"/>
      <c r="W1051" s="42"/>
      <c r="X1051" s="42"/>
      <c r="Y1051" s="47"/>
      <c r="Z1051" s="42"/>
      <c r="AA1051" s="42"/>
      <c r="AB1051" s="47"/>
      <c r="AC1051" s="42"/>
      <c r="AD1051" s="42"/>
      <c r="AE1051" s="46"/>
      <c r="AF1051" s="47"/>
      <c r="AG1051" s="48"/>
    </row>
    <row r="1052" spans="2:33" s="38" customFormat="1" x14ac:dyDescent="0.25">
      <c r="B1052" s="49"/>
      <c r="C1052" s="70"/>
      <c r="D1052" s="42"/>
      <c r="F1052" s="46"/>
      <c r="G1052" s="47"/>
      <c r="H1052" s="42"/>
      <c r="I1052" s="42"/>
      <c r="J1052" s="47"/>
      <c r="K1052" s="42"/>
      <c r="L1052" s="42"/>
      <c r="M1052" s="47"/>
      <c r="N1052" s="42"/>
      <c r="O1052" s="42"/>
      <c r="P1052" s="47"/>
      <c r="Q1052" s="42"/>
      <c r="R1052" s="42"/>
      <c r="S1052" s="47"/>
      <c r="T1052" s="42"/>
      <c r="U1052" s="42"/>
      <c r="V1052" s="47"/>
      <c r="W1052" s="42"/>
      <c r="X1052" s="42"/>
      <c r="Y1052" s="47"/>
      <c r="Z1052" s="42"/>
      <c r="AA1052" s="42"/>
      <c r="AB1052" s="47"/>
      <c r="AC1052" s="42"/>
      <c r="AD1052" s="42"/>
      <c r="AE1052" s="46"/>
      <c r="AF1052" s="47"/>
      <c r="AG1052" s="48"/>
    </row>
    <row r="1053" spans="2:33" s="38" customFormat="1" x14ac:dyDescent="0.25">
      <c r="B1053" s="49"/>
      <c r="C1053" s="70"/>
      <c r="D1053" s="42"/>
      <c r="F1053" s="46"/>
      <c r="G1053" s="47"/>
      <c r="H1053" s="42"/>
      <c r="I1053" s="42"/>
      <c r="J1053" s="47"/>
      <c r="K1053" s="42"/>
      <c r="L1053" s="42"/>
      <c r="M1053" s="47"/>
      <c r="N1053" s="42"/>
      <c r="O1053" s="42"/>
      <c r="P1053" s="47"/>
      <c r="Q1053" s="42"/>
      <c r="R1053" s="42"/>
      <c r="S1053" s="47"/>
      <c r="T1053" s="42"/>
      <c r="U1053" s="42"/>
      <c r="V1053" s="47"/>
      <c r="W1053" s="42"/>
      <c r="X1053" s="42"/>
      <c r="Y1053" s="47"/>
      <c r="Z1053" s="42"/>
      <c r="AA1053" s="42"/>
      <c r="AB1053" s="47"/>
      <c r="AC1053" s="42"/>
      <c r="AD1053" s="42"/>
      <c r="AE1053" s="46"/>
      <c r="AF1053" s="47"/>
      <c r="AG1053" s="48"/>
    </row>
    <row r="1054" spans="2:33" s="38" customFormat="1" x14ac:dyDescent="0.25">
      <c r="B1054" s="49"/>
      <c r="C1054" s="70"/>
      <c r="D1054" s="42"/>
      <c r="F1054" s="46"/>
      <c r="G1054" s="47"/>
      <c r="H1054" s="42"/>
      <c r="I1054" s="42"/>
      <c r="J1054" s="47"/>
      <c r="K1054" s="42"/>
      <c r="L1054" s="42"/>
      <c r="M1054" s="47"/>
      <c r="N1054" s="42"/>
      <c r="O1054" s="42"/>
      <c r="P1054" s="47"/>
      <c r="Q1054" s="42"/>
      <c r="R1054" s="42"/>
      <c r="S1054" s="47"/>
      <c r="T1054" s="42"/>
      <c r="U1054" s="42"/>
      <c r="V1054" s="47"/>
      <c r="W1054" s="42"/>
      <c r="X1054" s="42"/>
      <c r="Y1054" s="47"/>
      <c r="Z1054" s="42"/>
      <c r="AA1054" s="42"/>
      <c r="AB1054" s="47"/>
      <c r="AC1054" s="42"/>
      <c r="AD1054" s="42"/>
      <c r="AE1054" s="46"/>
      <c r="AF1054" s="47"/>
      <c r="AG1054" s="48"/>
    </row>
    <row r="1055" spans="2:33" s="38" customFormat="1" x14ac:dyDescent="0.25">
      <c r="B1055" s="49"/>
      <c r="C1055" s="70"/>
      <c r="D1055" s="42"/>
      <c r="F1055" s="46"/>
      <c r="G1055" s="47"/>
      <c r="H1055" s="42"/>
      <c r="I1055" s="42"/>
      <c r="J1055" s="47"/>
      <c r="K1055" s="42"/>
      <c r="L1055" s="42"/>
      <c r="M1055" s="47"/>
      <c r="N1055" s="42"/>
      <c r="O1055" s="42"/>
      <c r="P1055" s="47"/>
      <c r="Q1055" s="42"/>
      <c r="R1055" s="42"/>
      <c r="S1055" s="47"/>
      <c r="T1055" s="42"/>
      <c r="U1055" s="42"/>
      <c r="V1055" s="47"/>
      <c r="W1055" s="42"/>
      <c r="X1055" s="42"/>
      <c r="Y1055" s="47"/>
      <c r="Z1055" s="42"/>
      <c r="AA1055" s="42"/>
      <c r="AB1055" s="47"/>
      <c r="AC1055" s="42"/>
      <c r="AD1055" s="42"/>
      <c r="AE1055" s="46"/>
      <c r="AF1055" s="47"/>
      <c r="AG1055" s="48"/>
    </row>
    <row r="1056" spans="2:33" s="38" customFormat="1" x14ac:dyDescent="0.25">
      <c r="B1056" s="49"/>
      <c r="C1056" s="70"/>
      <c r="D1056" s="42"/>
      <c r="F1056" s="46"/>
      <c r="G1056" s="47"/>
      <c r="H1056" s="42"/>
      <c r="I1056" s="42"/>
      <c r="J1056" s="47"/>
      <c r="K1056" s="42"/>
      <c r="L1056" s="42"/>
      <c r="M1056" s="47"/>
      <c r="N1056" s="42"/>
      <c r="O1056" s="42"/>
      <c r="P1056" s="47"/>
      <c r="Q1056" s="42"/>
      <c r="R1056" s="42"/>
      <c r="S1056" s="47"/>
      <c r="T1056" s="42"/>
      <c r="U1056" s="42"/>
      <c r="V1056" s="47"/>
      <c r="W1056" s="42"/>
      <c r="X1056" s="42"/>
      <c r="Y1056" s="47"/>
      <c r="Z1056" s="42"/>
      <c r="AA1056" s="42"/>
      <c r="AB1056" s="47"/>
      <c r="AC1056" s="42"/>
      <c r="AD1056" s="42"/>
      <c r="AE1056" s="46"/>
      <c r="AF1056" s="47"/>
      <c r="AG1056" s="48"/>
    </row>
    <row r="1057" spans="2:33" s="38" customFormat="1" x14ac:dyDescent="0.25">
      <c r="B1057" s="49"/>
      <c r="C1057" s="70"/>
      <c r="D1057" s="42"/>
      <c r="F1057" s="46"/>
      <c r="G1057" s="47"/>
      <c r="H1057" s="42"/>
      <c r="I1057" s="42"/>
      <c r="J1057" s="47"/>
      <c r="K1057" s="42"/>
      <c r="L1057" s="42"/>
      <c r="M1057" s="47"/>
      <c r="N1057" s="42"/>
      <c r="O1057" s="42"/>
      <c r="P1057" s="47"/>
      <c r="Q1057" s="42"/>
      <c r="R1057" s="42"/>
      <c r="S1057" s="47"/>
      <c r="T1057" s="42"/>
      <c r="U1057" s="42"/>
      <c r="V1057" s="47"/>
      <c r="W1057" s="42"/>
      <c r="X1057" s="42"/>
      <c r="Y1057" s="47"/>
      <c r="Z1057" s="42"/>
      <c r="AA1057" s="42"/>
      <c r="AB1057" s="47"/>
      <c r="AC1057" s="42"/>
      <c r="AD1057" s="42"/>
      <c r="AE1057" s="46"/>
      <c r="AF1057" s="47"/>
      <c r="AG1057" s="48"/>
    </row>
    <row r="1058" spans="2:33" s="38" customFormat="1" x14ac:dyDescent="0.25">
      <c r="B1058" s="49"/>
      <c r="C1058" s="70"/>
      <c r="D1058" s="42"/>
      <c r="F1058" s="46"/>
      <c r="G1058" s="47"/>
      <c r="H1058" s="42"/>
      <c r="I1058" s="42"/>
      <c r="J1058" s="47"/>
      <c r="K1058" s="42"/>
      <c r="L1058" s="42"/>
      <c r="M1058" s="47"/>
      <c r="N1058" s="42"/>
      <c r="O1058" s="42"/>
      <c r="P1058" s="47"/>
      <c r="Q1058" s="42"/>
      <c r="R1058" s="42"/>
      <c r="S1058" s="47"/>
      <c r="T1058" s="42"/>
      <c r="U1058" s="42"/>
      <c r="V1058" s="47"/>
      <c r="W1058" s="42"/>
      <c r="X1058" s="42"/>
      <c r="Y1058" s="47"/>
      <c r="Z1058" s="42"/>
      <c r="AA1058" s="42"/>
      <c r="AB1058" s="47"/>
      <c r="AC1058" s="42"/>
      <c r="AD1058" s="42"/>
      <c r="AE1058" s="46"/>
      <c r="AF1058" s="47"/>
      <c r="AG1058" s="48"/>
    </row>
    <row r="1059" spans="2:33" s="38" customFormat="1" x14ac:dyDescent="0.25">
      <c r="B1059" s="49"/>
      <c r="C1059" s="70"/>
      <c r="D1059" s="42"/>
      <c r="F1059" s="46"/>
      <c r="G1059" s="47"/>
      <c r="H1059" s="42"/>
      <c r="I1059" s="42"/>
      <c r="J1059" s="47"/>
      <c r="K1059" s="42"/>
      <c r="L1059" s="42"/>
      <c r="M1059" s="47"/>
      <c r="N1059" s="42"/>
      <c r="O1059" s="42"/>
      <c r="P1059" s="47"/>
      <c r="Q1059" s="42"/>
      <c r="R1059" s="42"/>
      <c r="S1059" s="47"/>
      <c r="T1059" s="42"/>
      <c r="U1059" s="42"/>
      <c r="V1059" s="47"/>
      <c r="W1059" s="42"/>
      <c r="X1059" s="42"/>
      <c r="Y1059" s="47"/>
      <c r="Z1059" s="42"/>
      <c r="AA1059" s="42"/>
      <c r="AB1059" s="47"/>
      <c r="AC1059" s="42"/>
      <c r="AD1059" s="42"/>
      <c r="AE1059" s="46"/>
      <c r="AF1059" s="47"/>
      <c r="AG1059" s="48"/>
    </row>
    <row r="1060" spans="2:33" s="38" customFormat="1" x14ac:dyDescent="0.25">
      <c r="B1060" s="49"/>
      <c r="C1060" s="70"/>
      <c r="D1060" s="42"/>
      <c r="F1060" s="46"/>
      <c r="G1060" s="47"/>
      <c r="H1060" s="42"/>
      <c r="I1060" s="42"/>
      <c r="J1060" s="47"/>
      <c r="K1060" s="42"/>
      <c r="L1060" s="42"/>
      <c r="M1060" s="47"/>
      <c r="N1060" s="42"/>
      <c r="O1060" s="42"/>
      <c r="P1060" s="47"/>
      <c r="Q1060" s="42"/>
      <c r="R1060" s="42"/>
      <c r="S1060" s="47"/>
      <c r="T1060" s="42"/>
      <c r="U1060" s="42"/>
      <c r="V1060" s="47"/>
      <c r="W1060" s="42"/>
      <c r="X1060" s="42"/>
      <c r="Y1060" s="47"/>
      <c r="Z1060" s="42"/>
      <c r="AA1060" s="42"/>
      <c r="AB1060" s="47"/>
      <c r="AC1060" s="42"/>
      <c r="AD1060" s="42"/>
      <c r="AE1060" s="46"/>
      <c r="AF1060" s="47"/>
      <c r="AG1060" s="48"/>
    </row>
    <row r="1061" spans="2:33" s="38" customFormat="1" x14ac:dyDescent="0.25">
      <c r="B1061" s="49"/>
      <c r="C1061" s="70"/>
      <c r="D1061" s="42"/>
      <c r="F1061" s="46"/>
      <c r="G1061" s="47"/>
      <c r="H1061" s="42"/>
      <c r="I1061" s="42"/>
      <c r="J1061" s="47"/>
      <c r="K1061" s="42"/>
      <c r="L1061" s="42"/>
      <c r="M1061" s="47"/>
      <c r="N1061" s="42"/>
      <c r="O1061" s="42"/>
      <c r="P1061" s="47"/>
      <c r="Q1061" s="42"/>
      <c r="R1061" s="42"/>
      <c r="S1061" s="47"/>
      <c r="T1061" s="42"/>
      <c r="U1061" s="42"/>
      <c r="V1061" s="47"/>
      <c r="W1061" s="42"/>
      <c r="X1061" s="42"/>
      <c r="Y1061" s="47"/>
      <c r="Z1061" s="42"/>
      <c r="AA1061" s="42"/>
      <c r="AB1061" s="47"/>
      <c r="AC1061" s="42"/>
      <c r="AD1061" s="42"/>
      <c r="AE1061" s="46"/>
      <c r="AF1061" s="47"/>
      <c r="AG1061" s="48"/>
    </row>
    <row r="1062" spans="2:33" s="38" customFormat="1" x14ac:dyDescent="0.25">
      <c r="B1062" s="49"/>
      <c r="C1062" s="70"/>
      <c r="D1062" s="42"/>
      <c r="F1062" s="46"/>
      <c r="G1062" s="47"/>
      <c r="H1062" s="42"/>
      <c r="I1062" s="42"/>
      <c r="J1062" s="47"/>
      <c r="K1062" s="42"/>
      <c r="L1062" s="42"/>
      <c r="M1062" s="47"/>
      <c r="N1062" s="42"/>
      <c r="O1062" s="42"/>
      <c r="P1062" s="47"/>
      <c r="Q1062" s="42"/>
      <c r="R1062" s="42"/>
      <c r="S1062" s="47"/>
      <c r="T1062" s="42"/>
      <c r="U1062" s="42"/>
      <c r="V1062" s="47"/>
      <c r="W1062" s="42"/>
      <c r="X1062" s="42"/>
      <c r="Y1062" s="47"/>
      <c r="Z1062" s="42"/>
      <c r="AA1062" s="42"/>
      <c r="AB1062" s="47"/>
      <c r="AC1062" s="42"/>
      <c r="AD1062" s="42"/>
      <c r="AE1062" s="46"/>
      <c r="AF1062" s="47"/>
      <c r="AG1062" s="48"/>
    </row>
    <row r="1063" spans="2:33" s="38" customFormat="1" x14ac:dyDescent="0.25">
      <c r="B1063" s="49"/>
      <c r="C1063" s="70"/>
      <c r="D1063" s="42"/>
      <c r="F1063" s="46"/>
      <c r="G1063" s="47"/>
      <c r="H1063" s="42"/>
      <c r="I1063" s="42"/>
      <c r="J1063" s="47"/>
      <c r="K1063" s="42"/>
      <c r="L1063" s="42"/>
      <c r="M1063" s="47"/>
      <c r="N1063" s="42"/>
      <c r="O1063" s="42"/>
      <c r="P1063" s="47"/>
      <c r="Q1063" s="42"/>
      <c r="R1063" s="42"/>
      <c r="S1063" s="47"/>
      <c r="T1063" s="42"/>
      <c r="U1063" s="42"/>
      <c r="V1063" s="47"/>
      <c r="W1063" s="42"/>
      <c r="X1063" s="42"/>
      <c r="Y1063" s="47"/>
      <c r="Z1063" s="42"/>
      <c r="AA1063" s="42"/>
      <c r="AB1063" s="47"/>
      <c r="AC1063" s="42"/>
      <c r="AD1063" s="42"/>
      <c r="AE1063" s="46"/>
      <c r="AF1063" s="47"/>
      <c r="AG1063" s="48"/>
    </row>
    <row r="1064" spans="2:33" s="38" customFormat="1" x14ac:dyDescent="0.25">
      <c r="B1064" s="49"/>
      <c r="C1064" s="70"/>
      <c r="D1064" s="42"/>
      <c r="F1064" s="46"/>
      <c r="G1064" s="47"/>
      <c r="H1064" s="42"/>
      <c r="I1064" s="42"/>
      <c r="J1064" s="47"/>
      <c r="K1064" s="42"/>
      <c r="L1064" s="42"/>
      <c r="M1064" s="47"/>
      <c r="N1064" s="42"/>
      <c r="O1064" s="42"/>
      <c r="P1064" s="47"/>
      <c r="Q1064" s="42"/>
      <c r="R1064" s="42"/>
      <c r="S1064" s="47"/>
      <c r="T1064" s="42"/>
      <c r="U1064" s="42"/>
      <c r="V1064" s="47"/>
      <c r="W1064" s="42"/>
      <c r="X1064" s="42"/>
      <c r="Y1064" s="47"/>
      <c r="Z1064" s="42"/>
      <c r="AA1064" s="42"/>
      <c r="AB1064" s="47"/>
      <c r="AC1064" s="42"/>
      <c r="AD1064" s="42"/>
      <c r="AE1064" s="46"/>
      <c r="AF1064" s="47"/>
      <c r="AG1064" s="48"/>
    </row>
    <row r="1065" spans="2:33" s="38" customFormat="1" x14ac:dyDescent="0.25">
      <c r="B1065" s="49"/>
      <c r="C1065" s="70"/>
      <c r="D1065" s="42"/>
      <c r="F1065" s="46"/>
      <c r="G1065" s="47"/>
      <c r="H1065" s="42"/>
      <c r="I1065" s="42"/>
      <c r="J1065" s="47"/>
      <c r="K1065" s="42"/>
      <c r="L1065" s="42"/>
      <c r="M1065" s="47"/>
      <c r="N1065" s="42"/>
      <c r="O1065" s="42"/>
      <c r="P1065" s="47"/>
      <c r="Q1065" s="42"/>
      <c r="R1065" s="42"/>
      <c r="S1065" s="47"/>
      <c r="T1065" s="42"/>
      <c r="U1065" s="42"/>
      <c r="V1065" s="47"/>
      <c r="W1065" s="42"/>
      <c r="X1065" s="42"/>
      <c r="Y1065" s="47"/>
      <c r="Z1065" s="42"/>
      <c r="AA1065" s="42"/>
      <c r="AB1065" s="47"/>
      <c r="AC1065" s="42"/>
      <c r="AD1065" s="42"/>
      <c r="AE1065" s="46"/>
      <c r="AF1065" s="47"/>
      <c r="AG1065" s="48"/>
    </row>
    <row r="1066" spans="2:33" s="38" customFormat="1" x14ac:dyDescent="0.25">
      <c r="B1066" s="49"/>
      <c r="C1066" s="70"/>
      <c r="D1066" s="42"/>
      <c r="F1066" s="46"/>
      <c r="G1066" s="47"/>
      <c r="H1066" s="42"/>
      <c r="I1066" s="42"/>
      <c r="J1066" s="47"/>
      <c r="K1066" s="42"/>
      <c r="L1066" s="42"/>
      <c r="M1066" s="47"/>
      <c r="N1066" s="42"/>
      <c r="O1066" s="42"/>
      <c r="P1066" s="47"/>
      <c r="Q1066" s="42"/>
      <c r="R1066" s="42"/>
      <c r="S1066" s="47"/>
      <c r="T1066" s="42"/>
      <c r="U1066" s="42"/>
      <c r="V1066" s="47"/>
      <c r="W1066" s="42"/>
      <c r="X1066" s="42"/>
      <c r="Y1066" s="47"/>
      <c r="Z1066" s="42"/>
      <c r="AA1066" s="42"/>
      <c r="AB1066" s="47"/>
      <c r="AC1066" s="42"/>
      <c r="AD1066" s="42"/>
      <c r="AE1066" s="46"/>
      <c r="AF1066" s="47"/>
      <c r="AG1066" s="48"/>
    </row>
    <row r="1067" spans="2:33" s="38" customFormat="1" x14ac:dyDescent="0.25">
      <c r="B1067" s="49"/>
      <c r="C1067" s="70"/>
      <c r="D1067" s="42"/>
      <c r="F1067" s="46"/>
      <c r="G1067" s="47"/>
      <c r="H1067" s="42"/>
      <c r="I1067" s="42"/>
      <c r="J1067" s="47"/>
      <c r="K1067" s="42"/>
      <c r="L1067" s="42"/>
      <c r="M1067" s="47"/>
      <c r="N1067" s="42"/>
      <c r="O1067" s="42"/>
      <c r="P1067" s="47"/>
      <c r="Q1067" s="42"/>
      <c r="R1067" s="42"/>
      <c r="S1067" s="47"/>
      <c r="T1067" s="42"/>
      <c r="U1067" s="42"/>
      <c r="V1067" s="47"/>
      <c r="W1067" s="42"/>
      <c r="X1067" s="42"/>
      <c r="Y1067" s="47"/>
      <c r="Z1067" s="42"/>
      <c r="AA1067" s="42"/>
      <c r="AB1067" s="47"/>
      <c r="AC1067" s="42"/>
      <c r="AD1067" s="42"/>
      <c r="AE1067" s="46"/>
      <c r="AF1067" s="47"/>
      <c r="AG1067" s="48"/>
    </row>
    <row r="1068" spans="2:33" s="38" customFormat="1" x14ac:dyDescent="0.25">
      <c r="B1068" s="49"/>
      <c r="C1068" s="70"/>
      <c r="D1068" s="42"/>
      <c r="F1068" s="46"/>
      <c r="G1068" s="47"/>
      <c r="H1068" s="42"/>
      <c r="I1068" s="42"/>
      <c r="J1068" s="47"/>
      <c r="K1068" s="42"/>
      <c r="L1068" s="42"/>
      <c r="M1068" s="47"/>
      <c r="N1068" s="42"/>
      <c r="O1068" s="42"/>
      <c r="P1068" s="47"/>
      <c r="Q1068" s="42"/>
      <c r="R1068" s="42"/>
      <c r="S1068" s="47"/>
      <c r="T1068" s="42"/>
      <c r="U1068" s="42"/>
      <c r="V1068" s="47"/>
      <c r="W1068" s="42"/>
      <c r="X1068" s="42"/>
      <c r="Y1068" s="47"/>
      <c r="Z1068" s="42"/>
      <c r="AA1068" s="42"/>
      <c r="AB1068" s="47"/>
      <c r="AC1068" s="42"/>
      <c r="AD1068" s="42"/>
      <c r="AE1068" s="46"/>
      <c r="AF1068" s="47"/>
      <c r="AG1068" s="48"/>
    </row>
    <row r="1069" spans="2:33" s="38" customFormat="1" x14ac:dyDescent="0.25">
      <c r="B1069" s="49"/>
      <c r="C1069" s="70"/>
      <c r="D1069" s="42"/>
      <c r="F1069" s="46"/>
      <c r="G1069" s="47"/>
      <c r="H1069" s="42"/>
      <c r="I1069" s="42"/>
      <c r="J1069" s="47"/>
      <c r="K1069" s="42"/>
      <c r="L1069" s="42"/>
      <c r="M1069" s="47"/>
      <c r="N1069" s="42"/>
      <c r="O1069" s="42"/>
      <c r="P1069" s="47"/>
      <c r="Q1069" s="42"/>
      <c r="R1069" s="42"/>
      <c r="S1069" s="47"/>
      <c r="T1069" s="42"/>
      <c r="U1069" s="42"/>
      <c r="V1069" s="47"/>
      <c r="W1069" s="42"/>
      <c r="X1069" s="42"/>
      <c r="Y1069" s="47"/>
      <c r="Z1069" s="42"/>
      <c r="AA1069" s="42"/>
      <c r="AB1069" s="47"/>
      <c r="AC1069" s="42"/>
      <c r="AD1069" s="42"/>
      <c r="AE1069" s="46"/>
      <c r="AF1069" s="47"/>
      <c r="AG1069" s="48"/>
    </row>
    <row r="1070" spans="2:33" s="38" customFormat="1" x14ac:dyDescent="0.25">
      <c r="B1070" s="49"/>
      <c r="C1070" s="70"/>
      <c r="D1070" s="42"/>
      <c r="F1070" s="46"/>
      <c r="G1070" s="47"/>
      <c r="H1070" s="42"/>
      <c r="I1070" s="42"/>
      <c r="J1070" s="47"/>
      <c r="K1070" s="42"/>
      <c r="L1070" s="42"/>
      <c r="M1070" s="47"/>
      <c r="N1070" s="42"/>
      <c r="O1070" s="42"/>
      <c r="P1070" s="47"/>
      <c r="Q1070" s="42"/>
      <c r="R1070" s="42"/>
      <c r="S1070" s="47"/>
      <c r="T1070" s="42"/>
      <c r="U1070" s="42"/>
      <c r="V1070" s="47"/>
      <c r="W1070" s="42"/>
      <c r="X1070" s="42"/>
      <c r="Y1070" s="47"/>
      <c r="Z1070" s="42"/>
      <c r="AA1070" s="42"/>
      <c r="AB1070" s="47"/>
      <c r="AC1070" s="42"/>
      <c r="AD1070" s="42"/>
      <c r="AE1070" s="46"/>
      <c r="AF1070" s="47"/>
      <c r="AG1070" s="48"/>
    </row>
    <row r="1071" spans="2:33" s="38" customFormat="1" x14ac:dyDescent="0.25">
      <c r="B1071" s="49"/>
      <c r="C1071" s="70"/>
      <c r="D1071" s="42"/>
      <c r="F1071" s="46"/>
      <c r="G1071" s="47"/>
      <c r="H1071" s="42"/>
      <c r="I1071" s="42"/>
      <c r="J1071" s="47"/>
      <c r="K1071" s="42"/>
      <c r="L1071" s="42"/>
      <c r="M1071" s="47"/>
      <c r="N1071" s="42"/>
      <c r="O1071" s="42"/>
      <c r="P1071" s="47"/>
      <c r="Q1071" s="42"/>
      <c r="R1071" s="42"/>
      <c r="S1071" s="47"/>
      <c r="T1071" s="42"/>
      <c r="U1071" s="42"/>
      <c r="V1071" s="47"/>
      <c r="W1071" s="42"/>
      <c r="X1071" s="42"/>
      <c r="Y1071" s="47"/>
      <c r="Z1071" s="42"/>
      <c r="AA1071" s="42"/>
      <c r="AB1071" s="47"/>
      <c r="AC1071" s="42"/>
      <c r="AD1071" s="42"/>
      <c r="AE1071" s="46"/>
      <c r="AF1071" s="47"/>
      <c r="AG1071" s="48"/>
    </row>
    <row r="1072" spans="2:33" s="38" customFormat="1" x14ac:dyDescent="0.25">
      <c r="B1072" s="49"/>
      <c r="C1072" s="70"/>
      <c r="D1072" s="42"/>
      <c r="F1072" s="46"/>
      <c r="G1072" s="47"/>
      <c r="H1072" s="42"/>
      <c r="I1072" s="42"/>
      <c r="J1072" s="47"/>
      <c r="K1072" s="42"/>
      <c r="L1072" s="42"/>
      <c r="M1072" s="47"/>
      <c r="N1072" s="42"/>
      <c r="O1072" s="42"/>
      <c r="P1072" s="47"/>
      <c r="Q1072" s="42"/>
      <c r="R1072" s="42"/>
      <c r="S1072" s="47"/>
      <c r="T1072" s="42"/>
      <c r="U1072" s="42"/>
      <c r="V1072" s="47"/>
      <c r="W1072" s="42"/>
      <c r="X1072" s="42"/>
      <c r="Y1072" s="47"/>
      <c r="Z1072" s="42"/>
      <c r="AA1072" s="42"/>
      <c r="AB1072" s="47"/>
      <c r="AC1072" s="42"/>
      <c r="AD1072" s="42"/>
      <c r="AE1072" s="46"/>
      <c r="AF1072" s="47"/>
      <c r="AG1072" s="48"/>
    </row>
    <row r="1073" spans="2:33" s="38" customFormat="1" x14ac:dyDescent="0.25">
      <c r="B1073" s="49"/>
      <c r="C1073" s="70"/>
      <c r="D1073" s="42"/>
      <c r="F1073" s="46"/>
      <c r="G1073" s="47"/>
      <c r="H1073" s="42"/>
      <c r="I1073" s="42"/>
      <c r="J1073" s="47"/>
      <c r="K1073" s="42"/>
      <c r="L1073" s="42"/>
      <c r="M1073" s="47"/>
      <c r="N1073" s="42"/>
      <c r="O1073" s="42"/>
      <c r="P1073" s="47"/>
      <c r="Q1073" s="42"/>
      <c r="R1073" s="42"/>
      <c r="S1073" s="47"/>
      <c r="T1073" s="42"/>
      <c r="U1073" s="42"/>
      <c r="V1073" s="47"/>
      <c r="W1073" s="42"/>
      <c r="X1073" s="42"/>
      <c r="Y1073" s="47"/>
      <c r="Z1073" s="42"/>
      <c r="AA1073" s="42"/>
      <c r="AB1073" s="47"/>
      <c r="AC1073" s="42"/>
      <c r="AD1073" s="42"/>
      <c r="AE1073" s="46"/>
      <c r="AF1073" s="47"/>
      <c r="AG1073" s="48"/>
    </row>
    <row r="1074" spans="2:33" s="38" customFormat="1" x14ac:dyDescent="0.25">
      <c r="B1074" s="49"/>
      <c r="C1074" s="70"/>
      <c r="D1074" s="42"/>
      <c r="F1074" s="46"/>
      <c r="G1074" s="47"/>
      <c r="H1074" s="42"/>
      <c r="I1074" s="42"/>
      <c r="J1074" s="47"/>
      <c r="K1074" s="42"/>
      <c r="L1074" s="42"/>
      <c r="M1074" s="47"/>
      <c r="N1074" s="42"/>
      <c r="O1074" s="42"/>
      <c r="P1074" s="47"/>
      <c r="Q1074" s="42"/>
      <c r="R1074" s="42"/>
      <c r="S1074" s="47"/>
      <c r="T1074" s="42"/>
      <c r="U1074" s="42"/>
      <c r="V1074" s="47"/>
      <c r="W1074" s="42"/>
      <c r="X1074" s="42"/>
      <c r="Y1074" s="47"/>
      <c r="Z1074" s="42"/>
      <c r="AA1074" s="42"/>
      <c r="AB1074" s="47"/>
      <c r="AC1074" s="42"/>
      <c r="AD1074" s="42"/>
      <c r="AE1074" s="46"/>
      <c r="AF1074" s="47"/>
      <c r="AG1074" s="48"/>
    </row>
    <row r="1075" spans="2:33" s="38" customFormat="1" x14ac:dyDescent="0.25">
      <c r="B1075" s="49"/>
      <c r="C1075" s="70"/>
      <c r="D1075" s="42"/>
      <c r="F1075" s="46"/>
      <c r="G1075" s="47"/>
      <c r="H1075" s="42"/>
      <c r="I1075" s="42"/>
      <c r="J1075" s="47"/>
      <c r="K1075" s="42"/>
      <c r="L1075" s="42"/>
      <c r="M1075" s="47"/>
      <c r="N1075" s="42"/>
      <c r="O1075" s="42"/>
      <c r="P1075" s="47"/>
      <c r="Q1075" s="42"/>
      <c r="R1075" s="42"/>
      <c r="S1075" s="47"/>
      <c r="T1075" s="42"/>
      <c r="U1075" s="42"/>
      <c r="V1075" s="47"/>
      <c r="W1075" s="42"/>
      <c r="X1075" s="42"/>
      <c r="Y1075" s="47"/>
      <c r="Z1075" s="42"/>
      <c r="AA1075" s="42"/>
      <c r="AB1075" s="47"/>
      <c r="AC1075" s="42"/>
      <c r="AD1075" s="42"/>
      <c r="AE1075" s="46"/>
      <c r="AF1075" s="47"/>
      <c r="AG1075" s="48"/>
    </row>
    <row r="1076" spans="2:33" s="38" customFormat="1" x14ac:dyDescent="0.25">
      <c r="B1076" s="49"/>
      <c r="C1076" s="70"/>
      <c r="D1076" s="42"/>
      <c r="F1076" s="46"/>
      <c r="G1076" s="47"/>
      <c r="H1076" s="42"/>
      <c r="I1076" s="42"/>
      <c r="J1076" s="47"/>
      <c r="K1076" s="42"/>
      <c r="L1076" s="42"/>
      <c r="M1076" s="47"/>
      <c r="N1076" s="42"/>
      <c r="O1076" s="42"/>
      <c r="P1076" s="47"/>
      <c r="Q1076" s="42"/>
      <c r="R1076" s="42"/>
      <c r="S1076" s="47"/>
      <c r="T1076" s="42"/>
      <c r="U1076" s="42"/>
      <c r="V1076" s="47"/>
      <c r="W1076" s="42"/>
      <c r="X1076" s="42"/>
      <c r="Y1076" s="47"/>
      <c r="Z1076" s="42"/>
      <c r="AA1076" s="42"/>
      <c r="AB1076" s="47"/>
      <c r="AC1076" s="42"/>
      <c r="AD1076" s="42"/>
      <c r="AE1076" s="46"/>
      <c r="AF1076" s="47"/>
      <c r="AG1076" s="48"/>
    </row>
    <row r="1077" spans="2:33" s="38" customFormat="1" x14ac:dyDescent="0.25">
      <c r="B1077" s="49"/>
      <c r="C1077" s="70"/>
      <c r="D1077" s="42"/>
      <c r="F1077" s="46"/>
      <c r="G1077" s="47"/>
      <c r="H1077" s="42"/>
      <c r="I1077" s="42"/>
      <c r="J1077" s="47"/>
      <c r="K1077" s="42"/>
      <c r="L1077" s="42"/>
      <c r="M1077" s="47"/>
      <c r="N1077" s="42"/>
      <c r="O1077" s="42"/>
      <c r="P1077" s="47"/>
      <c r="Q1077" s="42"/>
      <c r="R1077" s="42"/>
      <c r="S1077" s="47"/>
      <c r="T1077" s="42"/>
      <c r="U1077" s="42"/>
      <c r="V1077" s="47"/>
      <c r="W1077" s="42"/>
      <c r="X1077" s="42"/>
      <c r="Y1077" s="47"/>
      <c r="Z1077" s="42"/>
      <c r="AA1077" s="42"/>
      <c r="AB1077" s="47"/>
      <c r="AC1077" s="42"/>
      <c r="AD1077" s="42"/>
      <c r="AE1077" s="46"/>
      <c r="AF1077" s="47"/>
      <c r="AG1077" s="48"/>
    </row>
    <row r="1078" spans="2:33" s="38" customFormat="1" x14ac:dyDescent="0.25">
      <c r="B1078" s="49"/>
      <c r="C1078" s="70"/>
      <c r="D1078" s="42"/>
      <c r="F1078" s="46"/>
      <c r="G1078" s="47"/>
      <c r="H1078" s="42"/>
      <c r="I1078" s="42"/>
      <c r="J1078" s="47"/>
      <c r="K1078" s="42"/>
      <c r="L1078" s="42"/>
      <c r="M1078" s="47"/>
      <c r="N1078" s="42"/>
      <c r="O1078" s="42"/>
      <c r="P1078" s="47"/>
      <c r="Q1078" s="42"/>
      <c r="R1078" s="42"/>
      <c r="S1078" s="47"/>
      <c r="T1078" s="42"/>
      <c r="U1078" s="42"/>
      <c r="V1078" s="47"/>
      <c r="W1078" s="42"/>
      <c r="X1078" s="42"/>
      <c r="Y1078" s="47"/>
      <c r="Z1078" s="42"/>
      <c r="AA1078" s="42"/>
      <c r="AB1078" s="47"/>
      <c r="AC1078" s="42"/>
      <c r="AD1078" s="42"/>
      <c r="AE1078" s="46"/>
      <c r="AF1078" s="47"/>
      <c r="AG1078" s="48"/>
    </row>
    <row r="1079" spans="2:33" s="38" customFormat="1" x14ac:dyDescent="0.25">
      <c r="B1079" s="49"/>
      <c r="C1079" s="70"/>
      <c r="D1079" s="42"/>
      <c r="F1079" s="46"/>
      <c r="G1079" s="47"/>
      <c r="H1079" s="42"/>
      <c r="I1079" s="42"/>
      <c r="J1079" s="47"/>
      <c r="K1079" s="42"/>
      <c r="L1079" s="42"/>
      <c r="M1079" s="47"/>
      <c r="N1079" s="42"/>
      <c r="O1079" s="42"/>
      <c r="P1079" s="47"/>
      <c r="Q1079" s="42"/>
      <c r="R1079" s="42"/>
      <c r="S1079" s="47"/>
      <c r="T1079" s="42"/>
      <c r="U1079" s="42"/>
      <c r="V1079" s="47"/>
      <c r="W1079" s="42"/>
      <c r="X1079" s="42"/>
      <c r="Y1079" s="47"/>
      <c r="Z1079" s="42"/>
      <c r="AA1079" s="42"/>
      <c r="AB1079" s="47"/>
      <c r="AC1079" s="42"/>
      <c r="AD1079" s="42"/>
      <c r="AE1079" s="46"/>
      <c r="AF1079" s="47"/>
      <c r="AG1079" s="48"/>
    </row>
    <row r="1080" spans="2:33" s="38" customFormat="1" x14ac:dyDescent="0.25">
      <c r="B1080" s="49"/>
      <c r="C1080" s="70"/>
      <c r="D1080" s="42"/>
      <c r="F1080" s="46"/>
      <c r="G1080" s="47"/>
      <c r="H1080" s="42"/>
      <c r="I1080" s="42"/>
      <c r="J1080" s="47"/>
      <c r="K1080" s="42"/>
      <c r="L1080" s="42"/>
      <c r="M1080" s="47"/>
      <c r="N1080" s="42"/>
      <c r="O1080" s="42"/>
      <c r="P1080" s="47"/>
      <c r="Q1080" s="42"/>
      <c r="R1080" s="42"/>
      <c r="S1080" s="47"/>
      <c r="T1080" s="42"/>
      <c r="U1080" s="42"/>
      <c r="V1080" s="47"/>
      <c r="W1080" s="42"/>
      <c r="X1080" s="42"/>
      <c r="Y1080" s="47"/>
      <c r="Z1080" s="42"/>
      <c r="AA1080" s="42"/>
      <c r="AB1080" s="47"/>
      <c r="AC1080" s="42"/>
      <c r="AD1080" s="42"/>
      <c r="AE1080" s="46"/>
      <c r="AF1080" s="47"/>
      <c r="AG1080" s="48"/>
    </row>
    <row r="1081" spans="2:33" s="38" customFormat="1" x14ac:dyDescent="0.25">
      <c r="B1081" s="49"/>
      <c r="C1081" s="70"/>
      <c r="D1081" s="42"/>
      <c r="F1081" s="46"/>
      <c r="G1081" s="47"/>
      <c r="H1081" s="42"/>
      <c r="I1081" s="42"/>
      <c r="J1081" s="47"/>
      <c r="K1081" s="42"/>
      <c r="L1081" s="42"/>
      <c r="M1081" s="47"/>
      <c r="N1081" s="42"/>
      <c r="O1081" s="42"/>
      <c r="P1081" s="47"/>
      <c r="Q1081" s="42"/>
      <c r="R1081" s="42"/>
      <c r="S1081" s="47"/>
      <c r="T1081" s="42"/>
      <c r="U1081" s="42"/>
      <c r="V1081" s="47"/>
      <c r="W1081" s="42"/>
      <c r="X1081" s="42"/>
      <c r="Y1081" s="47"/>
      <c r="Z1081" s="42"/>
      <c r="AA1081" s="42"/>
      <c r="AB1081" s="47"/>
      <c r="AC1081" s="42"/>
      <c r="AD1081" s="42"/>
      <c r="AE1081" s="46"/>
      <c r="AF1081" s="47"/>
      <c r="AG1081" s="48"/>
    </row>
    <row r="1082" spans="2:33" s="38" customFormat="1" x14ac:dyDescent="0.25">
      <c r="B1082" s="49"/>
      <c r="C1082" s="70"/>
      <c r="D1082" s="42"/>
      <c r="F1082" s="46"/>
      <c r="G1082" s="47"/>
      <c r="H1082" s="42"/>
      <c r="I1082" s="42"/>
      <c r="J1082" s="47"/>
      <c r="K1082" s="42"/>
      <c r="L1082" s="42"/>
      <c r="M1082" s="47"/>
      <c r="N1082" s="42"/>
      <c r="O1082" s="42"/>
      <c r="P1082" s="47"/>
      <c r="Q1082" s="42"/>
      <c r="R1082" s="42"/>
      <c r="S1082" s="47"/>
      <c r="T1082" s="42"/>
      <c r="U1082" s="42"/>
      <c r="V1082" s="47"/>
      <c r="W1082" s="42"/>
      <c r="X1082" s="42"/>
      <c r="Y1082" s="47"/>
      <c r="Z1082" s="42"/>
      <c r="AA1082" s="42"/>
      <c r="AB1082" s="47"/>
      <c r="AC1082" s="42"/>
      <c r="AD1082" s="42"/>
      <c r="AE1082" s="46"/>
      <c r="AF1082" s="47"/>
      <c r="AG1082" s="48"/>
    </row>
    <row r="1083" spans="2:33" s="38" customFormat="1" x14ac:dyDescent="0.25">
      <c r="B1083" s="49"/>
      <c r="C1083" s="70"/>
      <c r="D1083" s="42"/>
      <c r="F1083" s="46"/>
      <c r="G1083" s="47"/>
      <c r="H1083" s="42"/>
      <c r="I1083" s="42"/>
      <c r="J1083" s="47"/>
      <c r="K1083" s="42"/>
      <c r="L1083" s="42"/>
      <c r="M1083" s="47"/>
      <c r="N1083" s="42"/>
      <c r="O1083" s="42"/>
      <c r="P1083" s="47"/>
      <c r="Q1083" s="42"/>
      <c r="R1083" s="42"/>
      <c r="S1083" s="47"/>
      <c r="T1083" s="42"/>
      <c r="U1083" s="42"/>
      <c r="V1083" s="47"/>
      <c r="W1083" s="42"/>
      <c r="X1083" s="42"/>
      <c r="Y1083" s="47"/>
      <c r="Z1083" s="42"/>
      <c r="AA1083" s="42"/>
      <c r="AB1083" s="47"/>
      <c r="AC1083" s="42"/>
      <c r="AD1083" s="42"/>
      <c r="AE1083" s="46"/>
      <c r="AF1083" s="47"/>
      <c r="AG1083" s="48"/>
    </row>
    <row r="1084" spans="2:33" s="38" customFormat="1" x14ac:dyDescent="0.25">
      <c r="B1084" s="49"/>
      <c r="C1084" s="70"/>
      <c r="D1084" s="42"/>
      <c r="F1084" s="46"/>
      <c r="G1084" s="47"/>
      <c r="H1084" s="42"/>
      <c r="I1084" s="42"/>
      <c r="J1084" s="47"/>
      <c r="K1084" s="42"/>
      <c r="L1084" s="42"/>
      <c r="M1084" s="47"/>
      <c r="N1084" s="42"/>
      <c r="O1084" s="42"/>
      <c r="P1084" s="47"/>
      <c r="Q1084" s="42"/>
      <c r="R1084" s="42"/>
      <c r="S1084" s="47"/>
      <c r="T1084" s="42"/>
      <c r="U1084" s="42"/>
      <c r="V1084" s="47"/>
      <c r="W1084" s="42"/>
      <c r="X1084" s="42"/>
      <c r="Y1084" s="47"/>
      <c r="Z1084" s="42"/>
      <c r="AA1084" s="42"/>
      <c r="AB1084" s="47"/>
      <c r="AC1084" s="42"/>
      <c r="AD1084" s="42"/>
      <c r="AE1084" s="46"/>
      <c r="AF1084" s="47"/>
      <c r="AG1084" s="48"/>
    </row>
    <row r="1085" spans="2:33" s="38" customFormat="1" x14ac:dyDescent="0.25">
      <c r="B1085" s="49"/>
      <c r="C1085" s="70"/>
      <c r="D1085" s="42"/>
      <c r="F1085" s="46"/>
      <c r="G1085" s="47"/>
      <c r="H1085" s="42"/>
      <c r="I1085" s="42"/>
      <c r="J1085" s="47"/>
      <c r="K1085" s="42"/>
      <c r="L1085" s="42"/>
      <c r="M1085" s="47"/>
      <c r="N1085" s="42"/>
      <c r="O1085" s="42"/>
      <c r="P1085" s="47"/>
      <c r="Q1085" s="42"/>
      <c r="R1085" s="42"/>
      <c r="S1085" s="47"/>
      <c r="T1085" s="42"/>
      <c r="U1085" s="42"/>
      <c r="V1085" s="47"/>
      <c r="W1085" s="42"/>
      <c r="X1085" s="42"/>
      <c r="Y1085" s="47"/>
      <c r="Z1085" s="42"/>
      <c r="AA1085" s="42"/>
      <c r="AB1085" s="47"/>
      <c r="AC1085" s="42"/>
      <c r="AD1085" s="42"/>
      <c r="AE1085" s="46"/>
      <c r="AF1085" s="47"/>
      <c r="AG1085" s="48"/>
    </row>
    <row r="1086" spans="2:33" s="38" customFormat="1" x14ac:dyDescent="0.25">
      <c r="B1086" s="49"/>
      <c r="C1086" s="70"/>
      <c r="D1086" s="42"/>
      <c r="F1086" s="46"/>
      <c r="G1086" s="47"/>
      <c r="H1086" s="42"/>
      <c r="I1086" s="42"/>
      <c r="J1086" s="47"/>
      <c r="K1086" s="42"/>
      <c r="L1086" s="42"/>
      <c r="M1086" s="47"/>
      <c r="N1086" s="42"/>
      <c r="O1086" s="42"/>
      <c r="P1086" s="47"/>
      <c r="Q1086" s="42"/>
      <c r="R1086" s="42"/>
      <c r="S1086" s="47"/>
      <c r="T1086" s="42"/>
      <c r="U1086" s="42"/>
      <c r="V1086" s="47"/>
      <c r="W1086" s="42"/>
      <c r="X1086" s="42"/>
      <c r="Y1086" s="47"/>
      <c r="Z1086" s="42"/>
      <c r="AA1086" s="42"/>
      <c r="AB1086" s="47"/>
      <c r="AC1086" s="42"/>
      <c r="AD1086" s="42"/>
      <c r="AE1086" s="46"/>
      <c r="AF1086" s="47"/>
      <c r="AG1086" s="48"/>
    </row>
    <row r="1087" spans="2:33" s="38" customFormat="1" x14ac:dyDescent="0.25">
      <c r="B1087" s="49"/>
      <c r="C1087" s="70"/>
      <c r="D1087" s="42"/>
      <c r="F1087" s="46"/>
      <c r="G1087" s="47"/>
      <c r="H1087" s="42"/>
      <c r="I1087" s="42"/>
      <c r="J1087" s="47"/>
      <c r="K1087" s="42"/>
      <c r="L1087" s="42"/>
      <c r="M1087" s="47"/>
      <c r="N1087" s="42"/>
      <c r="O1087" s="42"/>
      <c r="P1087" s="47"/>
      <c r="Q1087" s="42"/>
      <c r="R1087" s="42"/>
      <c r="S1087" s="47"/>
      <c r="T1087" s="42"/>
      <c r="U1087" s="42"/>
      <c r="V1087" s="47"/>
      <c r="W1087" s="42"/>
      <c r="X1087" s="42"/>
      <c r="Y1087" s="47"/>
      <c r="Z1087" s="42"/>
      <c r="AA1087" s="42"/>
      <c r="AB1087" s="47"/>
      <c r="AC1087" s="42"/>
      <c r="AD1087" s="42"/>
      <c r="AE1087" s="46"/>
      <c r="AF1087" s="47"/>
      <c r="AG1087" s="48"/>
    </row>
    <row r="1088" spans="2:33" s="38" customFormat="1" x14ac:dyDescent="0.25">
      <c r="B1088" s="49"/>
      <c r="C1088" s="70"/>
      <c r="D1088" s="42"/>
      <c r="F1088" s="46"/>
      <c r="G1088" s="47"/>
      <c r="H1088" s="42"/>
      <c r="I1088" s="42"/>
      <c r="J1088" s="47"/>
      <c r="K1088" s="42"/>
      <c r="L1088" s="42"/>
      <c r="M1088" s="47"/>
      <c r="N1088" s="42"/>
      <c r="O1088" s="42"/>
      <c r="P1088" s="47"/>
      <c r="Q1088" s="42"/>
      <c r="R1088" s="42"/>
      <c r="S1088" s="47"/>
      <c r="T1088" s="42"/>
      <c r="U1088" s="42"/>
      <c r="V1088" s="47"/>
      <c r="W1088" s="42"/>
      <c r="X1088" s="42"/>
      <c r="Y1088" s="47"/>
      <c r="Z1088" s="42"/>
      <c r="AA1088" s="42"/>
      <c r="AB1088" s="47"/>
      <c r="AC1088" s="42"/>
      <c r="AD1088" s="42"/>
      <c r="AE1088" s="46"/>
      <c r="AF1088" s="47"/>
      <c r="AG1088" s="48"/>
    </row>
    <row r="1089" spans="2:33" s="38" customFormat="1" x14ac:dyDescent="0.25">
      <c r="B1089" s="49"/>
      <c r="C1089" s="70"/>
      <c r="D1089" s="42"/>
      <c r="F1089" s="46"/>
      <c r="G1089" s="47"/>
      <c r="H1089" s="42"/>
      <c r="I1089" s="42"/>
      <c r="J1089" s="47"/>
      <c r="K1089" s="42"/>
      <c r="L1089" s="42"/>
      <c r="M1089" s="47"/>
      <c r="N1089" s="42"/>
      <c r="O1089" s="42"/>
      <c r="P1089" s="47"/>
      <c r="Q1089" s="42"/>
      <c r="R1089" s="42"/>
      <c r="S1089" s="47"/>
      <c r="T1089" s="42"/>
      <c r="U1089" s="42"/>
      <c r="V1089" s="47"/>
      <c r="W1089" s="42"/>
      <c r="X1089" s="42"/>
      <c r="Y1089" s="47"/>
      <c r="Z1089" s="42"/>
      <c r="AA1089" s="42"/>
      <c r="AB1089" s="47"/>
      <c r="AC1089" s="42"/>
      <c r="AD1089" s="42"/>
      <c r="AE1089" s="46"/>
      <c r="AF1089" s="47"/>
      <c r="AG1089" s="48"/>
    </row>
    <row r="1090" spans="2:33" s="38" customFormat="1" x14ac:dyDescent="0.25">
      <c r="B1090" s="49"/>
      <c r="C1090" s="70"/>
      <c r="D1090" s="42"/>
      <c r="F1090" s="46"/>
      <c r="G1090" s="47"/>
      <c r="H1090" s="42"/>
      <c r="I1090" s="42"/>
      <c r="J1090" s="47"/>
      <c r="K1090" s="42"/>
      <c r="L1090" s="42"/>
      <c r="M1090" s="47"/>
      <c r="N1090" s="42"/>
      <c r="O1090" s="42"/>
      <c r="P1090" s="47"/>
      <c r="Q1090" s="42"/>
      <c r="R1090" s="42"/>
      <c r="S1090" s="47"/>
      <c r="T1090" s="42"/>
      <c r="U1090" s="42"/>
      <c r="V1090" s="47"/>
      <c r="W1090" s="42"/>
      <c r="X1090" s="42"/>
      <c r="Y1090" s="47"/>
      <c r="Z1090" s="42"/>
      <c r="AA1090" s="42"/>
      <c r="AB1090" s="47"/>
      <c r="AC1090" s="42"/>
      <c r="AD1090" s="42"/>
      <c r="AE1090" s="46"/>
      <c r="AF1090" s="47"/>
      <c r="AG1090" s="48"/>
    </row>
    <row r="1091" spans="2:33" s="38" customFormat="1" x14ac:dyDescent="0.25">
      <c r="B1091" s="49"/>
      <c r="C1091" s="70"/>
      <c r="D1091" s="42"/>
      <c r="F1091" s="46"/>
      <c r="G1091" s="47"/>
      <c r="H1091" s="42"/>
      <c r="I1091" s="42"/>
      <c r="J1091" s="47"/>
      <c r="K1091" s="42"/>
      <c r="L1091" s="42"/>
      <c r="M1091" s="47"/>
      <c r="N1091" s="42"/>
      <c r="O1091" s="42"/>
      <c r="P1091" s="47"/>
      <c r="Q1091" s="42"/>
      <c r="R1091" s="42"/>
      <c r="S1091" s="47"/>
      <c r="T1091" s="42"/>
      <c r="U1091" s="42"/>
      <c r="V1091" s="47"/>
      <c r="W1091" s="42"/>
      <c r="X1091" s="42"/>
      <c r="Y1091" s="47"/>
      <c r="Z1091" s="42"/>
      <c r="AA1091" s="42"/>
      <c r="AB1091" s="47"/>
      <c r="AC1091" s="42"/>
      <c r="AD1091" s="42"/>
      <c r="AE1091" s="46"/>
      <c r="AF1091" s="47"/>
      <c r="AG1091" s="48"/>
    </row>
    <row r="1092" spans="2:33" s="38" customFormat="1" x14ac:dyDescent="0.25">
      <c r="B1092" s="49"/>
      <c r="C1092" s="70"/>
      <c r="D1092" s="42"/>
      <c r="F1092" s="46"/>
      <c r="G1092" s="47"/>
      <c r="H1092" s="42"/>
      <c r="I1092" s="42"/>
      <c r="J1092" s="47"/>
      <c r="K1092" s="42"/>
      <c r="L1092" s="42"/>
      <c r="M1092" s="47"/>
      <c r="N1092" s="42"/>
      <c r="O1092" s="42"/>
      <c r="P1092" s="47"/>
      <c r="Q1092" s="42"/>
      <c r="R1092" s="42"/>
      <c r="S1092" s="47"/>
      <c r="T1092" s="42"/>
      <c r="U1092" s="42"/>
      <c r="V1092" s="47"/>
      <c r="W1092" s="42"/>
      <c r="X1092" s="42"/>
      <c r="Y1092" s="47"/>
      <c r="Z1092" s="42"/>
      <c r="AA1092" s="42"/>
      <c r="AB1092" s="47"/>
      <c r="AC1092" s="42"/>
      <c r="AD1092" s="42"/>
      <c r="AE1092" s="46"/>
      <c r="AF1092" s="47"/>
      <c r="AG1092" s="48"/>
    </row>
    <row r="1093" spans="2:33" s="38" customFormat="1" x14ac:dyDescent="0.25">
      <c r="B1093" s="49"/>
      <c r="C1093" s="70"/>
      <c r="D1093" s="42"/>
      <c r="F1093" s="46"/>
      <c r="G1093" s="47"/>
      <c r="H1093" s="42"/>
      <c r="I1093" s="42"/>
      <c r="J1093" s="47"/>
      <c r="K1093" s="42"/>
      <c r="L1093" s="42"/>
      <c r="M1093" s="47"/>
      <c r="N1093" s="42"/>
      <c r="O1093" s="42"/>
      <c r="P1093" s="47"/>
      <c r="Q1093" s="42"/>
      <c r="R1093" s="42"/>
      <c r="S1093" s="47"/>
      <c r="T1093" s="42"/>
      <c r="U1093" s="42"/>
      <c r="V1093" s="47"/>
      <c r="W1093" s="42"/>
      <c r="X1093" s="42"/>
      <c r="Y1093" s="47"/>
      <c r="Z1093" s="42"/>
      <c r="AA1093" s="42"/>
      <c r="AB1093" s="47"/>
      <c r="AC1093" s="42"/>
      <c r="AD1093" s="42"/>
      <c r="AE1093" s="46"/>
      <c r="AF1093" s="47"/>
      <c r="AG1093" s="48"/>
    </row>
    <row r="1094" spans="2:33" s="38" customFormat="1" x14ac:dyDescent="0.25">
      <c r="B1094" s="49"/>
      <c r="C1094" s="70"/>
      <c r="D1094" s="42"/>
      <c r="F1094" s="46"/>
      <c r="G1094" s="47"/>
      <c r="H1094" s="42"/>
      <c r="I1094" s="42"/>
      <c r="J1094" s="47"/>
      <c r="K1094" s="42"/>
      <c r="L1094" s="42"/>
      <c r="M1094" s="47"/>
      <c r="N1094" s="42"/>
      <c r="O1094" s="42"/>
      <c r="P1094" s="47"/>
      <c r="Q1094" s="42"/>
      <c r="R1094" s="42"/>
      <c r="S1094" s="47"/>
      <c r="T1094" s="42"/>
      <c r="U1094" s="42"/>
      <c r="V1094" s="47"/>
      <c r="W1094" s="42"/>
      <c r="X1094" s="42"/>
      <c r="Y1094" s="47"/>
      <c r="Z1094" s="42"/>
      <c r="AA1094" s="42"/>
      <c r="AB1094" s="47"/>
      <c r="AC1094" s="42"/>
      <c r="AD1094" s="42"/>
      <c r="AE1094" s="46"/>
      <c r="AF1094" s="47"/>
      <c r="AG1094" s="48"/>
    </row>
    <row r="1095" spans="2:33" s="38" customFormat="1" x14ac:dyDescent="0.25">
      <c r="B1095" s="49"/>
      <c r="C1095" s="70"/>
      <c r="D1095" s="42"/>
      <c r="F1095" s="46"/>
      <c r="G1095" s="47"/>
      <c r="H1095" s="42"/>
      <c r="I1095" s="42"/>
      <c r="J1095" s="47"/>
      <c r="K1095" s="42"/>
      <c r="L1095" s="42"/>
      <c r="M1095" s="47"/>
      <c r="N1095" s="42"/>
      <c r="O1095" s="42"/>
      <c r="P1095" s="47"/>
      <c r="Q1095" s="42"/>
      <c r="R1095" s="42"/>
      <c r="S1095" s="47"/>
      <c r="T1095" s="42"/>
      <c r="U1095" s="42"/>
      <c r="V1095" s="47"/>
      <c r="W1095" s="42"/>
      <c r="X1095" s="42"/>
      <c r="Y1095" s="47"/>
      <c r="Z1095" s="42"/>
      <c r="AA1095" s="42"/>
      <c r="AB1095" s="47"/>
      <c r="AC1095" s="42"/>
      <c r="AD1095" s="42"/>
      <c r="AE1095" s="46"/>
      <c r="AF1095" s="47"/>
      <c r="AG1095" s="48"/>
    </row>
    <row r="1096" spans="2:33" s="38" customFormat="1" x14ac:dyDescent="0.25">
      <c r="B1096" s="49"/>
      <c r="C1096" s="70"/>
      <c r="D1096" s="42"/>
      <c r="F1096" s="46"/>
      <c r="G1096" s="47"/>
      <c r="H1096" s="42"/>
      <c r="I1096" s="42"/>
      <c r="J1096" s="47"/>
      <c r="K1096" s="42"/>
      <c r="L1096" s="42"/>
      <c r="M1096" s="47"/>
      <c r="N1096" s="42"/>
      <c r="O1096" s="42"/>
      <c r="P1096" s="47"/>
      <c r="Q1096" s="42"/>
      <c r="R1096" s="42"/>
      <c r="S1096" s="47"/>
      <c r="T1096" s="42"/>
      <c r="U1096" s="42"/>
      <c r="V1096" s="47"/>
      <c r="W1096" s="42"/>
      <c r="X1096" s="42"/>
      <c r="Y1096" s="47"/>
      <c r="Z1096" s="42"/>
      <c r="AA1096" s="42"/>
      <c r="AB1096" s="47"/>
      <c r="AC1096" s="42"/>
      <c r="AD1096" s="42"/>
      <c r="AE1096" s="46"/>
      <c r="AF1096" s="47"/>
      <c r="AG1096" s="48"/>
    </row>
    <row r="1097" spans="2:33" s="38" customFormat="1" x14ac:dyDescent="0.25">
      <c r="B1097" s="49"/>
      <c r="C1097" s="70"/>
      <c r="D1097" s="42"/>
      <c r="F1097" s="46"/>
      <c r="G1097" s="47"/>
      <c r="H1097" s="42"/>
      <c r="I1097" s="42"/>
      <c r="J1097" s="47"/>
      <c r="K1097" s="42"/>
      <c r="L1097" s="42"/>
      <c r="M1097" s="47"/>
      <c r="N1097" s="42"/>
      <c r="O1097" s="42"/>
      <c r="P1097" s="47"/>
      <c r="Q1097" s="42"/>
      <c r="R1097" s="42"/>
      <c r="S1097" s="47"/>
      <c r="T1097" s="42"/>
      <c r="U1097" s="42"/>
      <c r="V1097" s="47"/>
      <c r="W1097" s="42"/>
      <c r="X1097" s="42"/>
      <c r="Y1097" s="47"/>
      <c r="Z1097" s="42"/>
      <c r="AA1097" s="42"/>
      <c r="AB1097" s="47"/>
      <c r="AC1097" s="42"/>
      <c r="AD1097" s="42"/>
      <c r="AE1097" s="46"/>
      <c r="AF1097" s="47"/>
      <c r="AG1097" s="48"/>
    </row>
    <row r="1098" spans="2:33" s="38" customFormat="1" x14ac:dyDescent="0.25">
      <c r="B1098" s="49"/>
      <c r="C1098" s="70"/>
      <c r="D1098" s="42"/>
      <c r="F1098" s="46"/>
      <c r="G1098" s="47"/>
      <c r="H1098" s="42"/>
      <c r="I1098" s="42"/>
      <c r="J1098" s="47"/>
      <c r="K1098" s="42"/>
      <c r="L1098" s="42"/>
      <c r="M1098" s="47"/>
      <c r="N1098" s="42"/>
      <c r="O1098" s="42"/>
      <c r="P1098" s="47"/>
      <c r="Q1098" s="42"/>
      <c r="R1098" s="42"/>
      <c r="S1098" s="47"/>
      <c r="T1098" s="42"/>
      <c r="U1098" s="42"/>
      <c r="V1098" s="47"/>
      <c r="W1098" s="42"/>
      <c r="X1098" s="42"/>
      <c r="Y1098" s="47"/>
      <c r="Z1098" s="42"/>
      <c r="AA1098" s="42"/>
      <c r="AB1098" s="47"/>
      <c r="AC1098" s="42"/>
      <c r="AD1098" s="42"/>
      <c r="AE1098" s="46"/>
      <c r="AF1098" s="47"/>
      <c r="AG1098" s="48"/>
    </row>
    <row r="1099" spans="2:33" s="38" customFormat="1" x14ac:dyDescent="0.25">
      <c r="B1099" s="49"/>
      <c r="C1099" s="70"/>
      <c r="D1099" s="42"/>
      <c r="F1099" s="46"/>
      <c r="G1099" s="47"/>
      <c r="H1099" s="42"/>
      <c r="I1099" s="42"/>
      <c r="J1099" s="47"/>
      <c r="K1099" s="42"/>
      <c r="L1099" s="42"/>
      <c r="M1099" s="47"/>
      <c r="N1099" s="42"/>
      <c r="O1099" s="42"/>
      <c r="P1099" s="47"/>
      <c r="Q1099" s="42"/>
      <c r="R1099" s="42"/>
      <c r="S1099" s="47"/>
      <c r="T1099" s="42"/>
      <c r="U1099" s="42"/>
      <c r="V1099" s="47"/>
      <c r="W1099" s="42"/>
      <c r="X1099" s="42"/>
      <c r="Y1099" s="47"/>
      <c r="Z1099" s="42"/>
      <c r="AA1099" s="42"/>
      <c r="AB1099" s="47"/>
      <c r="AC1099" s="42"/>
      <c r="AD1099" s="42"/>
      <c r="AE1099" s="46"/>
      <c r="AF1099" s="47"/>
      <c r="AG1099" s="48"/>
    </row>
    <row r="1100" spans="2:33" s="38" customFormat="1" x14ac:dyDescent="0.25">
      <c r="B1100" s="49"/>
      <c r="C1100" s="70"/>
      <c r="D1100" s="42"/>
      <c r="F1100" s="46"/>
      <c r="G1100" s="47"/>
      <c r="H1100" s="42"/>
      <c r="I1100" s="42"/>
      <c r="J1100" s="47"/>
      <c r="K1100" s="42"/>
      <c r="L1100" s="42"/>
      <c r="M1100" s="47"/>
      <c r="N1100" s="42"/>
      <c r="O1100" s="42"/>
      <c r="P1100" s="47"/>
      <c r="Q1100" s="42"/>
      <c r="R1100" s="42"/>
      <c r="S1100" s="47"/>
      <c r="T1100" s="42"/>
      <c r="U1100" s="42"/>
      <c r="V1100" s="47"/>
      <c r="W1100" s="42"/>
      <c r="X1100" s="42"/>
      <c r="Y1100" s="47"/>
      <c r="Z1100" s="42"/>
      <c r="AA1100" s="42"/>
      <c r="AB1100" s="47"/>
      <c r="AC1100" s="42"/>
      <c r="AD1100" s="42"/>
      <c r="AE1100" s="46"/>
      <c r="AF1100" s="47"/>
      <c r="AG1100" s="48"/>
    </row>
    <row r="1101" spans="2:33" s="38" customFormat="1" x14ac:dyDescent="0.25">
      <c r="B1101" s="49"/>
      <c r="C1101" s="70"/>
      <c r="D1101" s="42"/>
      <c r="F1101" s="46"/>
      <c r="G1101" s="47"/>
      <c r="H1101" s="42"/>
      <c r="I1101" s="42"/>
      <c r="J1101" s="47"/>
      <c r="K1101" s="42"/>
      <c r="L1101" s="42"/>
      <c r="M1101" s="47"/>
      <c r="N1101" s="42"/>
      <c r="O1101" s="42"/>
      <c r="P1101" s="47"/>
      <c r="Q1101" s="42"/>
      <c r="R1101" s="42"/>
      <c r="S1101" s="47"/>
      <c r="T1101" s="42"/>
      <c r="U1101" s="42"/>
      <c r="V1101" s="47"/>
      <c r="W1101" s="42"/>
      <c r="X1101" s="42"/>
      <c r="Y1101" s="47"/>
      <c r="Z1101" s="42"/>
      <c r="AA1101" s="42"/>
      <c r="AB1101" s="47"/>
      <c r="AC1101" s="42"/>
      <c r="AD1101" s="42"/>
      <c r="AE1101" s="46"/>
      <c r="AF1101" s="47"/>
      <c r="AG1101" s="48"/>
    </row>
    <row r="1102" spans="2:33" s="38" customFormat="1" x14ac:dyDescent="0.25">
      <c r="B1102" s="49"/>
      <c r="C1102" s="70"/>
      <c r="D1102" s="42"/>
      <c r="F1102" s="46"/>
      <c r="G1102" s="47"/>
      <c r="H1102" s="42"/>
      <c r="I1102" s="42"/>
      <c r="J1102" s="47"/>
      <c r="K1102" s="42"/>
      <c r="L1102" s="42"/>
      <c r="M1102" s="47"/>
      <c r="N1102" s="42"/>
      <c r="O1102" s="42"/>
      <c r="P1102" s="47"/>
      <c r="Q1102" s="42"/>
      <c r="R1102" s="42"/>
      <c r="S1102" s="47"/>
      <c r="T1102" s="42"/>
      <c r="U1102" s="42"/>
      <c r="V1102" s="47"/>
      <c r="W1102" s="42"/>
      <c r="X1102" s="42"/>
      <c r="Y1102" s="47"/>
      <c r="Z1102" s="42"/>
      <c r="AA1102" s="42"/>
      <c r="AB1102" s="47"/>
      <c r="AC1102" s="42"/>
      <c r="AD1102" s="42"/>
      <c r="AE1102" s="46"/>
      <c r="AF1102" s="47"/>
      <c r="AG1102" s="48"/>
    </row>
    <row r="1103" spans="2:33" s="38" customFormat="1" x14ac:dyDescent="0.25">
      <c r="B1103" s="49"/>
      <c r="C1103" s="70"/>
      <c r="D1103" s="42"/>
      <c r="F1103" s="46"/>
      <c r="G1103" s="47"/>
      <c r="H1103" s="42"/>
      <c r="I1103" s="42"/>
      <c r="J1103" s="47"/>
      <c r="K1103" s="42"/>
      <c r="L1103" s="42"/>
      <c r="M1103" s="47"/>
      <c r="N1103" s="42"/>
      <c r="O1103" s="42"/>
      <c r="P1103" s="47"/>
      <c r="Q1103" s="42"/>
      <c r="R1103" s="42"/>
      <c r="S1103" s="47"/>
      <c r="T1103" s="42"/>
      <c r="U1103" s="42"/>
      <c r="V1103" s="47"/>
      <c r="W1103" s="42"/>
      <c r="X1103" s="42"/>
      <c r="Y1103" s="47"/>
      <c r="Z1103" s="42"/>
      <c r="AA1103" s="42"/>
      <c r="AB1103" s="47"/>
      <c r="AC1103" s="42"/>
      <c r="AD1103" s="42"/>
      <c r="AE1103" s="46"/>
      <c r="AF1103" s="47"/>
      <c r="AG1103" s="48"/>
    </row>
    <row r="1104" spans="2:33" s="38" customFormat="1" x14ac:dyDescent="0.25">
      <c r="B1104" s="49"/>
      <c r="C1104" s="70"/>
      <c r="D1104" s="42"/>
      <c r="F1104" s="46"/>
      <c r="G1104" s="47"/>
      <c r="H1104" s="42"/>
      <c r="I1104" s="42"/>
      <c r="J1104" s="47"/>
      <c r="K1104" s="42"/>
      <c r="L1104" s="42"/>
      <c r="M1104" s="47"/>
      <c r="N1104" s="42"/>
      <c r="O1104" s="42"/>
      <c r="P1104" s="47"/>
      <c r="Q1104" s="42"/>
      <c r="R1104" s="42"/>
      <c r="S1104" s="47"/>
      <c r="T1104" s="42"/>
      <c r="U1104" s="42"/>
      <c r="V1104" s="47"/>
      <c r="W1104" s="42"/>
      <c r="X1104" s="42"/>
      <c r="Y1104" s="47"/>
      <c r="Z1104" s="42"/>
      <c r="AA1104" s="42"/>
      <c r="AB1104" s="47"/>
      <c r="AC1104" s="42"/>
      <c r="AD1104" s="42"/>
      <c r="AE1104" s="46"/>
      <c r="AF1104" s="47"/>
      <c r="AG1104" s="48"/>
    </row>
    <row r="1105" spans="2:33" s="38" customFormat="1" x14ac:dyDescent="0.25">
      <c r="B1105" s="49"/>
      <c r="C1105" s="70"/>
      <c r="D1105" s="42"/>
      <c r="F1105" s="46"/>
      <c r="G1105" s="47"/>
      <c r="H1105" s="42"/>
      <c r="I1105" s="42"/>
      <c r="J1105" s="47"/>
      <c r="K1105" s="42"/>
      <c r="L1105" s="42"/>
      <c r="M1105" s="47"/>
      <c r="N1105" s="42"/>
      <c r="O1105" s="42"/>
      <c r="P1105" s="47"/>
      <c r="Q1105" s="42"/>
      <c r="R1105" s="42"/>
      <c r="S1105" s="47"/>
      <c r="T1105" s="42"/>
      <c r="U1105" s="42"/>
      <c r="V1105" s="47"/>
      <c r="W1105" s="42"/>
      <c r="X1105" s="42"/>
      <c r="Y1105" s="47"/>
      <c r="Z1105" s="42"/>
      <c r="AA1105" s="42"/>
      <c r="AB1105" s="47"/>
      <c r="AC1105" s="42"/>
      <c r="AD1105" s="42"/>
      <c r="AE1105" s="46"/>
      <c r="AF1105" s="47"/>
      <c r="AG1105" s="48"/>
    </row>
    <row r="1106" spans="2:33" s="38" customFormat="1" x14ac:dyDescent="0.25">
      <c r="B1106" s="49"/>
      <c r="C1106" s="70"/>
      <c r="D1106" s="42"/>
      <c r="F1106" s="46"/>
      <c r="G1106" s="47"/>
      <c r="H1106" s="42"/>
      <c r="I1106" s="42"/>
      <c r="J1106" s="47"/>
      <c r="K1106" s="42"/>
      <c r="L1106" s="42"/>
      <c r="M1106" s="47"/>
      <c r="N1106" s="42"/>
      <c r="O1106" s="42"/>
      <c r="P1106" s="47"/>
      <c r="Q1106" s="42"/>
      <c r="R1106" s="42"/>
      <c r="S1106" s="47"/>
      <c r="T1106" s="42"/>
      <c r="U1106" s="42"/>
      <c r="V1106" s="47"/>
      <c r="W1106" s="42"/>
      <c r="X1106" s="42"/>
      <c r="Y1106" s="47"/>
      <c r="Z1106" s="42"/>
      <c r="AA1106" s="42"/>
      <c r="AB1106" s="47"/>
      <c r="AC1106" s="42"/>
      <c r="AD1106" s="42"/>
      <c r="AE1106" s="46"/>
      <c r="AF1106" s="47"/>
      <c r="AG1106" s="48"/>
    </row>
    <row r="1107" spans="2:33" s="38" customFormat="1" x14ac:dyDescent="0.25">
      <c r="B1107" s="49"/>
      <c r="C1107" s="70"/>
      <c r="D1107" s="42"/>
      <c r="F1107" s="46"/>
      <c r="G1107" s="47"/>
      <c r="H1107" s="42"/>
      <c r="I1107" s="42"/>
      <c r="J1107" s="47"/>
      <c r="K1107" s="42"/>
      <c r="L1107" s="42"/>
      <c r="M1107" s="47"/>
      <c r="N1107" s="42"/>
      <c r="O1107" s="42"/>
      <c r="P1107" s="47"/>
      <c r="Q1107" s="42"/>
      <c r="R1107" s="42"/>
      <c r="S1107" s="47"/>
      <c r="T1107" s="42"/>
      <c r="U1107" s="42"/>
      <c r="V1107" s="47"/>
      <c r="W1107" s="42"/>
      <c r="X1107" s="42"/>
      <c r="Y1107" s="47"/>
      <c r="Z1107" s="42"/>
      <c r="AA1107" s="42"/>
      <c r="AB1107" s="47"/>
      <c r="AC1107" s="42"/>
      <c r="AD1107" s="42"/>
      <c r="AE1107" s="46"/>
      <c r="AF1107" s="47"/>
      <c r="AG1107" s="48"/>
    </row>
    <row r="1108" spans="2:33" s="38" customFormat="1" x14ac:dyDescent="0.25">
      <c r="B1108" s="49"/>
      <c r="C1108" s="70"/>
      <c r="D1108" s="42"/>
      <c r="F1108" s="46"/>
      <c r="G1108" s="47"/>
      <c r="H1108" s="42"/>
      <c r="I1108" s="42"/>
      <c r="J1108" s="47"/>
      <c r="K1108" s="42"/>
      <c r="L1108" s="42"/>
      <c r="M1108" s="47"/>
      <c r="N1108" s="42"/>
      <c r="O1108" s="42"/>
      <c r="P1108" s="47"/>
      <c r="Q1108" s="42"/>
      <c r="R1108" s="42"/>
      <c r="S1108" s="47"/>
      <c r="T1108" s="42"/>
      <c r="U1108" s="42"/>
      <c r="V1108" s="47"/>
      <c r="W1108" s="42"/>
      <c r="X1108" s="42"/>
      <c r="Y1108" s="47"/>
      <c r="Z1108" s="42"/>
      <c r="AA1108" s="42"/>
      <c r="AB1108" s="47"/>
      <c r="AC1108" s="42"/>
      <c r="AD1108" s="42"/>
      <c r="AE1108" s="46"/>
      <c r="AF1108" s="47"/>
      <c r="AG1108" s="48"/>
    </row>
    <row r="1109" spans="2:33" s="38" customFormat="1" x14ac:dyDescent="0.25">
      <c r="B1109" s="49"/>
      <c r="C1109" s="70"/>
      <c r="D1109" s="42"/>
      <c r="F1109" s="46"/>
      <c r="G1109" s="47"/>
      <c r="H1109" s="42"/>
      <c r="I1109" s="42"/>
      <c r="J1109" s="47"/>
      <c r="K1109" s="42"/>
      <c r="L1109" s="42"/>
      <c r="M1109" s="47"/>
      <c r="N1109" s="42"/>
      <c r="O1109" s="42"/>
      <c r="P1109" s="47"/>
      <c r="Q1109" s="42"/>
      <c r="R1109" s="42"/>
      <c r="S1109" s="47"/>
      <c r="T1109" s="42"/>
      <c r="U1109" s="42"/>
      <c r="V1109" s="47"/>
      <c r="W1109" s="42"/>
      <c r="X1109" s="42"/>
      <c r="Y1109" s="47"/>
      <c r="Z1109" s="42"/>
      <c r="AA1109" s="42"/>
      <c r="AB1109" s="47"/>
      <c r="AC1109" s="42"/>
      <c r="AD1109" s="42"/>
      <c r="AE1109" s="46"/>
      <c r="AF1109" s="47"/>
      <c r="AG1109" s="48"/>
    </row>
    <row r="1110" spans="2:33" s="38" customFormat="1" x14ac:dyDescent="0.25">
      <c r="B1110" s="49"/>
      <c r="C1110" s="70"/>
      <c r="D1110" s="42"/>
      <c r="F1110" s="46"/>
      <c r="G1110" s="47"/>
      <c r="H1110" s="42"/>
      <c r="I1110" s="42"/>
      <c r="J1110" s="47"/>
      <c r="K1110" s="42"/>
      <c r="L1110" s="42"/>
      <c r="M1110" s="47"/>
      <c r="N1110" s="42"/>
      <c r="O1110" s="42"/>
      <c r="P1110" s="47"/>
      <c r="Q1110" s="42"/>
      <c r="R1110" s="42"/>
      <c r="S1110" s="47"/>
      <c r="T1110" s="42"/>
      <c r="U1110" s="42"/>
      <c r="V1110" s="47"/>
      <c r="W1110" s="42"/>
      <c r="X1110" s="42"/>
      <c r="Y1110" s="47"/>
      <c r="Z1110" s="42"/>
      <c r="AA1110" s="42"/>
      <c r="AB1110" s="47"/>
      <c r="AC1110" s="42"/>
      <c r="AD1110" s="42"/>
      <c r="AE1110" s="46"/>
      <c r="AF1110" s="47"/>
      <c r="AG1110" s="48"/>
    </row>
    <row r="1111" spans="2:33" s="38" customFormat="1" x14ac:dyDescent="0.25">
      <c r="B1111" s="49"/>
      <c r="C1111" s="70"/>
      <c r="D1111" s="42"/>
      <c r="F1111" s="46"/>
      <c r="G1111" s="47"/>
      <c r="H1111" s="42"/>
      <c r="I1111" s="42"/>
      <c r="J1111" s="47"/>
      <c r="K1111" s="42"/>
      <c r="L1111" s="42"/>
      <c r="M1111" s="47"/>
      <c r="N1111" s="42"/>
      <c r="O1111" s="42"/>
      <c r="P1111" s="47"/>
      <c r="Q1111" s="42"/>
      <c r="R1111" s="42"/>
      <c r="S1111" s="47"/>
      <c r="T1111" s="42"/>
      <c r="U1111" s="42"/>
      <c r="V1111" s="47"/>
      <c r="W1111" s="42"/>
      <c r="X1111" s="42"/>
      <c r="Y1111" s="47"/>
      <c r="Z1111" s="42"/>
      <c r="AA1111" s="42"/>
      <c r="AB1111" s="47"/>
      <c r="AC1111" s="42"/>
      <c r="AD1111" s="42"/>
      <c r="AE1111" s="46"/>
      <c r="AF1111" s="47"/>
      <c r="AG1111" s="48"/>
    </row>
    <row r="1112" spans="2:33" s="38" customFormat="1" x14ac:dyDescent="0.25">
      <c r="B1112" s="49"/>
      <c r="C1112" s="70"/>
      <c r="D1112" s="42"/>
      <c r="F1112" s="46"/>
      <c r="G1112" s="47"/>
      <c r="H1112" s="42"/>
      <c r="I1112" s="42"/>
      <c r="J1112" s="47"/>
      <c r="K1112" s="42"/>
      <c r="L1112" s="42"/>
      <c r="M1112" s="47"/>
      <c r="N1112" s="42"/>
      <c r="O1112" s="42"/>
      <c r="P1112" s="47"/>
      <c r="Q1112" s="42"/>
      <c r="R1112" s="42"/>
      <c r="S1112" s="47"/>
      <c r="T1112" s="42"/>
      <c r="U1112" s="42"/>
      <c r="V1112" s="47"/>
      <c r="W1112" s="42"/>
      <c r="X1112" s="42"/>
      <c r="Y1112" s="47"/>
      <c r="Z1112" s="42"/>
      <c r="AA1112" s="42"/>
      <c r="AB1112" s="47"/>
      <c r="AC1112" s="42"/>
      <c r="AD1112" s="42"/>
      <c r="AE1112" s="46"/>
      <c r="AF1112" s="47"/>
      <c r="AG1112" s="48"/>
    </row>
    <row r="1113" spans="2:33" s="38" customFormat="1" x14ac:dyDescent="0.25">
      <c r="B1113" s="49"/>
      <c r="C1113" s="70"/>
      <c r="D1113" s="42"/>
      <c r="F1113" s="46"/>
      <c r="G1113" s="47"/>
      <c r="H1113" s="42"/>
      <c r="I1113" s="42"/>
      <c r="J1113" s="47"/>
      <c r="K1113" s="42"/>
      <c r="L1113" s="42"/>
      <c r="M1113" s="47"/>
      <c r="N1113" s="42"/>
      <c r="O1113" s="42"/>
      <c r="P1113" s="47"/>
      <c r="Q1113" s="42"/>
      <c r="R1113" s="42"/>
      <c r="S1113" s="47"/>
      <c r="T1113" s="42"/>
      <c r="U1113" s="42"/>
      <c r="V1113" s="47"/>
      <c r="W1113" s="42"/>
      <c r="X1113" s="42"/>
      <c r="Y1113" s="47"/>
      <c r="Z1113" s="42"/>
      <c r="AA1113" s="42"/>
      <c r="AB1113" s="47"/>
      <c r="AC1113" s="42"/>
      <c r="AD1113" s="42"/>
      <c r="AE1113" s="46"/>
      <c r="AF1113" s="47"/>
      <c r="AG1113" s="48"/>
    </row>
    <row r="1114" spans="2:33" s="38" customFormat="1" x14ac:dyDescent="0.25">
      <c r="B1114" s="49"/>
      <c r="C1114" s="70"/>
      <c r="D1114" s="42"/>
      <c r="F1114" s="46"/>
      <c r="G1114" s="47"/>
      <c r="H1114" s="42"/>
      <c r="I1114" s="42"/>
      <c r="J1114" s="47"/>
      <c r="K1114" s="42"/>
      <c r="L1114" s="42"/>
      <c r="M1114" s="47"/>
      <c r="N1114" s="42"/>
      <c r="O1114" s="42"/>
      <c r="P1114" s="47"/>
      <c r="Q1114" s="42"/>
      <c r="R1114" s="42"/>
      <c r="S1114" s="47"/>
      <c r="T1114" s="42"/>
      <c r="U1114" s="42"/>
      <c r="V1114" s="47"/>
      <c r="W1114" s="42"/>
      <c r="X1114" s="42"/>
      <c r="Y1114" s="47"/>
      <c r="Z1114" s="42"/>
      <c r="AA1114" s="42"/>
      <c r="AB1114" s="47"/>
      <c r="AC1114" s="42"/>
      <c r="AD1114" s="42"/>
      <c r="AE1114" s="46"/>
      <c r="AF1114" s="47"/>
      <c r="AG1114" s="48"/>
    </row>
    <row r="1115" spans="2:33" s="38" customFormat="1" x14ac:dyDescent="0.25">
      <c r="B1115" s="49"/>
      <c r="C1115" s="70"/>
      <c r="D1115" s="42"/>
      <c r="F1115" s="46"/>
      <c r="G1115" s="47"/>
      <c r="H1115" s="42"/>
      <c r="I1115" s="42"/>
      <c r="J1115" s="47"/>
      <c r="K1115" s="42"/>
      <c r="L1115" s="42"/>
      <c r="M1115" s="47"/>
      <c r="N1115" s="42"/>
      <c r="O1115" s="42"/>
      <c r="P1115" s="47"/>
      <c r="Q1115" s="42"/>
      <c r="R1115" s="42"/>
      <c r="S1115" s="47"/>
      <c r="T1115" s="42"/>
      <c r="U1115" s="42"/>
      <c r="V1115" s="47"/>
      <c r="W1115" s="42"/>
      <c r="X1115" s="42"/>
      <c r="Y1115" s="47"/>
      <c r="Z1115" s="42"/>
      <c r="AA1115" s="42"/>
      <c r="AB1115" s="47"/>
      <c r="AC1115" s="42"/>
      <c r="AD1115" s="42"/>
      <c r="AE1115" s="46"/>
      <c r="AF1115" s="47"/>
      <c r="AG1115" s="48"/>
    </row>
    <row r="1116" spans="2:33" s="38" customFormat="1" x14ac:dyDescent="0.25">
      <c r="B1116" s="49"/>
      <c r="C1116" s="70"/>
      <c r="D1116" s="42"/>
      <c r="F1116" s="46"/>
      <c r="G1116" s="47"/>
      <c r="H1116" s="42"/>
      <c r="I1116" s="42"/>
      <c r="J1116" s="47"/>
      <c r="K1116" s="42"/>
      <c r="L1116" s="42"/>
      <c r="M1116" s="47"/>
      <c r="N1116" s="42"/>
      <c r="O1116" s="42"/>
      <c r="P1116" s="47"/>
      <c r="Q1116" s="42"/>
      <c r="R1116" s="42"/>
      <c r="S1116" s="47"/>
      <c r="T1116" s="42"/>
      <c r="U1116" s="42"/>
      <c r="V1116" s="47"/>
      <c r="W1116" s="42"/>
      <c r="X1116" s="42"/>
      <c r="Y1116" s="47"/>
      <c r="Z1116" s="42"/>
      <c r="AA1116" s="42"/>
      <c r="AB1116" s="47"/>
      <c r="AC1116" s="42"/>
      <c r="AD1116" s="42"/>
      <c r="AE1116" s="46"/>
      <c r="AF1116" s="47"/>
      <c r="AG1116" s="48"/>
    </row>
    <row r="1117" spans="2:33" s="38" customFormat="1" x14ac:dyDescent="0.25">
      <c r="B1117" s="49"/>
      <c r="C1117" s="70"/>
      <c r="D1117" s="42"/>
      <c r="F1117" s="46"/>
      <c r="G1117" s="47"/>
      <c r="H1117" s="42"/>
      <c r="I1117" s="42"/>
      <c r="J1117" s="47"/>
      <c r="K1117" s="42"/>
      <c r="L1117" s="42"/>
      <c r="M1117" s="47"/>
      <c r="N1117" s="42"/>
      <c r="O1117" s="42"/>
      <c r="P1117" s="47"/>
      <c r="Q1117" s="42"/>
      <c r="R1117" s="42"/>
      <c r="S1117" s="47"/>
      <c r="T1117" s="42"/>
      <c r="U1117" s="42"/>
      <c r="V1117" s="47"/>
      <c r="W1117" s="42"/>
      <c r="X1117" s="42"/>
      <c r="Y1117" s="47"/>
      <c r="Z1117" s="42"/>
      <c r="AA1117" s="42"/>
      <c r="AB1117" s="47"/>
      <c r="AC1117" s="42"/>
      <c r="AD1117" s="42"/>
      <c r="AE1117" s="46"/>
      <c r="AF1117" s="47"/>
      <c r="AG1117" s="48"/>
    </row>
    <row r="1118" spans="2:33" s="38" customFormat="1" x14ac:dyDescent="0.25">
      <c r="B1118" s="49"/>
      <c r="C1118" s="70"/>
      <c r="D1118" s="42"/>
      <c r="F1118" s="46"/>
      <c r="G1118" s="47"/>
      <c r="H1118" s="42"/>
      <c r="I1118" s="42"/>
      <c r="J1118" s="47"/>
      <c r="K1118" s="42"/>
      <c r="L1118" s="42"/>
      <c r="M1118" s="47"/>
      <c r="N1118" s="42"/>
      <c r="O1118" s="42"/>
      <c r="P1118" s="47"/>
      <c r="Q1118" s="42"/>
      <c r="R1118" s="42"/>
      <c r="S1118" s="47"/>
      <c r="T1118" s="42"/>
      <c r="U1118" s="42"/>
      <c r="V1118" s="47"/>
      <c r="W1118" s="42"/>
      <c r="X1118" s="42"/>
      <c r="Y1118" s="47"/>
      <c r="Z1118" s="42"/>
      <c r="AA1118" s="42"/>
      <c r="AB1118" s="47"/>
      <c r="AC1118" s="42"/>
      <c r="AD1118" s="42"/>
      <c r="AE1118" s="46"/>
      <c r="AF1118" s="47"/>
      <c r="AG1118" s="48"/>
    </row>
    <row r="1119" spans="2:33" s="38" customFormat="1" x14ac:dyDescent="0.25">
      <c r="B1119" s="49"/>
      <c r="C1119" s="70"/>
      <c r="D1119" s="42"/>
      <c r="F1119" s="46"/>
      <c r="G1119" s="47"/>
      <c r="H1119" s="42"/>
      <c r="I1119" s="42"/>
      <c r="J1119" s="47"/>
      <c r="K1119" s="42"/>
      <c r="L1119" s="42"/>
      <c r="M1119" s="47"/>
      <c r="N1119" s="42"/>
      <c r="O1119" s="42"/>
      <c r="P1119" s="47"/>
      <c r="Q1119" s="42"/>
      <c r="R1119" s="42"/>
      <c r="S1119" s="47"/>
      <c r="T1119" s="42"/>
      <c r="U1119" s="42"/>
      <c r="V1119" s="47"/>
      <c r="W1119" s="42"/>
      <c r="X1119" s="42"/>
      <c r="Y1119" s="47"/>
      <c r="Z1119" s="42"/>
      <c r="AA1119" s="42"/>
      <c r="AB1119" s="47"/>
      <c r="AC1119" s="42"/>
      <c r="AD1119" s="42"/>
      <c r="AE1119" s="46"/>
      <c r="AF1119" s="47"/>
      <c r="AG1119" s="48"/>
    </row>
    <row r="1120" spans="2:33" s="38" customFormat="1" x14ac:dyDescent="0.25">
      <c r="B1120" s="49"/>
      <c r="C1120" s="70"/>
      <c r="D1120" s="42"/>
      <c r="F1120" s="46"/>
      <c r="G1120" s="47"/>
      <c r="H1120" s="42"/>
      <c r="I1120" s="42"/>
      <c r="J1120" s="47"/>
      <c r="K1120" s="42"/>
      <c r="L1120" s="42"/>
      <c r="M1120" s="47"/>
      <c r="N1120" s="42"/>
      <c r="O1120" s="42"/>
      <c r="P1120" s="47"/>
      <c r="Q1120" s="42"/>
      <c r="R1120" s="42"/>
      <c r="S1120" s="47"/>
      <c r="T1120" s="42"/>
      <c r="U1120" s="42"/>
      <c r="V1120" s="47"/>
      <c r="W1120" s="42"/>
      <c r="X1120" s="42"/>
      <c r="Y1120" s="47"/>
      <c r="Z1120" s="42"/>
      <c r="AA1120" s="42"/>
      <c r="AB1120" s="47"/>
      <c r="AC1120" s="42"/>
      <c r="AD1120" s="42"/>
      <c r="AE1120" s="46"/>
      <c r="AF1120" s="47"/>
      <c r="AG1120" s="48"/>
    </row>
    <row r="1121" spans="2:33" s="38" customFormat="1" x14ac:dyDescent="0.25">
      <c r="B1121" s="49"/>
      <c r="C1121" s="70"/>
      <c r="D1121" s="42"/>
      <c r="F1121" s="46"/>
      <c r="G1121" s="47"/>
      <c r="H1121" s="42"/>
      <c r="I1121" s="42"/>
      <c r="J1121" s="47"/>
      <c r="K1121" s="42"/>
      <c r="L1121" s="42"/>
      <c r="M1121" s="47"/>
      <c r="N1121" s="42"/>
      <c r="O1121" s="42"/>
      <c r="P1121" s="47"/>
      <c r="Q1121" s="42"/>
      <c r="R1121" s="42"/>
      <c r="S1121" s="47"/>
      <c r="T1121" s="42"/>
      <c r="U1121" s="42"/>
      <c r="V1121" s="47"/>
      <c r="W1121" s="42"/>
      <c r="X1121" s="42"/>
      <c r="Y1121" s="47"/>
      <c r="Z1121" s="42"/>
      <c r="AA1121" s="42"/>
      <c r="AB1121" s="47"/>
      <c r="AC1121" s="42"/>
      <c r="AD1121" s="42"/>
      <c r="AE1121" s="46"/>
      <c r="AF1121" s="47"/>
      <c r="AG1121" s="48"/>
    </row>
    <row r="1122" spans="2:33" s="38" customFormat="1" x14ac:dyDescent="0.25">
      <c r="B1122" s="49"/>
      <c r="C1122" s="70"/>
      <c r="D1122" s="42"/>
      <c r="F1122" s="46"/>
      <c r="G1122" s="47"/>
      <c r="H1122" s="42"/>
      <c r="I1122" s="42"/>
      <c r="J1122" s="47"/>
      <c r="K1122" s="42"/>
      <c r="L1122" s="42"/>
      <c r="M1122" s="47"/>
      <c r="N1122" s="42"/>
      <c r="O1122" s="42"/>
      <c r="P1122" s="47"/>
      <c r="Q1122" s="42"/>
      <c r="R1122" s="42"/>
      <c r="S1122" s="47"/>
      <c r="T1122" s="42"/>
      <c r="U1122" s="42"/>
      <c r="V1122" s="47"/>
      <c r="W1122" s="42"/>
      <c r="X1122" s="42"/>
      <c r="Y1122" s="47"/>
      <c r="Z1122" s="42"/>
      <c r="AA1122" s="42"/>
      <c r="AB1122" s="47"/>
      <c r="AC1122" s="42"/>
      <c r="AD1122" s="42"/>
      <c r="AE1122" s="46"/>
      <c r="AF1122" s="47"/>
      <c r="AG1122" s="48"/>
    </row>
    <row r="1123" spans="2:33" s="38" customFormat="1" x14ac:dyDescent="0.25">
      <c r="B1123" s="49"/>
      <c r="C1123" s="70"/>
      <c r="D1123" s="42"/>
      <c r="F1123" s="46"/>
      <c r="G1123" s="47"/>
      <c r="H1123" s="42"/>
      <c r="I1123" s="42"/>
      <c r="J1123" s="47"/>
      <c r="K1123" s="42"/>
      <c r="L1123" s="42"/>
      <c r="M1123" s="47"/>
      <c r="N1123" s="42"/>
      <c r="O1123" s="42"/>
      <c r="P1123" s="47"/>
      <c r="Q1123" s="42"/>
      <c r="R1123" s="42"/>
      <c r="S1123" s="47"/>
      <c r="T1123" s="42"/>
      <c r="U1123" s="42"/>
      <c r="V1123" s="47"/>
      <c r="W1123" s="42"/>
      <c r="X1123" s="42"/>
      <c r="Y1123" s="47"/>
      <c r="Z1123" s="42"/>
      <c r="AA1123" s="42"/>
      <c r="AB1123" s="47"/>
      <c r="AC1123" s="42"/>
      <c r="AD1123" s="42"/>
      <c r="AE1123" s="46"/>
      <c r="AF1123" s="47"/>
      <c r="AG1123" s="48"/>
    </row>
    <row r="1124" spans="2:33" s="38" customFormat="1" x14ac:dyDescent="0.25">
      <c r="B1124" s="49"/>
      <c r="C1124" s="70"/>
      <c r="D1124" s="42"/>
      <c r="F1124" s="46"/>
      <c r="G1124" s="47"/>
      <c r="H1124" s="42"/>
      <c r="I1124" s="42"/>
      <c r="J1124" s="47"/>
      <c r="K1124" s="42"/>
      <c r="L1124" s="42"/>
      <c r="M1124" s="47"/>
      <c r="N1124" s="42"/>
      <c r="O1124" s="42"/>
      <c r="P1124" s="47"/>
      <c r="Q1124" s="42"/>
      <c r="R1124" s="42"/>
      <c r="S1124" s="47"/>
      <c r="T1124" s="42"/>
      <c r="U1124" s="42"/>
      <c r="V1124" s="47"/>
      <c r="W1124" s="42"/>
      <c r="X1124" s="42"/>
      <c r="Y1124" s="47"/>
      <c r="Z1124" s="42"/>
      <c r="AA1124" s="42"/>
      <c r="AB1124" s="47"/>
      <c r="AC1124" s="42"/>
      <c r="AD1124" s="42"/>
      <c r="AE1124" s="46"/>
      <c r="AF1124" s="47"/>
      <c r="AG1124" s="48"/>
    </row>
    <row r="1125" spans="2:33" s="38" customFormat="1" x14ac:dyDescent="0.25">
      <c r="B1125" s="49"/>
      <c r="C1125" s="70"/>
      <c r="D1125" s="42"/>
      <c r="F1125" s="46"/>
      <c r="G1125" s="47"/>
      <c r="H1125" s="42"/>
      <c r="I1125" s="42"/>
      <c r="J1125" s="47"/>
      <c r="K1125" s="42"/>
      <c r="L1125" s="42"/>
      <c r="M1125" s="47"/>
      <c r="N1125" s="42"/>
      <c r="O1125" s="42"/>
      <c r="P1125" s="47"/>
      <c r="Q1125" s="42"/>
      <c r="R1125" s="42"/>
      <c r="S1125" s="47"/>
      <c r="T1125" s="42"/>
      <c r="U1125" s="42"/>
      <c r="V1125" s="47"/>
      <c r="W1125" s="42"/>
      <c r="X1125" s="42"/>
      <c r="Y1125" s="47"/>
      <c r="Z1125" s="42"/>
      <c r="AA1125" s="42"/>
      <c r="AB1125" s="47"/>
      <c r="AC1125" s="42"/>
      <c r="AD1125" s="42"/>
      <c r="AE1125" s="46"/>
      <c r="AF1125" s="47"/>
      <c r="AG1125" s="48"/>
    </row>
    <row r="1126" spans="2:33" s="38" customFormat="1" x14ac:dyDescent="0.25">
      <c r="B1126" s="49"/>
      <c r="C1126" s="70"/>
      <c r="D1126" s="42"/>
      <c r="F1126" s="46"/>
      <c r="G1126" s="47"/>
      <c r="H1126" s="42"/>
      <c r="I1126" s="42"/>
      <c r="J1126" s="47"/>
      <c r="K1126" s="42"/>
      <c r="L1126" s="42"/>
      <c r="M1126" s="47"/>
      <c r="N1126" s="42"/>
      <c r="O1126" s="42"/>
      <c r="P1126" s="47"/>
      <c r="Q1126" s="42"/>
      <c r="R1126" s="42"/>
      <c r="S1126" s="47"/>
      <c r="T1126" s="42"/>
      <c r="U1126" s="42"/>
      <c r="V1126" s="47"/>
      <c r="W1126" s="42"/>
      <c r="X1126" s="42"/>
      <c r="Y1126" s="47"/>
      <c r="Z1126" s="42"/>
      <c r="AA1126" s="42"/>
      <c r="AB1126" s="47"/>
      <c r="AC1126" s="42"/>
      <c r="AD1126" s="42"/>
      <c r="AE1126" s="46"/>
      <c r="AF1126" s="47"/>
      <c r="AG1126" s="48"/>
    </row>
    <row r="1127" spans="2:33" s="38" customFormat="1" x14ac:dyDescent="0.25">
      <c r="B1127" s="49"/>
      <c r="C1127" s="70"/>
      <c r="D1127" s="42"/>
      <c r="F1127" s="46"/>
      <c r="G1127" s="47"/>
      <c r="H1127" s="42"/>
      <c r="I1127" s="42"/>
      <c r="J1127" s="47"/>
      <c r="K1127" s="42"/>
      <c r="L1127" s="42"/>
      <c r="M1127" s="47"/>
      <c r="N1127" s="42"/>
      <c r="O1127" s="42"/>
      <c r="P1127" s="47"/>
      <c r="Q1127" s="42"/>
      <c r="R1127" s="42"/>
      <c r="S1127" s="47"/>
      <c r="T1127" s="42"/>
      <c r="U1127" s="42"/>
      <c r="V1127" s="47"/>
      <c r="W1127" s="42"/>
      <c r="X1127" s="42"/>
      <c r="Y1127" s="47"/>
      <c r="Z1127" s="42"/>
      <c r="AA1127" s="42"/>
      <c r="AB1127" s="47"/>
      <c r="AC1127" s="42"/>
      <c r="AD1127" s="42"/>
      <c r="AE1127" s="46"/>
      <c r="AF1127" s="47"/>
      <c r="AG1127" s="48"/>
    </row>
    <row r="1128" spans="2:33" s="38" customFormat="1" x14ac:dyDescent="0.25">
      <c r="B1128" s="49"/>
      <c r="C1128" s="70"/>
      <c r="D1128" s="42"/>
      <c r="F1128" s="46"/>
      <c r="G1128" s="47"/>
      <c r="H1128" s="42"/>
      <c r="I1128" s="42"/>
      <c r="J1128" s="47"/>
      <c r="K1128" s="42"/>
      <c r="L1128" s="42"/>
      <c r="M1128" s="47"/>
      <c r="N1128" s="42"/>
      <c r="O1128" s="42"/>
      <c r="P1128" s="47"/>
      <c r="Q1128" s="42"/>
      <c r="R1128" s="42"/>
      <c r="S1128" s="47"/>
      <c r="T1128" s="42"/>
      <c r="U1128" s="42"/>
      <c r="V1128" s="47"/>
      <c r="W1128" s="42"/>
      <c r="X1128" s="42"/>
      <c r="Y1128" s="47"/>
      <c r="Z1128" s="42"/>
      <c r="AA1128" s="42"/>
      <c r="AB1128" s="47"/>
      <c r="AC1128" s="42"/>
      <c r="AD1128" s="42"/>
      <c r="AE1128" s="46"/>
      <c r="AF1128" s="47"/>
      <c r="AG1128" s="48"/>
    </row>
    <row r="1129" spans="2:33" s="38" customFormat="1" x14ac:dyDescent="0.25">
      <c r="B1129" s="49"/>
      <c r="C1129" s="70"/>
      <c r="D1129" s="42"/>
      <c r="F1129" s="46"/>
      <c r="G1129" s="47"/>
      <c r="H1129" s="42"/>
      <c r="I1129" s="42"/>
      <c r="J1129" s="47"/>
      <c r="K1129" s="42"/>
      <c r="L1129" s="42"/>
      <c r="M1129" s="47"/>
      <c r="N1129" s="42"/>
      <c r="O1129" s="42"/>
      <c r="P1129" s="47"/>
      <c r="Q1129" s="42"/>
      <c r="R1129" s="42"/>
      <c r="S1129" s="47"/>
      <c r="T1129" s="42"/>
      <c r="U1129" s="42"/>
      <c r="V1129" s="47"/>
      <c r="W1129" s="42"/>
      <c r="X1129" s="42"/>
      <c r="Y1129" s="47"/>
      <c r="Z1129" s="42"/>
      <c r="AA1129" s="42"/>
      <c r="AB1129" s="47"/>
      <c r="AC1129" s="42"/>
      <c r="AD1129" s="42"/>
      <c r="AE1129" s="46"/>
      <c r="AF1129" s="47"/>
      <c r="AG1129" s="48"/>
    </row>
    <row r="1130" spans="2:33" s="38" customFormat="1" x14ac:dyDescent="0.25">
      <c r="B1130" s="49"/>
      <c r="C1130" s="70"/>
      <c r="D1130" s="42"/>
      <c r="F1130" s="46"/>
      <c r="G1130" s="47"/>
      <c r="H1130" s="42"/>
      <c r="I1130" s="42"/>
      <c r="J1130" s="47"/>
      <c r="K1130" s="42"/>
      <c r="L1130" s="42"/>
      <c r="M1130" s="47"/>
      <c r="N1130" s="42"/>
      <c r="O1130" s="42"/>
      <c r="P1130" s="47"/>
      <c r="Q1130" s="42"/>
      <c r="R1130" s="42"/>
      <c r="S1130" s="47"/>
      <c r="T1130" s="42"/>
      <c r="U1130" s="42"/>
      <c r="V1130" s="47"/>
      <c r="W1130" s="42"/>
      <c r="X1130" s="42"/>
      <c r="Y1130" s="47"/>
      <c r="Z1130" s="42"/>
      <c r="AA1130" s="42"/>
      <c r="AB1130" s="47"/>
      <c r="AC1130" s="42"/>
      <c r="AD1130" s="42"/>
      <c r="AE1130" s="46"/>
      <c r="AF1130" s="47"/>
      <c r="AG1130" s="48"/>
    </row>
    <row r="1131" spans="2:33" s="38" customFormat="1" x14ac:dyDescent="0.25">
      <c r="B1131" s="49"/>
      <c r="C1131" s="70"/>
      <c r="D1131" s="42"/>
      <c r="F1131" s="46"/>
      <c r="G1131" s="47"/>
      <c r="H1131" s="42"/>
      <c r="I1131" s="42"/>
      <c r="J1131" s="47"/>
      <c r="K1131" s="42"/>
      <c r="L1131" s="42"/>
      <c r="M1131" s="47"/>
      <c r="N1131" s="42"/>
      <c r="O1131" s="42"/>
      <c r="P1131" s="47"/>
      <c r="Q1131" s="42"/>
      <c r="R1131" s="42"/>
      <c r="S1131" s="47"/>
      <c r="T1131" s="42"/>
      <c r="U1131" s="42"/>
      <c r="V1131" s="47"/>
      <c r="W1131" s="42"/>
      <c r="X1131" s="42"/>
      <c r="Y1131" s="47"/>
      <c r="Z1131" s="42"/>
      <c r="AA1131" s="42"/>
      <c r="AB1131" s="47"/>
      <c r="AC1131" s="42"/>
      <c r="AD1131" s="42"/>
      <c r="AE1131" s="46"/>
      <c r="AF1131" s="47"/>
      <c r="AG1131" s="48"/>
    </row>
    <row r="1132" spans="2:33" s="38" customFormat="1" x14ac:dyDescent="0.25">
      <c r="B1132" s="49"/>
      <c r="C1132" s="70"/>
      <c r="D1132" s="42"/>
      <c r="F1132" s="46"/>
      <c r="G1132" s="47"/>
      <c r="H1132" s="42"/>
      <c r="I1132" s="42"/>
      <c r="J1132" s="47"/>
      <c r="K1132" s="42"/>
      <c r="L1132" s="42"/>
      <c r="M1132" s="47"/>
      <c r="N1132" s="42"/>
      <c r="O1132" s="42"/>
      <c r="P1132" s="47"/>
      <c r="Q1132" s="42"/>
      <c r="R1132" s="42"/>
      <c r="S1132" s="47"/>
      <c r="T1132" s="42"/>
      <c r="U1132" s="42"/>
      <c r="V1132" s="47"/>
      <c r="W1132" s="42"/>
      <c r="X1132" s="42"/>
      <c r="Y1132" s="47"/>
      <c r="Z1132" s="42"/>
      <c r="AA1132" s="42"/>
      <c r="AB1132" s="47"/>
      <c r="AC1132" s="42"/>
      <c r="AD1132" s="42"/>
      <c r="AE1132" s="46"/>
      <c r="AF1132" s="47"/>
      <c r="AG1132" s="48"/>
    </row>
    <row r="1133" spans="2:33" s="38" customFormat="1" x14ac:dyDescent="0.25">
      <c r="B1133" s="49"/>
      <c r="C1133" s="70"/>
      <c r="D1133" s="42"/>
      <c r="F1133" s="46"/>
      <c r="G1133" s="47"/>
      <c r="H1133" s="42"/>
      <c r="I1133" s="42"/>
      <c r="J1133" s="47"/>
      <c r="K1133" s="42"/>
      <c r="L1133" s="42"/>
      <c r="M1133" s="47"/>
      <c r="N1133" s="42"/>
      <c r="O1133" s="42"/>
      <c r="P1133" s="47"/>
      <c r="Q1133" s="42"/>
      <c r="R1133" s="42"/>
      <c r="S1133" s="47"/>
      <c r="T1133" s="42"/>
      <c r="U1133" s="42"/>
      <c r="V1133" s="47"/>
      <c r="W1133" s="42"/>
      <c r="X1133" s="42"/>
      <c r="Y1133" s="47"/>
      <c r="Z1133" s="42"/>
      <c r="AA1133" s="42"/>
      <c r="AB1133" s="47"/>
      <c r="AC1133" s="42"/>
      <c r="AD1133" s="42"/>
      <c r="AE1133" s="46"/>
      <c r="AF1133" s="47"/>
      <c r="AG1133" s="48"/>
    </row>
    <row r="1134" spans="2:33" s="38" customFormat="1" x14ac:dyDescent="0.25">
      <c r="B1134" s="49"/>
      <c r="C1134" s="70"/>
      <c r="D1134" s="42"/>
      <c r="F1134" s="46"/>
      <c r="G1134" s="47"/>
      <c r="H1134" s="42"/>
      <c r="I1134" s="42"/>
      <c r="J1134" s="47"/>
      <c r="K1134" s="42"/>
      <c r="L1134" s="42"/>
      <c r="M1134" s="47"/>
      <c r="N1134" s="42"/>
      <c r="O1134" s="42"/>
      <c r="P1134" s="47"/>
      <c r="Q1134" s="42"/>
      <c r="R1134" s="42"/>
      <c r="S1134" s="47"/>
      <c r="T1134" s="42"/>
      <c r="U1134" s="42"/>
      <c r="V1134" s="47"/>
      <c r="W1134" s="42"/>
      <c r="X1134" s="42"/>
      <c r="Y1134" s="47"/>
      <c r="Z1134" s="42"/>
      <c r="AA1134" s="42"/>
      <c r="AB1134" s="47"/>
      <c r="AC1134" s="42"/>
      <c r="AD1134" s="42"/>
      <c r="AE1134" s="46"/>
      <c r="AF1134" s="47"/>
      <c r="AG1134" s="48"/>
    </row>
    <row r="1135" spans="2:33" s="38" customFormat="1" x14ac:dyDescent="0.25">
      <c r="B1135" s="49"/>
      <c r="C1135" s="70"/>
      <c r="D1135" s="42"/>
      <c r="F1135" s="46"/>
      <c r="G1135" s="47"/>
      <c r="H1135" s="42"/>
      <c r="I1135" s="42"/>
      <c r="J1135" s="47"/>
      <c r="K1135" s="42"/>
      <c r="L1135" s="42"/>
      <c r="M1135" s="47"/>
      <c r="N1135" s="42"/>
      <c r="O1135" s="42"/>
      <c r="P1135" s="47"/>
      <c r="Q1135" s="42"/>
      <c r="R1135" s="42"/>
      <c r="S1135" s="47"/>
      <c r="T1135" s="42"/>
      <c r="U1135" s="42"/>
      <c r="V1135" s="47"/>
      <c r="W1135" s="42"/>
      <c r="X1135" s="42"/>
      <c r="Y1135" s="47"/>
      <c r="Z1135" s="42"/>
      <c r="AA1135" s="42"/>
      <c r="AB1135" s="47"/>
      <c r="AC1135" s="42"/>
      <c r="AD1135" s="42"/>
      <c r="AE1135" s="46"/>
      <c r="AF1135" s="47"/>
      <c r="AG1135" s="48"/>
    </row>
    <row r="1136" spans="2:33" s="38" customFormat="1" x14ac:dyDescent="0.25">
      <c r="B1136" s="49"/>
      <c r="C1136" s="70"/>
      <c r="D1136" s="42"/>
      <c r="F1136" s="46"/>
      <c r="G1136" s="47"/>
      <c r="H1136" s="42"/>
      <c r="I1136" s="42"/>
      <c r="J1136" s="47"/>
      <c r="K1136" s="42"/>
      <c r="L1136" s="42"/>
      <c r="M1136" s="47"/>
      <c r="N1136" s="42"/>
      <c r="O1136" s="42"/>
      <c r="P1136" s="47"/>
      <c r="Q1136" s="42"/>
      <c r="R1136" s="42"/>
      <c r="S1136" s="47"/>
      <c r="T1136" s="42"/>
      <c r="U1136" s="42"/>
      <c r="V1136" s="47"/>
      <c r="W1136" s="42"/>
      <c r="X1136" s="42"/>
      <c r="Y1136" s="47"/>
      <c r="Z1136" s="42"/>
      <c r="AA1136" s="42"/>
      <c r="AB1136" s="47"/>
      <c r="AC1136" s="42"/>
      <c r="AD1136" s="42"/>
      <c r="AE1136" s="46"/>
      <c r="AF1136" s="47"/>
      <c r="AG1136" s="48"/>
    </row>
    <row r="1137" spans="2:33" s="38" customFormat="1" x14ac:dyDescent="0.25">
      <c r="B1137" s="49"/>
      <c r="C1137" s="70"/>
      <c r="D1137" s="42"/>
      <c r="F1137" s="46"/>
      <c r="G1137" s="47"/>
      <c r="H1137" s="42"/>
      <c r="I1137" s="42"/>
      <c r="J1137" s="47"/>
      <c r="K1137" s="42"/>
      <c r="L1137" s="42"/>
      <c r="M1137" s="47"/>
      <c r="N1137" s="42"/>
      <c r="O1137" s="42"/>
      <c r="P1137" s="47"/>
      <c r="Q1137" s="42"/>
      <c r="R1137" s="42"/>
      <c r="S1137" s="47"/>
      <c r="T1137" s="42"/>
      <c r="U1137" s="42"/>
      <c r="V1137" s="47"/>
      <c r="W1137" s="42"/>
      <c r="X1137" s="42"/>
      <c r="Y1137" s="47"/>
      <c r="Z1137" s="42"/>
      <c r="AA1137" s="42"/>
      <c r="AB1137" s="47"/>
      <c r="AC1137" s="42"/>
      <c r="AD1137" s="42"/>
      <c r="AE1137" s="46"/>
      <c r="AF1137" s="47"/>
      <c r="AG1137" s="48"/>
    </row>
    <row r="1138" spans="2:33" s="38" customFormat="1" x14ac:dyDescent="0.25">
      <c r="B1138" s="49"/>
      <c r="C1138" s="70"/>
      <c r="D1138" s="42"/>
      <c r="F1138" s="46"/>
      <c r="G1138" s="47"/>
      <c r="H1138" s="42"/>
      <c r="I1138" s="42"/>
      <c r="J1138" s="47"/>
      <c r="K1138" s="42"/>
      <c r="L1138" s="42"/>
      <c r="M1138" s="47"/>
      <c r="N1138" s="42"/>
      <c r="O1138" s="42"/>
      <c r="P1138" s="47"/>
      <c r="Q1138" s="42"/>
      <c r="R1138" s="42"/>
      <c r="S1138" s="47"/>
      <c r="T1138" s="42"/>
      <c r="U1138" s="42"/>
      <c r="V1138" s="47"/>
      <c r="W1138" s="42"/>
      <c r="X1138" s="42"/>
      <c r="Y1138" s="47"/>
      <c r="Z1138" s="42"/>
      <c r="AA1138" s="42"/>
      <c r="AB1138" s="47"/>
      <c r="AC1138" s="42"/>
      <c r="AD1138" s="42"/>
      <c r="AE1138" s="46"/>
      <c r="AF1138" s="47"/>
      <c r="AG1138" s="48"/>
    </row>
    <row r="1139" spans="2:33" s="38" customFormat="1" x14ac:dyDescent="0.25">
      <c r="B1139" s="49"/>
      <c r="C1139" s="70"/>
      <c r="D1139" s="42"/>
      <c r="F1139" s="46"/>
      <c r="G1139" s="47"/>
      <c r="H1139" s="42"/>
      <c r="I1139" s="42"/>
      <c r="J1139" s="47"/>
      <c r="K1139" s="42"/>
      <c r="L1139" s="42"/>
      <c r="M1139" s="47"/>
      <c r="N1139" s="42"/>
      <c r="O1139" s="42"/>
      <c r="P1139" s="47"/>
      <c r="Q1139" s="42"/>
      <c r="R1139" s="42"/>
      <c r="S1139" s="47"/>
      <c r="T1139" s="42"/>
      <c r="U1139" s="42"/>
      <c r="V1139" s="47"/>
      <c r="W1139" s="42"/>
      <c r="X1139" s="42"/>
      <c r="Y1139" s="47"/>
      <c r="Z1139" s="42"/>
      <c r="AA1139" s="42"/>
      <c r="AB1139" s="47"/>
      <c r="AC1139" s="42"/>
      <c r="AD1139" s="42"/>
      <c r="AE1139" s="46"/>
      <c r="AF1139" s="47"/>
      <c r="AG1139" s="48"/>
    </row>
    <row r="1140" spans="2:33" s="38" customFormat="1" x14ac:dyDescent="0.25">
      <c r="B1140" s="49"/>
      <c r="C1140" s="70"/>
      <c r="D1140" s="42"/>
      <c r="F1140" s="46"/>
      <c r="G1140" s="47"/>
      <c r="H1140" s="42"/>
      <c r="I1140" s="42"/>
      <c r="J1140" s="47"/>
      <c r="K1140" s="42"/>
      <c r="L1140" s="42"/>
      <c r="M1140" s="47"/>
      <c r="N1140" s="42"/>
      <c r="O1140" s="42"/>
      <c r="P1140" s="47"/>
      <c r="Q1140" s="42"/>
      <c r="R1140" s="42"/>
      <c r="S1140" s="47"/>
      <c r="T1140" s="42"/>
      <c r="U1140" s="42"/>
      <c r="V1140" s="47"/>
      <c r="W1140" s="42"/>
      <c r="X1140" s="42"/>
      <c r="Y1140" s="47"/>
      <c r="Z1140" s="42"/>
      <c r="AA1140" s="42"/>
      <c r="AB1140" s="47"/>
      <c r="AC1140" s="42"/>
      <c r="AD1140" s="42"/>
      <c r="AE1140" s="46"/>
      <c r="AF1140" s="47"/>
      <c r="AG1140" s="48"/>
    </row>
    <row r="1141" spans="2:33" s="38" customFormat="1" x14ac:dyDescent="0.25">
      <c r="B1141" s="49"/>
      <c r="C1141" s="70"/>
      <c r="D1141" s="42"/>
      <c r="F1141" s="46"/>
      <c r="G1141" s="47"/>
      <c r="H1141" s="42"/>
      <c r="I1141" s="42"/>
      <c r="J1141" s="47"/>
      <c r="K1141" s="42"/>
      <c r="L1141" s="42"/>
      <c r="M1141" s="47"/>
      <c r="N1141" s="42"/>
      <c r="O1141" s="42"/>
      <c r="P1141" s="47"/>
      <c r="Q1141" s="42"/>
      <c r="R1141" s="42"/>
      <c r="S1141" s="47"/>
      <c r="T1141" s="42"/>
      <c r="U1141" s="42"/>
      <c r="V1141" s="47"/>
      <c r="W1141" s="42"/>
      <c r="X1141" s="42"/>
      <c r="Y1141" s="47"/>
      <c r="Z1141" s="42"/>
      <c r="AA1141" s="42"/>
      <c r="AB1141" s="47"/>
      <c r="AC1141" s="42"/>
      <c r="AD1141" s="42"/>
      <c r="AE1141" s="46"/>
      <c r="AF1141" s="47"/>
      <c r="AG1141" s="48"/>
    </row>
    <row r="1142" spans="2:33" s="38" customFormat="1" x14ac:dyDescent="0.25">
      <c r="B1142" s="49"/>
      <c r="C1142" s="70"/>
      <c r="D1142" s="42"/>
      <c r="F1142" s="46"/>
      <c r="G1142" s="47"/>
      <c r="H1142" s="42"/>
      <c r="I1142" s="42"/>
      <c r="J1142" s="47"/>
      <c r="K1142" s="42"/>
      <c r="L1142" s="42"/>
      <c r="M1142" s="47"/>
      <c r="N1142" s="42"/>
      <c r="O1142" s="42"/>
      <c r="P1142" s="47"/>
      <c r="Q1142" s="42"/>
      <c r="R1142" s="42"/>
      <c r="S1142" s="47"/>
      <c r="T1142" s="42"/>
      <c r="U1142" s="42"/>
      <c r="V1142" s="47"/>
      <c r="W1142" s="42"/>
      <c r="X1142" s="42"/>
      <c r="Y1142" s="47"/>
      <c r="Z1142" s="42"/>
      <c r="AA1142" s="42"/>
      <c r="AB1142" s="47"/>
      <c r="AC1142" s="42"/>
      <c r="AD1142" s="42"/>
      <c r="AE1142" s="46"/>
      <c r="AF1142" s="47"/>
      <c r="AG1142" s="48"/>
    </row>
    <row r="1143" spans="2:33" s="38" customFormat="1" x14ac:dyDescent="0.25">
      <c r="B1143" s="49"/>
      <c r="C1143" s="70"/>
      <c r="D1143" s="42"/>
      <c r="F1143" s="46"/>
      <c r="G1143" s="47"/>
      <c r="H1143" s="42"/>
      <c r="I1143" s="42"/>
      <c r="J1143" s="47"/>
      <c r="K1143" s="42"/>
      <c r="L1143" s="42"/>
      <c r="M1143" s="47"/>
      <c r="N1143" s="42"/>
      <c r="O1143" s="42"/>
      <c r="P1143" s="47"/>
      <c r="Q1143" s="42"/>
      <c r="R1143" s="42"/>
      <c r="S1143" s="47"/>
      <c r="T1143" s="42"/>
      <c r="U1143" s="42"/>
      <c r="V1143" s="47"/>
      <c r="W1143" s="42"/>
      <c r="X1143" s="42"/>
      <c r="Y1143" s="47"/>
      <c r="Z1143" s="42"/>
      <c r="AA1143" s="42"/>
      <c r="AB1143" s="47"/>
      <c r="AC1143" s="42"/>
      <c r="AD1143" s="42"/>
      <c r="AE1143" s="46"/>
      <c r="AF1143" s="47"/>
      <c r="AG1143" s="48"/>
    </row>
    <row r="1144" spans="2:33" s="38" customFormat="1" x14ac:dyDescent="0.25">
      <c r="B1144" s="49"/>
      <c r="C1144" s="70"/>
      <c r="D1144" s="42"/>
      <c r="F1144" s="46"/>
      <c r="G1144" s="47"/>
      <c r="H1144" s="42"/>
      <c r="I1144" s="42"/>
      <c r="J1144" s="47"/>
      <c r="K1144" s="42"/>
      <c r="L1144" s="42"/>
      <c r="M1144" s="47"/>
      <c r="N1144" s="42"/>
      <c r="O1144" s="42"/>
      <c r="P1144" s="47"/>
      <c r="Q1144" s="42"/>
      <c r="R1144" s="42"/>
      <c r="S1144" s="47"/>
      <c r="T1144" s="42"/>
      <c r="U1144" s="42"/>
      <c r="V1144" s="47"/>
      <c r="W1144" s="42"/>
      <c r="X1144" s="42"/>
      <c r="Y1144" s="47"/>
      <c r="Z1144" s="42"/>
      <c r="AA1144" s="42"/>
      <c r="AB1144" s="47"/>
      <c r="AC1144" s="42"/>
      <c r="AD1144" s="42"/>
      <c r="AE1144" s="46"/>
      <c r="AF1144" s="47"/>
      <c r="AG1144" s="48"/>
    </row>
    <row r="1145" spans="2:33" s="38" customFormat="1" x14ac:dyDescent="0.25">
      <c r="B1145" s="49"/>
      <c r="C1145" s="70"/>
      <c r="D1145" s="42"/>
      <c r="F1145" s="46"/>
      <c r="G1145" s="47"/>
      <c r="H1145" s="42"/>
      <c r="I1145" s="42"/>
      <c r="J1145" s="47"/>
      <c r="K1145" s="42"/>
      <c r="L1145" s="42"/>
      <c r="M1145" s="47"/>
      <c r="N1145" s="42"/>
      <c r="O1145" s="42"/>
      <c r="P1145" s="47"/>
      <c r="Q1145" s="42"/>
      <c r="R1145" s="42"/>
      <c r="S1145" s="47"/>
      <c r="T1145" s="42"/>
      <c r="U1145" s="42"/>
      <c r="V1145" s="47"/>
      <c r="W1145" s="42"/>
      <c r="X1145" s="42"/>
      <c r="Y1145" s="47"/>
      <c r="Z1145" s="42"/>
      <c r="AA1145" s="42"/>
      <c r="AB1145" s="47"/>
      <c r="AC1145" s="42"/>
      <c r="AD1145" s="42"/>
      <c r="AE1145" s="46"/>
      <c r="AF1145" s="47"/>
      <c r="AG1145" s="48"/>
    </row>
    <row r="1146" spans="2:33" s="38" customFormat="1" x14ac:dyDescent="0.25">
      <c r="B1146" s="49"/>
      <c r="C1146" s="70"/>
      <c r="D1146" s="42"/>
      <c r="F1146" s="46"/>
      <c r="G1146" s="47"/>
      <c r="H1146" s="42"/>
      <c r="I1146" s="42"/>
      <c r="J1146" s="47"/>
      <c r="K1146" s="42"/>
      <c r="L1146" s="42"/>
      <c r="M1146" s="47"/>
      <c r="N1146" s="42"/>
      <c r="O1146" s="42"/>
      <c r="P1146" s="47"/>
      <c r="Q1146" s="42"/>
      <c r="R1146" s="42"/>
      <c r="S1146" s="47"/>
      <c r="T1146" s="42"/>
      <c r="U1146" s="42"/>
      <c r="V1146" s="47"/>
      <c r="W1146" s="42"/>
      <c r="X1146" s="42"/>
      <c r="Y1146" s="47"/>
      <c r="Z1146" s="42"/>
      <c r="AA1146" s="42"/>
      <c r="AB1146" s="47"/>
      <c r="AC1146" s="42"/>
      <c r="AD1146" s="42"/>
      <c r="AE1146" s="46"/>
      <c r="AF1146" s="47"/>
      <c r="AG1146" s="48"/>
    </row>
    <row r="1147" spans="2:33" s="38" customFormat="1" x14ac:dyDescent="0.25">
      <c r="B1147" s="49"/>
      <c r="C1147" s="70"/>
      <c r="D1147" s="42"/>
      <c r="F1147" s="46"/>
      <c r="G1147" s="47"/>
      <c r="H1147" s="42"/>
      <c r="I1147" s="42"/>
      <c r="J1147" s="47"/>
      <c r="K1147" s="42"/>
      <c r="L1147" s="42"/>
      <c r="M1147" s="47"/>
      <c r="N1147" s="42"/>
      <c r="O1147" s="42"/>
      <c r="P1147" s="47"/>
      <c r="Q1147" s="42"/>
      <c r="R1147" s="42"/>
      <c r="S1147" s="47"/>
      <c r="T1147" s="42"/>
      <c r="U1147" s="42"/>
      <c r="V1147" s="47"/>
      <c r="W1147" s="42"/>
      <c r="X1147" s="42"/>
      <c r="Y1147" s="47"/>
      <c r="Z1147" s="42"/>
      <c r="AA1147" s="42"/>
      <c r="AB1147" s="47"/>
      <c r="AC1147" s="42"/>
      <c r="AD1147" s="42"/>
      <c r="AE1147" s="46"/>
      <c r="AF1147" s="47"/>
      <c r="AG1147" s="48"/>
    </row>
    <row r="1148" spans="2:33" s="38" customFormat="1" x14ac:dyDescent="0.25">
      <c r="B1148" s="49"/>
      <c r="C1148" s="70"/>
      <c r="D1148" s="42"/>
      <c r="F1148" s="46"/>
      <c r="G1148" s="47"/>
      <c r="H1148" s="42"/>
      <c r="I1148" s="42"/>
      <c r="J1148" s="47"/>
      <c r="K1148" s="42"/>
      <c r="L1148" s="42"/>
      <c r="M1148" s="47"/>
      <c r="N1148" s="42"/>
      <c r="O1148" s="42"/>
      <c r="P1148" s="47"/>
      <c r="Q1148" s="42"/>
      <c r="R1148" s="42"/>
      <c r="S1148" s="47"/>
      <c r="T1148" s="42"/>
      <c r="U1148" s="42"/>
      <c r="V1148" s="47"/>
      <c r="W1148" s="42"/>
      <c r="X1148" s="42"/>
      <c r="Y1148" s="47"/>
      <c r="Z1148" s="42"/>
      <c r="AA1148" s="42"/>
      <c r="AB1148" s="47"/>
      <c r="AC1148" s="42"/>
      <c r="AD1148" s="42"/>
      <c r="AE1148" s="46"/>
      <c r="AF1148" s="47"/>
      <c r="AG1148" s="48"/>
    </row>
    <row r="1149" spans="2:33" s="38" customFormat="1" x14ac:dyDescent="0.25">
      <c r="B1149" s="49"/>
      <c r="C1149" s="70"/>
      <c r="D1149" s="42"/>
      <c r="F1149" s="46"/>
      <c r="G1149" s="47"/>
      <c r="H1149" s="42"/>
      <c r="I1149" s="42"/>
      <c r="J1149" s="47"/>
      <c r="K1149" s="42"/>
      <c r="L1149" s="42"/>
      <c r="M1149" s="47"/>
      <c r="N1149" s="42"/>
      <c r="O1149" s="42"/>
      <c r="P1149" s="47"/>
      <c r="Q1149" s="42"/>
      <c r="R1149" s="42"/>
      <c r="S1149" s="47"/>
      <c r="T1149" s="42"/>
      <c r="U1149" s="42"/>
      <c r="V1149" s="47"/>
      <c r="W1149" s="42"/>
      <c r="X1149" s="42"/>
      <c r="Y1149" s="47"/>
      <c r="Z1149" s="42"/>
      <c r="AA1149" s="42"/>
      <c r="AB1149" s="47"/>
      <c r="AC1149" s="42"/>
      <c r="AD1149" s="42"/>
      <c r="AE1149" s="46"/>
      <c r="AF1149" s="47"/>
      <c r="AG1149" s="48"/>
    </row>
    <row r="1150" spans="2:33" s="38" customFormat="1" x14ac:dyDescent="0.25">
      <c r="B1150" s="49"/>
      <c r="C1150" s="70"/>
      <c r="D1150" s="42"/>
      <c r="F1150" s="46"/>
      <c r="G1150" s="47"/>
      <c r="H1150" s="42"/>
      <c r="I1150" s="42"/>
      <c r="J1150" s="47"/>
      <c r="K1150" s="42"/>
      <c r="L1150" s="42"/>
      <c r="M1150" s="47"/>
      <c r="N1150" s="42"/>
      <c r="O1150" s="42"/>
      <c r="P1150" s="47"/>
      <c r="Q1150" s="42"/>
      <c r="R1150" s="42"/>
      <c r="S1150" s="47"/>
      <c r="T1150" s="42"/>
      <c r="U1150" s="42"/>
      <c r="V1150" s="47"/>
      <c r="W1150" s="42"/>
      <c r="X1150" s="42"/>
      <c r="Y1150" s="47"/>
      <c r="Z1150" s="42"/>
      <c r="AA1150" s="42"/>
      <c r="AB1150" s="47"/>
      <c r="AC1150" s="42"/>
      <c r="AD1150" s="42"/>
      <c r="AE1150" s="46"/>
      <c r="AF1150" s="47"/>
      <c r="AG1150" s="48"/>
    </row>
    <row r="1151" spans="2:33" s="38" customFormat="1" x14ac:dyDescent="0.25">
      <c r="B1151" s="49"/>
      <c r="C1151" s="70"/>
      <c r="D1151" s="42"/>
      <c r="F1151" s="46"/>
      <c r="G1151" s="47"/>
      <c r="H1151" s="42"/>
      <c r="I1151" s="42"/>
      <c r="J1151" s="47"/>
      <c r="K1151" s="42"/>
      <c r="L1151" s="42"/>
      <c r="M1151" s="47"/>
      <c r="N1151" s="42"/>
      <c r="O1151" s="42"/>
      <c r="P1151" s="47"/>
      <c r="Q1151" s="42"/>
      <c r="R1151" s="42"/>
      <c r="S1151" s="47"/>
      <c r="T1151" s="42"/>
      <c r="U1151" s="42"/>
      <c r="V1151" s="47"/>
      <c r="W1151" s="42"/>
      <c r="X1151" s="42"/>
      <c r="Y1151" s="47"/>
      <c r="Z1151" s="42"/>
      <c r="AA1151" s="42"/>
      <c r="AB1151" s="47"/>
      <c r="AC1151" s="42"/>
      <c r="AD1151" s="42"/>
      <c r="AE1151" s="46"/>
      <c r="AF1151" s="47"/>
      <c r="AG1151" s="48"/>
    </row>
    <row r="1152" spans="2:33" s="38" customFormat="1" x14ac:dyDescent="0.25">
      <c r="B1152" s="49"/>
      <c r="C1152" s="70"/>
      <c r="D1152" s="42"/>
      <c r="F1152" s="46"/>
      <c r="G1152" s="47"/>
      <c r="H1152" s="42"/>
      <c r="I1152" s="42"/>
      <c r="J1152" s="47"/>
      <c r="K1152" s="42"/>
      <c r="L1152" s="42"/>
      <c r="M1152" s="47"/>
      <c r="N1152" s="42"/>
      <c r="O1152" s="42"/>
      <c r="P1152" s="47"/>
      <c r="Q1152" s="42"/>
      <c r="R1152" s="42"/>
      <c r="S1152" s="47"/>
      <c r="T1152" s="42"/>
      <c r="U1152" s="42"/>
      <c r="V1152" s="47"/>
      <c r="W1152" s="42"/>
      <c r="X1152" s="42"/>
      <c r="Y1152" s="47"/>
      <c r="Z1152" s="42"/>
      <c r="AA1152" s="42"/>
      <c r="AB1152" s="47"/>
      <c r="AC1152" s="42"/>
      <c r="AD1152" s="42"/>
      <c r="AE1152" s="46"/>
      <c r="AF1152" s="47"/>
      <c r="AG1152" s="48"/>
    </row>
    <row r="1153" spans="2:33" s="38" customFormat="1" x14ac:dyDescent="0.25">
      <c r="B1153" s="49"/>
      <c r="C1153" s="70"/>
      <c r="D1153" s="42"/>
      <c r="F1153" s="46"/>
      <c r="G1153" s="47"/>
      <c r="H1153" s="42"/>
      <c r="I1153" s="42"/>
      <c r="J1153" s="47"/>
      <c r="K1153" s="42"/>
      <c r="L1153" s="42"/>
      <c r="M1153" s="47"/>
      <c r="N1153" s="42"/>
      <c r="O1153" s="42"/>
      <c r="P1153" s="47"/>
      <c r="Q1153" s="42"/>
      <c r="R1153" s="42"/>
      <c r="S1153" s="47"/>
      <c r="T1153" s="42"/>
      <c r="U1153" s="42"/>
      <c r="V1153" s="47"/>
      <c r="W1153" s="42"/>
      <c r="X1153" s="42"/>
      <c r="Y1153" s="47"/>
      <c r="Z1153" s="42"/>
      <c r="AA1153" s="42"/>
      <c r="AB1153" s="47"/>
      <c r="AC1153" s="42"/>
      <c r="AD1153" s="42"/>
      <c r="AE1153" s="46"/>
      <c r="AF1153" s="47"/>
      <c r="AG1153" s="48"/>
    </row>
    <row r="1154" spans="2:33" s="38" customFormat="1" x14ac:dyDescent="0.25">
      <c r="B1154" s="49"/>
      <c r="C1154" s="70"/>
      <c r="D1154" s="42"/>
      <c r="F1154" s="46"/>
      <c r="G1154" s="47"/>
      <c r="H1154" s="42"/>
      <c r="I1154" s="42"/>
      <c r="J1154" s="47"/>
      <c r="K1154" s="42"/>
      <c r="L1154" s="42"/>
      <c r="M1154" s="47"/>
      <c r="N1154" s="42"/>
      <c r="O1154" s="42"/>
      <c r="P1154" s="47"/>
      <c r="Q1154" s="42"/>
      <c r="R1154" s="42"/>
      <c r="S1154" s="47"/>
      <c r="T1154" s="42"/>
      <c r="U1154" s="42"/>
      <c r="V1154" s="47"/>
      <c r="W1154" s="42"/>
      <c r="X1154" s="42"/>
      <c r="Y1154" s="47"/>
      <c r="Z1154" s="42"/>
      <c r="AA1154" s="42"/>
      <c r="AB1154" s="47"/>
      <c r="AC1154" s="42"/>
      <c r="AD1154" s="42"/>
      <c r="AE1154" s="46"/>
      <c r="AF1154" s="47"/>
      <c r="AG1154" s="48"/>
    </row>
    <row r="1155" spans="2:33" s="38" customFormat="1" x14ac:dyDescent="0.25">
      <c r="B1155" s="49"/>
      <c r="C1155" s="70"/>
      <c r="D1155" s="42"/>
      <c r="F1155" s="46"/>
      <c r="G1155" s="47"/>
      <c r="H1155" s="42"/>
      <c r="I1155" s="42"/>
      <c r="J1155" s="47"/>
      <c r="K1155" s="42"/>
      <c r="L1155" s="42"/>
      <c r="M1155" s="47"/>
      <c r="N1155" s="42"/>
      <c r="O1155" s="42"/>
      <c r="P1155" s="47"/>
      <c r="Q1155" s="42"/>
      <c r="R1155" s="42"/>
      <c r="S1155" s="47"/>
      <c r="T1155" s="42"/>
      <c r="U1155" s="42"/>
      <c r="V1155" s="47"/>
      <c r="W1155" s="42"/>
      <c r="X1155" s="42"/>
      <c r="Y1155" s="47"/>
      <c r="Z1155" s="42"/>
      <c r="AA1155" s="42"/>
      <c r="AB1155" s="47"/>
      <c r="AC1155" s="42"/>
      <c r="AD1155" s="42"/>
      <c r="AE1155" s="46"/>
      <c r="AF1155" s="47"/>
      <c r="AG1155" s="48"/>
    </row>
    <row r="1156" spans="2:33" s="38" customFormat="1" x14ac:dyDescent="0.25">
      <c r="B1156" s="49"/>
      <c r="C1156" s="70"/>
      <c r="D1156" s="42"/>
      <c r="F1156" s="46"/>
      <c r="G1156" s="47"/>
      <c r="H1156" s="42"/>
      <c r="I1156" s="42"/>
      <c r="J1156" s="47"/>
      <c r="K1156" s="42"/>
      <c r="L1156" s="42"/>
      <c r="M1156" s="47"/>
      <c r="N1156" s="42"/>
      <c r="O1156" s="42"/>
      <c r="P1156" s="47"/>
      <c r="Q1156" s="42"/>
      <c r="R1156" s="42"/>
      <c r="S1156" s="47"/>
      <c r="T1156" s="42"/>
      <c r="U1156" s="42"/>
      <c r="V1156" s="47"/>
      <c r="W1156" s="42"/>
      <c r="X1156" s="42"/>
      <c r="Y1156" s="47"/>
      <c r="Z1156" s="42"/>
      <c r="AA1156" s="42"/>
      <c r="AB1156" s="47"/>
      <c r="AC1156" s="42"/>
      <c r="AD1156" s="42"/>
      <c r="AE1156" s="46"/>
      <c r="AF1156" s="47"/>
      <c r="AG1156" s="48"/>
    </row>
    <row r="1157" spans="2:33" s="38" customFormat="1" x14ac:dyDescent="0.25">
      <c r="B1157" s="49"/>
      <c r="C1157" s="70"/>
      <c r="D1157" s="42"/>
      <c r="F1157" s="46"/>
      <c r="G1157" s="47"/>
      <c r="H1157" s="42"/>
      <c r="I1157" s="42"/>
      <c r="J1157" s="47"/>
      <c r="K1157" s="42"/>
      <c r="L1157" s="42"/>
      <c r="M1157" s="47"/>
      <c r="N1157" s="42"/>
      <c r="O1157" s="42"/>
      <c r="P1157" s="47"/>
      <c r="Q1157" s="42"/>
      <c r="R1157" s="42"/>
      <c r="S1157" s="47"/>
      <c r="T1157" s="42"/>
      <c r="U1157" s="42"/>
      <c r="V1157" s="47"/>
      <c r="W1157" s="42"/>
      <c r="X1157" s="42"/>
      <c r="Y1157" s="47"/>
      <c r="Z1157" s="42"/>
      <c r="AA1157" s="42"/>
      <c r="AB1157" s="47"/>
      <c r="AC1157" s="42"/>
      <c r="AD1157" s="42"/>
      <c r="AE1157" s="46"/>
      <c r="AF1157" s="47"/>
      <c r="AG1157" s="48"/>
    </row>
    <row r="1158" spans="2:33" s="38" customFormat="1" x14ac:dyDescent="0.25">
      <c r="B1158" s="49"/>
      <c r="C1158" s="70"/>
      <c r="D1158" s="42"/>
      <c r="F1158" s="46"/>
      <c r="G1158" s="47"/>
      <c r="H1158" s="42"/>
      <c r="I1158" s="42"/>
      <c r="J1158" s="47"/>
      <c r="K1158" s="42"/>
      <c r="L1158" s="42"/>
      <c r="M1158" s="47"/>
      <c r="N1158" s="42"/>
      <c r="O1158" s="42"/>
      <c r="P1158" s="47"/>
      <c r="Q1158" s="42"/>
      <c r="R1158" s="42"/>
      <c r="S1158" s="47"/>
      <c r="T1158" s="42"/>
      <c r="U1158" s="42"/>
      <c r="V1158" s="47"/>
      <c r="W1158" s="42"/>
      <c r="X1158" s="42"/>
      <c r="Y1158" s="47"/>
      <c r="Z1158" s="42"/>
      <c r="AA1158" s="42"/>
      <c r="AB1158" s="47"/>
      <c r="AC1158" s="42"/>
      <c r="AD1158" s="42"/>
      <c r="AE1158" s="46"/>
      <c r="AF1158" s="47"/>
      <c r="AG1158" s="48"/>
    </row>
    <row r="1159" spans="2:33" s="38" customFormat="1" x14ac:dyDescent="0.25">
      <c r="B1159" s="49"/>
      <c r="C1159" s="70"/>
      <c r="D1159" s="42"/>
      <c r="F1159" s="46"/>
      <c r="G1159" s="47"/>
      <c r="H1159" s="42"/>
      <c r="I1159" s="42"/>
      <c r="J1159" s="47"/>
      <c r="K1159" s="42"/>
      <c r="L1159" s="42"/>
      <c r="M1159" s="47"/>
      <c r="N1159" s="42"/>
      <c r="O1159" s="42"/>
      <c r="P1159" s="47"/>
      <c r="Q1159" s="42"/>
      <c r="R1159" s="42"/>
      <c r="S1159" s="47"/>
      <c r="T1159" s="42"/>
      <c r="U1159" s="42"/>
      <c r="V1159" s="47"/>
      <c r="W1159" s="42"/>
      <c r="X1159" s="42"/>
      <c r="Y1159" s="47"/>
      <c r="Z1159" s="42"/>
      <c r="AA1159" s="42"/>
      <c r="AB1159" s="47"/>
      <c r="AC1159" s="42"/>
      <c r="AD1159" s="42"/>
      <c r="AE1159" s="46"/>
      <c r="AF1159" s="47"/>
      <c r="AG1159" s="48"/>
    </row>
    <row r="1160" spans="2:33" s="38" customFormat="1" x14ac:dyDescent="0.25">
      <c r="B1160" s="49"/>
      <c r="C1160" s="70"/>
      <c r="D1160" s="42"/>
      <c r="F1160" s="46"/>
      <c r="G1160" s="47"/>
      <c r="H1160" s="42"/>
      <c r="I1160" s="42"/>
      <c r="J1160" s="47"/>
      <c r="K1160" s="42"/>
      <c r="L1160" s="42"/>
      <c r="M1160" s="47"/>
      <c r="N1160" s="42"/>
      <c r="O1160" s="42"/>
      <c r="P1160" s="47"/>
      <c r="Q1160" s="42"/>
      <c r="R1160" s="42"/>
      <c r="S1160" s="47"/>
      <c r="T1160" s="42"/>
      <c r="U1160" s="42"/>
      <c r="V1160" s="47"/>
      <c r="W1160" s="42"/>
      <c r="X1160" s="42"/>
      <c r="Y1160" s="47"/>
      <c r="Z1160" s="42"/>
      <c r="AA1160" s="42"/>
      <c r="AB1160" s="47"/>
      <c r="AC1160" s="42"/>
      <c r="AD1160" s="42"/>
      <c r="AE1160" s="46"/>
      <c r="AF1160" s="47"/>
      <c r="AG1160" s="48"/>
    </row>
    <row r="1161" spans="2:33" s="38" customFormat="1" x14ac:dyDescent="0.25">
      <c r="B1161" s="49"/>
      <c r="C1161" s="70"/>
      <c r="D1161" s="42"/>
      <c r="F1161" s="46"/>
      <c r="G1161" s="47"/>
      <c r="H1161" s="42"/>
      <c r="I1161" s="42"/>
      <c r="J1161" s="47"/>
      <c r="K1161" s="42"/>
      <c r="L1161" s="42"/>
      <c r="M1161" s="47"/>
      <c r="N1161" s="42"/>
      <c r="O1161" s="42"/>
      <c r="P1161" s="47"/>
      <c r="Q1161" s="42"/>
      <c r="R1161" s="42"/>
      <c r="S1161" s="47"/>
      <c r="T1161" s="42"/>
      <c r="U1161" s="42"/>
      <c r="V1161" s="47"/>
      <c r="W1161" s="42"/>
      <c r="X1161" s="42"/>
      <c r="Y1161" s="47"/>
      <c r="Z1161" s="42"/>
      <c r="AA1161" s="42"/>
      <c r="AB1161" s="47"/>
      <c r="AC1161" s="42"/>
      <c r="AD1161" s="42"/>
      <c r="AE1161" s="46"/>
      <c r="AF1161" s="47"/>
      <c r="AG1161" s="48"/>
    </row>
    <row r="1162" spans="2:33" s="38" customFormat="1" x14ac:dyDescent="0.25">
      <c r="B1162" s="49"/>
      <c r="C1162" s="70"/>
      <c r="D1162" s="42"/>
      <c r="F1162" s="46"/>
      <c r="G1162" s="47"/>
      <c r="H1162" s="42"/>
      <c r="I1162" s="42"/>
      <c r="J1162" s="47"/>
      <c r="K1162" s="42"/>
      <c r="L1162" s="42"/>
      <c r="M1162" s="47"/>
      <c r="N1162" s="42"/>
      <c r="O1162" s="42"/>
      <c r="P1162" s="47"/>
      <c r="Q1162" s="42"/>
      <c r="R1162" s="42"/>
      <c r="S1162" s="47"/>
      <c r="T1162" s="42"/>
      <c r="U1162" s="42"/>
      <c r="V1162" s="47"/>
      <c r="W1162" s="42"/>
      <c r="X1162" s="42"/>
      <c r="Y1162" s="47"/>
      <c r="Z1162" s="42"/>
      <c r="AA1162" s="42"/>
      <c r="AB1162" s="47"/>
      <c r="AC1162" s="42"/>
      <c r="AD1162" s="42"/>
      <c r="AE1162" s="46"/>
      <c r="AF1162" s="47"/>
      <c r="AG1162" s="48"/>
    </row>
    <row r="1163" spans="2:33" s="38" customFormat="1" x14ac:dyDescent="0.25">
      <c r="B1163" s="49"/>
      <c r="C1163" s="70"/>
      <c r="D1163" s="42"/>
      <c r="F1163" s="46"/>
      <c r="G1163" s="47"/>
      <c r="H1163" s="42"/>
      <c r="I1163" s="42"/>
      <c r="J1163" s="47"/>
      <c r="K1163" s="42"/>
      <c r="L1163" s="42"/>
      <c r="M1163" s="47"/>
      <c r="N1163" s="42"/>
      <c r="O1163" s="42"/>
      <c r="P1163" s="47"/>
      <c r="Q1163" s="42"/>
      <c r="R1163" s="42"/>
      <c r="S1163" s="47"/>
      <c r="T1163" s="42"/>
      <c r="U1163" s="42"/>
      <c r="V1163" s="47"/>
      <c r="W1163" s="42"/>
      <c r="X1163" s="42"/>
      <c r="Y1163" s="47"/>
      <c r="Z1163" s="42"/>
      <c r="AA1163" s="42"/>
      <c r="AB1163" s="47"/>
      <c r="AC1163" s="42"/>
      <c r="AD1163" s="42"/>
      <c r="AE1163" s="46"/>
      <c r="AF1163" s="47"/>
      <c r="AG1163" s="48"/>
    </row>
    <row r="1164" spans="2:33" s="38" customFormat="1" x14ac:dyDescent="0.25">
      <c r="B1164" s="49"/>
      <c r="C1164" s="70"/>
      <c r="D1164" s="42"/>
      <c r="F1164" s="46"/>
      <c r="G1164" s="47"/>
      <c r="H1164" s="42"/>
      <c r="I1164" s="42"/>
      <c r="J1164" s="47"/>
      <c r="K1164" s="42"/>
      <c r="L1164" s="42"/>
      <c r="M1164" s="47"/>
      <c r="N1164" s="42"/>
      <c r="O1164" s="42"/>
      <c r="P1164" s="47"/>
      <c r="Q1164" s="42"/>
      <c r="R1164" s="42"/>
      <c r="S1164" s="47"/>
      <c r="T1164" s="42"/>
      <c r="U1164" s="42"/>
      <c r="V1164" s="47"/>
      <c r="W1164" s="42"/>
      <c r="X1164" s="42"/>
      <c r="Y1164" s="47"/>
      <c r="Z1164" s="42"/>
      <c r="AA1164" s="42"/>
      <c r="AB1164" s="47"/>
      <c r="AC1164" s="42"/>
      <c r="AD1164" s="42"/>
      <c r="AE1164" s="46"/>
      <c r="AF1164" s="47"/>
      <c r="AG1164" s="48"/>
    </row>
    <row r="1165" spans="2:33" s="38" customFormat="1" x14ac:dyDescent="0.25">
      <c r="B1165" s="49"/>
      <c r="C1165" s="70"/>
      <c r="D1165" s="42"/>
      <c r="F1165" s="46"/>
      <c r="G1165" s="47"/>
      <c r="H1165" s="42"/>
      <c r="I1165" s="42"/>
      <c r="J1165" s="47"/>
      <c r="K1165" s="42"/>
      <c r="L1165" s="42"/>
      <c r="M1165" s="47"/>
      <c r="N1165" s="42"/>
      <c r="O1165" s="42"/>
      <c r="P1165" s="47"/>
      <c r="Q1165" s="42"/>
      <c r="R1165" s="42"/>
      <c r="S1165" s="47"/>
      <c r="T1165" s="42"/>
      <c r="U1165" s="42"/>
      <c r="V1165" s="47"/>
      <c r="W1165" s="42"/>
      <c r="X1165" s="42"/>
      <c r="Y1165" s="47"/>
      <c r="Z1165" s="42"/>
      <c r="AA1165" s="42"/>
      <c r="AB1165" s="47"/>
      <c r="AC1165" s="42"/>
      <c r="AD1165" s="42"/>
      <c r="AE1165" s="46"/>
      <c r="AF1165" s="47"/>
      <c r="AG1165" s="48"/>
    </row>
    <row r="1166" spans="2:33" s="38" customFormat="1" x14ac:dyDescent="0.25">
      <c r="B1166" s="49"/>
      <c r="C1166" s="70"/>
      <c r="D1166" s="42"/>
      <c r="F1166" s="46"/>
      <c r="G1166" s="47"/>
      <c r="H1166" s="42"/>
      <c r="I1166" s="42"/>
      <c r="J1166" s="47"/>
      <c r="K1166" s="42"/>
      <c r="L1166" s="42"/>
      <c r="M1166" s="47"/>
      <c r="N1166" s="42"/>
      <c r="O1166" s="42"/>
      <c r="P1166" s="47"/>
      <c r="Q1166" s="42"/>
      <c r="R1166" s="42"/>
      <c r="S1166" s="47"/>
      <c r="T1166" s="42"/>
      <c r="U1166" s="42"/>
      <c r="V1166" s="47"/>
      <c r="W1166" s="42"/>
      <c r="X1166" s="42"/>
      <c r="Y1166" s="47"/>
      <c r="Z1166" s="42"/>
      <c r="AA1166" s="42"/>
      <c r="AB1166" s="47"/>
      <c r="AC1166" s="42"/>
      <c r="AD1166" s="42"/>
      <c r="AE1166" s="46"/>
      <c r="AF1166" s="47"/>
      <c r="AG1166" s="48"/>
    </row>
    <row r="1167" spans="2:33" s="38" customFormat="1" x14ac:dyDescent="0.25">
      <c r="B1167" s="49"/>
      <c r="C1167" s="70"/>
      <c r="D1167" s="42"/>
      <c r="F1167" s="46"/>
      <c r="G1167" s="47"/>
      <c r="H1167" s="42"/>
      <c r="I1167" s="42"/>
      <c r="J1167" s="47"/>
      <c r="K1167" s="42"/>
      <c r="L1167" s="42"/>
      <c r="M1167" s="47"/>
      <c r="N1167" s="42"/>
      <c r="O1167" s="42"/>
      <c r="P1167" s="47"/>
      <c r="Q1167" s="42"/>
      <c r="R1167" s="42"/>
      <c r="S1167" s="47"/>
      <c r="T1167" s="42"/>
      <c r="U1167" s="42"/>
      <c r="V1167" s="47"/>
      <c r="W1167" s="42"/>
      <c r="X1167" s="42"/>
      <c r="Y1167" s="47"/>
      <c r="Z1167" s="42"/>
      <c r="AA1167" s="42"/>
      <c r="AB1167" s="47"/>
      <c r="AC1167" s="42"/>
      <c r="AD1167" s="42"/>
      <c r="AE1167" s="46"/>
      <c r="AF1167" s="47"/>
      <c r="AG1167" s="48"/>
    </row>
    <row r="1168" spans="2:33" s="38" customFormat="1" x14ac:dyDescent="0.25">
      <c r="B1168" s="49"/>
      <c r="C1168" s="70"/>
      <c r="D1168" s="42"/>
      <c r="F1168" s="46"/>
      <c r="G1168" s="47"/>
      <c r="H1168" s="42"/>
      <c r="I1168" s="42"/>
      <c r="J1168" s="47"/>
      <c r="K1168" s="42"/>
      <c r="L1168" s="42"/>
      <c r="M1168" s="47"/>
      <c r="N1168" s="42"/>
      <c r="O1168" s="42"/>
      <c r="P1168" s="47"/>
      <c r="Q1168" s="42"/>
      <c r="R1168" s="42"/>
      <c r="S1168" s="47"/>
      <c r="T1168" s="42"/>
      <c r="U1168" s="42"/>
      <c r="V1168" s="47"/>
      <c r="W1168" s="42"/>
      <c r="X1168" s="42"/>
      <c r="Y1168" s="47"/>
      <c r="Z1168" s="42"/>
      <c r="AA1168" s="42"/>
      <c r="AB1168" s="47"/>
      <c r="AC1168" s="42"/>
      <c r="AD1168" s="42"/>
      <c r="AE1168" s="46"/>
      <c r="AF1168" s="47"/>
      <c r="AG1168" s="48"/>
    </row>
    <row r="1169" spans="2:33" s="38" customFormat="1" x14ac:dyDescent="0.25">
      <c r="B1169" s="49"/>
      <c r="C1169" s="70"/>
      <c r="D1169" s="42"/>
      <c r="F1169" s="46"/>
      <c r="G1169" s="47"/>
      <c r="H1169" s="42"/>
      <c r="I1169" s="42"/>
      <c r="J1169" s="47"/>
      <c r="K1169" s="42"/>
      <c r="L1169" s="42"/>
      <c r="M1169" s="47"/>
      <c r="N1169" s="42"/>
      <c r="O1169" s="42"/>
      <c r="P1169" s="47"/>
      <c r="Q1169" s="42"/>
      <c r="R1169" s="42"/>
      <c r="S1169" s="47"/>
      <c r="T1169" s="42"/>
      <c r="U1169" s="42"/>
      <c r="V1169" s="47"/>
      <c r="W1169" s="42"/>
      <c r="X1169" s="42"/>
      <c r="Y1169" s="47"/>
      <c r="Z1169" s="42"/>
      <c r="AA1169" s="42"/>
      <c r="AB1169" s="47"/>
      <c r="AC1169" s="42"/>
      <c r="AD1169" s="42"/>
      <c r="AE1169" s="46"/>
      <c r="AF1169" s="47"/>
      <c r="AG1169" s="48"/>
    </row>
    <row r="1170" spans="2:33" s="38" customFormat="1" x14ac:dyDescent="0.25">
      <c r="B1170" s="49"/>
      <c r="C1170" s="70"/>
      <c r="D1170" s="42"/>
      <c r="F1170" s="46"/>
      <c r="G1170" s="47"/>
      <c r="H1170" s="42"/>
      <c r="I1170" s="42"/>
      <c r="J1170" s="47"/>
      <c r="K1170" s="42"/>
      <c r="L1170" s="42"/>
      <c r="M1170" s="47"/>
      <c r="N1170" s="42"/>
      <c r="O1170" s="42"/>
      <c r="P1170" s="47"/>
      <c r="Q1170" s="42"/>
      <c r="R1170" s="42"/>
      <c r="S1170" s="47"/>
      <c r="T1170" s="42"/>
      <c r="U1170" s="42"/>
      <c r="V1170" s="47"/>
      <c r="W1170" s="42"/>
      <c r="X1170" s="42"/>
      <c r="Y1170" s="47"/>
      <c r="Z1170" s="42"/>
      <c r="AA1170" s="42"/>
      <c r="AB1170" s="47"/>
      <c r="AC1170" s="42"/>
      <c r="AD1170" s="42"/>
      <c r="AE1170" s="46"/>
      <c r="AF1170" s="47"/>
      <c r="AG1170" s="48"/>
    </row>
    <row r="1171" spans="2:33" s="38" customFormat="1" x14ac:dyDescent="0.25">
      <c r="B1171" s="49"/>
      <c r="C1171" s="70"/>
      <c r="D1171" s="42"/>
      <c r="F1171" s="46"/>
      <c r="G1171" s="47"/>
      <c r="H1171" s="42"/>
      <c r="I1171" s="42"/>
      <c r="J1171" s="47"/>
      <c r="K1171" s="42"/>
      <c r="L1171" s="42"/>
      <c r="M1171" s="47"/>
      <c r="N1171" s="42"/>
      <c r="O1171" s="42"/>
      <c r="P1171" s="47"/>
      <c r="Q1171" s="42"/>
      <c r="R1171" s="42"/>
      <c r="S1171" s="47"/>
      <c r="T1171" s="42"/>
      <c r="U1171" s="42"/>
      <c r="V1171" s="47"/>
      <c r="W1171" s="42"/>
      <c r="X1171" s="42"/>
      <c r="Y1171" s="47"/>
      <c r="Z1171" s="42"/>
      <c r="AA1171" s="42"/>
      <c r="AB1171" s="47"/>
      <c r="AC1171" s="42"/>
      <c r="AD1171" s="42"/>
      <c r="AE1171" s="46"/>
      <c r="AF1171" s="47"/>
      <c r="AG1171" s="48"/>
    </row>
    <row r="1172" spans="2:33" s="38" customFormat="1" x14ac:dyDescent="0.25">
      <c r="B1172" s="49"/>
      <c r="C1172" s="70"/>
      <c r="D1172" s="42"/>
      <c r="F1172" s="46"/>
      <c r="G1172" s="47"/>
      <c r="H1172" s="42"/>
      <c r="I1172" s="42"/>
      <c r="J1172" s="47"/>
      <c r="K1172" s="42"/>
      <c r="L1172" s="42"/>
      <c r="M1172" s="47"/>
      <c r="N1172" s="42"/>
      <c r="O1172" s="42"/>
      <c r="P1172" s="47"/>
      <c r="Q1172" s="42"/>
      <c r="R1172" s="42"/>
      <c r="S1172" s="47"/>
      <c r="T1172" s="42"/>
      <c r="U1172" s="42"/>
      <c r="V1172" s="47"/>
      <c r="W1172" s="42"/>
      <c r="X1172" s="42"/>
      <c r="Y1172" s="47"/>
      <c r="Z1172" s="42"/>
      <c r="AA1172" s="42"/>
      <c r="AB1172" s="47"/>
      <c r="AC1172" s="42"/>
      <c r="AD1172" s="42"/>
      <c r="AE1172" s="46"/>
      <c r="AF1172" s="47"/>
      <c r="AG1172" s="48"/>
    </row>
    <row r="1173" spans="2:33" s="38" customFormat="1" x14ac:dyDescent="0.25">
      <c r="B1173" s="49"/>
      <c r="C1173" s="70"/>
      <c r="D1173" s="42"/>
      <c r="F1173" s="46"/>
      <c r="G1173" s="47"/>
      <c r="H1173" s="42"/>
      <c r="I1173" s="42"/>
      <c r="J1173" s="47"/>
      <c r="K1173" s="42"/>
      <c r="L1173" s="42"/>
      <c r="M1173" s="47"/>
      <c r="N1173" s="42"/>
      <c r="O1173" s="42"/>
      <c r="P1173" s="47"/>
      <c r="Q1173" s="42"/>
      <c r="R1173" s="42"/>
      <c r="S1173" s="47"/>
      <c r="T1173" s="42"/>
      <c r="U1173" s="42"/>
      <c r="V1173" s="47"/>
      <c r="W1173" s="42"/>
      <c r="X1173" s="42"/>
      <c r="Y1173" s="47"/>
      <c r="Z1173" s="42"/>
      <c r="AA1173" s="42"/>
      <c r="AB1173" s="47"/>
      <c r="AC1173" s="42"/>
      <c r="AD1173" s="42"/>
      <c r="AE1173" s="46"/>
      <c r="AF1173" s="47"/>
      <c r="AG1173" s="48"/>
    </row>
    <row r="1174" spans="2:33" s="38" customFormat="1" x14ac:dyDescent="0.25">
      <c r="B1174" s="49"/>
      <c r="C1174" s="70"/>
      <c r="D1174" s="42"/>
      <c r="F1174" s="46"/>
      <c r="G1174" s="47"/>
      <c r="H1174" s="42"/>
      <c r="I1174" s="42"/>
      <c r="J1174" s="47"/>
      <c r="K1174" s="42"/>
      <c r="L1174" s="42"/>
      <c r="M1174" s="47"/>
      <c r="N1174" s="42"/>
      <c r="O1174" s="42"/>
      <c r="P1174" s="47"/>
      <c r="Q1174" s="42"/>
      <c r="R1174" s="42"/>
      <c r="S1174" s="47"/>
      <c r="T1174" s="42"/>
      <c r="U1174" s="42"/>
      <c r="V1174" s="47"/>
      <c r="W1174" s="42"/>
      <c r="X1174" s="42"/>
      <c r="Y1174" s="47"/>
      <c r="Z1174" s="42"/>
      <c r="AA1174" s="42"/>
      <c r="AB1174" s="47"/>
      <c r="AC1174" s="42"/>
      <c r="AD1174" s="42"/>
      <c r="AE1174" s="46"/>
      <c r="AF1174" s="47"/>
      <c r="AG1174" s="48"/>
    </row>
    <row r="1175" spans="2:33" s="38" customFormat="1" x14ac:dyDescent="0.25">
      <c r="B1175" s="49"/>
      <c r="C1175" s="70"/>
      <c r="D1175" s="42"/>
      <c r="F1175" s="46"/>
      <c r="G1175" s="47"/>
      <c r="H1175" s="42"/>
      <c r="I1175" s="42"/>
      <c r="J1175" s="47"/>
      <c r="K1175" s="42"/>
      <c r="L1175" s="42"/>
      <c r="M1175" s="47"/>
      <c r="N1175" s="42"/>
      <c r="O1175" s="42"/>
      <c r="P1175" s="47"/>
      <c r="Q1175" s="42"/>
      <c r="R1175" s="42"/>
      <c r="S1175" s="47"/>
      <c r="T1175" s="42"/>
      <c r="U1175" s="42"/>
      <c r="V1175" s="47"/>
      <c r="W1175" s="42"/>
      <c r="X1175" s="42"/>
      <c r="Y1175" s="47"/>
      <c r="Z1175" s="42"/>
      <c r="AA1175" s="42"/>
      <c r="AB1175" s="47"/>
      <c r="AC1175" s="42"/>
      <c r="AD1175" s="42"/>
      <c r="AE1175" s="46"/>
      <c r="AF1175" s="47"/>
      <c r="AG1175" s="48"/>
    </row>
    <row r="1176" spans="2:33" s="38" customFormat="1" x14ac:dyDescent="0.25">
      <c r="B1176" s="49"/>
      <c r="C1176" s="70"/>
      <c r="D1176" s="42"/>
      <c r="F1176" s="46"/>
      <c r="G1176" s="47"/>
      <c r="H1176" s="42"/>
      <c r="I1176" s="42"/>
      <c r="J1176" s="47"/>
      <c r="K1176" s="42"/>
      <c r="L1176" s="42"/>
      <c r="M1176" s="47"/>
      <c r="N1176" s="42"/>
      <c r="O1176" s="42"/>
      <c r="P1176" s="47"/>
      <c r="Q1176" s="42"/>
      <c r="R1176" s="42"/>
      <c r="S1176" s="47"/>
      <c r="T1176" s="42"/>
      <c r="U1176" s="42"/>
      <c r="V1176" s="47"/>
      <c r="W1176" s="42"/>
      <c r="X1176" s="42"/>
      <c r="Y1176" s="47"/>
      <c r="Z1176" s="42"/>
      <c r="AA1176" s="42"/>
      <c r="AB1176" s="47"/>
      <c r="AC1176" s="42"/>
      <c r="AD1176" s="42"/>
      <c r="AE1176" s="46"/>
      <c r="AF1176" s="47"/>
      <c r="AG1176" s="48"/>
    </row>
    <row r="1177" spans="2:33" s="38" customFormat="1" x14ac:dyDescent="0.25">
      <c r="B1177" s="49"/>
      <c r="C1177" s="70"/>
      <c r="D1177" s="42"/>
      <c r="F1177" s="46"/>
      <c r="G1177" s="47"/>
      <c r="H1177" s="42"/>
      <c r="I1177" s="42"/>
      <c r="J1177" s="47"/>
      <c r="K1177" s="42"/>
      <c r="L1177" s="42"/>
      <c r="M1177" s="47"/>
      <c r="N1177" s="42"/>
      <c r="O1177" s="42"/>
      <c r="P1177" s="47"/>
      <c r="Q1177" s="42"/>
      <c r="R1177" s="42"/>
      <c r="S1177" s="47"/>
      <c r="T1177" s="42"/>
      <c r="U1177" s="42"/>
      <c r="V1177" s="47"/>
      <c r="W1177" s="42"/>
      <c r="X1177" s="42"/>
      <c r="Y1177" s="47"/>
      <c r="Z1177" s="42"/>
      <c r="AA1177" s="42"/>
      <c r="AB1177" s="47"/>
      <c r="AC1177" s="42"/>
      <c r="AD1177" s="42"/>
      <c r="AE1177" s="46"/>
      <c r="AF1177" s="47"/>
      <c r="AG1177" s="48"/>
    </row>
    <row r="1178" spans="2:33" s="38" customFormat="1" x14ac:dyDescent="0.25">
      <c r="B1178" s="49"/>
      <c r="C1178" s="70"/>
      <c r="D1178" s="42"/>
      <c r="F1178" s="46"/>
      <c r="G1178" s="47"/>
      <c r="H1178" s="42"/>
      <c r="I1178" s="42"/>
      <c r="J1178" s="47"/>
      <c r="K1178" s="42"/>
      <c r="L1178" s="42"/>
      <c r="M1178" s="47"/>
      <c r="N1178" s="42"/>
      <c r="O1178" s="42"/>
      <c r="P1178" s="47"/>
      <c r="Q1178" s="42"/>
      <c r="R1178" s="42"/>
      <c r="S1178" s="47"/>
      <c r="T1178" s="42"/>
      <c r="U1178" s="42"/>
      <c r="V1178" s="47"/>
      <c r="W1178" s="42"/>
      <c r="X1178" s="42"/>
      <c r="Y1178" s="47"/>
      <c r="Z1178" s="42"/>
      <c r="AA1178" s="42"/>
      <c r="AB1178" s="47"/>
      <c r="AC1178" s="42"/>
      <c r="AD1178" s="42"/>
      <c r="AE1178" s="46"/>
      <c r="AF1178" s="47"/>
      <c r="AG1178" s="48"/>
    </row>
    <row r="1179" spans="2:33" s="38" customFormat="1" x14ac:dyDescent="0.25">
      <c r="B1179" s="49"/>
      <c r="C1179" s="70"/>
      <c r="D1179" s="42"/>
      <c r="F1179" s="46"/>
      <c r="G1179" s="47"/>
      <c r="H1179" s="42"/>
      <c r="I1179" s="42"/>
      <c r="J1179" s="47"/>
      <c r="K1179" s="42"/>
      <c r="L1179" s="42"/>
      <c r="M1179" s="47"/>
      <c r="N1179" s="42"/>
      <c r="O1179" s="42"/>
      <c r="P1179" s="47"/>
      <c r="Q1179" s="42"/>
      <c r="R1179" s="42"/>
      <c r="S1179" s="47"/>
      <c r="T1179" s="42"/>
      <c r="U1179" s="42"/>
      <c r="V1179" s="47"/>
      <c r="W1179" s="42"/>
      <c r="X1179" s="42"/>
      <c r="Y1179" s="47"/>
      <c r="Z1179" s="42"/>
      <c r="AA1179" s="42"/>
      <c r="AB1179" s="47"/>
      <c r="AC1179" s="42"/>
      <c r="AD1179" s="42"/>
      <c r="AE1179" s="46"/>
      <c r="AF1179" s="47"/>
      <c r="AG1179" s="48"/>
    </row>
    <row r="1180" spans="2:33" s="38" customFormat="1" x14ac:dyDescent="0.25">
      <c r="B1180" s="49"/>
      <c r="C1180" s="70"/>
      <c r="D1180" s="42"/>
      <c r="F1180" s="46"/>
      <c r="G1180" s="47"/>
      <c r="H1180" s="42"/>
      <c r="I1180" s="42"/>
      <c r="J1180" s="47"/>
      <c r="K1180" s="42"/>
      <c r="L1180" s="42"/>
      <c r="M1180" s="47"/>
      <c r="N1180" s="42"/>
      <c r="O1180" s="42"/>
      <c r="P1180" s="47"/>
      <c r="Q1180" s="42"/>
      <c r="R1180" s="42"/>
      <c r="S1180" s="47"/>
      <c r="T1180" s="42"/>
      <c r="U1180" s="42"/>
      <c r="V1180" s="47"/>
      <c r="W1180" s="42"/>
      <c r="X1180" s="42"/>
      <c r="Y1180" s="47"/>
      <c r="Z1180" s="42"/>
      <c r="AA1180" s="42"/>
      <c r="AB1180" s="47"/>
      <c r="AC1180" s="42"/>
      <c r="AD1180" s="42"/>
      <c r="AE1180" s="46"/>
      <c r="AF1180" s="47"/>
      <c r="AG1180" s="48"/>
    </row>
    <row r="1181" spans="2:33" s="38" customFormat="1" x14ac:dyDescent="0.25">
      <c r="B1181" s="49"/>
      <c r="C1181" s="70"/>
      <c r="D1181" s="42"/>
      <c r="F1181" s="46"/>
      <c r="G1181" s="47"/>
      <c r="H1181" s="42"/>
      <c r="I1181" s="42"/>
      <c r="J1181" s="47"/>
      <c r="K1181" s="42"/>
      <c r="L1181" s="42"/>
      <c r="M1181" s="47"/>
      <c r="N1181" s="42"/>
      <c r="O1181" s="42"/>
      <c r="P1181" s="47"/>
      <c r="Q1181" s="42"/>
      <c r="R1181" s="42"/>
      <c r="S1181" s="47"/>
      <c r="T1181" s="42"/>
      <c r="U1181" s="42"/>
      <c r="V1181" s="47"/>
      <c r="W1181" s="42"/>
      <c r="X1181" s="42"/>
      <c r="Y1181" s="47"/>
      <c r="Z1181" s="42"/>
      <c r="AA1181" s="42"/>
      <c r="AB1181" s="47"/>
      <c r="AC1181" s="42"/>
      <c r="AD1181" s="42"/>
      <c r="AE1181" s="46"/>
      <c r="AF1181" s="47"/>
      <c r="AG1181" s="48"/>
    </row>
    <row r="1182" spans="2:33" s="38" customFormat="1" x14ac:dyDescent="0.25">
      <c r="B1182" s="49"/>
      <c r="C1182" s="70"/>
      <c r="D1182" s="42"/>
      <c r="F1182" s="46"/>
      <c r="G1182" s="47"/>
      <c r="H1182" s="42"/>
      <c r="I1182" s="42"/>
      <c r="J1182" s="47"/>
      <c r="K1182" s="42"/>
      <c r="L1182" s="42"/>
      <c r="M1182" s="47"/>
      <c r="N1182" s="42"/>
      <c r="O1182" s="42"/>
      <c r="P1182" s="47"/>
      <c r="Q1182" s="42"/>
      <c r="R1182" s="42"/>
      <c r="S1182" s="47"/>
      <c r="T1182" s="42"/>
      <c r="U1182" s="42"/>
      <c r="V1182" s="47"/>
      <c r="W1182" s="42"/>
      <c r="X1182" s="42"/>
      <c r="Y1182" s="47"/>
      <c r="Z1182" s="42"/>
      <c r="AA1182" s="42"/>
      <c r="AB1182" s="47"/>
      <c r="AC1182" s="42"/>
      <c r="AD1182" s="42"/>
      <c r="AE1182" s="46"/>
      <c r="AF1182" s="47"/>
      <c r="AG1182" s="48"/>
    </row>
    <row r="1183" spans="2:33" s="38" customFormat="1" x14ac:dyDescent="0.25">
      <c r="B1183" s="49"/>
      <c r="C1183" s="70"/>
      <c r="D1183" s="42"/>
      <c r="F1183" s="46"/>
      <c r="G1183" s="47"/>
      <c r="H1183" s="42"/>
      <c r="I1183" s="42"/>
      <c r="J1183" s="47"/>
      <c r="K1183" s="42"/>
      <c r="L1183" s="42"/>
      <c r="M1183" s="47"/>
      <c r="N1183" s="42"/>
      <c r="O1183" s="42"/>
      <c r="P1183" s="47"/>
      <c r="Q1183" s="42"/>
      <c r="R1183" s="42"/>
      <c r="S1183" s="47"/>
      <c r="T1183" s="42"/>
      <c r="U1183" s="42"/>
      <c r="V1183" s="47"/>
      <c r="W1183" s="42"/>
      <c r="X1183" s="42"/>
      <c r="Y1183" s="47"/>
      <c r="Z1183" s="42"/>
      <c r="AA1183" s="42"/>
      <c r="AB1183" s="47"/>
      <c r="AC1183" s="42"/>
      <c r="AD1183" s="42"/>
      <c r="AE1183" s="46"/>
      <c r="AF1183" s="47"/>
      <c r="AG1183" s="48"/>
    </row>
    <row r="1184" spans="2:33" s="38" customFormat="1" x14ac:dyDescent="0.25">
      <c r="B1184" s="49"/>
      <c r="C1184" s="70"/>
      <c r="D1184" s="42"/>
      <c r="F1184" s="46"/>
      <c r="G1184" s="47"/>
      <c r="H1184" s="42"/>
      <c r="I1184" s="42"/>
      <c r="J1184" s="47"/>
      <c r="K1184" s="42"/>
      <c r="L1184" s="42"/>
      <c r="M1184" s="47"/>
      <c r="N1184" s="42"/>
      <c r="O1184" s="42"/>
      <c r="P1184" s="47"/>
      <c r="Q1184" s="42"/>
      <c r="R1184" s="42"/>
      <c r="S1184" s="47"/>
      <c r="T1184" s="42"/>
      <c r="U1184" s="42"/>
      <c r="V1184" s="47"/>
      <c r="W1184" s="42"/>
      <c r="X1184" s="42"/>
      <c r="Y1184" s="47"/>
      <c r="Z1184" s="42"/>
      <c r="AA1184" s="42"/>
      <c r="AB1184" s="47"/>
      <c r="AC1184" s="42"/>
      <c r="AD1184" s="42"/>
      <c r="AE1184" s="46"/>
      <c r="AF1184" s="47"/>
      <c r="AG1184" s="48"/>
    </row>
    <row r="1185" spans="2:33" s="38" customFormat="1" x14ac:dyDescent="0.25">
      <c r="B1185" s="49"/>
      <c r="C1185" s="70"/>
      <c r="D1185" s="42"/>
      <c r="F1185" s="46"/>
      <c r="G1185" s="47"/>
      <c r="H1185" s="42"/>
      <c r="I1185" s="42"/>
      <c r="J1185" s="47"/>
      <c r="K1185" s="42"/>
      <c r="L1185" s="42"/>
      <c r="M1185" s="47"/>
      <c r="N1185" s="42"/>
      <c r="O1185" s="42"/>
      <c r="P1185" s="47"/>
      <c r="Q1185" s="42"/>
      <c r="R1185" s="42"/>
      <c r="S1185" s="47"/>
      <c r="T1185" s="42"/>
      <c r="U1185" s="42"/>
      <c r="V1185" s="47"/>
      <c r="W1185" s="42"/>
      <c r="X1185" s="42"/>
      <c r="Y1185" s="47"/>
      <c r="Z1185" s="42"/>
      <c r="AA1185" s="42"/>
      <c r="AB1185" s="47"/>
      <c r="AC1185" s="42"/>
      <c r="AD1185" s="42"/>
      <c r="AE1185" s="46"/>
      <c r="AF1185" s="47"/>
      <c r="AG1185" s="48"/>
    </row>
    <row r="1186" spans="2:33" s="38" customFormat="1" x14ac:dyDescent="0.25">
      <c r="B1186" s="49"/>
      <c r="C1186" s="70"/>
      <c r="D1186" s="42"/>
      <c r="F1186" s="46"/>
      <c r="G1186" s="47"/>
      <c r="H1186" s="42"/>
      <c r="I1186" s="42"/>
      <c r="J1186" s="47"/>
      <c r="K1186" s="42"/>
      <c r="L1186" s="42"/>
      <c r="M1186" s="47"/>
      <c r="N1186" s="42"/>
      <c r="O1186" s="42"/>
      <c r="P1186" s="47"/>
      <c r="Q1186" s="42"/>
      <c r="R1186" s="42"/>
      <c r="S1186" s="47"/>
      <c r="T1186" s="42"/>
      <c r="U1186" s="42"/>
      <c r="V1186" s="47"/>
      <c r="W1186" s="42"/>
      <c r="X1186" s="42"/>
      <c r="Y1186" s="47"/>
      <c r="Z1186" s="42"/>
      <c r="AA1186" s="42"/>
      <c r="AB1186" s="47"/>
      <c r="AC1186" s="42"/>
      <c r="AD1186" s="42"/>
      <c r="AE1186" s="46"/>
      <c r="AF1186" s="47"/>
      <c r="AG1186" s="48"/>
    </row>
    <row r="1187" spans="2:33" s="38" customFormat="1" x14ac:dyDescent="0.25">
      <c r="B1187" s="49"/>
      <c r="C1187" s="70"/>
      <c r="D1187" s="42"/>
      <c r="F1187" s="46"/>
      <c r="G1187" s="47"/>
      <c r="H1187" s="42"/>
      <c r="I1187" s="42"/>
      <c r="J1187" s="47"/>
      <c r="K1187" s="42"/>
      <c r="L1187" s="42"/>
      <c r="M1187" s="47"/>
      <c r="N1187" s="42"/>
      <c r="O1187" s="42"/>
      <c r="P1187" s="47"/>
      <c r="Q1187" s="42"/>
      <c r="R1187" s="42"/>
      <c r="S1187" s="47"/>
      <c r="T1187" s="42"/>
      <c r="U1187" s="42"/>
      <c r="V1187" s="47"/>
      <c r="W1187" s="42"/>
      <c r="X1187" s="42"/>
      <c r="Y1187" s="47"/>
      <c r="Z1187" s="42"/>
      <c r="AA1187" s="42"/>
      <c r="AB1187" s="47"/>
      <c r="AC1187" s="42"/>
      <c r="AD1187" s="42"/>
      <c r="AE1187" s="46"/>
      <c r="AF1187" s="47"/>
      <c r="AG1187" s="48"/>
    </row>
    <row r="1188" spans="2:33" s="38" customFormat="1" x14ac:dyDescent="0.25">
      <c r="B1188" s="49"/>
      <c r="C1188" s="70"/>
      <c r="D1188" s="42"/>
      <c r="F1188" s="46"/>
      <c r="G1188" s="47"/>
      <c r="H1188" s="42"/>
      <c r="I1188" s="42"/>
      <c r="J1188" s="47"/>
      <c r="K1188" s="42"/>
      <c r="L1188" s="42"/>
      <c r="M1188" s="47"/>
      <c r="N1188" s="42"/>
      <c r="O1188" s="42"/>
      <c r="P1188" s="47"/>
      <c r="Q1188" s="42"/>
      <c r="R1188" s="42"/>
      <c r="S1188" s="47"/>
      <c r="T1188" s="42"/>
      <c r="U1188" s="42"/>
      <c r="V1188" s="47"/>
      <c r="W1188" s="42"/>
      <c r="X1188" s="42"/>
      <c r="Y1188" s="47"/>
      <c r="Z1188" s="42"/>
      <c r="AA1188" s="42"/>
      <c r="AB1188" s="47"/>
      <c r="AC1188" s="42"/>
      <c r="AD1188" s="42"/>
      <c r="AE1188" s="46"/>
      <c r="AF1188" s="47"/>
      <c r="AG1188" s="48"/>
    </row>
    <row r="1189" spans="2:33" s="38" customFormat="1" x14ac:dyDescent="0.25">
      <c r="B1189" s="49"/>
      <c r="C1189" s="70"/>
      <c r="D1189" s="42"/>
      <c r="F1189" s="46"/>
      <c r="G1189" s="47"/>
      <c r="H1189" s="42"/>
      <c r="I1189" s="42"/>
      <c r="J1189" s="47"/>
      <c r="K1189" s="42"/>
      <c r="L1189" s="42"/>
      <c r="M1189" s="47"/>
      <c r="N1189" s="42"/>
      <c r="O1189" s="42"/>
      <c r="P1189" s="47"/>
      <c r="Q1189" s="42"/>
      <c r="R1189" s="42"/>
      <c r="S1189" s="47"/>
      <c r="T1189" s="42"/>
      <c r="U1189" s="42"/>
      <c r="V1189" s="47"/>
      <c r="W1189" s="42"/>
      <c r="X1189" s="42"/>
      <c r="Y1189" s="47"/>
      <c r="Z1189" s="42"/>
      <c r="AA1189" s="42"/>
      <c r="AB1189" s="47"/>
      <c r="AC1189" s="42"/>
      <c r="AD1189" s="42"/>
      <c r="AE1189" s="46"/>
      <c r="AF1189" s="47"/>
      <c r="AG1189" s="48"/>
    </row>
    <row r="1190" spans="2:33" s="38" customFormat="1" x14ac:dyDescent="0.25">
      <c r="B1190" s="49"/>
      <c r="C1190" s="70"/>
      <c r="D1190" s="42"/>
      <c r="F1190" s="46"/>
      <c r="G1190" s="47"/>
      <c r="H1190" s="42"/>
      <c r="I1190" s="42"/>
      <c r="J1190" s="47"/>
      <c r="K1190" s="42"/>
      <c r="L1190" s="42"/>
      <c r="M1190" s="47"/>
      <c r="N1190" s="42"/>
      <c r="O1190" s="42"/>
      <c r="P1190" s="47"/>
      <c r="Q1190" s="42"/>
      <c r="R1190" s="42"/>
      <c r="S1190" s="47"/>
      <c r="T1190" s="42"/>
      <c r="U1190" s="42"/>
      <c r="V1190" s="47"/>
      <c r="W1190" s="42"/>
      <c r="X1190" s="42"/>
      <c r="Y1190" s="47"/>
      <c r="Z1190" s="42"/>
      <c r="AA1190" s="42"/>
      <c r="AB1190" s="47"/>
      <c r="AC1190" s="42"/>
      <c r="AD1190" s="42"/>
      <c r="AE1190" s="46"/>
      <c r="AF1190" s="47"/>
      <c r="AG1190" s="48"/>
    </row>
    <row r="1191" spans="2:33" s="38" customFormat="1" x14ac:dyDescent="0.25">
      <c r="B1191" s="49"/>
      <c r="C1191" s="70"/>
      <c r="D1191" s="42"/>
      <c r="F1191" s="46"/>
      <c r="G1191" s="47"/>
      <c r="H1191" s="42"/>
      <c r="I1191" s="42"/>
      <c r="J1191" s="47"/>
      <c r="K1191" s="42"/>
      <c r="L1191" s="42"/>
      <c r="M1191" s="47"/>
      <c r="N1191" s="42"/>
      <c r="O1191" s="42"/>
      <c r="P1191" s="47"/>
      <c r="Q1191" s="42"/>
      <c r="R1191" s="42"/>
      <c r="S1191" s="47"/>
      <c r="T1191" s="42"/>
      <c r="U1191" s="42"/>
      <c r="V1191" s="47"/>
      <c r="W1191" s="42"/>
      <c r="X1191" s="42"/>
      <c r="Y1191" s="47"/>
      <c r="Z1191" s="42"/>
      <c r="AA1191" s="42"/>
      <c r="AB1191" s="47"/>
      <c r="AC1191" s="42"/>
      <c r="AD1191" s="42"/>
      <c r="AE1191" s="46"/>
      <c r="AF1191" s="47"/>
      <c r="AG1191" s="48"/>
    </row>
    <row r="1192" spans="2:33" s="38" customFormat="1" x14ac:dyDescent="0.25">
      <c r="B1192" s="49"/>
      <c r="C1192" s="70"/>
      <c r="D1192" s="42"/>
      <c r="F1192" s="46"/>
      <c r="G1192" s="47"/>
      <c r="H1192" s="42"/>
      <c r="I1192" s="42"/>
      <c r="J1192" s="47"/>
      <c r="K1192" s="42"/>
      <c r="L1192" s="42"/>
      <c r="M1192" s="47"/>
      <c r="N1192" s="42"/>
      <c r="O1192" s="42"/>
      <c r="P1192" s="47"/>
      <c r="Q1192" s="42"/>
      <c r="R1192" s="42"/>
      <c r="S1192" s="47"/>
      <c r="T1192" s="42"/>
      <c r="U1192" s="42"/>
      <c r="V1192" s="47"/>
      <c r="W1192" s="42"/>
      <c r="X1192" s="42"/>
      <c r="Y1192" s="47"/>
      <c r="Z1192" s="42"/>
      <c r="AA1192" s="42"/>
      <c r="AB1192" s="47"/>
      <c r="AC1192" s="42"/>
      <c r="AD1192" s="42"/>
      <c r="AE1192" s="46"/>
      <c r="AF1192" s="47"/>
      <c r="AG1192" s="48"/>
    </row>
    <row r="1193" spans="2:33" s="38" customFormat="1" x14ac:dyDescent="0.25">
      <c r="B1193" s="49"/>
      <c r="C1193" s="70"/>
      <c r="D1193" s="42"/>
      <c r="F1193" s="46"/>
      <c r="G1193" s="47"/>
      <c r="H1193" s="42"/>
      <c r="I1193" s="42"/>
      <c r="J1193" s="47"/>
      <c r="K1193" s="42"/>
      <c r="L1193" s="42"/>
      <c r="M1193" s="47"/>
      <c r="N1193" s="42"/>
      <c r="O1193" s="42"/>
      <c r="P1193" s="47"/>
      <c r="Q1193" s="42"/>
      <c r="R1193" s="42"/>
      <c r="S1193" s="47"/>
      <c r="T1193" s="42"/>
      <c r="U1193" s="42"/>
      <c r="V1193" s="47"/>
      <c r="W1193" s="42"/>
      <c r="X1193" s="42"/>
      <c r="Y1193" s="47"/>
      <c r="Z1193" s="42"/>
      <c r="AA1193" s="42"/>
      <c r="AB1193" s="47"/>
      <c r="AC1193" s="42"/>
      <c r="AD1193" s="42"/>
      <c r="AE1193" s="46"/>
      <c r="AF1193" s="47"/>
      <c r="AG1193" s="48"/>
    </row>
    <row r="1194" spans="2:33" s="38" customFormat="1" x14ac:dyDescent="0.25">
      <c r="B1194" s="49"/>
      <c r="C1194" s="70"/>
      <c r="D1194" s="42"/>
      <c r="F1194" s="46"/>
      <c r="G1194" s="47"/>
      <c r="H1194" s="42"/>
      <c r="I1194" s="42"/>
      <c r="J1194" s="47"/>
      <c r="K1194" s="42"/>
      <c r="L1194" s="42"/>
      <c r="M1194" s="47"/>
      <c r="N1194" s="42"/>
      <c r="O1194" s="42"/>
      <c r="P1194" s="47"/>
      <c r="Q1194" s="42"/>
      <c r="R1194" s="42"/>
      <c r="S1194" s="47"/>
      <c r="T1194" s="42"/>
      <c r="U1194" s="42"/>
      <c r="V1194" s="47"/>
      <c r="W1194" s="42"/>
      <c r="X1194" s="42"/>
      <c r="Y1194" s="47"/>
      <c r="Z1194" s="42"/>
      <c r="AA1194" s="42"/>
      <c r="AB1194" s="47"/>
      <c r="AC1194" s="42"/>
      <c r="AD1194" s="42"/>
      <c r="AE1194" s="46"/>
      <c r="AF1194" s="47"/>
      <c r="AG1194" s="48"/>
    </row>
    <row r="1195" spans="2:33" s="38" customFormat="1" x14ac:dyDescent="0.25">
      <c r="B1195" s="49"/>
      <c r="C1195" s="70"/>
      <c r="D1195" s="42"/>
      <c r="F1195" s="46"/>
      <c r="G1195" s="47"/>
      <c r="H1195" s="42"/>
      <c r="I1195" s="42"/>
      <c r="J1195" s="47"/>
      <c r="K1195" s="42"/>
      <c r="L1195" s="42"/>
      <c r="M1195" s="47"/>
      <c r="N1195" s="42"/>
      <c r="O1195" s="42"/>
      <c r="P1195" s="47"/>
      <c r="Q1195" s="42"/>
      <c r="R1195" s="42"/>
      <c r="S1195" s="47"/>
      <c r="T1195" s="42"/>
      <c r="U1195" s="42"/>
      <c r="V1195" s="47"/>
      <c r="W1195" s="42"/>
      <c r="X1195" s="42"/>
      <c r="Y1195" s="47"/>
      <c r="Z1195" s="42"/>
      <c r="AA1195" s="42"/>
      <c r="AB1195" s="47"/>
      <c r="AC1195" s="42"/>
      <c r="AD1195" s="42"/>
      <c r="AE1195" s="46"/>
      <c r="AF1195" s="47"/>
      <c r="AG1195" s="48"/>
    </row>
    <row r="1196" spans="2:33" s="38" customFormat="1" x14ac:dyDescent="0.25">
      <c r="B1196" s="49"/>
      <c r="C1196" s="70"/>
      <c r="D1196" s="42"/>
      <c r="F1196" s="46"/>
      <c r="G1196" s="47"/>
      <c r="H1196" s="42"/>
      <c r="I1196" s="42"/>
      <c r="J1196" s="47"/>
      <c r="K1196" s="42"/>
      <c r="L1196" s="42"/>
      <c r="M1196" s="47"/>
      <c r="N1196" s="42"/>
      <c r="O1196" s="42"/>
      <c r="P1196" s="47"/>
      <c r="Q1196" s="42"/>
      <c r="R1196" s="42"/>
      <c r="S1196" s="47"/>
      <c r="T1196" s="42"/>
      <c r="U1196" s="42"/>
      <c r="V1196" s="47"/>
      <c r="W1196" s="42"/>
      <c r="X1196" s="42"/>
      <c r="Y1196" s="47"/>
      <c r="Z1196" s="42"/>
      <c r="AA1196" s="42"/>
      <c r="AB1196" s="47"/>
      <c r="AC1196" s="42"/>
      <c r="AD1196" s="42"/>
      <c r="AE1196" s="46"/>
      <c r="AF1196" s="47"/>
      <c r="AG1196" s="48"/>
    </row>
    <row r="1197" spans="2:33" s="38" customFormat="1" x14ac:dyDescent="0.25">
      <c r="B1197" s="49"/>
      <c r="C1197" s="70"/>
      <c r="D1197" s="42"/>
      <c r="F1197" s="46"/>
      <c r="G1197" s="47"/>
      <c r="H1197" s="42"/>
      <c r="I1197" s="42"/>
      <c r="J1197" s="47"/>
      <c r="K1197" s="42"/>
      <c r="L1197" s="42"/>
      <c r="M1197" s="47"/>
      <c r="N1197" s="42"/>
      <c r="O1197" s="42"/>
      <c r="P1197" s="47"/>
      <c r="Q1197" s="42"/>
      <c r="R1197" s="42"/>
      <c r="S1197" s="47"/>
      <c r="T1197" s="42"/>
      <c r="U1197" s="42"/>
      <c r="V1197" s="47"/>
      <c r="W1197" s="42"/>
      <c r="X1197" s="42"/>
      <c r="Y1197" s="47"/>
      <c r="Z1197" s="42"/>
      <c r="AA1197" s="42"/>
      <c r="AB1197" s="47"/>
      <c r="AC1197" s="42"/>
      <c r="AD1197" s="42"/>
      <c r="AE1197" s="46"/>
      <c r="AF1197" s="47"/>
      <c r="AG1197" s="48"/>
    </row>
    <row r="1198" spans="2:33" s="38" customFormat="1" x14ac:dyDescent="0.25">
      <c r="B1198" s="49"/>
      <c r="C1198" s="70"/>
      <c r="D1198" s="42"/>
      <c r="F1198" s="46"/>
      <c r="G1198" s="47"/>
      <c r="H1198" s="42"/>
      <c r="I1198" s="42"/>
      <c r="J1198" s="47"/>
      <c r="K1198" s="42"/>
      <c r="L1198" s="42"/>
      <c r="M1198" s="47"/>
      <c r="N1198" s="42"/>
      <c r="O1198" s="42"/>
      <c r="P1198" s="47"/>
      <c r="Q1198" s="42"/>
      <c r="R1198" s="42"/>
      <c r="S1198" s="47"/>
      <c r="T1198" s="42"/>
      <c r="U1198" s="42"/>
      <c r="V1198" s="47"/>
      <c r="W1198" s="42"/>
      <c r="X1198" s="42"/>
      <c r="Y1198" s="47"/>
      <c r="Z1198" s="42"/>
      <c r="AA1198" s="42"/>
      <c r="AB1198" s="47"/>
      <c r="AC1198" s="42"/>
      <c r="AD1198" s="42"/>
      <c r="AE1198" s="46"/>
      <c r="AF1198" s="47"/>
      <c r="AG1198" s="48"/>
    </row>
    <row r="1199" spans="2:33" s="38" customFormat="1" x14ac:dyDescent="0.25">
      <c r="B1199" s="49"/>
      <c r="C1199" s="70"/>
      <c r="D1199" s="42"/>
      <c r="F1199" s="46"/>
      <c r="G1199" s="47"/>
      <c r="H1199" s="42"/>
      <c r="I1199" s="42"/>
      <c r="J1199" s="47"/>
      <c r="K1199" s="42"/>
      <c r="L1199" s="42"/>
      <c r="M1199" s="47"/>
      <c r="N1199" s="42"/>
      <c r="O1199" s="42"/>
      <c r="P1199" s="47"/>
      <c r="Q1199" s="42"/>
      <c r="R1199" s="42"/>
      <c r="S1199" s="47"/>
      <c r="T1199" s="42"/>
      <c r="U1199" s="42"/>
      <c r="V1199" s="47"/>
      <c r="W1199" s="42"/>
      <c r="X1199" s="42"/>
      <c r="Y1199" s="47"/>
      <c r="Z1199" s="42"/>
      <c r="AA1199" s="42"/>
      <c r="AB1199" s="47"/>
      <c r="AC1199" s="42"/>
      <c r="AD1199" s="42"/>
      <c r="AE1199" s="46"/>
      <c r="AF1199" s="47"/>
      <c r="AG1199" s="48"/>
    </row>
    <row r="1200" spans="2:33" s="38" customFormat="1" x14ac:dyDescent="0.25">
      <c r="B1200" s="49"/>
      <c r="C1200" s="70"/>
      <c r="D1200" s="42"/>
      <c r="F1200" s="46"/>
      <c r="G1200" s="47"/>
      <c r="H1200" s="42"/>
      <c r="I1200" s="42"/>
      <c r="J1200" s="47"/>
      <c r="K1200" s="42"/>
      <c r="L1200" s="42"/>
      <c r="M1200" s="47"/>
      <c r="N1200" s="42"/>
      <c r="O1200" s="42"/>
      <c r="P1200" s="47"/>
      <c r="Q1200" s="42"/>
      <c r="R1200" s="42"/>
      <c r="S1200" s="47"/>
      <c r="T1200" s="42"/>
      <c r="U1200" s="42"/>
      <c r="V1200" s="47"/>
      <c r="W1200" s="42"/>
      <c r="X1200" s="42"/>
      <c r="Y1200" s="47"/>
      <c r="Z1200" s="42"/>
      <c r="AA1200" s="42"/>
      <c r="AB1200" s="47"/>
      <c r="AC1200" s="42"/>
      <c r="AD1200" s="42"/>
      <c r="AE1200" s="46"/>
      <c r="AF1200" s="47"/>
      <c r="AG1200" s="48"/>
    </row>
    <row r="1201" spans="2:33" s="38" customFormat="1" x14ac:dyDescent="0.25">
      <c r="B1201" s="49"/>
      <c r="C1201" s="70"/>
      <c r="D1201" s="42"/>
      <c r="F1201" s="46"/>
      <c r="G1201" s="47"/>
      <c r="H1201" s="42"/>
      <c r="I1201" s="42"/>
      <c r="J1201" s="47"/>
      <c r="K1201" s="42"/>
      <c r="L1201" s="42"/>
      <c r="M1201" s="47"/>
      <c r="N1201" s="42"/>
      <c r="O1201" s="42"/>
      <c r="P1201" s="47"/>
      <c r="Q1201" s="42"/>
      <c r="R1201" s="42"/>
      <c r="S1201" s="47"/>
      <c r="T1201" s="42"/>
      <c r="U1201" s="42"/>
      <c r="V1201" s="47"/>
      <c r="W1201" s="42"/>
      <c r="X1201" s="42"/>
      <c r="Y1201" s="47"/>
      <c r="Z1201" s="42"/>
      <c r="AA1201" s="42"/>
      <c r="AB1201" s="47"/>
      <c r="AC1201" s="42"/>
      <c r="AD1201" s="42"/>
      <c r="AE1201" s="46"/>
      <c r="AF1201" s="47"/>
      <c r="AG1201" s="48"/>
    </row>
    <row r="1202" spans="2:33" s="38" customFormat="1" x14ac:dyDescent="0.25">
      <c r="B1202" s="49"/>
      <c r="C1202" s="70"/>
      <c r="D1202" s="42"/>
      <c r="F1202" s="46"/>
      <c r="G1202" s="47"/>
      <c r="H1202" s="42"/>
      <c r="I1202" s="42"/>
      <c r="J1202" s="47"/>
      <c r="K1202" s="42"/>
      <c r="L1202" s="42"/>
      <c r="M1202" s="47"/>
      <c r="N1202" s="42"/>
      <c r="O1202" s="42"/>
      <c r="P1202" s="47"/>
      <c r="Q1202" s="42"/>
      <c r="R1202" s="42"/>
      <c r="S1202" s="47"/>
      <c r="T1202" s="42"/>
      <c r="U1202" s="42"/>
      <c r="V1202" s="47"/>
      <c r="W1202" s="42"/>
      <c r="X1202" s="42"/>
      <c r="Y1202" s="47"/>
      <c r="Z1202" s="42"/>
      <c r="AA1202" s="42"/>
      <c r="AB1202" s="47"/>
      <c r="AC1202" s="42"/>
      <c r="AD1202" s="42"/>
      <c r="AE1202" s="46"/>
      <c r="AF1202" s="47"/>
      <c r="AG1202" s="48"/>
    </row>
    <row r="1203" spans="2:33" s="38" customFormat="1" x14ac:dyDescent="0.25">
      <c r="B1203" s="49"/>
      <c r="C1203" s="70"/>
      <c r="D1203" s="42"/>
      <c r="F1203" s="46"/>
      <c r="G1203" s="47"/>
      <c r="H1203" s="42"/>
      <c r="I1203" s="42"/>
      <c r="J1203" s="47"/>
      <c r="K1203" s="42"/>
      <c r="L1203" s="42"/>
      <c r="M1203" s="47"/>
      <c r="N1203" s="42"/>
      <c r="O1203" s="42"/>
      <c r="P1203" s="47"/>
      <c r="Q1203" s="42"/>
      <c r="R1203" s="42"/>
      <c r="S1203" s="47"/>
      <c r="T1203" s="42"/>
      <c r="U1203" s="42"/>
      <c r="V1203" s="47"/>
      <c r="W1203" s="42"/>
      <c r="X1203" s="42"/>
      <c r="Y1203" s="47"/>
      <c r="Z1203" s="42"/>
      <c r="AA1203" s="42"/>
      <c r="AB1203" s="47"/>
      <c r="AC1203" s="42"/>
      <c r="AD1203" s="42"/>
      <c r="AE1203" s="46"/>
      <c r="AF1203" s="47"/>
      <c r="AG1203" s="48"/>
    </row>
    <row r="1204" spans="2:33" s="38" customFormat="1" x14ac:dyDescent="0.25">
      <c r="B1204" s="49"/>
      <c r="C1204" s="70"/>
      <c r="D1204" s="42"/>
      <c r="F1204" s="46"/>
      <c r="G1204" s="47"/>
      <c r="H1204" s="42"/>
      <c r="I1204" s="42"/>
      <c r="J1204" s="47"/>
      <c r="K1204" s="42"/>
      <c r="L1204" s="42"/>
      <c r="M1204" s="47"/>
      <c r="N1204" s="42"/>
      <c r="O1204" s="42"/>
      <c r="P1204" s="47"/>
      <c r="Q1204" s="42"/>
      <c r="R1204" s="42"/>
      <c r="S1204" s="47"/>
      <c r="T1204" s="42"/>
      <c r="U1204" s="42"/>
      <c r="V1204" s="47"/>
      <c r="W1204" s="42"/>
      <c r="X1204" s="42"/>
      <c r="Y1204" s="47"/>
      <c r="Z1204" s="42"/>
      <c r="AA1204" s="42"/>
      <c r="AB1204" s="47"/>
      <c r="AC1204" s="42"/>
      <c r="AD1204" s="42"/>
      <c r="AE1204" s="46"/>
      <c r="AF1204" s="47"/>
      <c r="AG1204" s="48"/>
    </row>
    <row r="1205" spans="2:33" s="38" customFormat="1" x14ac:dyDescent="0.25">
      <c r="B1205" s="49"/>
      <c r="C1205" s="70"/>
      <c r="D1205" s="42"/>
      <c r="F1205" s="46"/>
      <c r="G1205" s="47"/>
      <c r="H1205" s="42"/>
      <c r="I1205" s="42"/>
      <c r="J1205" s="47"/>
      <c r="K1205" s="42"/>
      <c r="L1205" s="42"/>
      <c r="M1205" s="47"/>
      <c r="N1205" s="42"/>
      <c r="O1205" s="42"/>
      <c r="P1205" s="47"/>
      <c r="Q1205" s="42"/>
      <c r="R1205" s="42"/>
      <c r="S1205" s="47"/>
      <c r="T1205" s="42"/>
      <c r="U1205" s="42"/>
      <c r="V1205" s="47"/>
      <c r="W1205" s="42"/>
      <c r="X1205" s="42"/>
      <c r="Y1205" s="47"/>
      <c r="Z1205" s="42"/>
      <c r="AA1205" s="42"/>
      <c r="AB1205" s="47"/>
      <c r="AC1205" s="42"/>
      <c r="AD1205" s="42"/>
      <c r="AE1205" s="46"/>
      <c r="AF1205" s="47"/>
      <c r="AG1205" s="48"/>
    </row>
    <row r="1206" spans="2:33" s="38" customFormat="1" x14ac:dyDescent="0.25">
      <c r="B1206" s="49"/>
      <c r="C1206" s="70"/>
      <c r="D1206" s="42"/>
      <c r="F1206" s="46"/>
      <c r="G1206" s="47"/>
      <c r="H1206" s="42"/>
      <c r="I1206" s="42"/>
      <c r="J1206" s="47"/>
      <c r="K1206" s="42"/>
      <c r="L1206" s="42"/>
      <c r="M1206" s="47"/>
      <c r="N1206" s="42"/>
      <c r="O1206" s="42"/>
      <c r="P1206" s="47"/>
      <c r="Q1206" s="42"/>
      <c r="R1206" s="42"/>
      <c r="S1206" s="47"/>
      <c r="T1206" s="42"/>
      <c r="U1206" s="42"/>
      <c r="V1206" s="47"/>
      <c r="W1206" s="42"/>
      <c r="X1206" s="42"/>
      <c r="Y1206" s="47"/>
      <c r="Z1206" s="42"/>
      <c r="AA1206" s="42"/>
      <c r="AB1206" s="47"/>
      <c r="AC1206" s="42"/>
      <c r="AD1206" s="42"/>
      <c r="AE1206" s="46"/>
      <c r="AF1206" s="47"/>
      <c r="AG1206" s="48"/>
    </row>
    <row r="1207" spans="2:33" s="38" customFormat="1" x14ac:dyDescent="0.25">
      <c r="B1207" s="49"/>
      <c r="C1207" s="70"/>
      <c r="D1207" s="42"/>
      <c r="F1207" s="46"/>
      <c r="G1207" s="47"/>
      <c r="H1207" s="42"/>
      <c r="I1207" s="42"/>
      <c r="J1207" s="47"/>
      <c r="K1207" s="42"/>
      <c r="L1207" s="42"/>
      <c r="M1207" s="47"/>
      <c r="N1207" s="42"/>
      <c r="O1207" s="42"/>
      <c r="P1207" s="47"/>
      <c r="Q1207" s="42"/>
      <c r="R1207" s="42"/>
      <c r="S1207" s="47"/>
      <c r="T1207" s="42"/>
      <c r="U1207" s="42"/>
      <c r="V1207" s="47"/>
      <c r="W1207" s="42"/>
      <c r="X1207" s="42"/>
      <c r="Y1207" s="47"/>
      <c r="Z1207" s="42"/>
      <c r="AA1207" s="42"/>
      <c r="AB1207" s="47"/>
      <c r="AC1207" s="42"/>
      <c r="AD1207" s="42"/>
      <c r="AE1207" s="46"/>
      <c r="AF1207" s="47"/>
      <c r="AG1207" s="48"/>
    </row>
    <row r="1208" spans="2:33" s="38" customFormat="1" x14ac:dyDescent="0.25">
      <c r="B1208" s="49"/>
      <c r="C1208" s="70"/>
      <c r="D1208" s="42"/>
      <c r="F1208" s="46"/>
      <c r="G1208" s="47"/>
      <c r="H1208" s="42"/>
      <c r="I1208" s="42"/>
      <c r="J1208" s="47"/>
      <c r="K1208" s="42"/>
      <c r="L1208" s="42"/>
      <c r="M1208" s="47"/>
      <c r="N1208" s="42"/>
      <c r="O1208" s="42"/>
      <c r="P1208" s="47"/>
      <c r="Q1208" s="42"/>
      <c r="R1208" s="42"/>
      <c r="S1208" s="47"/>
      <c r="T1208" s="42"/>
      <c r="U1208" s="42"/>
      <c r="V1208" s="47"/>
      <c r="W1208" s="42"/>
      <c r="X1208" s="42"/>
      <c r="Y1208" s="47"/>
      <c r="Z1208" s="42"/>
      <c r="AA1208" s="42"/>
      <c r="AB1208" s="47"/>
      <c r="AC1208" s="42"/>
      <c r="AD1208" s="42"/>
      <c r="AE1208" s="46"/>
      <c r="AF1208" s="47"/>
      <c r="AG1208" s="48"/>
    </row>
    <row r="1209" spans="2:33" s="38" customFormat="1" x14ac:dyDescent="0.25">
      <c r="B1209" s="49"/>
      <c r="C1209" s="70"/>
      <c r="D1209" s="42"/>
      <c r="F1209" s="46"/>
      <c r="G1209" s="47"/>
      <c r="H1209" s="42"/>
      <c r="I1209" s="42"/>
      <c r="J1209" s="47"/>
      <c r="K1209" s="42"/>
      <c r="L1209" s="42"/>
      <c r="M1209" s="47"/>
      <c r="N1209" s="42"/>
      <c r="O1209" s="42"/>
      <c r="P1209" s="47"/>
      <c r="Q1209" s="42"/>
      <c r="R1209" s="42"/>
      <c r="S1209" s="47"/>
      <c r="T1209" s="42"/>
      <c r="U1209" s="42"/>
      <c r="V1209" s="47"/>
      <c r="W1209" s="42"/>
      <c r="X1209" s="42"/>
      <c r="Y1209" s="47"/>
      <c r="Z1209" s="42"/>
      <c r="AA1209" s="42"/>
      <c r="AB1209" s="47"/>
      <c r="AC1209" s="42"/>
      <c r="AD1209" s="42"/>
      <c r="AE1209" s="46"/>
      <c r="AF1209" s="47"/>
      <c r="AG1209" s="48"/>
    </row>
    <row r="1210" spans="2:33" s="38" customFormat="1" x14ac:dyDescent="0.25">
      <c r="B1210" s="49"/>
      <c r="C1210" s="70"/>
      <c r="D1210" s="42"/>
      <c r="F1210" s="46"/>
      <c r="G1210" s="47"/>
      <c r="H1210" s="42"/>
      <c r="I1210" s="42"/>
      <c r="J1210" s="47"/>
      <c r="K1210" s="42"/>
      <c r="L1210" s="42"/>
      <c r="M1210" s="47"/>
      <c r="N1210" s="42"/>
      <c r="O1210" s="42"/>
      <c r="P1210" s="47"/>
      <c r="Q1210" s="42"/>
      <c r="R1210" s="42"/>
      <c r="S1210" s="47"/>
      <c r="T1210" s="42"/>
      <c r="U1210" s="42"/>
      <c r="V1210" s="47"/>
      <c r="W1210" s="42"/>
      <c r="X1210" s="42"/>
      <c r="Y1210" s="47"/>
      <c r="Z1210" s="42"/>
      <c r="AA1210" s="42"/>
      <c r="AB1210" s="47"/>
      <c r="AC1210" s="42"/>
      <c r="AD1210" s="42"/>
      <c r="AE1210" s="46"/>
      <c r="AF1210" s="47"/>
      <c r="AG1210" s="48"/>
    </row>
    <row r="1211" spans="2:33" s="38" customFormat="1" x14ac:dyDescent="0.25">
      <c r="B1211" s="49"/>
      <c r="C1211" s="70"/>
      <c r="D1211" s="42"/>
      <c r="F1211" s="46"/>
      <c r="G1211" s="47"/>
      <c r="H1211" s="42"/>
      <c r="I1211" s="42"/>
      <c r="J1211" s="47"/>
      <c r="K1211" s="42"/>
      <c r="L1211" s="42"/>
      <c r="M1211" s="47"/>
      <c r="N1211" s="42"/>
      <c r="O1211" s="42"/>
      <c r="P1211" s="47"/>
      <c r="Q1211" s="42"/>
      <c r="R1211" s="42"/>
      <c r="S1211" s="47"/>
      <c r="T1211" s="42"/>
      <c r="U1211" s="42"/>
      <c r="V1211" s="47"/>
      <c r="W1211" s="42"/>
      <c r="X1211" s="42"/>
      <c r="Y1211" s="47"/>
      <c r="Z1211" s="42"/>
      <c r="AA1211" s="42"/>
      <c r="AB1211" s="47"/>
      <c r="AC1211" s="42"/>
      <c r="AD1211" s="42"/>
      <c r="AE1211" s="46"/>
      <c r="AF1211" s="47"/>
      <c r="AG1211" s="48"/>
    </row>
    <row r="1212" spans="2:33" s="38" customFormat="1" x14ac:dyDescent="0.25">
      <c r="B1212" s="49"/>
      <c r="C1212" s="70"/>
      <c r="D1212" s="42"/>
      <c r="F1212" s="46"/>
      <c r="G1212" s="47"/>
      <c r="H1212" s="42"/>
      <c r="I1212" s="42"/>
      <c r="J1212" s="47"/>
      <c r="K1212" s="42"/>
      <c r="L1212" s="42"/>
      <c r="M1212" s="47"/>
      <c r="N1212" s="42"/>
      <c r="O1212" s="42"/>
      <c r="P1212" s="47"/>
      <c r="Q1212" s="42"/>
      <c r="R1212" s="42"/>
      <c r="S1212" s="47"/>
      <c r="T1212" s="42"/>
      <c r="U1212" s="42"/>
      <c r="V1212" s="47"/>
      <c r="W1212" s="42"/>
      <c r="X1212" s="42"/>
      <c r="Y1212" s="47"/>
      <c r="Z1212" s="42"/>
      <c r="AA1212" s="42"/>
      <c r="AB1212" s="47"/>
      <c r="AC1212" s="42"/>
      <c r="AD1212" s="42"/>
      <c r="AE1212" s="46"/>
      <c r="AF1212" s="47"/>
      <c r="AG1212" s="48"/>
    </row>
    <row r="1213" spans="2:33" s="38" customFormat="1" x14ac:dyDescent="0.25">
      <c r="B1213" s="49"/>
      <c r="C1213" s="70"/>
      <c r="D1213" s="42"/>
      <c r="F1213" s="46"/>
      <c r="G1213" s="47"/>
      <c r="H1213" s="42"/>
      <c r="I1213" s="42"/>
      <c r="J1213" s="47"/>
      <c r="K1213" s="42"/>
      <c r="L1213" s="42"/>
      <c r="M1213" s="47"/>
      <c r="N1213" s="42"/>
      <c r="O1213" s="42"/>
      <c r="P1213" s="47"/>
      <c r="Q1213" s="42"/>
      <c r="R1213" s="42"/>
      <c r="S1213" s="47"/>
      <c r="T1213" s="42"/>
      <c r="U1213" s="42"/>
      <c r="V1213" s="47"/>
      <c r="W1213" s="42"/>
      <c r="X1213" s="42"/>
      <c r="Y1213" s="47"/>
      <c r="Z1213" s="42"/>
      <c r="AA1213" s="42"/>
      <c r="AB1213" s="47"/>
      <c r="AC1213" s="42"/>
      <c r="AD1213" s="42"/>
      <c r="AE1213" s="46"/>
      <c r="AF1213" s="47"/>
      <c r="AG1213" s="48"/>
    </row>
    <row r="1214" spans="2:33" s="38" customFormat="1" x14ac:dyDescent="0.25">
      <c r="B1214" s="49"/>
      <c r="C1214" s="70"/>
      <c r="D1214" s="42"/>
      <c r="F1214" s="46"/>
      <c r="G1214" s="47"/>
      <c r="H1214" s="42"/>
      <c r="I1214" s="42"/>
      <c r="J1214" s="47"/>
      <c r="K1214" s="42"/>
      <c r="L1214" s="42"/>
      <c r="M1214" s="47"/>
      <c r="N1214" s="42"/>
      <c r="O1214" s="42"/>
      <c r="P1214" s="47"/>
      <c r="Q1214" s="42"/>
      <c r="R1214" s="42"/>
      <c r="S1214" s="47"/>
      <c r="T1214" s="42"/>
      <c r="U1214" s="42"/>
      <c r="V1214" s="47"/>
      <c r="W1214" s="42"/>
      <c r="X1214" s="42"/>
      <c r="Y1214" s="47"/>
      <c r="Z1214" s="42"/>
      <c r="AA1214" s="42"/>
      <c r="AB1214" s="47"/>
      <c r="AC1214" s="42"/>
      <c r="AD1214" s="42"/>
      <c r="AE1214" s="46"/>
      <c r="AF1214" s="47"/>
      <c r="AG1214" s="48"/>
    </row>
    <row r="1215" spans="2:33" s="38" customFormat="1" x14ac:dyDescent="0.25">
      <c r="B1215" s="49"/>
      <c r="C1215" s="70"/>
      <c r="D1215" s="42"/>
      <c r="F1215" s="46"/>
      <c r="G1215" s="47"/>
      <c r="H1215" s="42"/>
      <c r="I1215" s="42"/>
      <c r="J1215" s="47"/>
      <c r="K1215" s="42"/>
      <c r="L1215" s="42"/>
      <c r="M1215" s="47"/>
      <c r="N1215" s="42"/>
      <c r="O1215" s="42"/>
      <c r="P1215" s="47"/>
      <c r="Q1215" s="42"/>
      <c r="R1215" s="42"/>
      <c r="S1215" s="47"/>
      <c r="T1215" s="42"/>
      <c r="U1215" s="42"/>
      <c r="V1215" s="47"/>
      <c r="W1215" s="42"/>
      <c r="X1215" s="42"/>
      <c r="Y1215" s="47"/>
      <c r="Z1215" s="42"/>
      <c r="AA1215" s="42"/>
      <c r="AB1215" s="47"/>
      <c r="AC1215" s="42"/>
      <c r="AD1215" s="42"/>
      <c r="AE1215" s="46"/>
      <c r="AF1215" s="47"/>
      <c r="AG1215" s="48"/>
    </row>
    <row r="1216" spans="2:33" s="38" customFormat="1" x14ac:dyDescent="0.25">
      <c r="B1216" s="49"/>
      <c r="C1216" s="70"/>
      <c r="D1216" s="42"/>
      <c r="F1216" s="46"/>
      <c r="G1216" s="47"/>
      <c r="H1216" s="42"/>
      <c r="I1216" s="42"/>
      <c r="J1216" s="47"/>
      <c r="K1216" s="42"/>
      <c r="L1216" s="42"/>
      <c r="M1216" s="47"/>
      <c r="N1216" s="42"/>
      <c r="O1216" s="42"/>
      <c r="P1216" s="47"/>
      <c r="Q1216" s="42"/>
      <c r="R1216" s="42"/>
      <c r="S1216" s="47"/>
      <c r="T1216" s="42"/>
      <c r="U1216" s="42"/>
      <c r="V1216" s="47"/>
      <c r="W1216" s="42"/>
      <c r="X1216" s="42"/>
      <c r="Y1216" s="47"/>
      <c r="Z1216" s="42"/>
      <c r="AA1216" s="42"/>
      <c r="AB1216" s="47"/>
      <c r="AC1216" s="42"/>
      <c r="AD1216" s="42"/>
      <c r="AE1216" s="46"/>
      <c r="AF1216" s="47"/>
      <c r="AG1216" s="48"/>
    </row>
    <row r="1217" spans="2:33" s="38" customFormat="1" x14ac:dyDescent="0.25">
      <c r="B1217" s="49"/>
      <c r="C1217" s="70"/>
      <c r="D1217" s="42"/>
      <c r="F1217" s="46"/>
      <c r="G1217" s="47"/>
      <c r="H1217" s="42"/>
      <c r="I1217" s="42"/>
      <c r="J1217" s="47"/>
      <c r="K1217" s="42"/>
      <c r="L1217" s="42"/>
      <c r="M1217" s="47"/>
      <c r="N1217" s="42"/>
      <c r="O1217" s="42"/>
      <c r="P1217" s="47"/>
      <c r="Q1217" s="42"/>
      <c r="R1217" s="42"/>
      <c r="S1217" s="47"/>
      <c r="T1217" s="42"/>
      <c r="U1217" s="42"/>
      <c r="V1217" s="47"/>
      <c r="W1217" s="42"/>
      <c r="X1217" s="42"/>
      <c r="Y1217" s="47"/>
      <c r="Z1217" s="42"/>
      <c r="AA1217" s="42"/>
      <c r="AB1217" s="47"/>
      <c r="AC1217" s="42"/>
      <c r="AD1217" s="42"/>
      <c r="AE1217" s="46"/>
      <c r="AF1217" s="47"/>
      <c r="AG1217" s="48"/>
    </row>
  </sheetData>
  <mergeCells count="1">
    <mergeCell ref="C1:D1"/>
  </mergeCells>
  <conditionalFormatting sqref="H5">
    <cfRule type="cellIs" dxfId="1145" priority="1726" operator="equal">
      <formula>"Tramitando"</formula>
    </cfRule>
    <cfRule type="cellIs" dxfId="1144" priority="1727" operator="equal">
      <formula>"Deferido"</formula>
    </cfRule>
    <cfRule type="cellIs" dxfId="1143" priority="1728" operator="equal">
      <formula>"Indeferido"</formula>
    </cfRule>
  </conditionalFormatting>
  <conditionalFormatting sqref="H5">
    <cfRule type="containsText" dxfId="1142" priority="1725" operator="containsText" text="Cancelado">
      <formula>NOT(ISERROR(SEARCH("Cancelado",H5)))</formula>
    </cfRule>
  </conditionalFormatting>
  <conditionalFormatting sqref="H4 H44:H1048576">
    <cfRule type="cellIs" dxfId="1141" priority="1730" operator="equal">
      <formula>"Tramitando"</formula>
    </cfRule>
    <cfRule type="cellIs" dxfId="1140" priority="1731" operator="equal">
      <formula>"Deferido"</formula>
    </cfRule>
    <cfRule type="cellIs" dxfId="1139" priority="1732" operator="equal">
      <formula>"Indeferido"</formula>
    </cfRule>
  </conditionalFormatting>
  <conditionalFormatting sqref="H2:H4 H44:H1048576">
    <cfRule type="containsText" dxfId="1138" priority="1729" operator="containsText" text="Cancelado">
      <formula>NOT(ISERROR(SEARCH("Cancelado",H2)))</formula>
    </cfRule>
  </conditionalFormatting>
  <conditionalFormatting sqref="K4 K44:K1048576">
    <cfRule type="cellIs" dxfId="1137" priority="1710" operator="equal">
      <formula>"Tramitando"</formula>
    </cfRule>
    <cfRule type="cellIs" dxfId="1136" priority="1711" operator="equal">
      <formula>"Deferido"</formula>
    </cfRule>
    <cfRule type="cellIs" dxfId="1135" priority="1712" operator="equal">
      <formula>"Indeferido"</formula>
    </cfRule>
  </conditionalFormatting>
  <conditionalFormatting sqref="K2:K4 K44:K1048576">
    <cfRule type="containsText" dxfId="1134" priority="1709" operator="containsText" text="Cancelado">
      <formula>NOT(ISERROR(SEARCH("Cancelado",K2)))</formula>
    </cfRule>
  </conditionalFormatting>
  <conditionalFormatting sqref="K5">
    <cfRule type="cellIs" dxfId="1133" priority="1706" operator="equal">
      <formula>"Tramitando"</formula>
    </cfRule>
    <cfRule type="cellIs" dxfId="1132" priority="1707" operator="equal">
      <formula>"Deferido"</formula>
    </cfRule>
    <cfRule type="cellIs" dxfId="1131" priority="1708" operator="equal">
      <formula>"Indeferido"</formula>
    </cfRule>
  </conditionalFormatting>
  <conditionalFormatting sqref="K5">
    <cfRule type="containsText" dxfId="1130" priority="1705" operator="containsText" text="Cancelado">
      <formula>NOT(ISERROR(SEARCH("Cancelado",K5)))</formula>
    </cfRule>
  </conditionalFormatting>
  <conditionalFormatting sqref="N4 N44:N1048576">
    <cfRule type="cellIs" dxfId="1129" priority="1690" operator="equal">
      <formula>"Tramitando"</formula>
    </cfRule>
    <cfRule type="cellIs" dxfId="1128" priority="1691" operator="equal">
      <formula>"Deferido"</formula>
    </cfRule>
    <cfRule type="cellIs" dxfId="1127" priority="1692" operator="equal">
      <formula>"Indeferido"</formula>
    </cfRule>
  </conditionalFormatting>
  <conditionalFormatting sqref="N2:N4 N44:N1048576">
    <cfRule type="containsText" dxfId="1126" priority="1689" operator="containsText" text="Cancelado">
      <formula>NOT(ISERROR(SEARCH("Cancelado",N2)))</formula>
    </cfRule>
  </conditionalFormatting>
  <conditionalFormatting sqref="N5">
    <cfRule type="cellIs" dxfId="1125" priority="1686" operator="equal">
      <formula>"Tramitando"</formula>
    </cfRule>
    <cfRule type="cellIs" dxfId="1124" priority="1687" operator="equal">
      <formula>"Deferido"</formula>
    </cfRule>
    <cfRule type="cellIs" dxfId="1123" priority="1688" operator="equal">
      <formula>"Indeferido"</formula>
    </cfRule>
  </conditionalFormatting>
  <conditionalFormatting sqref="N5">
    <cfRule type="containsText" dxfId="1122" priority="1685" operator="containsText" text="Cancelado">
      <formula>NOT(ISERROR(SEARCH("Cancelado",N5)))</formula>
    </cfRule>
  </conditionalFormatting>
  <conditionalFormatting sqref="Q4 Q44:Q1048576">
    <cfRule type="cellIs" dxfId="1121" priority="1670" operator="equal">
      <formula>"Tramitando"</formula>
    </cfRule>
    <cfRule type="cellIs" dxfId="1120" priority="1671" operator="equal">
      <formula>"Deferido"</formula>
    </cfRule>
    <cfRule type="cellIs" dxfId="1119" priority="1672" operator="equal">
      <formula>"Indeferido"</formula>
    </cfRule>
  </conditionalFormatting>
  <conditionalFormatting sqref="Q2:Q4 Q44:Q1048576">
    <cfRule type="containsText" dxfId="1118" priority="1669" operator="containsText" text="Cancelado">
      <formula>NOT(ISERROR(SEARCH("Cancelado",Q2)))</formula>
    </cfRule>
  </conditionalFormatting>
  <conditionalFormatting sqref="Q5">
    <cfRule type="cellIs" dxfId="1117" priority="1666" operator="equal">
      <formula>"Tramitando"</formula>
    </cfRule>
    <cfRule type="cellIs" dxfId="1116" priority="1667" operator="equal">
      <formula>"Deferido"</formula>
    </cfRule>
    <cfRule type="cellIs" dxfId="1115" priority="1668" operator="equal">
      <formula>"Indeferido"</formula>
    </cfRule>
  </conditionalFormatting>
  <conditionalFormatting sqref="Q5">
    <cfRule type="containsText" dxfId="1114" priority="1665" operator="containsText" text="Cancelado">
      <formula>NOT(ISERROR(SEARCH("Cancelado",Q5)))</formula>
    </cfRule>
  </conditionalFormatting>
  <conditionalFormatting sqref="T4 T44:T1048576">
    <cfRule type="cellIs" dxfId="1113" priority="1630" operator="equal">
      <formula>"Tramitando"</formula>
    </cfRule>
    <cfRule type="cellIs" dxfId="1112" priority="1631" operator="equal">
      <formula>"Deferido"</formula>
    </cfRule>
    <cfRule type="cellIs" dxfId="1111" priority="1632" operator="equal">
      <formula>"Indeferido"</formula>
    </cfRule>
  </conditionalFormatting>
  <conditionalFormatting sqref="T2:T4 T44:T1048576">
    <cfRule type="containsText" dxfId="1110" priority="1629" operator="containsText" text="Cancelado">
      <formula>NOT(ISERROR(SEARCH("Cancelado",T2)))</formula>
    </cfRule>
  </conditionalFormatting>
  <conditionalFormatting sqref="T5">
    <cfRule type="cellIs" dxfId="1109" priority="1626" operator="equal">
      <formula>"Tramitando"</formula>
    </cfRule>
    <cfRule type="cellIs" dxfId="1108" priority="1627" operator="equal">
      <formula>"Deferido"</formula>
    </cfRule>
    <cfRule type="cellIs" dxfId="1107" priority="1628" operator="equal">
      <formula>"Indeferido"</formula>
    </cfRule>
  </conditionalFormatting>
  <conditionalFormatting sqref="T5">
    <cfRule type="containsText" dxfId="1106" priority="1625" operator="containsText" text="Cancelado">
      <formula>NOT(ISERROR(SEARCH("Cancelado",T5)))</formula>
    </cfRule>
  </conditionalFormatting>
  <conditionalFormatting sqref="W4 W44:W1048576">
    <cfRule type="cellIs" dxfId="1105" priority="1622" operator="equal">
      <formula>"Tramitando"</formula>
    </cfRule>
    <cfRule type="cellIs" dxfId="1104" priority="1623" operator="equal">
      <formula>"Deferido"</formula>
    </cfRule>
    <cfRule type="cellIs" dxfId="1103" priority="1624" operator="equal">
      <formula>"Indeferido"</formula>
    </cfRule>
  </conditionalFormatting>
  <conditionalFormatting sqref="W2:W4 W44:W1048576">
    <cfRule type="containsText" dxfId="1102" priority="1621" operator="containsText" text="Cancelado">
      <formula>NOT(ISERROR(SEARCH("Cancelado",W2)))</formula>
    </cfRule>
  </conditionalFormatting>
  <conditionalFormatting sqref="W5">
    <cfRule type="cellIs" dxfId="1101" priority="1618" operator="equal">
      <formula>"Tramitando"</formula>
    </cfRule>
    <cfRule type="cellIs" dxfId="1100" priority="1619" operator="equal">
      <formula>"Deferido"</formula>
    </cfRule>
    <cfRule type="cellIs" dxfId="1099" priority="1620" operator="equal">
      <formula>"Indeferido"</formula>
    </cfRule>
  </conditionalFormatting>
  <conditionalFormatting sqref="W5">
    <cfRule type="containsText" dxfId="1098" priority="1617" operator="containsText" text="Cancelado">
      <formula>NOT(ISERROR(SEARCH("Cancelado",W5)))</formula>
    </cfRule>
  </conditionalFormatting>
  <conditionalFormatting sqref="Z4 Z44:Z1048576">
    <cfRule type="cellIs" dxfId="1097" priority="1614" operator="equal">
      <formula>"Tramitando"</formula>
    </cfRule>
    <cfRule type="cellIs" dxfId="1096" priority="1615" operator="equal">
      <formula>"Deferido"</formula>
    </cfRule>
    <cfRule type="cellIs" dxfId="1095" priority="1616" operator="equal">
      <formula>"Indeferido"</formula>
    </cfRule>
  </conditionalFormatting>
  <conditionalFormatting sqref="Z2:Z4 Z44:Z1048576">
    <cfRule type="containsText" dxfId="1094" priority="1613" operator="containsText" text="Cancelado">
      <formula>NOT(ISERROR(SEARCH("Cancelado",Z2)))</formula>
    </cfRule>
  </conditionalFormatting>
  <conditionalFormatting sqref="Z5">
    <cfRule type="cellIs" dxfId="1093" priority="1610" operator="equal">
      <formula>"Tramitando"</formula>
    </cfRule>
    <cfRule type="cellIs" dxfId="1092" priority="1611" operator="equal">
      <formula>"Deferido"</formula>
    </cfRule>
    <cfRule type="cellIs" dxfId="1091" priority="1612" operator="equal">
      <formula>"Indeferido"</formula>
    </cfRule>
  </conditionalFormatting>
  <conditionalFormatting sqref="Z5">
    <cfRule type="containsText" dxfId="1090" priority="1609" operator="containsText" text="Cancelado">
      <formula>NOT(ISERROR(SEARCH("Cancelado",Z5)))</formula>
    </cfRule>
  </conditionalFormatting>
  <conditionalFormatting sqref="AC4 AC44:AC1048576">
    <cfRule type="cellIs" dxfId="1089" priority="1606" operator="equal">
      <formula>"Tramitando"</formula>
    </cfRule>
    <cfRule type="cellIs" dxfId="1088" priority="1607" operator="equal">
      <formula>"Deferido"</formula>
    </cfRule>
    <cfRule type="cellIs" dxfId="1087" priority="1608" operator="equal">
      <formula>"Indeferido"</formula>
    </cfRule>
  </conditionalFormatting>
  <conditionalFormatting sqref="AC2:AC4 AC44:AC1048576">
    <cfRule type="containsText" dxfId="1086" priority="1605" operator="containsText" text="Cancelado">
      <formula>NOT(ISERROR(SEARCH("Cancelado",AC2)))</formula>
    </cfRule>
  </conditionalFormatting>
  <conditionalFormatting sqref="AC5">
    <cfRule type="cellIs" dxfId="1085" priority="1602" operator="equal">
      <formula>"Tramitando"</formula>
    </cfRule>
    <cfRule type="cellIs" dxfId="1084" priority="1603" operator="equal">
      <formula>"Deferido"</formula>
    </cfRule>
    <cfRule type="cellIs" dxfId="1083" priority="1604" operator="equal">
      <formula>"Indeferido"</formula>
    </cfRule>
  </conditionalFormatting>
  <conditionalFormatting sqref="AC5">
    <cfRule type="containsText" dxfId="1082" priority="1601" operator="containsText" text="Cancelado">
      <formula>NOT(ISERROR(SEARCH("Cancelado",AC5)))</formula>
    </cfRule>
  </conditionalFormatting>
  <conditionalFormatting sqref="H6">
    <cfRule type="cellIs" dxfId="1081" priority="1022" operator="equal">
      <formula>"Tramitando"</formula>
    </cfRule>
    <cfRule type="cellIs" dxfId="1080" priority="1023" operator="equal">
      <formula>"Deferido"</formula>
    </cfRule>
    <cfRule type="cellIs" dxfId="1079" priority="1024" operator="equal">
      <formula>"Indeferido"</formula>
    </cfRule>
  </conditionalFormatting>
  <conditionalFormatting sqref="H6">
    <cfRule type="containsText" dxfId="1078" priority="1021" operator="containsText" text="Cancelado">
      <formula>NOT(ISERROR(SEARCH("Cancelado",H6)))</formula>
    </cfRule>
  </conditionalFormatting>
  <conditionalFormatting sqref="K6">
    <cfRule type="cellIs" dxfId="1077" priority="1018" operator="equal">
      <formula>"Tramitando"</formula>
    </cfRule>
    <cfRule type="cellIs" dxfId="1076" priority="1019" operator="equal">
      <formula>"Deferido"</formula>
    </cfRule>
    <cfRule type="cellIs" dxfId="1075" priority="1020" operator="equal">
      <formula>"Indeferido"</formula>
    </cfRule>
  </conditionalFormatting>
  <conditionalFormatting sqref="K6">
    <cfRule type="containsText" dxfId="1074" priority="1017" operator="containsText" text="Cancelado">
      <formula>NOT(ISERROR(SEARCH("Cancelado",K6)))</formula>
    </cfRule>
  </conditionalFormatting>
  <conditionalFormatting sqref="N6">
    <cfRule type="cellIs" dxfId="1073" priority="1014" operator="equal">
      <formula>"Tramitando"</formula>
    </cfRule>
    <cfRule type="cellIs" dxfId="1072" priority="1015" operator="equal">
      <formula>"Deferido"</formula>
    </cfRule>
    <cfRule type="cellIs" dxfId="1071" priority="1016" operator="equal">
      <formula>"Indeferido"</formula>
    </cfRule>
  </conditionalFormatting>
  <conditionalFormatting sqref="N6">
    <cfRule type="containsText" dxfId="1070" priority="1013" operator="containsText" text="Cancelado">
      <formula>NOT(ISERROR(SEARCH("Cancelado",N6)))</formula>
    </cfRule>
  </conditionalFormatting>
  <conditionalFormatting sqref="Q6">
    <cfRule type="cellIs" dxfId="1069" priority="1010" operator="equal">
      <formula>"Tramitando"</formula>
    </cfRule>
    <cfRule type="cellIs" dxfId="1068" priority="1011" operator="equal">
      <formula>"Deferido"</formula>
    </cfRule>
    <cfRule type="cellIs" dxfId="1067" priority="1012" operator="equal">
      <formula>"Indeferido"</formula>
    </cfRule>
  </conditionalFormatting>
  <conditionalFormatting sqref="Q6">
    <cfRule type="containsText" dxfId="1066" priority="1009" operator="containsText" text="Cancelado">
      <formula>NOT(ISERROR(SEARCH("Cancelado",Q6)))</formula>
    </cfRule>
  </conditionalFormatting>
  <conditionalFormatting sqref="T6">
    <cfRule type="cellIs" dxfId="1065" priority="1006" operator="equal">
      <formula>"Tramitando"</formula>
    </cfRule>
    <cfRule type="cellIs" dxfId="1064" priority="1007" operator="equal">
      <formula>"Deferido"</formula>
    </cfRule>
    <cfRule type="cellIs" dxfId="1063" priority="1008" operator="equal">
      <formula>"Indeferido"</formula>
    </cfRule>
  </conditionalFormatting>
  <conditionalFormatting sqref="T6">
    <cfRule type="containsText" dxfId="1062" priority="1005" operator="containsText" text="Cancelado">
      <formula>NOT(ISERROR(SEARCH("Cancelado",T6)))</formula>
    </cfRule>
  </conditionalFormatting>
  <conditionalFormatting sqref="W6">
    <cfRule type="cellIs" dxfId="1061" priority="1002" operator="equal">
      <formula>"Tramitando"</formula>
    </cfRule>
    <cfRule type="cellIs" dxfId="1060" priority="1003" operator="equal">
      <formula>"Deferido"</formula>
    </cfRule>
    <cfRule type="cellIs" dxfId="1059" priority="1004" operator="equal">
      <formula>"Indeferido"</formula>
    </cfRule>
  </conditionalFormatting>
  <conditionalFormatting sqref="W6">
    <cfRule type="containsText" dxfId="1058" priority="1001" operator="containsText" text="Cancelado">
      <formula>NOT(ISERROR(SEARCH("Cancelado",W6)))</formula>
    </cfRule>
  </conditionalFormatting>
  <conditionalFormatting sqref="Z6">
    <cfRule type="cellIs" dxfId="1057" priority="998" operator="equal">
      <formula>"Tramitando"</formula>
    </cfRule>
    <cfRule type="cellIs" dxfId="1056" priority="999" operator="equal">
      <formula>"Deferido"</formula>
    </cfRule>
    <cfRule type="cellIs" dxfId="1055" priority="1000" operator="equal">
      <formula>"Indeferido"</formula>
    </cfRule>
  </conditionalFormatting>
  <conditionalFormatting sqref="Z6">
    <cfRule type="containsText" dxfId="1054" priority="997" operator="containsText" text="Cancelado">
      <formula>NOT(ISERROR(SEARCH("Cancelado",Z6)))</formula>
    </cfRule>
  </conditionalFormatting>
  <conditionalFormatting sqref="AC6">
    <cfRule type="cellIs" dxfId="1053" priority="994" operator="equal">
      <formula>"Tramitando"</formula>
    </cfRule>
    <cfRule type="cellIs" dxfId="1052" priority="995" operator="equal">
      <formula>"Deferido"</formula>
    </cfRule>
    <cfRule type="cellIs" dxfId="1051" priority="996" operator="equal">
      <formula>"Indeferido"</formula>
    </cfRule>
  </conditionalFormatting>
  <conditionalFormatting sqref="AC6">
    <cfRule type="containsText" dxfId="1050" priority="993" operator="containsText" text="Cancelado">
      <formula>NOT(ISERROR(SEARCH("Cancelado",AC6)))</formula>
    </cfRule>
  </conditionalFormatting>
  <conditionalFormatting sqref="H7">
    <cfRule type="cellIs" dxfId="1049" priority="990" operator="equal">
      <formula>"Tramitando"</formula>
    </cfRule>
    <cfRule type="cellIs" dxfId="1048" priority="991" operator="equal">
      <formula>"Deferido"</formula>
    </cfRule>
    <cfRule type="cellIs" dxfId="1047" priority="992" operator="equal">
      <formula>"Indeferido"</formula>
    </cfRule>
  </conditionalFormatting>
  <conditionalFormatting sqref="H7">
    <cfRule type="containsText" dxfId="1046" priority="989" operator="containsText" text="Cancelado">
      <formula>NOT(ISERROR(SEARCH("Cancelado",H7)))</formula>
    </cfRule>
  </conditionalFormatting>
  <conditionalFormatting sqref="K7">
    <cfRule type="cellIs" dxfId="1045" priority="986" operator="equal">
      <formula>"Tramitando"</formula>
    </cfRule>
    <cfRule type="cellIs" dxfId="1044" priority="987" operator="equal">
      <formula>"Deferido"</formula>
    </cfRule>
    <cfRule type="cellIs" dxfId="1043" priority="988" operator="equal">
      <formula>"Indeferido"</formula>
    </cfRule>
  </conditionalFormatting>
  <conditionalFormatting sqref="K7">
    <cfRule type="containsText" dxfId="1042" priority="985" operator="containsText" text="Cancelado">
      <formula>NOT(ISERROR(SEARCH("Cancelado",K7)))</formula>
    </cfRule>
  </conditionalFormatting>
  <conditionalFormatting sqref="N7">
    <cfRule type="cellIs" dxfId="1041" priority="982" operator="equal">
      <formula>"Tramitando"</formula>
    </cfRule>
    <cfRule type="cellIs" dxfId="1040" priority="983" operator="equal">
      <formula>"Deferido"</formula>
    </cfRule>
    <cfRule type="cellIs" dxfId="1039" priority="984" operator="equal">
      <formula>"Indeferido"</formula>
    </cfRule>
  </conditionalFormatting>
  <conditionalFormatting sqref="N7">
    <cfRule type="containsText" dxfId="1038" priority="981" operator="containsText" text="Cancelado">
      <formula>NOT(ISERROR(SEARCH("Cancelado",N7)))</formula>
    </cfRule>
  </conditionalFormatting>
  <conditionalFormatting sqref="Q7">
    <cfRule type="cellIs" dxfId="1037" priority="978" operator="equal">
      <formula>"Tramitando"</formula>
    </cfRule>
    <cfRule type="cellIs" dxfId="1036" priority="979" operator="equal">
      <formula>"Deferido"</formula>
    </cfRule>
    <cfRule type="cellIs" dxfId="1035" priority="980" operator="equal">
      <formula>"Indeferido"</formula>
    </cfRule>
  </conditionalFormatting>
  <conditionalFormatting sqref="Q7">
    <cfRule type="containsText" dxfId="1034" priority="977" operator="containsText" text="Cancelado">
      <formula>NOT(ISERROR(SEARCH("Cancelado",Q7)))</formula>
    </cfRule>
  </conditionalFormatting>
  <conditionalFormatting sqref="T7">
    <cfRule type="cellIs" dxfId="1033" priority="974" operator="equal">
      <formula>"Tramitando"</formula>
    </cfRule>
    <cfRule type="cellIs" dxfId="1032" priority="975" operator="equal">
      <formula>"Deferido"</formula>
    </cfRule>
    <cfRule type="cellIs" dxfId="1031" priority="976" operator="equal">
      <formula>"Indeferido"</formula>
    </cfRule>
  </conditionalFormatting>
  <conditionalFormatting sqref="T7">
    <cfRule type="containsText" dxfId="1030" priority="973" operator="containsText" text="Cancelado">
      <formula>NOT(ISERROR(SEARCH("Cancelado",T7)))</formula>
    </cfRule>
  </conditionalFormatting>
  <conditionalFormatting sqref="W7">
    <cfRule type="cellIs" dxfId="1029" priority="970" operator="equal">
      <formula>"Tramitando"</formula>
    </cfRule>
    <cfRule type="cellIs" dxfId="1028" priority="971" operator="equal">
      <formula>"Deferido"</formula>
    </cfRule>
    <cfRule type="cellIs" dxfId="1027" priority="972" operator="equal">
      <formula>"Indeferido"</formula>
    </cfRule>
  </conditionalFormatting>
  <conditionalFormatting sqref="W7">
    <cfRule type="containsText" dxfId="1026" priority="969" operator="containsText" text="Cancelado">
      <formula>NOT(ISERROR(SEARCH("Cancelado",W7)))</formula>
    </cfRule>
  </conditionalFormatting>
  <conditionalFormatting sqref="Z7">
    <cfRule type="cellIs" dxfId="1025" priority="966" operator="equal">
      <formula>"Tramitando"</formula>
    </cfRule>
    <cfRule type="cellIs" dxfId="1024" priority="967" operator="equal">
      <formula>"Deferido"</formula>
    </cfRule>
    <cfRule type="cellIs" dxfId="1023" priority="968" operator="equal">
      <formula>"Indeferido"</formula>
    </cfRule>
  </conditionalFormatting>
  <conditionalFormatting sqref="Z7">
    <cfRule type="containsText" dxfId="1022" priority="965" operator="containsText" text="Cancelado">
      <formula>NOT(ISERROR(SEARCH("Cancelado",Z7)))</formula>
    </cfRule>
  </conditionalFormatting>
  <conditionalFormatting sqref="AC7">
    <cfRule type="cellIs" dxfId="1021" priority="962" operator="equal">
      <formula>"Tramitando"</formula>
    </cfRule>
    <cfRule type="cellIs" dxfId="1020" priority="963" operator="equal">
      <formula>"Deferido"</formula>
    </cfRule>
    <cfRule type="cellIs" dxfId="1019" priority="964" operator="equal">
      <formula>"Indeferido"</formula>
    </cfRule>
  </conditionalFormatting>
  <conditionalFormatting sqref="AC7">
    <cfRule type="containsText" dxfId="1018" priority="961" operator="containsText" text="Cancelado">
      <formula>NOT(ISERROR(SEARCH("Cancelado",AC7)))</formula>
    </cfRule>
  </conditionalFormatting>
  <conditionalFormatting sqref="H8">
    <cfRule type="cellIs" dxfId="1017" priority="958" operator="equal">
      <formula>"Tramitando"</formula>
    </cfRule>
    <cfRule type="cellIs" dxfId="1016" priority="959" operator="equal">
      <formula>"Deferido"</formula>
    </cfRule>
    <cfRule type="cellIs" dxfId="1015" priority="960" operator="equal">
      <formula>"Indeferido"</formula>
    </cfRule>
  </conditionalFormatting>
  <conditionalFormatting sqref="H8">
    <cfRule type="containsText" dxfId="1014" priority="957" operator="containsText" text="Cancelado">
      <formula>NOT(ISERROR(SEARCH("Cancelado",H8)))</formula>
    </cfRule>
  </conditionalFormatting>
  <conditionalFormatting sqref="K8">
    <cfRule type="cellIs" dxfId="1013" priority="954" operator="equal">
      <formula>"Tramitando"</formula>
    </cfRule>
    <cfRule type="cellIs" dxfId="1012" priority="955" operator="equal">
      <formula>"Deferido"</formula>
    </cfRule>
    <cfRule type="cellIs" dxfId="1011" priority="956" operator="equal">
      <formula>"Indeferido"</formula>
    </cfRule>
  </conditionalFormatting>
  <conditionalFormatting sqref="K8">
    <cfRule type="containsText" dxfId="1010" priority="953" operator="containsText" text="Cancelado">
      <formula>NOT(ISERROR(SEARCH("Cancelado",K8)))</formula>
    </cfRule>
  </conditionalFormatting>
  <conditionalFormatting sqref="N8">
    <cfRule type="cellIs" dxfId="1009" priority="950" operator="equal">
      <formula>"Tramitando"</formula>
    </cfRule>
    <cfRule type="cellIs" dxfId="1008" priority="951" operator="equal">
      <formula>"Deferido"</formula>
    </cfRule>
    <cfRule type="cellIs" dxfId="1007" priority="952" operator="equal">
      <formula>"Indeferido"</formula>
    </cfRule>
  </conditionalFormatting>
  <conditionalFormatting sqref="N8">
    <cfRule type="containsText" dxfId="1006" priority="949" operator="containsText" text="Cancelado">
      <formula>NOT(ISERROR(SEARCH("Cancelado",N8)))</formula>
    </cfRule>
  </conditionalFormatting>
  <conditionalFormatting sqref="Q8">
    <cfRule type="cellIs" dxfId="1005" priority="946" operator="equal">
      <formula>"Tramitando"</formula>
    </cfRule>
    <cfRule type="cellIs" dxfId="1004" priority="947" operator="equal">
      <formula>"Deferido"</formula>
    </cfRule>
    <cfRule type="cellIs" dxfId="1003" priority="948" operator="equal">
      <formula>"Indeferido"</formula>
    </cfRule>
  </conditionalFormatting>
  <conditionalFormatting sqref="Q8">
    <cfRule type="containsText" dxfId="1002" priority="945" operator="containsText" text="Cancelado">
      <formula>NOT(ISERROR(SEARCH("Cancelado",Q8)))</formula>
    </cfRule>
  </conditionalFormatting>
  <conditionalFormatting sqref="T8">
    <cfRule type="cellIs" dxfId="1001" priority="942" operator="equal">
      <formula>"Tramitando"</formula>
    </cfRule>
    <cfRule type="cellIs" dxfId="1000" priority="943" operator="equal">
      <formula>"Deferido"</formula>
    </cfRule>
    <cfRule type="cellIs" dxfId="999" priority="944" operator="equal">
      <formula>"Indeferido"</formula>
    </cfRule>
  </conditionalFormatting>
  <conditionalFormatting sqref="T8">
    <cfRule type="containsText" dxfId="998" priority="941" operator="containsText" text="Cancelado">
      <formula>NOT(ISERROR(SEARCH("Cancelado",T8)))</formula>
    </cfRule>
  </conditionalFormatting>
  <conditionalFormatting sqref="W8">
    <cfRule type="cellIs" dxfId="997" priority="938" operator="equal">
      <formula>"Tramitando"</formula>
    </cfRule>
    <cfRule type="cellIs" dxfId="996" priority="939" operator="equal">
      <formula>"Deferido"</formula>
    </cfRule>
    <cfRule type="cellIs" dxfId="995" priority="940" operator="equal">
      <formula>"Indeferido"</formula>
    </cfRule>
  </conditionalFormatting>
  <conditionalFormatting sqref="W8">
    <cfRule type="containsText" dxfId="994" priority="937" operator="containsText" text="Cancelado">
      <formula>NOT(ISERROR(SEARCH("Cancelado",W8)))</formula>
    </cfRule>
  </conditionalFormatting>
  <conditionalFormatting sqref="Z8">
    <cfRule type="cellIs" dxfId="993" priority="934" operator="equal">
      <formula>"Tramitando"</formula>
    </cfRule>
    <cfRule type="cellIs" dxfId="992" priority="935" operator="equal">
      <formula>"Deferido"</formula>
    </cfRule>
    <cfRule type="cellIs" dxfId="991" priority="936" operator="equal">
      <formula>"Indeferido"</formula>
    </cfRule>
  </conditionalFormatting>
  <conditionalFormatting sqref="Z8">
    <cfRule type="containsText" dxfId="990" priority="933" operator="containsText" text="Cancelado">
      <formula>NOT(ISERROR(SEARCH("Cancelado",Z8)))</formula>
    </cfRule>
  </conditionalFormatting>
  <conditionalFormatting sqref="AC8">
    <cfRule type="cellIs" dxfId="989" priority="930" operator="equal">
      <formula>"Tramitando"</formula>
    </cfRule>
    <cfRule type="cellIs" dxfId="988" priority="931" operator="equal">
      <formula>"Deferido"</formula>
    </cfRule>
    <cfRule type="cellIs" dxfId="987" priority="932" operator="equal">
      <formula>"Indeferido"</formula>
    </cfRule>
  </conditionalFormatting>
  <conditionalFormatting sqref="AC8">
    <cfRule type="containsText" dxfId="986" priority="929" operator="containsText" text="Cancelado">
      <formula>NOT(ISERROR(SEARCH("Cancelado",AC8)))</formula>
    </cfRule>
  </conditionalFormatting>
  <conditionalFormatting sqref="H9">
    <cfRule type="cellIs" dxfId="985" priority="926" operator="equal">
      <formula>"Tramitando"</formula>
    </cfRule>
    <cfRule type="cellIs" dxfId="984" priority="927" operator="equal">
      <formula>"Deferido"</formula>
    </cfRule>
    <cfRule type="cellIs" dxfId="983" priority="928" operator="equal">
      <formula>"Indeferido"</formula>
    </cfRule>
  </conditionalFormatting>
  <conditionalFormatting sqref="H9">
    <cfRule type="containsText" dxfId="982" priority="925" operator="containsText" text="Cancelado">
      <formula>NOT(ISERROR(SEARCH("Cancelado",H9)))</formula>
    </cfRule>
  </conditionalFormatting>
  <conditionalFormatting sqref="K9">
    <cfRule type="cellIs" dxfId="981" priority="922" operator="equal">
      <formula>"Tramitando"</formula>
    </cfRule>
    <cfRule type="cellIs" dxfId="980" priority="923" operator="equal">
      <formula>"Deferido"</formula>
    </cfRule>
    <cfRule type="cellIs" dxfId="979" priority="924" operator="equal">
      <formula>"Indeferido"</formula>
    </cfRule>
  </conditionalFormatting>
  <conditionalFormatting sqref="K9">
    <cfRule type="containsText" dxfId="978" priority="921" operator="containsText" text="Cancelado">
      <formula>NOT(ISERROR(SEARCH("Cancelado",K9)))</formula>
    </cfRule>
  </conditionalFormatting>
  <conditionalFormatting sqref="N9">
    <cfRule type="cellIs" dxfId="977" priority="918" operator="equal">
      <formula>"Tramitando"</formula>
    </cfRule>
    <cfRule type="cellIs" dxfId="976" priority="919" operator="equal">
      <formula>"Deferido"</formula>
    </cfRule>
    <cfRule type="cellIs" dxfId="975" priority="920" operator="equal">
      <formula>"Indeferido"</formula>
    </cfRule>
  </conditionalFormatting>
  <conditionalFormatting sqref="N9">
    <cfRule type="containsText" dxfId="974" priority="917" operator="containsText" text="Cancelado">
      <formula>NOT(ISERROR(SEARCH("Cancelado",N9)))</formula>
    </cfRule>
  </conditionalFormatting>
  <conditionalFormatting sqref="Q9">
    <cfRule type="cellIs" dxfId="973" priority="914" operator="equal">
      <formula>"Tramitando"</formula>
    </cfRule>
    <cfRule type="cellIs" dxfId="972" priority="915" operator="equal">
      <formula>"Deferido"</formula>
    </cfRule>
    <cfRule type="cellIs" dxfId="971" priority="916" operator="equal">
      <formula>"Indeferido"</formula>
    </cfRule>
  </conditionalFormatting>
  <conditionalFormatting sqref="Q9">
    <cfRule type="containsText" dxfId="970" priority="913" operator="containsText" text="Cancelado">
      <formula>NOT(ISERROR(SEARCH("Cancelado",Q9)))</formula>
    </cfRule>
  </conditionalFormatting>
  <conditionalFormatting sqref="T9">
    <cfRule type="cellIs" dxfId="969" priority="910" operator="equal">
      <formula>"Tramitando"</formula>
    </cfRule>
    <cfRule type="cellIs" dxfId="968" priority="911" operator="equal">
      <formula>"Deferido"</formula>
    </cfRule>
    <cfRule type="cellIs" dxfId="967" priority="912" operator="equal">
      <formula>"Indeferido"</formula>
    </cfRule>
  </conditionalFormatting>
  <conditionalFormatting sqref="T9">
    <cfRule type="containsText" dxfId="966" priority="909" operator="containsText" text="Cancelado">
      <formula>NOT(ISERROR(SEARCH("Cancelado",T9)))</formula>
    </cfRule>
  </conditionalFormatting>
  <conditionalFormatting sqref="W9">
    <cfRule type="cellIs" dxfId="965" priority="906" operator="equal">
      <formula>"Tramitando"</formula>
    </cfRule>
    <cfRule type="cellIs" dxfId="964" priority="907" operator="equal">
      <formula>"Deferido"</formula>
    </cfRule>
    <cfRule type="cellIs" dxfId="963" priority="908" operator="equal">
      <formula>"Indeferido"</formula>
    </cfRule>
  </conditionalFormatting>
  <conditionalFormatting sqref="W9">
    <cfRule type="containsText" dxfId="962" priority="905" operator="containsText" text="Cancelado">
      <formula>NOT(ISERROR(SEARCH("Cancelado",W9)))</formula>
    </cfRule>
  </conditionalFormatting>
  <conditionalFormatting sqref="Z9">
    <cfRule type="cellIs" dxfId="961" priority="902" operator="equal">
      <formula>"Tramitando"</formula>
    </cfRule>
    <cfRule type="cellIs" dxfId="960" priority="903" operator="equal">
      <formula>"Deferido"</formula>
    </cfRule>
    <cfRule type="cellIs" dxfId="959" priority="904" operator="equal">
      <formula>"Indeferido"</formula>
    </cfRule>
  </conditionalFormatting>
  <conditionalFormatting sqref="Z9">
    <cfRule type="containsText" dxfId="958" priority="901" operator="containsText" text="Cancelado">
      <formula>NOT(ISERROR(SEARCH("Cancelado",Z9)))</formula>
    </cfRule>
  </conditionalFormatting>
  <conditionalFormatting sqref="AC9">
    <cfRule type="cellIs" dxfId="957" priority="898" operator="equal">
      <formula>"Tramitando"</formula>
    </cfRule>
    <cfRule type="cellIs" dxfId="956" priority="899" operator="equal">
      <formula>"Deferido"</formula>
    </cfRule>
    <cfRule type="cellIs" dxfId="955" priority="900" operator="equal">
      <formula>"Indeferido"</formula>
    </cfRule>
  </conditionalFormatting>
  <conditionalFormatting sqref="AC9">
    <cfRule type="containsText" dxfId="954" priority="897" operator="containsText" text="Cancelado">
      <formula>NOT(ISERROR(SEARCH("Cancelado",AC9)))</formula>
    </cfRule>
  </conditionalFormatting>
  <conditionalFormatting sqref="H10">
    <cfRule type="cellIs" dxfId="953" priority="894" operator="equal">
      <formula>"Tramitando"</formula>
    </cfRule>
    <cfRule type="cellIs" dxfId="952" priority="895" operator="equal">
      <formula>"Deferido"</formula>
    </cfRule>
    <cfRule type="cellIs" dxfId="951" priority="896" operator="equal">
      <formula>"Indeferido"</formula>
    </cfRule>
  </conditionalFormatting>
  <conditionalFormatting sqref="H10">
    <cfRule type="containsText" dxfId="950" priority="893" operator="containsText" text="Cancelado">
      <formula>NOT(ISERROR(SEARCH("Cancelado",H10)))</formula>
    </cfRule>
  </conditionalFormatting>
  <conditionalFormatting sqref="K10">
    <cfRule type="cellIs" dxfId="949" priority="890" operator="equal">
      <formula>"Tramitando"</formula>
    </cfRule>
    <cfRule type="cellIs" dxfId="948" priority="891" operator="equal">
      <formula>"Deferido"</formula>
    </cfRule>
    <cfRule type="cellIs" dxfId="947" priority="892" operator="equal">
      <formula>"Indeferido"</formula>
    </cfRule>
  </conditionalFormatting>
  <conditionalFormatting sqref="K10">
    <cfRule type="containsText" dxfId="946" priority="889" operator="containsText" text="Cancelado">
      <formula>NOT(ISERROR(SEARCH("Cancelado",K10)))</formula>
    </cfRule>
  </conditionalFormatting>
  <conditionalFormatting sqref="N10">
    <cfRule type="cellIs" dxfId="945" priority="886" operator="equal">
      <formula>"Tramitando"</formula>
    </cfRule>
    <cfRule type="cellIs" dxfId="944" priority="887" operator="equal">
      <formula>"Deferido"</formula>
    </cfRule>
    <cfRule type="cellIs" dxfId="943" priority="888" operator="equal">
      <formula>"Indeferido"</formula>
    </cfRule>
  </conditionalFormatting>
  <conditionalFormatting sqref="N10">
    <cfRule type="containsText" dxfId="942" priority="885" operator="containsText" text="Cancelado">
      <formula>NOT(ISERROR(SEARCH("Cancelado",N10)))</formula>
    </cfRule>
  </conditionalFormatting>
  <conditionalFormatting sqref="Q10">
    <cfRule type="cellIs" dxfId="941" priority="882" operator="equal">
      <formula>"Tramitando"</formula>
    </cfRule>
    <cfRule type="cellIs" dxfId="940" priority="883" operator="equal">
      <formula>"Deferido"</formula>
    </cfRule>
    <cfRule type="cellIs" dxfId="939" priority="884" operator="equal">
      <formula>"Indeferido"</formula>
    </cfRule>
  </conditionalFormatting>
  <conditionalFormatting sqref="Q10">
    <cfRule type="containsText" dxfId="938" priority="881" operator="containsText" text="Cancelado">
      <formula>NOT(ISERROR(SEARCH("Cancelado",Q10)))</formula>
    </cfRule>
  </conditionalFormatting>
  <conditionalFormatting sqref="T10">
    <cfRule type="cellIs" dxfId="937" priority="878" operator="equal">
      <formula>"Tramitando"</formula>
    </cfRule>
    <cfRule type="cellIs" dxfId="936" priority="879" operator="equal">
      <formula>"Deferido"</formula>
    </cfRule>
    <cfRule type="cellIs" dxfId="935" priority="880" operator="equal">
      <formula>"Indeferido"</formula>
    </cfRule>
  </conditionalFormatting>
  <conditionalFormatting sqref="T10">
    <cfRule type="containsText" dxfId="934" priority="877" operator="containsText" text="Cancelado">
      <formula>NOT(ISERROR(SEARCH("Cancelado",T10)))</formula>
    </cfRule>
  </conditionalFormatting>
  <conditionalFormatting sqref="W10">
    <cfRule type="cellIs" dxfId="933" priority="874" operator="equal">
      <formula>"Tramitando"</formula>
    </cfRule>
    <cfRule type="cellIs" dxfId="932" priority="875" operator="equal">
      <formula>"Deferido"</formula>
    </cfRule>
    <cfRule type="cellIs" dxfId="931" priority="876" operator="equal">
      <formula>"Indeferido"</formula>
    </cfRule>
  </conditionalFormatting>
  <conditionalFormatting sqref="W10">
    <cfRule type="containsText" dxfId="930" priority="873" operator="containsText" text="Cancelado">
      <formula>NOT(ISERROR(SEARCH("Cancelado",W10)))</formula>
    </cfRule>
  </conditionalFormatting>
  <conditionalFormatting sqref="Z10">
    <cfRule type="cellIs" dxfId="929" priority="870" operator="equal">
      <formula>"Tramitando"</formula>
    </cfRule>
    <cfRule type="cellIs" dxfId="928" priority="871" operator="equal">
      <formula>"Deferido"</formula>
    </cfRule>
    <cfRule type="cellIs" dxfId="927" priority="872" operator="equal">
      <formula>"Indeferido"</formula>
    </cfRule>
  </conditionalFormatting>
  <conditionalFormatting sqref="Z10">
    <cfRule type="containsText" dxfId="926" priority="869" operator="containsText" text="Cancelado">
      <formula>NOT(ISERROR(SEARCH("Cancelado",Z10)))</formula>
    </cfRule>
  </conditionalFormatting>
  <conditionalFormatting sqref="AC10">
    <cfRule type="cellIs" dxfId="925" priority="866" operator="equal">
      <formula>"Tramitando"</formula>
    </cfRule>
    <cfRule type="cellIs" dxfId="924" priority="867" operator="equal">
      <formula>"Deferido"</formula>
    </cfRule>
    <cfRule type="cellIs" dxfId="923" priority="868" operator="equal">
      <formula>"Indeferido"</formula>
    </cfRule>
  </conditionalFormatting>
  <conditionalFormatting sqref="AC10">
    <cfRule type="containsText" dxfId="922" priority="865" operator="containsText" text="Cancelado">
      <formula>NOT(ISERROR(SEARCH("Cancelado",AC10)))</formula>
    </cfRule>
  </conditionalFormatting>
  <conditionalFormatting sqref="H11">
    <cfRule type="cellIs" dxfId="921" priority="862" operator="equal">
      <formula>"Tramitando"</formula>
    </cfRule>
    <cfRule type="cellIs" dxfId="920" priority="863" operator="equal">
      <formula>"Deferido"</formula>
    </cfRule>
    <cfRule type="cellIs" dxfId="919" priority="864" operator="equal">
      <formula>"Indeferido"</formula>
    </cfRule>
  </conditionalFormatting>
  <conditionalFormatting sqref="H11">
    <cfRule type="containsText" dxfId="918" priority="861" operator="containsText" text="Cancelado">
      <formula>NOT(ISERROR(SEARCH("Cancelado",H11)))</formula>
    </cfRule>
  </conditionalFormatting>
  <conditionalFormatting sqref="K11">
    <cfRule type="cellIs" dxfId="917" priority="858" operator="equal">
      <formula>"Tramitando"</formula>
    </cfRule>
    <cfRule type="cellIs" dxfId="916" priority="859" operator="equal">
      <formula>"Deferido"</formula>
    </cfRule>
    <cfRule type="cellIs" dxfId="915" priority="860" operator="equal">
      <formula>"Indeferido"</formula>
    </cfRule>
  </conditionalFormatting>
  <conditionalFormatting sqref="K11">
    <cfRule type="containsText" dxfId="914" priority="857" operator="containsText" text="Cancelado">
      <formula>NOT(ISERROR(SEARCH("Cancelado",K11)))</formula>
    </cfRule>
  </conditionalFormatting>
  <conditionalFormatting sqref="N11">
    <cfRule type="cellIs" dxfId="913" priority="854" operator="equal">
      <formula>"Tramitando"</formula>
    </cfRule>
    <cfRule type="cellIs" dxfId="912" priority="855" operator="equal">
      <formula>"Deferido"</formula>
    </cfRule>
    <cfRule type="cellIs" dxfId="911" priority="856" operator="equal">
      <formula>"Indeferido"</formula>
    </cfRule>
  </conditionalFormatting>
  <conditionalFormatting sqref="N11">
    <cfRule type="containsText" dxfId="910" priority="853" operator="containsText" text="Cancelado">
      <formula>NOT(ISERROR(SEARCH("Cancelado",N11)))</formula>
    </cfRule>
  </conditionalFormatting>
  <conditionalFormatting sqref="Q11">
    <cfRule type="cellIs" dxfId="909" priority="850" operator="equal">
      <formula>"Tramitando"</formula>
    </cfRule>
    <cfRule type="cellIs" dxfId="908" priority="851" operator="equal">
      <formula>"Deferido"</formula>
    </cfRule>
    <cfRule type="cellIs" dxfId="907" priority="852" operator="equal">
      <formula>"Indeferido"</formula>
    </cfRule>
  </conditionalFormatting>
  <conditionalFormatting sqref="Q11">
    <cfRule type="containsText" dxfId="906" priority="849" operator="containsText" text="Cancelado">
      <formula>NOT(ISERROR(SEARCH("Cancelado",Q11)))</formula>
    </cfRule>
  </conditionalFormatting>
  <conditionalFormatting sqref="T11">
    <cfRule type="cellIs" dxfId="905" priority="846" operator="equal">
      <formula>"Tramitando"</formula>
    </cfRule>
    <cfRule type="cellIs" dxfId="904" priority="847" operator="equal">
      <formula>"Deferido"</formula>
    </cfRule>
    <cfRule type="cellIs" dxfId="903" priority="848" operator="equal">
      <formula>"Indeferido"</formula>
    </cfRule>
  </conditionalFormatting>
  <conditionalFormatting sqref="T11">
    <cfRule type="containsText" dxfId="902" priority="845" operator="containsText" text="Cancelado">
      <formula>NOT(ISERROR(SEARCH("Cancelado",T11)))</formula>
    </cfRule>
  </conditionalFormatting>
  <conditionalFormatting sqref="W11">
    <cfRule type="cellIs" dxfId="901" priority="842" operator="equal">
      <formula>"Tramitando"</formula>
    </cfRule>
    <cfRule type="cellIs" dxfId="900" priority="843" operator="equal">
      <formula>"Deferido"</formula>
    </cfRule>
    <cfRule type="cellIs" dxfId="899" priority="844" operator="equal">
      <formula>"Indeferido"</formula>
    </cfRule>
  </conditionalFormatting>
  <conditionalFormatting sqref="W11">
    <cfRule type="containsText" dxfId="898" priority="841" operator="containsText" text="Cancelado">
      <formula>NOT(ISERROR(SEARCH("Cancelado",W11)))</formula>
    </cfRule>
  </conditionalFormatting>
  <conditionalFormatting sqref="Z11">
    <cfRule type="cellIs" dxfId="897" priority="838" operator="equal">
      <formula>"Tramitando"</formula>
    </cfRule>
    <cfRule type="cellIs" dxfId="896" priority="839" operator="equal">
      <formula>"Deferido"</formula>
    </cfRule>
    <cfRule type="cellIs" dxfId="895" priority="840" operator="equal">
      <formula>"Indeferido"</formula>
    </cfRule>
  </conditionalFormatting>
  <conditionalFormatting sqref="Z11">
    <cfRule type="containsText" dxfId="894" priority="837" operator="containsText" text="Cancelado">
      <formula>NOT(ISERROR(SEARCH("Cancelado",Z11)))</formula>
    </cfRule>
  </conditionalFormatting>
  <conditionalFormatting sqref="AC11">
    <cfRule type="cellIs" dxfId="893" priority="834" operator="equal">
      <formula>"Tramitando"</formula>
    </cfRule>
    <cfRule type="cellIs" dxfId="892" priority="835" operator="equal">
      <formula>"Deferido"</formula>
    </cfRule>
    <cfRule type="cellIs" dxfId="891" priority="836" operator="equal">
      <formula>"Indeferido"</formula>
    </cfRule>
  </conditionalFormatting>
  <conditionalFormatting sqref="AC11">
    <cfRule type="containsText" dxfId="890" priority="833" operator="containsText" text="Cancelado">
      <formula>NOT(ISERROR(SEARCH("Cancelado",AC11)))</formula>
    </cfRule>
  </conditionalFormatting>
  <conditionalFormatting sqref="H12">
    <cfRule type="cellIs" dxfId="889" priority="830" operator="equal">
      <formula>"Tramitando"</formula>
    </cfRule>
    <cfRule type="cellIs" dxfId="888" priority="831" operator="equal">
      <formula>"Deferido"</formula>
    </cfRule>
    <cfRule type="cellIs" dxfId="887" priority="832" operator="equal">
      <formula>"Indeferido"</formula>
    </cfRule>
  </conditionalFormatting>
  <conditionalFormatting sqref="H12">
    <cfRule type="containsText" dxfId="886" priority="829" operator="containsText" text="Cancelado">
      <formula>NOT(ISERROR(SEARCH("Cancelado",H12)))</formula>
    </cfRule>
  </conditionalFormatting>
  <conditionalFormatting sqref="K12">
    <cfRule type="cellIs" dxfId="885" priority="826" operator="equal">
      <formula>"Tramitando"</formula>
    </cfRule>
    <cfRule type="cellIs" dxfId="884" priority="827" operator="equal">
      <formula>"Deferido"</formula>
    </cfRule>
    <cfRule type="cellIs" dxfId="883" priority="828" operator="equal">
      <formula>"Indeferido"</formula>
    </cfRule>
  </conditionalFormatting>
  <conditionalFormatting sqref="K12">
    <cfRule type="containsText" dxfId="882" priority="825" operator="containsText" text="Cancelado">
      <formula>NOT(ISERROR(SEARCH("Cancelado",K12)))</formula>
    </cfRule>
  </conditionalFormatting>
  <conditionalFormatting sqref="N12">
    <cfRule type="cellIs" dxfId="881" priority="822" operator="equal">
      <formula>"Tramitando"</formula>
    </cfRule>
    <cfRule type="cellIs" dxfId="880" priority="823" operator="equal">
      <formula>"Deferido"</formula>
    </cfRule>
    <cfRule type="cellIs" dxfId="879" priority="824" operator="equal">
      <formula>"Indeferido"</formula>
    </cfRule>
  </conditionalFormatting>
  <conditionalFormatting sqref="N12">
    <cfRule type="containsText" dxfId="878" priority="821" operator="containsText" text="Cancelado">
      <formula>NOT(ISERROR(SEARCH("Cancelado",N12)))</formula>
    </cfRule>
  </conditionalFormatting>
  <conditionalFormatting sqref="Q12">
    <cfRule type="cellIs" dxfId="877" priority="818" operator="equal">
      <formula>"Tramitando"</formula>
    </cfRule>
    <cfRule type="cellIs" dxfId="876" priority="819" operator="equal">
      <formula>"Deferido"</formula>
    </cfRule>
    <cfRule type="cellIs" dxfId="875" priority="820" operator="equal">
      <formula>"Indeferido"</formula>
    </cfRule>
  </conditionalFormatting>
  <conditionalFormatting sqref="Q12">
    <cfRule type="containsText" dxfId="874" priority="817" operator="containsText" text="Cancelado">
      <formula>NOT(ISERROR(SEARCH("Cancelado",Q12)))</formula>
    </cfRule>
  </conditionalFormatting>
  <conditionalFormatting sqref="T12">
    <cfRule type="cellIs" dxfId="873" priority="814" operator="equal">
      <formula>"Tramitando"</formula>
    </cfRule>
    <cfRule type="cellIs" dxfId="872" priority="815" operator="equal">
      <formula>"Deferido"</formula>
    </cfRule>
    <cfRule type="cellIs" dxfId="871" priority="816" operator="equal">
      <formula>"Indeferido"</formula>
    </cfRule>
  </conditionalFormatting>
  <conditionalFormatting sqref="T12">
    <cfRule type="containsText" dxfId="870" priority="813" operator="containsText" text="Cancelado">
      <formula>NOT(ISERROR(SEARCH("Cancelado",T12)))</formula>
    </cfRule>
  </conditionalFormatting>
  <conditionalFormatting sqref="W12">
    <cfRule type="cellIs" dxfId="869" priority="810" operator="equal">
      <formula>"Tramitando"</formula>
    </cfRule>
    <cfRule type="cellIs" dxfId="868" priority="811" operator="equal">
      <formula>"Deferido"</formula>
    </cfRule>
    <cfRule type="cellIs" dxfId="867" priority="812" operator="equal">
      <formula>"Indeferido"</formula>
    </cfRule>
  </conditionalFormatting>
  <conditionalFormatting sqref="W12">
    <cfRule type="containsText" dxfId="866" priority="809" operator="containsText" text="Cancelado">
      <formula>NOT(ISERROR(SEARCH("Cancelado",W12)))</formula>
    </cfRule>
  </conditionalFormatting>
  <conditionalFormatting sqref="Z12">
    <cfRule type="cellIs" dxfId="865" priority="806" operator="equal">
      <formula>"Tramitando"</formula>
    </cfRule>
    <cfRule type="cellIs" dxfId="864" priority="807" operator="equal">
      <formula>"Deferido"</formula>
    </cfRule>
    <cfRule type="cellIs" dxfId="863" priority="808" operator="equal">
      <formula>"Indeferido"</formula>
    </cfRule>
  </conditionalFormatting>
  <conditionalFormatting sqref="Z12">
    <cfRule type="containsText" dxfId="862" priority="805" operator="containsText" text="Cancelado">
      <formula>NOT(ISERROR(SEARCH("Cancelado",Z12)))</formula>
    </cfRule>
  </conditionalFormatting>
  <conditionalFormatting sqref="AC12">
    <cfRule type="cellIs" dxfId="861" priority="802" operator="equal">
      <formula>"Tramitando"</formula>
    </cfRule>
    <cfRule type="cellIs" dxfId="860" priority="803" operator="equal">
      <formula>"Deferido"</formula>
    </cfRule>
    <cfRule type="cellIs" dxfId="859" priority="804" operator="equal">
      <formula>"Indeferido"</formula>
    </cfRule>
  </conditionalFormatting>
  <conditionalFormatting sqref="AC12">
    <cfRule type="containsText" dxfId="858" priority="801" operator="containsText" text="Cancelado">
      <formula>NOT(ISERROR(SEARCH("Cancelado",AC12)))</formula>
    </cfRule>
  </conditionalFormatting>
  <conditionalFormatting sqref="H13:H16">
    <cfRule type="cellIs" dxfId="857" priority="798" operator="equal">
      <formula>"Tramitando"</formula>
    </cfRule>
    <cfRule type="cellIs" dxfId="856" priority="799" operator="equal">
      <formula>"Deferido"</formula>
    </cfRule>
    <cfRule type="cellIs" dxfId="855" priority="800" operator="equal">
      <formula>"Indeferido"</formula>
    </cfRule>
  </conditionalFormatting>
  <conditionalFormatting sqref="H13:H16">
    <cfRule type="containsText" dxfId="854" priority="797" operator="containsText" text="Cancelado">
      <formula>NOT(ISERROR(SEARCH("Cancelado",H13)))</formula>
    </cfRule>
  </conditionalFormatting>
  <conditionalFormatting sqref="K13:K16">
    <cfRule type="cellIs" dxfId="853" priority="794" operator="equal">
      <formula>"Tramitando"</formula>
    </cfRule>
    <cfRule type="cellIs" dxfId="852" priority="795" operator="equal">
      <formula>"Deferido"</formula>
    </cfRule>
    <cfRule type="cellIs" dxfId="851" priority="796" operator="equal">
      <formula>"Indeferido"</formula>
    </cfRule>
  </conditionalFormatting>
  <conditionalFormatting sqref="K13:K16">
    <cfRule type="containsText" dxfId="850" priority="793" operator="containsText" text="Cancelado">
      <formula>NOT(ISERROR(SEARCH("Cancelado",K13)))</formula>
    </cfRule>
  </conditionalFormatting>
  <conditionalFormatting sqref="N13:N16">
    <cfRule type="cellIs" dxfId="849" priority="790" operator="equal">
      <formula>"Tramitando"</formula>
    </cfRule>
    <cfRule type="cellIs" dxfId="848" priority="791" operator="equal">
      <formula>"Deferido"</formula>
    </cfRule>
    <cfRule type="cellIs" dxfId="847" priority="792" operator="equal">
      <formula>"Indeferido"</formula>
    </cfRule>
  </conditionalFormatting>
  <conditionalFormatting sqref="N13:N16">
    <cfRule type="containsText" dxfId="846" priority="789" operator="containsText" text="Cancelado">
      <formula>NOT(ISERROR(SEARCH("Cancelado",N13)))</formula>
    </cfRule>
  </conditionalFormatting>
  <conditionalFormatting sqref="Q13:Q16">
    <cfRule type="cellIs" dxfId="845" priority="786" operator="equal">
      <formula>"Tramitando"</formula>
    </cfRule>
    <cfRule type="cellIs" dxfId="844" priority="787" operator="equal">
      <formula>"Deferido"</formula>
    </cfRule>
    <cfRule type="cellIs" dxfId="843" priority="788" operator="equal">
      <formula>"Indeferido"</formula>
    </cfRule>
  </conditionalFormatting>
  <conditionalFormatting sqref="Q13:Q16">
    <cfRule type="containsText" dxfId="842" priority="785" operator="containsText" text="Cancelado">
      <formula>NOT(ISERROR(SEARCH("Cancelado",Q13)))</formula>
    </cfRule>
  </conditionalFormatting>
  <conditionalFormatting sqref="T13:T16">
    <cfRule type="cellIs" dxfId="841" priority="782" operator="equal">
      <formula>"Tramitando"</formula>
    </cfRule>
    <cfRule type="cellIs" dxfId="840" priority="783" operator="equal">
      <formula>"Deferido"</formula>
    </cfRule>
    <cfRule type="cellIs" dxfId="839" priority="784" operator="equal">
      <formula>"Indeferido"</formula>
    </cfRule>
  </conditionalFormatting>
  <conditionalFormatting sqref="T13:T16">
    <cfRule type="containsText" dxfId="838" priority="781" operator="containsText" text="Cancelado">
      <formula>NOT(ISERROR(SEARCH("Cancelado",T13)))</formula>
    </cfRule>
  </conditionalFormatting>
  <conditionalFormatting sqref="W13:W16">
    <cfRule type="cellIs" dxfId="837" priority="778" operator="equal">
      <formula>"Tramitando"</formula>
    </cfRule>
    <cfRule type="cellIs" dxfId="836" priority="779" operator="equal">
      <formula>"Deferido"</formula>
    </cfRule>
    <cfRule type="cellIs" dxfId="835" priority="780" operator="equal">
      <formula>"Indeferido"</formula>
    </cfRule>
  </conditionalFormatting>
  <conditionalFormatting sqref="W13:W16">
    <cfRule type="containsText" dxfId="834" priority="777" operator="containsText" text="Cancelado">
      <formula>NOT(ISERROR(SEARCH("Cancelado",W13)))</formula>
    </cfRule>
  </conditionalFormatting>
  <conditionalFormatting sqref="Z13:Z16">
    <cfRule type="cellIs" dxfId="833" priority="774" operator="equal">
      <formula>"Tramitando"</formula>
    </cfRule>
    <cfRule type="cellIs" dxfId="832" priority="775" operator="equal">
      <formula>"Deferido"</formula>
    </cfRule>
    <cfRule type="cellIs" dxfId="831" priority="776" operator="equal">
      <formula>"Indeferido"</formula>
    </cfRule>
  </conditionalFormatting>
  <conditionalFormatting sqref="Z13:Z16">
    <cfRule type="containsText" dxfId="830" priority="773" operator="containsText" text="Cancelado">
      <formula>NOT(ISERROR(SEARCH("Cancelado",Z13)))</formula>
    </cfRule>
  </conditionalFormatting>
  <conditionalFormatting sqref="AC13:AC16">
    <cfRule type="cellIs" dxfId="829" priority="770" operator="equal">
      <formula>"Tramitando"</formula>
    </cfRule>
    <cfRule type="cellIs" dxfId="828" priority="771" operator="equal">
      <formula>"Deferido"</formula>
    </cfRule>
    <cfRule type="cellIs" dxfId="827" priority="772" operator="equal">
      <formula>"Indeferido"</formula>
    </cfRule>
  </conditionalFormatting>
  <conditionalFormatting sqref="AC13:AC16">
    <cfRule type="containsText" dxfId="826" priority="769" operator="containsText" text="Cancelado">
      <formula>NOT(ISERROR(SEARCH("Cancelado",AC13)))</formula>
    </cfRule>
  </conditionalFormatting>
  <conditionalFormatting sqref="H17">
    <cfRule type="cellIs" dxfId="825" priority="766" operator="equal">
      <formula>"Tramitando"</formula>
    </cfRule>
    <cfRule type="cellIs" dxfId="824" priority="767" operator="equal">
      <formula>"Deferido"</formula>
    </cfRule>
    <cfRule type="cellIs" dxfId="823" priority="768" operator="equal">
      <formula>"Indeferido"</formula>
    </cfRule>
  </conditionalFormatting>
  <conditionalFormatting sqref="H17">
    <cfRule type="containsText" dxfId="822" priority="765" operator="containsText" text="Cancelado">
      <formula>NOT(ISERROR(SEARCH("Cancelado",H17)))</formula>
    </cfRule>
  </conditionalFormatting>
  <conditionalFormatting sqref="K17">
    <cfRule type="cellIs" dxfId="821" priority="762" operator="equal">
      <formula>"Tramitando"</formula>
    </cfRule>
    <cfRule type="cellIs" dxfId="820" priority="763" operator="equal">
      <formula>"Deferido"</formula>
    </cfRule>
    <cfRule type="cellIs" dxfId="819" priority="764" operator="equal">
      <formula>"Indeferido"</formula>
    </cfRule>
  </conditionalFormatting>
  <conditionalFormatting sqref="K17">
    <cfRule type="containsText" dxfId="818" priority="761" operator="containsText" text="Cancelado">
      <formula>NOT(ISERROR(SEARCH("Cancelado",K17)))</formula>
    </cfRule>
  </conditionalFormatting>
  <conditionalFormatting sqref="N17">
    <cfRule type="cellIs" dxfId="817" priority="758" operator="equal">
      <formula>"Tramitando"</formula>
    </cfRule>
    <cfRule type="cellIs" dxfId="816" priority="759" operator="equal">
      <formula>"Deferido"</formula>
    </cfRule>
    <cfRule type="cellIs" dxfId="815" priority="760" operator="equal">
      <formula>"Indeferido"</formula>
    </cfRule>
  </conditionalFormatting>
  <conditionalFormatting sqref="N17">
    <cfRule type="containsText" dxfId="814" priority="757" operator="containsText" text="Cancelado">
      <formula>NOT(ISERROR(SEARCH("Cancelado",N17)))</formula>
    </cfRule>
  </conditionalFormatting>
  <conditionalFormatting sqref="Q17">
    <cfRule type="cellIs" dxfId="813" priority="754" operator="equal">
      <formula>"Tramitando"</formula>
    </cfRule>
    <cfRule type="cellIs" dxfId="812" priority="755" operator="equal">
      <formula>"Deferido"</formula>
    </cfRule>
    <cfRule type="cellIs" dxfId="811" priority="756" operator="equal">
      <formula>"Indeferido"</formula>
    </cfRule>
  </conditionalFormatting>
  <conditionalFormatting sqref="Q17">
    <cfRule type="containsText" dxfId="810" priority="753" operator="containsText" text="Cancelado">
      <formula>NOT(ISERROR(SEARCH("Cancelado",Q17)))</formula>
    </cfRule>
  </conditionalFormatting>
  <conditionalFormatting sqref="T17">
    <cfRule type="cellIs" dxfId="809" priority="750" operator="equal">
      <formula>"Tramitando"</formula>
    </cfRule>
    <cfRule type="cellIs" dxfId="808" priority="751" operator="equal">
      <formula>"Deferido"</formula>
    </cfRule>
    <cfRule type="cellIs" dxfId="807" priority="752" operator="equal">
      <formula>"Indeferido"</formula>
    </cfRule>
  </conditionalFormatting>
  <conditionalFormatting sqref="T17">
    <cfRule type="containsText" dxfId="806" priority="749" operator="containsText" text="Cancelado">
      <formula>NOT(ISERROR(SEARCH("Cancelado",T17)))</formula>
    </cfRule>
  </conditionalFormatting>
  <conditionalFormatting sqref="W17">
    <cfRule type="cellIs" dxfId="805" priority="746" operator="equal">
      <formula>"Tramitando"</formula>
    </cfRule>
    <cfRule type="cellIs" dxfId="804" priority="747" operator="equal">
      <formula>"Deferido"</formula>
    </cfRule>
    <cfRule type="cellIs" dxfId="803" priority="748" operator="equal">
      <formula>"Indeferido"</formula>
    </cfRule>
  </conditionalFormatting>
  <conditionalFormatting sqref="W17">
    <cfRule type="containsText" dxfId="802" priority="745" operator="containsText" text="Cancelado">
      <formula>NOT(ISERROR(SEARCH("Cancelado",W17)))</formula>
    </cfRule>
  </conditionalFormatting>
  <conditionalFormatting sqref="Z17">
    <cfRule type="cellIs" dxfId="801" priority="742" operator="equal">
      <formula>"Tramitando"</formula>
    </cfRule>
    <cfRule type="cellIs" dxfId="800" priority="743" operator="equal">
      <formula>"Deferido"</formula>
    </cfRule>
    <cfRule type="cellIs" dxfId="799" priority="744" operator="equal">
      <formula>"Indeferido"</formula>
    </cfRule>
  </conditionalFormatting>
  <conditionalFormatting sqref="Z17">
    <cfRule type="containsText" dxfId="798" priority="741" operator="containsText" text="Cancelado">
      <formula>NOT(ISERROR(SEARCH("Cancelado",Z17)))</formula>
    </cfRule>
  </conditionalFormatting>
  <conditionalFormatting sqref="AC17">
    <cfRule type="cellIs" dxfId="797" priority="738" operator="equal">
      <formula>"Tramitando"</formula>
    </cfRule>
    <cfRule type="cellIs" dxfId="796" priority="739" operator="equal">
      <formula>"Deferido"</formula>
    </cfRule>
    <cfRule type="cellIs" dxfId="795" priority="740" operator="equal">
      <formula>"Indeferido"</formula>
    </cfRule>
  </conditionalFormatting>
  <conditionalFormatting sqref="AC17">
    <cfRule type="containsText" dxfId="794" priority="737" operator="containsText" text="Cancelado">
      <formula>NOT(ISERROR(SEARCH("Cancelado",AC17)))</formula>
    </cfRule>
  </conditionalFormatting>
  <conditionalFormatting sqref="H18">
    <cfRule type="cellIs" dxfId="793" priority="734" operator="equal">
      <formula>"Tramitando"</formula>
    </cfRule>
    <cfRule type="cellIs" dxfId="792" priority="735" operator="equal">
      <formula>"Deferido"</formula>
    </cfRule>
    <cfRule type="cellIs" dxfId="791" priority="736" operator="equal">
      <formula>"Indeferido"</formula>
    </cfRule>
  </conditionalFormatting>
  <conditionalFormatting sqref="H18">
    <cfRule type="containsText" dxfId="790" priority="733" operator="containsText" text="Cancelado">
      <formula>NOT(ISERROR(SEARCH("Cancelado",H18)))</formula>
    </cfRule>
  </conditionalFormatting>
  <conditionalFormatting sqref="K18">
    <cfRule type="cellIs" dxfId="789" priority="730" operator="equal">
      <formula>"Tramitando"</formula>
    </cfRule>
    <cfRule type="cellIs" dxfId="788" priority="731" operator="equal">
      <formula>"Deferido"</formula>
    </cfRule>
    <cfRule type="cellIs" dxfId="787" priority="732" operator="equal">
      <formula>"Indeferido"</formula>
    </cfRule>
  </conditionalFormatting>
  <conditionalFormatting sqref="K18">
    <cfRule type="containsText" dxfId="786" priority="729" operator="containsText" text="Cancelado">
      <formula>NOT(ISERROR(SEARCH("Cancelado",K18)))</formula>
    </cfRule>
  </conditionalFormatting>
  <conditionalFormatting sqref="N18">
    <cfRule type="cellIs" dxfId="785" priority="726" operator="equal">
      <formula>"Tramitando"</formula>
    </cfRule>
    <cfRule type="cellIs" dxfId="784" priority="727" operator="equal">
      <formula>"Deferido"</formula>
    </cfRule>
    <cfRule type="cellIs" dxfId="783" priority="728" operator="equal">
      <formula>"Indeferido"</formula>
    </cfRule>
  </conditionalFormatting>
  <conditionalFormatting sqref="N18">
    <cfRule type="containsText" dxfId="782" priority="725" operator="containsText" text="Cancelado">
      <formula>NOT(ISERROR(SEARCH("Cancelado",N18)))</formula>
    </cfRule>
  </conditionalFormatting>
  <conditionalFormatting sqref="Q18">
    <cfRule type="cellIs" dxfId="781" priority="722" operator="equal">
      <formula>"Tramitando"</formula>
    </cfRule>
    <cfRule type="cellIs" dxfId="780" priority="723" operator="equal">
      <formula>"Deferido"</formula>
    </cfRule>
    <cfRule type="cellIs" dxfId="779" priority="724" operator="equal">
      <formula>"Indeferido"</formula>
    </cfRule>
  </conditionalFormatting>
  <conditionalFormatting sqref="Q18">
    <cfRule type="containsText" dxfId="778" priority="721" operator="containsText" text="Cancelado">
      <formula>NOT(ISERROR(SEARCH("Cancelado",Q18)))</formula>
    </cfRule>
  </conditionalFormatting>
  <conditionalFormatting sqref="T18">
    <cfRule type="cellIs" dxfId="777" priority="718" operator="equal">
      <formula>"Tramitando"</formula>
    </cfRule>
    <cfRule type="cellIs" dxfId="776" priority="719" operator="equal">
      <formula>"Deferido"</formula>
    </cfRule>
    <cfRule type="cellIs" dxfId="775" priority="720" operator="equal">
      <formula>"Indeferido"</formula>
    </cfRule>
  </conditionalFormatting>
  <conditionalFormatting sqref="T18">
    <cfRule type="containsText" dxfId="774" priority="717" operator="containsText" text="Cancelado">
      <formula>NOT(ISERROR(SEARCH("Cancelado",T18)))</formula>
    </cfRule>
  </conditionalFormatting>
  <conditionalFormatting sqref="W18">
    <cfRule type="cellIs" dxfId="773" priority="714" operator="equal">
      <formula>"Tramitando"</formula>
    </cfRule>
    <cfRule type="cellIs" dxfId="772" priority="715" operator="equal">
      <formula>"Deferido"</formula>
    </cfRule>
    <cfRule type="cellIs" dxfId="771" priority="716" operator="equal">
      <formula>"Indeferido"</formula>
    </cfRule>
  </conditionalFormatting>
  <conditionalFormatting sqref="W18">
    <cfRule type="containsText" dxfId="770" priority="713" operator="containsText" text="Cancelado">
      <formula>NOT(ISERROR(SEARCH("Cancelado",W18)))</formula>
    </cfRule>
  </conditionalFormatting>
  <conditionalFormatting sqref="Z18">
    <cfRule type="cellIs" dxfId="769" priority="710" operator="equal">
      <formula>"Tramitando"</formula>
    </cfRule>
    <cfRule type="cellIs" dxfId="768" priority="711" operator="equal">
      <formula>"Deferido"</formula>
    </cfRule>
    <cfRule type="cellIs" dxfId="767" priority="712" operator="equal">
      <formula>"Indeferido"</formula>
    </cfRule>
  </conditionalFormatting>
  <conditionalFormatting sqref="Z18">
    <cfRule type="containsText" dxfId="766" priority="709" operator="containsText" text="Cancelado">
      <formula>NOT(ISERROR(SEARCH("Cancelado",Z18)))</formula>
    </cfRule>
  </conditionalFormatting>
  <conditionalFormatting sqref="AC18">
    <cfRule type="cellIs" dxfId="765" priority="706" operator="equal">
      <formula>"Tramitando"</formula>
    </cfRule>
    <cfRule type="cellIs" dxfId="764" priority="707" operator="equal">
      <formula>"Deferido"</formula>
    </cfRule>
    <cfRule type="cellIs" dxfId="763" priority="708" operator="equal">
      <formula>"Indeferido"</formula>
    </cfRule>
  </conditionalFormatting>
  <conditionalFormatting sqref="AC18">
    <cfRule type="containsText" dxfId="762" priority="705" operator="containsText" text="Cancelado">
      <formula>NOT(ISERROR(SEARCH("Cancelado",AC18)))</formula>
    </cfRule>
  </conditionalFormatting>
  <conditionalFormatting sqref="H19">
    <cfRule type="cellIs" dxfId="761" priority="702" operator="equal">
      <formula>"Tramitando"</formula>
    </cfRule>
    <cfRule type="cellIs" dxfId="760" priority="703" operator="equal">
      <formula>"Deferido"</formula>
    </cfRule>
    <cfRule type="cellIs" dxfId="759" priority="704" operator="equal">
      <formula>"Indeferido"</formula>
    </cfRule>
  </conditionalFormatting>
  <conditionalFormatting sqref="H19">
    <cfRule type="containsText" dxfId="758" priority="701" operator="containsText" text="Cancelado">
      <formula>NOT(ISERROR(SEARCH("Cancelado",H19)))</formula>
    </cfRule>
  </conditionalFormatting>
  <conditionalFormatting sqref="K19">
    <cfRule type="cellIs" dxfId="757" priority="698" operator="equal">
      <formula>"Tramitando"</formula>
    </cfRule>
    <cfRule type="cellIs" dxfId="756" priority="699" operator="equal">
      <formula>"Deferido"</formula>
    </cfRule>
    <cfRule type="cellIs" dxfId="755" priority="700" operator="equal">
      <formula>"Indeferido"</formula>
    </cfRule>
  </conditionalFormatting>
  <conditionalFormatting sqref="K19">
    <cfRule type="containsText" dxfId="754" priority="697" operator="containsText" text="Cancelado">
      <formula>NOT(ISERROR(SEARCH("Cancelado",K19)))</formula>
    </cfRule>
  </conditionalFormatting>
  <conditionalFormatting sqref="N19">
    <cfRule type="cellIs" dxfId="753" priority="694" operator="equal">
      <formula>"Tramitando"</formula>
    </cfRule>
    <cfRule type="cellIs" dxfId="752" priority="695" operator="equal">
      <formula>"Deferido"</formula>
    </cfRule>
    <cfRule type="cellIs" dxfId="751" priority="696" operator="equal">
      <formula>"Indeferido"</formula>
    </cfRule>
  </conditionalFormatting>
  <conditionalFormatting sqref="N19">
    <cfRule type="containsText" dxfId="750" priority="693" operator="containsText" text="Cancelado">
      <formula>NOT(ISERROR(SEARCH("Cancelado",N19)))</formula>
    </cfRule>
  </conditionalFormatting>
  <conditionalFormatting sqref="Q19">
    <cfRule type="cellIs" dxfId="749" priority="690" operator="equal">
      <formula>"Tramitando"</formula>
    </cfRule>
    <cfRule type="cellIs" dxfId="748" priority="691" operator="equal">
      <formula>"Deferido"</formula>
    </cfRule>
    <cfRule type="cellIs" dxfId="747" priority="692" operator="equal">
      <formula>"Indeferido"</formula>
    </cfRule>
  </conditionalFormatting>
  <conditionalFormatting sqref="Q19">
    <cfRule type="containsText" dxfId="746" priority="689" operator="containsText" text="Cancelado">
      <formula>NOT(ISERROR(SEARCH("Cancelado",Q19)))</formula>
    </cfRule>
  </conditionalFormatting>
  <conditionalFormatting sqref="T19">
    <cfRule type="cellIs" dxfId="745" priority="686" operator="equal">
      <formula>"Tramitando"</formula>
    </cfRule>
    <cfRule type="cellIs" dxfId="744" priority="687" operator="equal">
      <formula>"Deferido"</formula>
    </cfRule>
    <cfRule type="cellIs" dxfId="743" priority="688" operator="equal">
      <formula>"Indeferido"</formula>
    </cfRule>
  </conditionalFormatting>
  <conditionalFormatting sqref="T19">
    <cfRule type="containsText" dxfId="742" priority="685" operator="containsText" text="Cancelado">
      <formula>NOT(ISERROR(SEARCH("Cancelado",T19)))</formula>
    </cfRule>
  </conditionalFormatting>
  <conditionalFormatting sqref="W19">
    <cfRule type="cellIs" dxfId="741" priority="682" operator="equal">
      <formula>"Tramitando"</formula>
    </cfRule>
    <cfRule type="cellIs" dxfId="740" priority="683" operator="equal">
      <formula>"Deferido"</formula>
    </cfRule>
    <cfRule type="cellIs" dxfId="739" priority="684" operator="equal">
      <formula>"Indeferido"</formula>
    </cfRule>
  </conditionalFormatting>
  <conditionalFormatting sqref="W19">
    <cfRule type="containsText" dxfId="738" priority="681" operator="containsText" text="Cancelado">
      <formula>NOT(ISERROR(SEARCH("Cancelado",W19)))</formula>
    </cfRule>
  </conditionalFormatting>
  <conditionalFormatting sqref="Z19">
    <cfRule type="cellIs" dxfId="737" priority="678" operator="equal">
      <formula>"Tramitando"</formula>
    </cfRule>
    <cfRule type="cellIs" dxfId="736" priority="679" operator="equal">
      <formula>"Deferido"</formula>
    </cfRule>
    <cfRule type="cellIs" dxfId="735" priority="680" operator="equal">
      <formula>"Indeferido"</formula>
    </cfRule>
  </conditionalFormatting>
  <conditionalFormatting sqref="Z19">
    <cfRule type="containsText" dxfId="734" priority="677" operator="containsText" text="Cancelado">
      <formula>NOT(ISERROR(SEARCH("Cancelado",Z19)))</formula>
    </cfRule>
  </conditionalFormatting>
  <conditionalFormatting sqref="AC19">
    <cfRule type="cellIs" dxfId="733" priority="674" operator="equal">
      <formula>"Tramitando"</formula>
    </cfRule>
    <cfRule type="cellIs" dxfId="732" priority="675" operator="equal">
      <formula>"Deferido"</formula>
    </cfRule>
    <cfRule type="cellIs" dxfId="731" priority="676" operator="equal">
      <formula>"Indeferido"</formula>
    </cfRule>
  </conditionalFormatting>
  <conditionalFormatting sqref="AC19">
    <cfRule type="containsText" dxfId="730" priority="673" operator="containsText" text="Cancelado">
      <formula>NOT(ISERROR(SEARCH("Cancelado",AC19)))</formula>
    </cfRule>
  </conditionalFormatting>
  <conditionalFormatting sqref="H20:H21">
    <cfRule type="cellIs" dxfId="729" priority="670" operator="equal">
      <formula>"Tramitando"</formula>
    </cfRule>
    <cfRule type="cellIs" dxfId="728" priority="671" operator="equal">
      <formula>"Deferido"</formula>
    </cfRule>
    <cfRule type="cellIs" dxfId="727" priority="672" operator="equal">
      <formula>"Indeferido"</formula>
    </cfRule>
  </conditionalFormatting>
  <conditionalFormatting sqref="H20:H21">
    <cfRule type="containsText" dxfId="726" priority="669" operator="containsText" text="Cancelado">
      <formula>NOT(ISERROR(SEARCH("Cancelado",H20)))</formula>
    </cfRule>
  </conditionalFormatting>
  <conditionalFormatting sqref="K20:K21">
    <cfRule type="cellIs" dxfId="725" priority="666" operator="equal">
      <formula>"Tramitando"</formula>
    </cfRule>
    <cfRule type="cellIs" dxfId="724" priority="667" operator="equal">
      <formula>"Deferido"</formula>
    </cfRule>
    <cfRule type="cellIs" dxfId="723" priority="668" operator="equal">
      <formula>"Indeferido"</formula>
    </cfRule>
  </conditionalFormatting>
  <conditionalFormatting sqref="K20:K21">
    <cfRule type="containsText" dxfId="722" priority="665" operator="containsText" text="Cancelado">
      <formula>NOT(ISERROR(SEARCH("Cancelado",K20)))</formula>
    </cfRule>
  </conditionalFormatting>
  <conditionalFormatting sqref="N20:N21">
    <cfRule type="cellIs" dxfId="721" priority="662" operator="equal">
      <formula>"Tramitando"</formula>
    </cfRule>
    <cfRule type="cellIs" dxfId="720" priority="663" operator="equal">
      <formula>"Deferido"</formula>
    </cfRule>
    <cfRule type="cellIs" dxfId="719" priority="664" operator="equal">
      <formula>"Indeferido"</formula>
    </cfRule>
  </conditionalFormatting>
  <conditionalFormatting sqref="N20:N21">
    <cfRule type="containsText" dxfId="718" priority="661" operator="containsText" text="Cancelado">
      <formula>NOT(ISERROR(SEARCH("Cancelado",N20)))</formula>
    </cfRule>
  </conditionalFormatting>
  <conditionalFormatting sqref="Q20:Q21">
    <cfRule type="cellIs" dxfId="717" priority="658" operator="equal">
      <formula>"Tramitando"</formula>
    </cfRule>
    <cfRule type="cellIs" dxfId="716" priority="659" operator="equal">
      <formula>"Deferido"</formula>
    </cfRule>
    <cfRule type="cellIs" dxfId="715" priority="660" operator="equal">
      <formula>"Indeferido"</formula>
    </cfRule>
  </conditionalFormatting>
  <conditionalFormatting sqref="Q20:Q21">
    <cfRule type="containsText" dxfId="714" priority="657" operator="containsText" text="Cancelado">
      <formula>NOT(ISERROR(SEARCH("Cancelado",Q20)))</formula>
    </cfRule>
  </conditionalFormatting>
  <conditionalFormatting sqref="T20:T21">
    <cfRule type="cellIs" dxfId="713" priority="654" operator="equal">
      <formula>"Tramitando"</formula>
    </cfRule>
    <cfRule type="cellIs" dxfId="712" priority="655" operator="equal">
      <formula>"Deferido"</formula>
    </cfRule>
    <cfRule type="cellIs" dxfId="711" priority="656" operator="equal">
      <formula>"Indeferido"</formula>
    </cfRule>
  </conditionalFormatting>
  <conditionalFormatting sqref="T20:T21">
    <cfRule type="containsText" dxfId="710" priority="653" operator="containsText" text="Cancelado">
      <formula>NOT(ISERROR(SEARCH("Cancelado",T20)))</formula>
    </cfRule>
  </conditionalFormatting>
  <conditionalFormatting sqref="W20:W21">
    <cfRule type="cellIs" dxfId="709" priority="650" operator="equal">
      <formula>"Tramitando"</formula>
    </cfRule>
    <cfRule type="cellIs" dxfId="708" priority="651" operator="equal">
      <formula>"Deferido"</formula>
    </cfRule>
    <cfRule type="cellIs" dxfId="707" priority="652" operator="equal">
      <formula>"Indeferido"</formula>
    </cfRule>
  </conditionalFormatting>
  <conditionalFormatting sqref="W20:W21">
    <cfRule type="containsText" dxfId="706" priority="649" operator="containsText" text="Cancelado">
      <formula>NOT(ISERROR(SEARCH("Cancelado",W20)))</formula>
    </cfRule>
  </conditionalFormatting>
  <conditionalFormatting sqref="Z20:Z21">
    <cfRule type="cellIs" dxfId="705" priority="646" operator="equal">
      <formula>"Tramitando"</formula>
    </cfRule>
    <cfRule type="cellIs" dxfId="704" priority="647" operator="equal">
      <formula>"Deferido"</formula>
    </cfRule>
    <cfRule type="cellIs" dxfId="703" priority="648" operator="equal">
      <formula>"Indeferido"</formula>
    </cfRule>
  </conditionalFormatting>
  <conditionalFormatting sqref="Z20:Z21">
    <cfRule type="containsText" dxfId="702" priority="645" operator="containsText" text="Cancelado">
      <formula>NOT(ISERROR(SEARCH("Cancelado",Z20)))</formula>
    </cfRule>
  </conditionalFormatting>
  <conditionalFormatting sqref="AC20:AC21">
    <cfRule type="cellIs" dxfId="701" priority="642" operator="equal">
      <formula>"Tramitando"</formula>
    </cfRule>
    <cfRule type="cellIs" dxfId="700" priority="643" operator="equal">
      <formula>"Deferido"</formula>
    </cfRule>
    <cfRule type="cellIs" dxfId="699" priority="644" operator="equal">
      <formula>"Indeferido"</formula>
    </cfRule>
  </conditionalFormatting>
  <conditionalFormatting sqref="AC20:AC21">
    <cfRule type="containsText" dxfId="698" priority="641" operator="containsText" text="Cancelado">
      <formula>NOT(ISERROR(SEARCH("Cancelado",AC20)))</formula>
    </cfRule>
  </conditionalFormatting>
  <conditionalFormatting sqref="H22">
    <cfRule type="cellIs" dxfId="697" priority="638" operator="equal">
      <formula>"Tramitando"</formula>
    </cfRule>
    <cfRule type="cellIs" dxfId="696" priority="639" operator="equal">
      <formula>"Deferido"</formula>
    </cfRule>
    <cfRule type="cellIs" dxfId="695" priority="640" operator="equal">
      <formula>"Indeferido"</formula>
    </cfRule>
  </conditionalFormatting>
  <conditionalFormatting sqref="H22">
    <cfRule type="containsText" dxfId="694" priority="637" operator="containsText" text="Cancelado">
      <formula>NOT(ISERROR(SEARCH("Cancelado",H22)))</formula>
    </cfRule>
  </conditionalFormatting>
  <conditionalFormatting sqref="K22">
    <cfRule type="cellIs" dxfId="693" priority="634" operator="equal">
      <formula>"Tramitando"</formula>
    </cfRule>
    <cfRule type="cellIs" dxfId="692" priority="635" operator="equal">
      <formula>"Deferido"</formula>
    </cfRule>
    <cfRule type="cellIs" dxfId="691" priority="636" operator="equal">
      <formula>"Indeferido"</formula>
    </cfRule>
  </conditionalFormatting>
  <conditionalFormatting sqref="K22">
    <cfRule type="containsText" dxfId="690" priority="633" operator="containsText" text="Cancelado">
      <formula>NOT(ISERROR(SEARCH("Cancelado",K22)))</formula>
    </cfRule>
  </conditionalFormatting>
  <conditionalFormatting sqref="N22">
    <cfRule type="cellIs" dxfId="689" priority="630" operator="equal">
      <formula>"Tramitando"</formula>
    </cfRule>
    <cfRule type="cellIs" dxfId="688" priority="631" operator="equal">
      <formula>"Deferido"</formula>
    </cfRule>
    <cfRule type="cellIs" dxfId="687" priority="632" operator="equal">
      <formula>"Indeferido"</formula>
    </cfRule>
  </conditionalFormatting>
  <conditionalFormatting sqref="N22">
    <cfRule type="containsText" dxfId="686" priority="629" operator="containsText" text="Cancelado">
      <formula>NOT(ISERROR(SEARCH("Cancelado",N22)))</formula>
    </cfRule>
  </conditionalFormatting>
  <conditionalFormatting sqref="Q22">
    <cfRule type="cellIs" dxfId="685" priority="626" operator="equal">
      <formula>"Tramitando"</formula>
    </cfRule>
    <cfRule type="cellIs" dxfId="684" priority="627" operator="equal">
      <formula>"Deferido"</formula>
    </cfRule>
    <cfRule type="cellIs" dxfId="683" priority="628" operator="equal">
      <formula>"Indeferido"</formula>
    </cfRule>
  </conditionalFormatting>
  <conditionalFormatting sqref="Q22">
    <cfRule type="containsText" dxfId="682" priority="625" operator="containsText" text="Cancelado">
      <formula>NOT(ISERROR(SEARCH("Cancelado",Q22)))</formula>
    </cfRule>
  </conditionalFormatting>
  <conditionalFormatting sqref="T22">
    <cfRule type="cellIs" dxfId="681" priority="622" operator="equal">
      <formula>"Tramitando"</formula>
    </cfRule>
    <cfRule type="cellIs" dxfId="680" priority="623" operator="equal">
      <formula>"Deferido"</formula>
    </cfRule>
    <cfRule type="cellIs" dxfId="679" priority="624" operator="equal">
      <formula>"Indeferido"</formula>
    </cfRule>
  </conditionalFormatting>
  <conditionalFormatting sqref="T22">
    <cfRule type="containsText" dxfId="678" priority="621" operator="containsText" text="Cancelado">
      <formula>NOT(ISERROR(SEARCH("Cancelado",T22)))</formula>
    </cfRule>
  </conditionalFormatting>
  <conditionalFormatting sqref="W22">
    <cfRule type="cellIs" dxfId="677" priority="618" operator="equal">
      <formula>"Tramitando"</formula>
    </cfRule>
    <cfRule type="cellIs" dxfId="676" priority="619" operator="equal">
      <formula>"Deferido"</formula>
    </cfRule>
    <cfRule type="cellIs" dxfId="675" priority="620" operator="equal">
      <formula>"Indeferido"</formula>
    </cfRule>
  </conditionalFormatting>
  <conditionalFormatting sqref="W22">
    <cfRule type="containsText" dxfId="674" priority="617" operator="containsText" text="Cancelado">
      <formula>NOT(ISERROR(SEARCH("Cancelado",W22)))</formula>
    </cfRule>
  </conditionalFormatting>
  <conditionalFormatting sqref="Z22">
    <cfRule type="cellIs" dxfId="673" priority="614" operator="equal">
      <formula>"Tramitando"</formula>
    </cfRule>
    <cfRule type="cellIs" dxfId="672" priority="615" operator="equal">
      <formula>"Deferido"</formula>
    </cfRule>
    <cfRule type="cellIs" dxfId="671" priority="616" operator="equal">
      <formula>"Indeferido"</formula>
    </cfRule>
  </conditionalFormatting>
  <conditionalFormatting sqref="Z22">
    <cfRule type="containsText" dxfId="670" priority="613" operator="containsText" text="Cancelado">
      <formula>NOT(ISERROR(SEARCH("Cancelado",Z22)))</formula>
    </cfRule>
  </conditionalFormatting>
  <conditionalFormatting sqref="AC22">
    <cfRule type="cellIs" dxfId="669" priority="610" operator="equal">
      <formula>"Tramitando"</formula>
    </cfRule>
    <cfRule type="cellIs" dxfId="668" priority="611" operator="equal">
      <formula>"Deferido"</formula>
    </cfRule>
    <cfRule type="cellIs" dxfId="667" priority="612" operator="equal">
      <formula>"Indeferido"</formula>
    </cfRule>
  </conditionalFormatting>
  <conditionalFormatting sqref="AC22">
    <cfRule type="containsText" dxfId="666" priority="609" operator="containsText" text="Cancelado">
      <formula>NOT(ISERROR(SEARCH("Cancelado",AC22)))</formula>
    </cfRule>
  </conditionalFormatting>
  <conditionalFormatting sqref="H23">
    <cfRule type="cellIs" dxfId="665" priority="606" operator="equal">
      <formula>"Tramitando"</formula>
    </cfRule>
    <cfRule type="cellIs" dxfId="664" priority="607" operator="equal">
      <formula>"Deferido"</formula>
    </cfRule>
    <cfRule type="cellIs" dxfId="663" priority="608" operator="equal">
      <formula>"Indeferido"</formula>
    </cfRule>
  </conditionalFormatting>
  <conditionalFormatting sqref="H23">
    <cfRule type="containsText" dxfId="662" priority="605" operator="containsText" text="Cancelado">
      <formula>NOT(ISERROR(SEARCH("Cancelado",H23)))</formula>
    </cfRule>
  </conditionalFormatting>
  <conditionalFormatting sqref="K23">
    <cfRule type="cellIs" dxfId="661" priority="602" operator="equal">
      <formula>"Tramitando"</formula>
    </cfRule>
    <cfRule type="cellIs" dxfId="660" priority="603" operator="equal">
      <formula>"Deferido"</formula>
    </cfRule>
    <cfRule type="cellIs" dxfId="659" priority="604" operator="equal">
      <formula>"Indeferido"</formula>
    </cfRule>
  </conditionalFormatting>
  <conditionalFormatting sqref="K23">
    <cfRule type="containsText" dxfId="658" priority="601" operator="containsText" text="Cancelado">
      <formula>NOT(ISERROR(SEARCH("Cancelado",K23)))</formula>
    </cfRule>
  </conditionalFormatting>
  <conditionalFormatting sqref="N23">
    <cfRule type="cellIs" dxfId="657" priority="598" operator="equal">
      <formula>"Tramitando"</formula>
    </cfRule>
    <cfRule type="cellIs" dxfId="656" priority="599" operator="equal">
      <formula>"Deferido"</formula>
    </cfRule>
    <cfRule type="cellIs" dxfId="655" priority="600" operator="equal">
      <formula>"Indeferido"</formula>
    </cfRule>
  </conditionalFormatting>
  <conditionalFormatting sqref="N23">
    <cfRule type="containsText" dxfId="654" priority="597" operator="containsText" text="Cancelado">
      <formula>NOT(ISERROR(SEARCH("Cancelado",N23)))</formula>
    </cfRule>
  </conditionalFormatting>
  <conditionalFormatting sqref="Q23">
    <cfRule type="cellIs" dxfId="653" priority="594" operator="equal">
      <formula>"Tramitando"</formula>
    </cfRule>
    <cfRule type="cellIs" dxfId="652" priority="595" operator="equal">
      <formula>"Deferido"</formula>
    </cfRule>
    <cfRule type="cellIs" dxfId="651" priority="596" operator="equal">
      <formula>"Indeferido"</formula>
    </cfRule>
  </conditionalFormatting>
  <conditionalFormatting sqref="Q23">
    <cfRule type="containsText" dxfId="650" priority="593" operator="containsText" text="Cancelado">
      <formula>NOT(ISERROR(SEARCH("Cancelado",Q23)))</formula>
    </cfRule>
  </conditionalFormatting>
  <conditionalFormatting sqref="T23">
    <cfRule type="cellIs" dxfId="649" priority="590" operator="equal">
      <formula>"Tramitando"</formula>
    </cfRule>
    <cfRule type="cellIs" dxfId="648" priority="591" operator="equal">
      <formula>"Deferido"</formula>
    </cfRule>
    <cfRule type="cellIs" dxfId="647" priority="592" operator="equal">
      <formula>"Indeferido"</formula>
    </cfRule>
  </conditionalFormatting>
  <conditionalFormatting sqref="T23">
    <cfRule type="containsText" dxfId="646" priority="589" operator="containsText" text="Cancelado">
      <formula>NOT(ISERROR(SEARCH("Cancelado",T23)))</formula>
    </cfRule>
  </conditionalFormatting>
  <conditionalFormatting sqref="W23">
    <cfRule type="cellIs" dxfId="645" priority="586" operator="equal">
      <formula>"Tramitando"</formula>
    </cfRule>
    <cfRule type="cellIs" dxfId="644" priority="587" operator="equal">
      <formula>"Deferido"</formula>
    </cfRule>
    <cfRule type="cellIs" dxfId="643" priority="588" operator="equal">
      <formula>"Indeferido"</formula>
    </cfRule>
  </conditionalFormatting>
  <conditionalFormatting sqref="W23">
    <cfRule type="containsText" dxfId="642" priority="585" operator="containsText" text="Cancelado">
      <formula>NOT(ISERROR(SEARCH("Cancelado",W23)))</formula>
    </cfRule>
  </conditionalFormatting>
  <conditionalFormatting sqref="Z23">
    <cfRule type="cellIs" dxfId="641" priority="582" operator="equal">
      <formula>"Tramitando"</formula>
    </cfRule>
    <cfRule type="cellIs" dxfId="640" priority="583" operator="equal">
      <formula>"Deferido"</formula>
    </cfRule>
    <cfRule type="cellIs" dxfId="639" priority="584" operator="equal">
      <formula>"Indeferido"</formula>
    </cfRule>
  </conditionalFormatting>
  <conditionalFormatting sqref="Z23">
    <cfRule type="containsText" dxfId="638" priority="581" operator="containsText" text="Cancelado">
      <formula>NOT(ISERROR(SEARCH("Cancelado",Z23)))</formula>
    </cfRule>
  </conditionalFormatting>
  <conditionalFormatting sqref="AC23">
    <cfRule type="cellIs" dxfId="637" priority="578" operator="equal">
      <formula>"Tramitando"</formula>
    </cfRule>
    <cfRule type="cellIs" dxfId="636" priority="579" operator="equal">
      <formula>"Deferido"</formula>
    </cfRule>
    <cfRule type="cellIs" dxfId="635" priority="580" operator="equal">
      <formula>"Indeferido"</formula>
    </cfRule>
  </conditionalFormatting>
  <conditionalFormatting sqref="AC23">
    <cfRule type="containsText" dxfId="634" priority="577" operator="containsText" text="Cancelado">
      <formula>NOT(ISERROR(SEARCH("Cancelado",AC23)))</formula>
    </cfRule>
  </conditionalFormatting>
  <conditionalFormatting sqref="H24">
    <cfRule type="cellIs" dxfId="633" priority="574" operator="equal">
      <formula>"Tramitando"</formula>
    </cfRule>
    <cfRule type="cellIs" dxfId="632" priority="575" operator="equal">
      <formula>"Deferido"</formula>
    </cfRule>
    <cfRule type="cellIs" dxfId="631" priority="576" operator="equal">
      <formula>"Indeferido"</formula>
    </cfRule>
  </conditionalFormatting>
  <conditionalFormatting sqref="H24">
    <cfRule type="containsText" dxfId="630" priority="573" operator="containsText" text="Cancelado">
      <formula>NOT(ISERROR(SEARCH("Cancelado",H24)))</formula>
    </cfRule>
  </conditionalFormatting>
  <conditionalFormatting sqref="K24">
    <cfRule type="cellIs" dxfId="629" priority="570" operator="equal">
      <formula>"Tramitando"</formula>
    </cfRule>
    <cfRule type="cellIs" dxfId="628" priority="571" operator="equal">
      <formula>"Deferido"</formula>
    </cfRule>
    <cfRule type="cellIs" dxfId="627" priority="572" operator="equal">
      <formula>"Indeferido"</formula>
    </cfRule>
  </conditionalFormatting>
  <conditionalFormatting sqref="K24">
    <cfRule type="containsText" dxfId="626" priority="569" operator="containsText" text="Cancelado">
      <formula>NOT(ISERROR(SEARCH("Cancelado",K24)))</formula>
    </cfRule>
  </conditionalFormatting>
  <conditionalFormatting sqref="N24">
    <cfRule type="cellIs" dxfId="625" priority="566" operator="equal">
      <formula>"Tramitando"</formula>
    </cfRule>
    <cfRule type="cellIs" dxfId="624" priority="567" operator="equal">
      <formula>"Deferido"</formula>
    </cfRule>
    <cfRule type="cellIs" dxfId="623" priority="568" operator="equal">
      <formula>"Indeferido"</formula>
    </cfRule>
  </conditionalFormatting>
  <conditionalFormatting sqref="N24">
    <cfRule type="containsText" dxfId="622" priority="565" operator="containsText" text="Cancelado">
      <formula>NOT(ISERROR(SEARCH("Cancelado",N24)))</formula>
    </cfRule>
  </conditionalFormatting>
  <conditionalFormatting sqref="Q24">
    <cfRule type="cellIs" dxfId="621" priority="562" operator="equal">
      <formula>"Tramitando"</formula>
    </cfRule>
    <cfRule type="cellIs" dxfId="620" priority="563" operator="equal">
      <formula>"Deferido"</formula>
    </cfRule>
    <cfRule type="cellIs" dxfId="619" priority="564" operator="equal">
      <formula>"Indeferido"</formula>
    </cfRule>
  </conditionalFormatting>
  <conditionalFormatting sqref="Q24">
    <cfRule type="containsText" dxfId="618" priority="561" operator="containsText" text="Cancelado">
      <formula>NOT(ISERROR(SEARCH("Cancelado",Q24)))</formula>
    </cfRule>
  </conditionalFormatting>
  <conditionalFormatting sqref="T24">
    <cfRule type="cellIs" dxfId="617" priority="558" operator="equal">
      <formula>"Tramitando"</formula>
    </cfRule>
    <cfRule type="cellIs" dxfId="616" priority="559" operator="equal">
      <formula>"Deferido"</formula>
    </cfRule>
    <cfRule type="cellIs" dxfId="615" priority="560" operator="equal">
      <formula>"Indeferido"</formula>
    </cfRule>
  </conditionalFormatting>
  <conditionalFormatting sqref="T24">
    <cfRule type="containsText" dxfId="614" priority="557" operator="containsText" text="Cancelado">
      <formula>NOT(ISERROR(SEARCH("Cancelado",T24)))</formula>
    </cfRule>
  </conditionalFormatting>
  <conditionalFormatting sqref="W24">
    <cfRule type="cellIs" dxfId="613" priority="554" operator="equal">
      <formula>"Tramitando"</formula>
    </cfRule>
    <cfRule type="cellIs" dxfId="612" priority="555" operator="equal">
      <formula>"Deferido"</formula>
    </cfRule>
    <cfRule type="cellIs" dxfId="611" priority="556" operator="equal">
      <formula>"Indeferido"</formula>
    </cfRule>
  </conditionalFormatting>
  <conditionalFormatting sqref="W24">
    <cfRule type="containsText" dxfId="610" priority="553" operator="containsText" text="Cancelado">
      <formula>NOT(ISERROR(SEARCH("Cancelado",W24)))</formula>
    </cfRule>
  </conditionalFormatting>
  <conditionalFormatting sqref="Z24">
    <cfRule type="cellIs" dxfId="609" priority="550" operator="equal">
      <formula>"Tramitando"</formula>
    </cfRule>
    <cfRule type="cellIs" dxfId="608" priority="551" operator="equal">
      <formula>"Deferido"</formula>
    </cfRule>
    <cfRule type="cellIs" dxfId="607" priority="552" operator="equal">
      <formula>"Indeferido"</formula>
    </cfRule>
  </conditionalFormatting>
  <conditionalFormatting sqref="Z24">
    <cfRule type="containsText" dxfId="606" priority="549" operator="containsText" text="Cancelado">
      <formula>NOT(ISERROR(SEARCH("Cancelado",Z24)))</formula>
    </cfRule>
  </conditionalFormatting>
  <conditionalFormatting sqref="AC24">
    <cfRule type="cellIs" dxfId="605" priority="546" operator="equal">
      <formula>"Tramitando"</formula>
    </cfRule>
    <cfRule type="cellIs" dxfId="604" priority="547" operator="equal">
      <formula>"Deferido"</formula>
    </cfRule>
    <cfRule type="cellIs" dxfId="603" priority="548" operator="equal">
      <formula>"Indeferido"</formula>
    </cfRule>
  </conditionalFormatting>
  <conditionalFormatting sqref="AC24">
    <cfRule type="containsText" dxfId="602" priority="545" operator="containsText" text="Cancelado">
      <formula>NOT(ISERROR(SEARCH("Cancelado",AC24)))</formula>
    </cfRule>
  </conditionalFormatting>
  <conditionalFormatting sqref="H25">
    <cfRule type="cellIs" dxfId="601" priority="542" operator="equal">
      <formula>"Tramitando"</formula>
    </cfRule>
    <cfRule type="cellIs" dxfId="600" priority="543" operator="equal">
      <formula>"Deferido"</formula>
    </cfRule>
    <cfRule type="cellIs" dxfId="599" priority="544" operator="equal">
      <formula>"Indeferido"</formula>
    </cfRule>
  </conditionalFormatting>
  <conditionalFormatting sqref="H25">
    <cfRule type="containsText" dxfId="598" priority="541" operator="containsText" text="Cancelado">
      <formula>NOT(ISERROR(SEARCH("Cancelado",H25)))</formula>
    </cfRule>
  </conditionalFormatting>
  <conditionalFormatting sqref="K25">
    <cfRule type="cellIs" dxfId="597" priority="538" operator="equal">
      <formula>"Tramitando"</formula>
    </cfRule>
    <cfRule type="cellIs" dxfId="596" priority="539" operator="equal">
      <formula>"Deferido"</formula>
    </cfRule>
    <cfRule type="cellIs" dxfId="595" priority="540" operator="equal">
      <formula>"Indeferido"</formula>
    </cfRule>
  </conditionalFormatting>
  <conditionalFormatting sqref="K25">
    <cfRule type="containsText" dxfId="594" priority="537" operator="containsText" text="Cancelado">
      <formula>NOT(ISERROR(SEARCH("Cancelado",K25)))</formula>
    </cfRule>
  </conditionalFormatting>
  <conditionalFormatting sqref="N25">
    <cfRule type="cellIs" dxfId="593" priority="534" operator="equal">
      <formula>"Tramitando"</formula>
    </cfRule>
    <cfRule type="cellIs" dxfId="592" priority="535" operator="equal">
      <formula>"Deferido"</formula>
    </cfRule>
    <cfRule type="cellIs" dxfId="591" priority="536" operator="equal">
      <formula>"Indeferido"</formula>
    </cfRule>
  </conditionalFormatting>
  <conditionalFormatting sqref="N25">
    <cfRule type="containsText" dxfId="590" priority="533" operator="containsText" text="Cancelado">
      <formula>NOT(ISERROR(SEARCH("Cancelado",N25)))</formula>
    </cfRule>
  </conditionalFormatting>
  <conditionalFormatting sqref="Q25">
    <cfRule type="cellIs" dxfId="589" priority="530" operator="equal">
      <formula>"Tramitando"</formula>
    </cfRule>
    <cfRule type="cellIs" dxfId="588" priority="531" operator="equal">
      <formula>"Deferido"</formula>
    </cfRule>
    <cfRule type="cellIs" dxfId="587" priority="532" operator="equal">
      <formula>"Indeferido"</formula>
    </cfRule>
  </conditionalFormatting>
  <conditionalFormatting sqref="Q25">
    <cfRule type="containsText" dxfId="586" priority="529" operator="containsText" text="Cancelado">
      <formula>NOT(ISERROR(SEARCH("Cancelado",Q25)))</formula>
    </cfRule>
  </conditionalFormatting>
  <conditionalFormatting sqref="T25">
    <cfRule type="cellIs" dxfId="585" priority="526" operator="equal">
      <formula>"Tramitando"</formula>
    </cfRule>
    <cfRule type="cellIs" dxfId="584" priority="527" operator="equal">
      <formula>"Deferido"</formula>
    </cfRule>
    <cfRule type="cellIs" dxfId="583" priority="528" operator="equal">
      <formula>"Indeferido"</formula>
    </cfRule>
  </conditionalFormatting>
  <conditionalFormatting sqref="T25">
    <cfRule type="containsText" dxfId="582" priority="525" operator="containsText" text="Cancelado">
      <formula>NOT(ISERROR(SEARCH("Cancelado",T25)))</formula>
    </cfRule>
  </conditionalFormatting>
  <conditionalFormatting sqref="W25">
    <cfRule type="cellIs" dxfId="581" priority="522" operator="equal">
      <formula>"Tramitando"</formula>
    </cfRule>
    <cfRule type="cellIs" dxfId="580" priority="523" operator="equal">
      <formula>"Deferido"</formula>
    </cfRule>
    <cfRule type="cellIs" dxfId="579" priority="524" operator="equal">
      <formula>"Indeferido"</formula>
    </cfRule>
  </conditionalFormatting>
  <conditionalFormatting sqref="W25">
    <cfRule type="containsText" dxfId="578" priority="521" operator="containsText" text="Cancelado">
      <formula>NOT(ISERROR(SEARCH("Cancelado",W25)))</formula>
    </cfRule>
  </conditionalFormatting>
  <conditionalFormatting sqref="Z25">
    <cfRule type="cellIs" dxfId="577" priority="518" operator="equal">
      <formula>"Tramitando"</formula>
    </cfRule>
    <cfRule type="cellIs" dxfId="576" priority="519" operator="equal">
      <formula>"Deferido"</formula>
    </cfRule>
    <cfRule type="cellIs" dxfId="575" priority="520" operator="equal">
      <formula>"Indeferido"</formula>
    </cfRule>
  </conditionalFormatting>
  <conditionalFormatting sqref="Z25">
    <cfRule type="containsText" dxfId="574" priority="517" operator="containsText" text="Cancelado">
      <formula>NOT(ISERROR(SEARCH("Cancelado",Z25)))</formula>
    </cfRule>
  </conditionalFormatting>
  <conditionalFormatting sqref="AC25">
    <cfRule type="cellIs" dxfId="573" priority="514" operator="equal">
      <formula>"Tramitando"</formula>
    </cfRule>
    <cfRule type="cellIs" dxfId="572" priority="515" operator="equal">
      <formula>"Deferido"</formula>
    </cfRule>
    <cfRule type="cellIs" dxfId="571" priority="516" operator="equal">
      <formula>"Indeferido"</formula>
    </cfRule>
  </conditionalFormatting>
  <conditionalFormatting sqref="AC25">
    <cfRule type="containsText" dxfId="570" priority="513" operator="containsText" text="Cancelado">
      <formula>NOT(ISERROR(SEARCH("Cancelado",AC25)))</formula>
    </cfRule>
  </conditionalFormatting>
  <conditionalFormatting sqref="H26:H28">
    <cfRule type="cellIs" dxfId="569" priority="510" operator="equal">
      <formula>"Tramitando"</formula>
    </cfRule>
    <cfRule type="cellIs" dxfId="568" priority="511" operator="equal">
      <formula>"Deferido"</formula>
    </cfRule>
    <cfRule type="cellIs" dxfId="567" priority="512" operator="equal">
      <formula>"Indeferido"</formula>
    </cfRule>
  </conditionalFormatting>
  <conditionalFormatting sqref="H26:H28">
    <cfRule type="containsText" dxfId="566" priority="509" operator="containsText" text="Cancelado">
      <formula>NOT(ISERROR(SEARCH("Cancelado",H26)))</formula>
    </cfRule>
  </conditionalFormatting>
  <conditionalFormatting sqref="K26:K28">
    <cfRule type="cellIs" dxfId="565" priority="506" operator="equal">
      <formula>"Tramitando"</formula>
    </cfRule>
    <cfRule type="cellIs" dxfId="564" priority="507" operator="equal">
      <formula>"Deferido"</formula>
    </cfRule>
    <cfRule type="cellIs" dxfId="563" priority="508" operator="equal">
      <formula>"Indeferido"</formula>
    </cfRule>
  </conditionalFormatting>
  <conditionalFormatting sqref="K26:K28">
    <cfRule type="containsText" dxfId="562" priority="505" operator="containsText" text="Cancelado">
      <formula>NOT(ISERROR(SEARCH("Cancelado",K26)))</formula>
    </cfRule>
  </conditionalFormatting>
  <conditionalFormatting sqref="N26:N28">
    <cfRule type="cellIs" dxfId="561" priority="502" operator="equal">
      <formula>"Tramitando"</formula>
    </cfRule>
    <cfRule type="cellIs" dxfId="560" priority="503" operator="equal">
      <formula>"Deferido"</formula>
    </cfRule>
    <cfRule type="cellIs" dxfId="559" priority="504" operator="equal">
      <formula>"Indeferido"</formula>
    </cfRule>
  </conditionalFormatting>
  <conditionalFormatting sqref="N26:N28">
    <cfRule type="containsText" dxfId="558" priority="501" operator="containsText" text="Cancelado">
      <formula>NOT(ISERROR(SEARCH("Cancelado",N26)))</formula>
    </cfRule>
  </conditionalFormatting>
  <conditionalFormatting sqref="Q26:Q28">
    <cfRule type="cellIs" dxfId="557" priority="498" operator="equal">
      <formula>"Tramitando"</formula>
    </cfRule>
    <cfRule type="cellIs" dxfId="556" priority="499" operator="equal">
      <formula>"Deferido"</formula>
    </cfRule>
    <cfRule type="cellIs" dxfId="555" priority="500" operator="equal">
      <formula>"Indeferido"</formula>
    </cfRule>
  </conditionalFormatting>
  <conditionalFormatting sqref="Q26:Q28">
    <cfRule type="containsText" dxfId="554" priority="497" operator="containsText" text="Cancelado">
      <formula>NOT(ISERROR(SEARCH("Cancelado",Q26)))</formula>
    </cfRule>
  </conditionalFormatting>
  <conditionalFormatting sqref="T26:T28">
    <cfRule type="cellIs" dxfId="553" priority="494" operator="equal">
      <formula>"Tramitando"</formula>
    </cfRule>
    <cfRule type="cellIs" dxfId="552" priority="495" operator="equal">
      <formula>"Deferido"</formula>
    </cfRule>
    <cfRule type="cellIs" dxfId="551" priority="496" operator="equal">
      <formula>"Indeferido"</formula>
    </cfRule>
  </conditionalFormatting>
  <conditionalFormatting sqref="T26:T28">
    <cfRule type="containsText" dxfId="550" priority="493" operator="containsText" text="Cancelado">
      <formula>NOT(ISERROR(SEARCH("Cancelado",T26)))</formula>
    </cfRule>
  </conditionalFormatting>
  <conditionalFormatting sqref="W26:W28">
    <cfRule type="cellIs" dxfId="549" priority="490" operator="equal">
      <formula>"Tramitando"</formula>
    </cfRule>
    <cfRule type="cellIs" dxfId="548" priority="491" operator="equal">
      <formula>"Deferido"</formula>
    </cfRule>
    <cfRule type="cellIs" dxfId="547" priority="492" operator="equal">
      <formula>"Indeferido"</formula>
    </cfRule>
  </conditionalFormatting>
  <conditionalFormatting sqref="W26:W28">
    <cfRule type="containsText" dxfId="546" priority="489" operator="containsText" text="Cancelado">
      <formula>NOT(ISERROR(SEARCH("Cancelado",W26)))</formula>
    </cfRule>
  </conditionalFormatting>
  <conditionalFormatting sqref="Z26:Z28">
    <cfRule type="cellIs" dxfId="545" priority="486" operator="equal">
      <formula>"Tramitando"</formula>
    </cfRule>
    <cfRule type="cellIs" dxfId="544" priority="487" operator="equal">
      <formula>"Deferido"</formula>
    </cfRule>
    <cfRule type="cellIs" dxfId="543" priority="488" operator="equal">
      <formula>"Indeferido"</formula>
    </cfRule>
  </conditionalFormatting>
  <conditionalFormatting sqref="Z26:Z28">
    <cfRule type="containsText" dxfId="542" priority="485" operator="containsText" text="Cancelado">
      <formula>NOT(ISERROR(SEARCH("Cancelado",Z26)))</formula>
    </cfRule>
  </conditionalFormatting>
  <conditionalFormatting sqref="AC26:AC28">
    <cfRule type="cellIs" dxfId="541" priority="482" operator="equal">
      <formula>"Tramitando"</formula>
    </cfRule>
    <cfRule type="cellIs" dxfId="540" priority="483" operator="equal">
      <formula>"Deferido"</formula>
    </cfRule>
    <cfRule type="cellIs" dxfId="539" priority="484" operator="equal">
      <formula>"Indeferido"</formula>
    </cfRule>
  </conditionalFormatting>
  <conditionalFormatting sqref="AC26:AC28">
    <cfRule type="containsText" dxfId="538" priority="481" operator="containsText" text="Cancelado">
      <formula>NOT(ISERROR(SEARCH("Cancelado",AC26)))</formula>
    </cfRule>
  </conditionalFormatting>
  <conditionalFormatting sqref="H29">
    <cfRule type="cellIs" dxfId="537" priority="478" operator="equal">
      <formula>"Tramitando"</formula>
    </cfRule>
    <cfRule type="cellIs" dxfId="536" priority="479" operator="equal">
      <formula>"Deferido"</formula>
    </cfRule>
    <cfRule type="cellIs" dxfId="535" priority="480" operator="equal">
      <formula>"Indeferido"</formula>
    </cfRule>
  </conditionalFormatting>
  <conditionalFormatting sqref="H29">
    <cfRule type="containsText" dxfId="534" priority="477" operator="containsText" text="Cancelado">
      <formula>NOT(ISERROR(SEARCH("Cancelado",H29)))</formula>
    </cfRule>
  </conditionalFormatting>
  <conditionalFormatting sqref="K29">
    <cfRule type="cellIs" dxfId="533" priority="474" operator="equal">
      <formula>"Tramitando"</formula>
    </cfRule>
    <cfRule type="cellIs" dxfId="532" priority="475" operator="equal">
      <formula>"Deferido"</formula>
    </cfRule>
    <cfRule type="cellIs" dxfId="531" priority="476" operator="equal">
      <formula>"Indeferido"</formula>
    </cfRule>
  </conditionalFormatting>
  <conditionalFormatting sqref="K29">
    <cfRule type="containsText" dxfId="530" priority="473" operator="containsText" text="Cancelado">
      <formula>NOT(ISERROR(SEARCH("Cancelado",K29)))</formula>
    </cfRule>
  </conditionalFormatting>
  <conditionalFormatting sqref="N29">
    <cfRule type="cellIs" dxfId="529" priority="470" operator="equal">
      <formula>"Tramitando"</formula>
    </cfRule>
    <cfRule type="cellIs" dxfId="528" priority="471" operator="equal">
      <formula>"Deferido"</formula>
    </cfRule>
    <cfRule type="cellIs" dxfId="527" priority="472" operator="equal">
      <formula>"Indeferido"</formula>
    </cfRule>
  </conditionalFormatting>
  <conditionalFormatting sqref="N29">
    <cfRule type="containsText" dxfId="526" priority="469" operator="containsText" text="Cancelado">
      <formula>NOT(ISERROR(SEARCH("Cancelado",N29)))</formula>
    </cfRule>
  </conditionalFormatting>
  <conditionalFormatting sqref="Q29">
    <cfRule type="cellIs" dxfId="525" priority="466" operator="equal">
      <formula>"Tramitando"</formula>
    </cfRule>
    <cfRule type="cellIs" dxfId="524" priority="467" operator="equal">
      <formula>"Deferido"</formula>
    </cfRule>
    <cfRule type="cellIs" dxfId="523" priority="468" operator="equal">
      <formula>"Indeferido"</formula>
    </cfRule>
  </conditionalFormatting>
  <conditionalFormatting sqref="Q29">
    <cfRule type="containsText" dxfId="522" priority="465" operator="containsText" text="Cancelado">
      <formula>NOT(ISERROR(SEARCH("Cancelado",Q29)))</formula>
    </cfRule>
  </conditionalFormatting>
  <conditionalFormatting sqref="T29">
    <cfRule type="cellIs" dxfId="521" priority="462" operator="equal">
      <formula>"Tramitando"</formula>
    </cfRule>
    <cfRule type="cellIs" dxfId="520" priority="463" operator="equal">
      <formula>"Deferido"</formula>
    </cfRule>
    <cfRule type="cellIs" dxfId="519" priority="464" operator="equal">
      <formula>"Indeferido"</formula>
    </cfRule>
  </conditionalFormatting>
  <conditionalFormatting sqref="T29">
    <cfRule type="containsText" dxfId="518" priority="461" operator="containsText" text="Cancelado">
      <formula>NOT(ISERROR(SEARCH("Cancelado",T29)))</formula>
    </cfRule>
  </conditionalFormatting>
  <conditionalFormatting sqref="W29">
    <cfRule type="cellIs" dxfId="517" priority="458" operator="equal">
      <formula>"Tramitando"</formula>
    </cfRule>
    <cfRule type="cellIs" dxfId="516" priority="459" operator="equal">
      <formula>"Deferido"</formula>
    </cfRule>
    <cfRule type="cellIs" dxfId="515" priority="460" operator="equal">
      <formula>"Indeferido"</formula>
    </cfRule>
  </conditionalFormatting>
  <conditionalFormatting sqref="W29">
    <cfRule type="containsText" dxfId="514" priority="457" operator="containsText" text="Cancelado">
      <formula>NOT(ISERROR(SEARCH("Cancelado",W29)))</formula>
    </cfRule>
  </conditionalFormatting>
  <conditionalFormatting sqref="Z29">
    <cfRule type="cellIs" dxfId="513" priority="454" operator="equal">
      <formula>"Tramitando"</formula>
    </cfRule>
    <cfRule type="cellIs" dxfId="512" priority="455" operator="equal">
      <formula>"Deferido"</formula>
    </cfRule>
    <cfRule type="cellIs" dxfId="511" priority="456" operator="equal">
      <formula>"Indeferido"</formula>
    </cfRule>
  </conditionalFormatting>
  <conditionalFormatting sqref="Z29">
    <cfRule type="containsText" dxfId="510" priority="453" operator="containsText" text="Cancelado">
      <formula>NOT(ISERROR(SEARCH("Cancelado",Z29)))</formula>
    </cfRule>
  </conditionalFormatting>
  <conditionalFormatting sqref="AC29">
    <cfRule type="cellIs" dxfId="509" priority="450" operator="equal">
      <formula>"Tramitando"</formula>
    </cfRule>
    <cfRule type="cellIs" dxfId="508" priority="451" operator="equal">
      <formula>"Deferido"</formula>
    </cfRule>
    <cfRule type="cellIs" dxfId="507" priority="452" operator="equal">
      <formula>"Indeferido"</formula>
    </cfRule>
  </conditionalFormatting>
  <conditionalFormatting sqref="AC29">
    <cfRule type="containsText" dxfId="506" priority="449" operator="containsText" text="Cancelado">
      <formula>NOT(ISERROR(SEARCH("Cancelado",AC29)))</formula>
    </cfRule>
  </conditionalFormatting>
  <conditionalFormatting sqref="H30">
    <cfRule type="cellIs" dxfId="505" priority="446" operator="equal">
      <formula>"Tramitando"</formula>
    </cfRule>
    <cfRule type="cellIs" dxfId="504" priority="447" operator="equal">
      <formula>"Deferido"</formula>
    </cfRule>
    <cfRule type="cellIs" dxfId="503" priority="448" operator="equal">
      <formula>"Indeferido"</formula>
    </cfRule>
  </conditionalFormatting>
  <conditionalFormatting sqref="H30">
    <cfRule type="containsText" dxfId="502" priority="445" operator="containsText" text="Cancelado">
      <formula>NOT(ISERROR(SEARCH("Cancelado",H30)))</formula>
    </cfRule>
  </conditionalFormatting>
  <conditionalFormatting sqref="K30">
    <cfRule type="cellIs" dxfId="501" priority="442" operator="equal">
      <formula>"Tramitando"</formula>
    </cfRule>
    <cfRule type="cellIs" dxfId="500" priority="443" operator="equal">
      <formula>"Deferido"</formula>
    </cfRule>
    <cfRule type="cellIs" dxfId="499" priority="444" operator="equal">
      <formula>"Indeferido"</formula>
    </cfRule>
  </conditionalFormatting>
  <conditionalFormatting sqref="K30">
    <cfRule type="containsText" dxfId="498" priority="441" operator="containsText" text="Cancelado">
      <formula>NOT(ISERROR(SEARCH("Cancelado",K30)))</formula>
    </cfRule>
  </conditionalFormatting>
  <conditionalFormatting sqref="N30">
    <cfRule type="cellIs" dxfId="497" priority="438" operator="equal">
      <formula>"Tramitando"</formula>
    </cfRule>
    <cfRule type="cellIs" dxfId="496" priority="439" operator="equal">
      <formula>"Deferido"</formula>
    </cfRule>
    <cfRule type="cellIs" dxfId="495" priority="440" operator="equal">
      <formula>"Indeferido"</formula>
    </cfRule>
  </conditionalFormatting>
  <conditionalFormatting sqref="N30">
    <cfRule type="containsText" dxfId="494" priority="437" operator="containsText" text="Cancelado">
      <formula>NOT(ISERROR(SEARCH("Cancelado",N30)))</formula>
    </cfRule>
  </conditionalFormatting>
  <conditionalFormatting sqref="Q30">
    <cfRule type="cellIs" dxfId="493" priority="434" operator="equal">
      <formula>"Tramitando"</formula>
    </cfRule>
    <cfRule type="cellIs" dxfId="492" priority="435" operator="equal">
      <formula>"Deferido"</formula>
    </cfRule>
    <cfRule type="cellIs" dxfId="491" priority="436" operator="equal">
      <formula>"Indeferido"</formula>
    </cfRule>
  </conditionalFormatting>
  <conditionalFormatting sqref="Q30">
    <cfRule type="containsText" dxfId="490" priority="433" operator="containsText" text="Cancelado">
      <formula>NOT(ISERROR(SEARCH("Cancelado",Q30)))</formula>
    </cfRule>
  </conditionalFormatting>
  <conditionalFormatting sqref="T30">
    <cfRule type="cellIs" dxfId="489" priority="430" operator="equal">
      <formula>"Tramitando"</formula>
    </cfRule>
    <cfRule type="cellIs" dxfId="488" priority="431" operator="equal">
      <formula>"Deferido"</formula>
    </cfRule>
    <cfRule type="cellIs" dxfId="487" priority="432" operator="equal">
      <formula>"Indeferido"</formula>
    </cfRule>
  </conditionalFormatting>
  <conditionalFormatting sqref="T30">
    <cfRule type="containsText" dxfId="486" priority="429" operator="containsText" text="Cancelado">
      <formula>NOT(ISERROR(SEARCH("Cancelado",T30)))</formula>
    </cfRule>
  </conditionalFormatting>
  <conditionalFormatting sqref="W30">
    <cfRule type="cellIs" dxfId="485" priority="426" operator="equal">
      <formula>"Tramitando"</formula>
    </cfRule>
    <cfRule type="cellIs" dxfId="484" priority="427" operator="equal">
      <formula>"Deferido"</formula>
    </cfRule>
    <cfRule type="cellIs" dxfId="483" priority="428" operator="equal">
      <formula>"Indeferido"</formula>
    </cfRule>
  </conditionalFormatting>
  <conditionalFormatting sqref="W30">
    <cfRule type="containsText" dxfId="482" priority="425" operator="containsText" text="Cancelado">
      <formula>NOT(ISERROR(SEARCH("Cancelado",W30)))</formula>
    </cfRule>
  </conditionalFormatting>
  <conditionalFormatting sqref="Z30">
    <cfRule type="cellIs" dxfId="481" priority="422" operator="equal">
      <formula>"Tramitando"</formula>
    </cfRule>
    <cfRule type="cellIs" dxfId="480" priority="423" operator="equal">
      <formula>"Deferido"</formula>
    </cfRule>
    <cfRule type="cellIs" dxfId="479" priority="424" operator="equal">
      <formula>"Indeferido"</formula>
    </cfRule>
  </conditionalFormatting>
  <conditionalFormatting sqref="Z30">
    <cfRule type="containsText" dxfId="478" priority="421" operator="containsText" text="Cancelado">
      <formula>NOT(ISERROR(SEARCH("Cancelado",Z30)))</formula>
    </cfRule>
  </conditionalFormatting>
  <conditionalFormatting sqref="AC30">
    <cfRule type="cellIs" dxfId="477" priority="418" operator="equal">
      <formula>"Tramitando"</formula>
    </cfRule>
    <cfRule type="cellIs" dxfId="476" priority="419" operator="equal">
      <formula>"Deferido"</formula>
    </cfRule>
    <cfRule type="cellIs" dxfId="475" priority="420" operator="equal">
      <formula>"Indeferido"</formula>
    </cfRule>
  </conditionalFormatting>
  <conditionalFormatting sqref="AC30">
    <cfRule type="containsText" dxfId="474" priority="417" operator="containsText" text="Cancelado">
      <formula>NOT(ISERROR(SEARCH("Cancelado",AC30)))</formula>
    </cfRule>
  </conditionalFormatting>
  <conditionalFormatting sqref="H31">
    <cfRule type="cellIs" dxfId="473" priority="414" operator="equal">
      <formula>"Tramitando"</formula>
    </cfRule>
    <cfRule type="cellIs" dxfId="472" priority="415" operator="equal">
      <formula>"Deferido"</formula>
    </cfRule>
    <cfRule type="cellIs" dxfId="471" priority="416" operator="equal">
      <formula>"Indeferido"</formula>
    </cfRule>
  </conditionalFormatting>
  <conditionalFormatting sqref="H31">
    <cfRule type="containsText" dxfId="470" priority="413" operator="containsText" text="Cancelado">
      <formula>NOT(ISERROR(SEARCH("Cancelado",H31)))</formula>
    </cfRule>
  </conditionalFormatting>
  <conditionalFormatting sqref="K31">
    <cfRule type="cellIs" dxfId="469" priority="410" operator="equal">
      <formula>"Tramitando"</formula>
    </cfRule>
    <cfRule type="cellIs" dxfId="468" priority="411" operator="equal">
      <formula>"Deferido"</formula>
    </cfRule>
    <cfRule type="cellIs" dxfId="467" priority="412" operator="equal">
      <formula>"Indeferido"</formula>
    </cfRule>
  </conditionalFormatting>
  <conditionalFormatting sqref="K31">
    <cfRule type="containsText" dxfId="466" priority="409" operator="containsText" text="Cancelado">
      <formula>NOT(ISERROR(SEARCH("Cancelado",K31)))</formula>
    </cfRule>
  </conditionalFormatting>
  <conditionalFormatting sqref="N31">
    <cfRule type="cellIs" dxfId="465" priority="406" operator="equal">
      <formula>"Tramitando"</formula>
    </cfRule>
    <cfRule type="cellIs" dxfId="464" priority="407" operator="equal">
      <formula>"Deferido"</formula>
    </cfRule>
    <cfRule type="cellIs" dxfId="463" priority="408" operator="equal">
      <formula>"Indeferido"</formula>
    </cfRule>
  </conditionalFormatting>
  <conditionalFormatting sqref="N31">
    <cfRule type="containsText" dxfId="462" priority="405" operator="containsText" text="Cancelado">
      <formula>NOT(ISERROR(SEARCH("Cancelado",N31)))</formula>
    </cfRule>
  </conditionalFormatting>
  <conditionalFormatting sqref="Q31">
    <cfRule type="cellIs" dxfId="461" priority="402" operator="equal">
      <formula>"Tramitando"</formula>
    </cfRule>
    <cfRule type="cellIs" dxfId="460" priority="403" operator="equal">
      <formula>"Deferido"</formula>
    </cfRule>
    <cfRule type="cellIs" dxfId="459" priority="404" operator="equal">
      <formula>"Indeferido"</formula>
    </cfRule>
  </conditionalFormatting>
  <conditionalFormatting sqref="Q31">
    <cfRule type="containsText" dxfId="458" priority="401" operator="containsText" text="Cancelado">
      <formula>NOT(ISERROR(SEARCH("Cancelado",Q31)))</formula>
    </cfRule>
  </conditionalFormatting>
  <conditionalFormatting sqref="T31">
    <cfRule type="cellIs" dxfId="457" priority="398" operator="equal">
      <formula>"Tramitando"</formula>
    </cfRule>
    <cfRule type="cellIs" dxfId="456" priority="399" operator="equal">
      <formula>"Deferido"</formula>
    </cfRule>
    <cfRule type="cellIs" dxfId="455" priority="400" operator="equal">
      <formula>"Indeferido"</formula>
    </cfRule>
  </conditionalFormatting>
  <conditionalFormatting sqref="T31">
    <cfRule type="containsText" dxfId="454" priority="397" operator="containsText" text="Cancelado">
      <formula>NOT(ISERROR(SEARCH("Cancelado",T31)))</formula>
    </cfRule>
  </conditionalFormatting>
  <conditionalFormatting sqref="W31">
    <cfRule type="cellIs" dxfId="453" priority="394" operator="equal">
      <formula>"Tramitando"</formula>
    </cfRule>
    <cfRule type="cellIs" dxfId="452" priority="395" operator="equal">
      <formula>"Deferido"</formula>
    </cfRule>
    <cfRule type="cellIs" dxfId="451" priority="396" operator="equal">
      <formula>"Indeferido"</formula>
    </cfRule>
  </conditionalFormatting>
  <conditionalFormatting sqref="W31">
    <cfRule type="containsText" dxfId="450" priority="393" operator="containsText" text="Cancelado">
      <formula>NOT(ISERROR(SEARCH("Cancelado",W31)))</formula>
    </cfRule>
  </conditionalFormatting>
  <conditionalFormatting sqref="Z31">
    <cfRule type="cellIs" dxfId="449" priority="390" operator="equal">
      <formula>"Tramitando"</formula>
    </cfRule>
    <cfRule type="cellIs" dxfId="448" priority="391" operator="equal">
      <formula>"Deferido"</formula>
    </cfRule>
    <cfRule type="cellIs" dxfId="447" priority="392" operator="equal">
      <formula>"Indeferido"</formula>
    </cfRule>
  </conditionalFormatting>
  <conditionalFormatting sqref="Z31">
    <cfRule type="containsText" dxfId="446" priority="389" operator="containsText" text="Cancelado">
      <formula>NOT(ISERROR(SEARCH("Cancelado",Z31)))</formula>
    </cfRule>
  </conditionalFormatting>
  <conditionalFormatting sqref="AC31">
    <cfRule type="cellIs" dxfId="445" priority="386" operator="equal">
      <formula>"Tramitando"</formula>
    </cfRule>
    <cfRule type="cellIs" dxfId="444" priority="387" operator="equal">
      <formula>"Deferido"</formula>
    </cfRule>
    <cfRule type="cellIs" dxfId="443" priority="388" operator="equal">
      <formula>"Indeferido"</formula>
    </cfRule>
  </conditionalFormatting>
  <conditionalFormatting sqref="AC31">
    <cfRule type="containsText" dxfId="442" priority="385" operator="containsText" text="Cancelado">
      <formula>NOT(ISERROR(SEARCH("Cancelado",AC31)))</formula>
    </cfRule>
  </conditionalFormatting>
  <conditionalFormatting sqref="H32">
    <cfRule type="cellIs" dxfId="441" priority="382" operator="equal">
      <formula>"Tramitando"</formula>
    </cfRule>
    <cfRule type="cellIs" dxfId="440" priority="383" operator="equal">
      <formula>"Deferido"</formula>
    </cfRule>
    <cfRule type="cellIs" dxfId="439" priority="384" operator="equal">
      <formula>"Indeferido"</formula>
    </cfRule>
  </conditionalFormatting>
  <conditionalFormatting sqref="H32">
    <cfRule type="containsText" dxfId="438" priority="381" operator="containsText" text="Cancelado">
      <formula>NOT(ISERROR(SEARCH("Cancelado",H32)))</formula>
    </cfRule>
  </conditionalFormatting>
  <conditionalFormatting sqref="K32">
    <cfRule type="cellIs" dxfId="437" priority="378" operator="equal">
      <formula>"Tramitando"</formula>
    </cfRule>
    <cfRule type="cellIs" dxfId="436" priority="379" operator="equal">
      <formula>"Deferido"</formula>
    </cfRule>
    <cfRule type="cellIs" dxfId="435" priority="380" operator="equal">
      <formula>"Indeferido"</formula>
    </cfRule>
  </conditionalFormatting>
  <conditionalFormatting sqref="K32">
    <cfRule type="containsText" dxfId="434" priority="377" operator="containsText" text="Cancelado">
      <formula>NOT(ISERROR(SEARCH("Cancelado",K32)))</formula>
    </cfRule>
  </conditionalFormatting>
  <conditionalFormatting sqref="N32">
    <cfRule type="cellIs" dxfId="433" priority="374" operator="equal">
      <formula>"Tramitando"</formula>
    </cfRule>
    <cfRule type="cellIs" dxfId="432" priority="375" operator="equal">
      <formula>"Deferido"</formula>
    </cfRule>
    <cfRule type="cellIs" dxfId="431" priority="376" operator="equal">
      <formula>"Indeferido"</formula>
    </cfRule>
  </conditionalFormatting>
  <conditionalFormatting sqref="N32">
    <cfRule type="containsText" dxfId="430" priority="373" operator="containsText" text="Cancelado">
      <formula>NOT(ISERROR(SEARCH("Cancelado",N32)))</formula>
    </cfRule>
  </conditionalFormatting>
  <conditionalFormatting sqref="Q32">
    <cfRule type="cellIs" dxfId="429" priority="370" operator="equal">
      <formula>"Tramitando"</formula>
    </cfRule>
    <cfRule type="cellIs" dxfId="428" priority="371" operator="equal">
      <formula>"Deferido"</formula>
    </cfRule>
    <cfRule type="cellIs" dxfId="427" priority="372" operator="equal">
      <formula>"Indeferido"</formula>
    </cfRule>
  </conditionalFormatting>
  <conditionalFormatting sqref="Q32">
    <cfRule type="containsText" dxfId="426" priority="369" operator="containsText" text="Cancelado">
      <formula>NOT(ISERROR(SEARCH("Cancelado",Q32)))</formula>
    </cfRule>
  </conditionalFormatting>
  <conditionalFormatting sqref="T32">
    <cfRule type="cellIs" dxfId="425" priority="366" operator="equal">
      <formula>"Tramitando"</formula>
    </cfRule>
    <cfRule type="cellIs" dxfId="424" priority="367" operator="equal">
      <formula>"Deferido"</formula>
    </cfRule>
    <cfRule type="cellIs" dxfId="423" priority="368" operator="equal">
      <formula>"Indeferido"</formula>
    </cfRule>
  </conditionalFormatting>
  <conditionalFormatting sqref="T32">
    <cfRule type="containsText" dxfId="422" priority="365" operator="containsText" text="Cancelado">
      <formula>NOT(ISERROR(SEARCH("Cancelado",T32)))</formula>
    </cfRule>
  </conditionalFormatting>
  <conditionalFormatting sqref="W32">
    <cfRule type="cellIs" dxfId="421" priority="362" operator="equal">
      <formula>"Tramitando"</formula>
    </cfRule>
    <cfRule type="cellIs" dxfId="420" priority="363" operator="equal">
      <formula>"Deferido"</formula>
    </cfRule>
    <cfRule type="cellIs" dxfId="419" priority="364" operator="equal">
      <formula>"Indeferido"</formula>
    </cfRule>
  </conditionalFormatting>
  <conditionalFormatting sqref="W32">
    <cfRule type="containsText" dxfId="418" priority="361" operator="containsText" text="Cancelado">
      <formula>NOT(ISERROR(SEARCH("Cancelado",W32)))</formula>
    </cfRule>
  </conditionalFormatting>
  <conditionalFormatting sqref="Z32">
    <cfRule type="cellIs" dxfId="417" priority="358" operator="equal">
      <formula>"Tramitando"</formula>
    </cfRule>
    <cfRule type="cellIs" dxfId="416" priority="359" operator="equal">
      <formula>"Deferido"</formula>
    </cfRule>
    <cfRule type="cellIs" dxfId="415" priority="360" operator="equal">
      <formula>"Indeferido"</formula>
    </cfRule>
  </conditionalFormatting>
  <conditionalFormatting sqref="Z32">
    <cfRule type="containsText" dxfId="414" priority="357" operator="containsText" text="Cancelado">
      <formula>NOT(ISERROR(SEARCH("Cancelado",Z32)))</formula>
    </cfRule>
  </conditionalFormatting>
  <conditionalFormatting sqref="AC32">
    <cfRule type="cellIs" dxfId="413" priority="354" operator="equal">
      <formula>"Tramitando"</formula>
    </cfRule>
    <cfRule type="cellIs" dxfId="412" priority="355" operator="equal">
      <formula>"Deferido"</formula>
    </cfRule>
    <cfRule type="cellIs" dxfId="411" priority="356" operator="equal">
      <formula>"Indeferido"</formula>
    </cfRule>
  </conditionalFormatting>
  <conditionalFormatting sqref="AC32">
    <cfRule type="containsText" dxfId="410" priority="353" operator="containsText" text="Cancelado">
      <formula>NOT(ISERROR(SEARCH("Cancelado",AC32)))</formula>
    </cfRule>
  </conditionalFormatting>
  <conditionalFormatting sqref="H33">
    <cfRule type="cellIs" dxfId="409" priority="350" operator="equal">
      <formula>"Tramitando"</formula>
    </cfRule>
    <cfRule type="cellIs" dxfId="408" priority="351" operator="equal">
      <formula>"Deferido"</formula>
    </cfRule>
    <cfRule type="cellIs" dxfId="407" priority="352" operator="equal">
      <formula>"Indeferido"</formula>
    </cfRule>
  </conditionalFormatting>
  <conditionalFormatting sqref="H33">
    <cfRule type="containsText" dxfId="406" priority="349" operator="containsText" text="Cancelado">
      <formula>NOT(ISERROR(SEARCH("Cancelado",H33)))</formula>
    </cfRule>
  </conditionalFormatting>
  <conditionalFormatting sqref="K33">
    <cfRule type="cellIs" dxfId="405" priority="346" operator="equal">
      <formula>"Tramitando"</formula>
    </cfRule>
    <cfRule type="cellIs" dxfId="404" priority="347" operator="equal">
      <formula>"Deferido"</formula>
    </cfRule>
    <cfRule type="cellIs" dxfId="403" priority="348" operator="equal">
      <formula>"Indeferido"</formula>
    </cfRule>
  </conditionalFormatting>
  <conditionalFormatting sqref="K33">
    <cfRule type="containsText" dxfId="402" priority="345" operator="containsText" text="Cancelado">
      <formula>NOT(ISERROR(SEARCH("Cancelado",K33)))</formula>
    </cfRule>
  </conditionalFormatting>
  <conditionalFormatting sqref="N33">
    <cfRule type="cellIs" dxfId="401" priority="342" operator="equal">
      <formula>"Tramitando"</formula>
    </cfRule>
    <cfRule type="cellIs" dxfId="400" priority="343" operator="equal">
      <formula>"Deferido"</formula>
    </cfRule>
    <cfRule type="cellIs" dxfId="399" priority="344" operator="equal">
      <formula>"Indeferido"</formula>
    </cfRule>
  </conditionalFormatting>
  <conditionalFormatting sqref="N33">
    <cfRule type="containsText" dxfId="398" priority="341" operator="containsText" text="Cancelado">
      <formula>NOT(ISERROR(SEARCH("Cancelado",N33)))</formula>
    </cfRule>
  </conditionalFormatting>
  <conditionalFormatting sqref="Q33">
    <cfRule type="cellIs" dxfId="397" priority="338" operator="equal">
      <formula>"Tramitando"</formula>
    </cfRule>
    <cfRule type="cellIs" dxfId="396" priority="339" operator="equal">
      <formula>"Deferido"</formula>
    </cfRule>
    <cfRule type="cellIs" dxfId="395" priority="340" operator="equal">
      <formula>"Indeferido"</formula>
    </cfRule>
  </conditionalFormatting>
  <conditionalFormatting sqref="Q33">
    <cfRule type="containsText" dxfId="394" priority="337" operator="containsText" text="Cancelado">
      <formula>NOT(ISERROR(SEARCH("Cancelado",Q33)))</formula>
    </cfRule>
  </conditionalFormatting>
  <conditionalFormatting sqref="T33">
    <cfRule type="cellIs" dxfId="393" priority="334" operator="equal">
      <formula>"Tramitando"</formula>
    </cfRule>
    <cfRule type="cellIs" dxfId="392" priority="335" operator="equal">
      <formula>"Deferido"</formula>
    </cfRule>
    <cfRule type="cellIs" dxfId="391" priority="336" operator="equal">
      <formula>"Indeferido"</formula>
    </cfRule>
  </conditionalFormatting>
  <conditionalFormatting sqref="T33">
    <cfRule type="containsText" dxfId="390" priority="333" operator="containsText" text="Cancelado">
      <formula>NOT(ISERROR(SEARCH("Cancelado",T33)))</formula>
    </cfRule>
  </conditionalFormatting>
  <conditionalFormatting sqref="W33">
    <cfRule type="cellIs" dxfId="389" priority="330" operator="equal">
      <formula>"Tramitando"</formula>
    </cfRule>
    <cfRule type="cellIs" dxfId="388" priority="331" operator="equal">
      <formula>"Deferido"</formula>
    </cfRule>
    <cfRule type="cellIs" dxfId="387" priority="332" operator="equal">
      <formula>"Indeferido"</formula>
    </cfRule>
  </conditionalFormatting>
  <conditionalFormatting sqref="W33">
    <cfRule type="containsText" dxfId="386" priority="329" operator="containsText" text="Cancelado">
      <formula>NOT(ISERROR(SEARCH("Cancelado",W33)))</formula>
    </cfRule>
  </conditionalFormatting>
  <conditionalFormatting sqref="Z33">
    <cfRule type="cellIs" dxfId="385" priority="326" operator="equal">
      <formula>"Tramitando"</formula>
    </cfRule>
    <cfRule type="cellIs" dxfId="384" priority="327" operator="equal">
      <formula>"Deferido"</formula>
    </cfRule>
    <cfRule type="cellIs" dxfId="383" priority="328" operator="equal">
      <formula>"Indeferido"</formula>
    </cfRule>
  </conditionalFormatting>
  <conditionalFormatting sqref="Z33">
    <cfRule type="containsText" dxfId="382" priority="325" operator="containsText" text="Cancelado">
      <formula>NOT(ISERROR(SEARCH("Cancelado",Z33)))</formula>
    </cfRule>
  </conditionalFormatting>
  <conditionalFormatting sqref="AC33">
    <cfRule type="cellIs" dxfId="381" priority="322" operator="equal">
      <formula>"Tramitando"</formula>
    </cfRule>
    <cfRule type="cellIs" dxfId="380" priority="323" operator="equal">
      <formula>"Deferido"</formula>
    </cfRule>
    <cfRule type="cellIs" dxfId="379" priority="324" operator="equal">
      <formula>"Indeferido"</formula>
    </cfRule>
  </conditionalFormatting>
  <conditionalFormatting sqref="AC33">
    <cfRule type="containsText" dxfId="378" priority="321" operator="containsText" text="Cancelado">
      <formula>NOT(ISERROR(SEARCH("Cancelado",AC33)))</formula>
    </cfRule>
  </conditionalFormatting>
  <conditionalFormatting sqref="H34">
    <cfRule type="cellIs" dxfId="377" priority="318" operator="equal">
      <formula>"Tramitando"</formula>
    </cfRule>
    <cfRule type="cellIs" dxfId="376" priority="319" operator="equal">
      <formula>"Deferido"</formula>
    </cfRule>
    <cfRule type="cellIs" dxfId="375" priority="320" operator="equal">
      <formula>"Indeferido"</formula>
    </cfRule>
  </conditionalFormatting>
  <conditionalFormatting sqref="H34">
    <cfRule type="containsText" dxfId="374" priority="317" operator="containsText" text="Cancelado">
      <formula>NOT(ISERROR(SEARCH("Cancelado",H34)))</formula>
    </cfRule>
  </conditionalFormatting>
  <conditionalFormatting sqref="K34">
    <cfRule type="cellIs" dxfId="373" priority="314" operator="equal">
      <formula>"Tramitando"</formula>
    </cfRule>
    <cfRule type="cellIs" dxfId="372" priority="315" operator="equal">
      <formula>"Deferido"</formula>
    </cfRule>
    <cfRule type="cellIs" dxfId="371" priority="316" operator="equal">
      <formula>"Indeferido"</formula>
    </cfRule>
  </conditionalFormatting>
  <conditionalFormatting sqref="K34">
    <cfRule type="containsText" dxfId="370" priority="313" operator="containsText" text="Cancelado">
      <formula>NOT(ISERROR(SEARCH("Cancelado",K34)))</formula>
    </cfRule>
  </conditionalFormatting>
  <conditionalFormatting sqref="N34">
    <cfRule type="cellIs" dxfId="369" priority="310" operator="equal">
      <formula>"Tramitando"</formula>
    </cfRule>
    <cfRule type="cellIs" dxfId="368" priority="311" operator="equal">
      <formula>"Deferido"</formula>
    </cfRule>
    <cfRule type="cellIs" dxfId="367" priority="312" operator="equal">
      <formula>"Indeferido"</formula>
    </cfRule>
  </conditionalFormatting>
  <conditionalFormatting sqref="N34">
    <cfRule type="containsText" dxfId="366" priority="309" operator="containsText" text="Cancelado">
      <formula>NOT(ISERROR(SEARCH("Cancelado",N34)))</formula>
    </cfRule>
  </conditionalFormatting>
  <conditionalFormatting sqref="Q34">
    <cfRule type="cellIs" dxfId="365" priority="306" operator="equal">
      <formula>"Tramitando"</formula>
    </cfRule>
    <cfRule type="cellIs" dxfId="364" priority="307" operator="equal">
      <formula>"Deferido"</formula>
    </cfRule>
    <cfRule type="cellIs" dxfId="363" priority="308" operator="equal">
      <formula>"Indeferido"</formula>
    </cfRule>
  </conditionalFormatting>
  <conditionalFormatting sqref="Q34">
    <cfRule type="containsText" dxfId="362" priority="305" operator="containsText" text="Cancelado">
      <formula>NOT(ISERROR(SEARCH("Cancelado",Q34)))</formula>
    </cfRule>
  </conditionalFormatting>
  <conditionalFormatting sqref="T34">
    <cfRule type="cellIs" dxfId="361" priority="302" operator="equal">
      <formula>"Tramitando"</formula>
    </cfRule>
    <cfRule type="cellIs" dxfId="360" priority="303" operator="equal">
      <formula>"Deferido"</formula>
    </cfRule>
    <cfRule type="cellIs" dxfId="359" priority="304" operator="equal">
      <formula>"Indeferido"</formula>
    </cfRule>
  </conditionalFormatting>
  <conditionalFormatting sqref="T34">
    <cfRule type="containsText" dxfId="358" priority="301" operator="containsText" text="Cancelado">
      <formula>NOT(ISERROR(SEARCH("Cancelado",T34)))</formula>
    </cfRule>
  </conditionalFormatting>
  <conditionalFormatting sqref="W34">
    <cfRule type="cellIs" dxfId="357" priority="298" operator="equal">
      <formula>"Tramitando"</formula>
    </cfRule>
    <cfRule type="cellIs" dxfId="356" priority="299" operator="equal">
      <formula>"Deferido"</formula>
    </cfRule>
    <cfRule type="cellIs" dxfId="355" priority="300" operator="equal">
      <formula>"Indeferido"</formula>
    </cfRule>
  </conditionalFormatting>
  <conditionalFormatting sqref="W34">
    <cfRule type="containsText" dxfId="354" priority="297" operator="containsText" text="Cancelado">
      <formula>NOT(ISERROR(SEARCH("Cancelado",W34)))</formula>
    </cfRule>
  </conditionalFormatting>
  <conditionalFormatting sqref="Z34">
    <cfRule type="cellIs" dxfId="353" priority="294" operator="equal">
      <formula>"Tramitando"</formula>
    </cfRule>
    <cfRule type="cellIs" dxfId="352" priority="295" operator="equal">
      <formula>"Deferido"</formula>
    </cfRule>
    <cfRule type="cellIs" dxfId="351" priority="296" operator="equal">
      <formula>"Indeferido"</formula>
    </cfRule>
  </conditionalFormatting>
  <conditionalFormatting sqref="Z34">
    <cfRule type="containsText" dxfId="350" priority="293" operator="containsText" text="Cancelado">
      <formula>NOT(ISERROR(SEARCH("Cancelado",Z34)))</formula>
    </cfRule>
  </conditionalFormatting>
  <conditionalFormatting sqref="AC34">
    <cfRule type="cellIs" dxfId="349" priority="290" operator="equal">
      <formula>"Tramitando"</formula>
    </cfRule>
    <cfRule type="cellIs" dxfId="348" priority="291" operator="equal">
      <formula>"Deferido"</formula>
    </cfRule>
    <cfRule type="cellIs" dxfId="347" priority="292" operator="equal">
      <formula>"Indeferido"</formula>
    </cfRule>
  </conditionalFormatting>
  <conditionalFormatting sqref="AC34">
    <cfRule type="containsText" dxfId="346" priority="289" operator="containsText" text="Cancelado">
      <formula>NOT(ISERROR(SEARCH("Cancelado",AC34)))</formula>
    </cfRule>
  </conditionalFormatting>
  <conditionalFormatting sqref="H35">
    <cfRule type="cellIs" dxfId="345" priority="286" operator="equal">
      <formula>"Tramitando"</formula>
    </cfRule>
    <cfRule type="cellIs" dxfId="344" priority="287" operator="equal">
      <formula>"Deferido"</formula>
    </cfRule>
    <cfRule type="cellIs" dxfId="343" priority="288" operator="equal">
      <formula>"Indeferido"</formula>
    </cfRule>
  </conditionalFormatting>
  <conditionalFormatting sqref="H35">
    <cfRule type="containsText" dxfId="342" priority="285" operator="containsText" text="Cancelado">
      <formula>NOT(ISERROR(SEARCH("Cancelado",H35)))</formula>
    </cfRule>
  </conditionalFormatting>
  <conditionalFormatting sqref="K35">
    <cfRule type="cellIs" dxfId="341" priority="282" operator="equal">
      <formula>"Tramitando"</formula>
    </cfRule>
    <cfRule type="cellIs" dxfId="340" priority="283" operator="equal">
      <formula>"Deferido"</formula>
    </cfRule>
    <cfRule type="cellIs" dxfId="339" priority="284" operator="equal">
      <formula>"Indeferido"</formula>
    </cfRule>
  </conditionalFormatting>
  <conditionalFormatting sqref="K35">
    <cfRule type="containsText" dxfId="338" priority="281" operator="containsText" text="Cancelado">
      <formula>NOT(ISERROR(SEARCH("Cancelado",K35)))</formula>
    </cfRule>
  </conditionalFormatting>
  <conditionalFormatting sqref="N35">
    <cfRule type="cellIs" dxfId="337" priority="278" operator="equal">
      <formula>"Tramitando"</formula>
    </cfRule>
    <cfRule type="cellIs" dxfId="336" priority="279" operator="equal">
      <formula>"Deferido"</formula>
    </cfRule>
    <cfRule type="cellIs" dxfId="335" priority="280" operator="equal">
      <formula>"Indeferido"</formula>
    </cfRule>
  </conditionalFormatting>
  <conditionalFormatting sqref="N35">
    <cfRule type="containsText" dxfId="334" priority="277" operator="containsText" text="Cancelado">
      <formula>NOT(ISERROR(SEARCH("Cancelado",N35)))</formula>
    </cfRule>
  </conditionalFormatting>
  <conditionalFormatting sqref="Q35">
    <cfRule type="cellIs" dxfId="333" priority="274" operator="equal">
      <formula>"Tramitando"</formula>
    </cfRule>
    <cfRule type="cellIs" dxfId="332" priority="275" operator="equal">
      <formula>"Deferido"</formula>
    </cfRule>
    <cfRule type="cellIs" dxfId="331" priority="276" operator="equal">
      <formula>"Indeferido"</formula>
    </cfRule>
  </conditionalFormatting>
  <conditionalFormatting sqref="Q35">
    <cfRule type="containsText" dxfId="330" priority="273" operator="containsText" text="Cancelado">
      <formula>NOT(ISERROR(SEARCH("Cancelado",Q35)))</formula>
    </cfRule>
  </conditionalFormatting>
  <conditionalFormatting sqref="T35">
    <cfRule type="cellIs" dxfId="329" priority="270" operator="equal">
      <formula>"Tramitando"</formula>
    </cfRule>
    <cfRule type="cellIs" dxfId="328" priority="271" operator="equal">
      <formula>"Deferido"</formula>
    </cfRule>
    <cfRule type="cellIs" dxfId="327" priority="272" operator="equal">
      <formula>"Indeferido"</formula>
    </cfRule>
  </conditionalFormatting>
  <conditionalFormatting sqref="T35">
    <cfRule type="containsText" dxfId="326" priority="269" operator="containsText" text="Cancelado">
      <formula>NOT(ISERROR(SEARCH("Cancelado",T35)))</formula>
    </cfRule>
  </conditionalFormatting>
  <conditionalFormatting sqref="W35">
    <cfRule type="cellIs" dxfId="325" priority="266" operator="equal">
      <formula>"Tramitando"</formula>
    </cfRule>
    <cfRule type="cellIs" dxfId="324" priority="267" operator="equal">
      <formula>"Deferido"</formula>
    </cfRule>
    <cfRule type="cellIs" dxfId="323" priority="268" operator="equal">
      <formula>"Indeferido"</formula>
    </cfRule>
  </conditionalFormatting>
  <conditionalFormatting sqref="W35">
    <cfRule type="containsText" dxfId="322" priority="265" operator="containsText" text="Cancelado">
      <formula>NOT(ISERROR(SEARCH("Cancelado",W35)))</formula>
    </cfRule>
  </conditionalFormatting>
  <conditionalFormatting sqref="Z35">
    <cfRule type="cellIs" dxfId="321" priority="262" operator="equal">
      <formula>"Tramitando"</formula>
    </cfRule>
    <cfRule type="cellIs" dxfId="320" priority="263" operator="equal">
      <formula>"Deferido"</formula>
    </cfRule>
    <cfRule type="cellIs" dxfId="319" priority="264" operator="equal">
      <formula>"Indeferido"</formula>
    </cfRule>
  </conditionalFormatting>
  <conditionalFormatting sqref="Z35">
    <cfRule type="containsText" dxfId="318" priority="261" operator="containsText" text="Cancelado">
      <formula>NOT(ISERROR(SEARCH("Cancelado",Z35)))</formula>
    </cfRule>
  </conditionalFormatting>
  <conditionalFormatting sqref="AC35">
    <cfRule type="cellIs" dxfId="317" priority="258" operator="equal">
      <formula>"Tramitando"</formula>
    </cfRule>
    <cfRule type="cellIs" dxfId="316" priority="259" operator="equal">
      <formula>"Deferido"</formula>
    </cfRule>
    <cfRule type="cellIs" dxfId="315" priority="260" operator="equal">
      <formula>"Indeferido"</formula>
    </cfRule>
  </conditionalFormatting>
  <conditionalFormatting sqref="AC35">
    <cfRule type="containsText" dxfId="314" priority="257" operator="containsText" text="Cancelado">
      <formula>NOT(ISERROR(SEARCH("Cancelado",AC35)))</formula>
    </cfRule>
  </conditionalFormatting>
  <conditionalFormatting sqref="H36">
    <cfRule type="cellIs" dxfId="313" priority="254" operator="equal">
      <formula>"Tramitando"</formula>
    </cfRule>
    <cfRule type="cellIs" dxfId="312" priority="255" operator="equal">
      <formula>"Deferido"</formula>
    </cfRule>
    <cfRule type="cellIs" dxfId="311" priority="256" operator="equal">
      <formula>"Indeferido"</formula>
    </cfRule>
  </conditionalFormatting>
  <conditionalFormatting sqref="H36">
    <cfRule type="containsText" dxfId="310" priority="253" operator="containsText" text="Cancelado">
      <formula>NOT(ISERROR(SEARCH("Cancelado",H36)))</formula>
    </cfRule>
  </conditionalFormatting>
  <conditionalFormatting sqref="K36">
    <cfRule type="cellIs" dxfId="309" priority="250" operator="equal">
      <formula>"Tramitando"</formula>
    </cfRule>
    <cfRule type="cellIs" dxfId="308" priority="251" operator="equal">
      <formula>"Deferido"</formula>
    </cfRule>
    <cfRule type="cellIs" dxfId="307" priority="252" operator="equal">
      <formula>"Indeferido"</formula>
    </cfRule>
  </conditionalFormatting>
  <conditionalFormatting sqref="K36">
    <cfRule type="containsText" dxfId="306" priority="249" operator="containsText" text="Cancelado">
      <formula>NOT(ISERROR(SEARCH("Cancelado",K36)))</formula>
    </cfRule>
  </conditionalFormatting>
  <conditionalFormatting sqref="N36">
    <cfRule type="cellIs" dxfId="305" priority="246" operator="equal">
      <formula>"Tramitando"</formula>
    </cfRule>
    <cfRule type="cellIs" dxfId="304" priority="247" operator="equal">
      <formula>"Deferido"</formula>
    </cfRule>
    <cfRule type="cellIs" dxfId="303" priority="248" operator="equal">
      <formula>"Indeferido"</formula>
    </cfRule>
  </conditionalFormatting>
  <conditionalFormatting sqref="N36">
    <cfRule type="containsText" dxfId="302" priority="245" operator="containsText" text="Cancelado">
      <formula>NOT(ISERROR(SEARCH("Cancelado",N36)))</formula>
    </cfRule>
  </conditionalFormatting>
  <conditionalFormatting sqref="Q36">
    <cfRule type="cellIs" dxfId="301" priority="242" operator="equal">
      <formula>"Tramitando"</formula>
    </cfRule>
    <cfRule type="cellIs" dxfId="300" priority="243" operator="equal">
      <formula>"Deferido"</formula>
    </cfRule>
    <cfRule type="cellIs" dxfId="299" priority="244" operator="equal">
      <formula>"Indeferido"</formula>
    </cfRule>
  </conditionalFormatting>
  <conditionalFormatting sqref="Q36">
    <cfRule type="containsText" dxfId="298" priority="241" operator="containsText" text="Cancelado">
      <formula>NOT(ISERROR(SEARCH("Cancelado",Q36)))</formula>
    </cfRule>
  </conditionalFormatting>
  <conditionalFormatting sqref="T36">
    <cfRule type="cellIs" dxfId="297" priority="238" operator="equal">
      <formula>"Tramitando"</formula>
    </cfRule>
    <cfRule type="cellIs" dxfId="296" priority="239" operator="equal">
      <formula>"Deferido"</formula>
    </cfRule>
    <cfRule type="cellIs" dxfId="295" priority="240" operator="equal">
      <formula>"Indeferido"</formula>
    </cfRule>
  </conditionalFormatting>
  <conditionalFormatting sqref="T36">
    <cfRule type="containsText" dxfId="294" priority="237" operator="containsText" text="Cancelado">
      <formula>NOT(ISERROR(SEARCH("Cancelado",T36)))</formula>
    </cfRule>
  </conditionalFormatting>
  <conditionalFormatting sqref="W36">
    <cfRule type="cellIs" dxfId="293" priority="234" operator="equal">
      <formula>"Tramitando"</formula>
    </cfRule>
    <cfRule type="cellIs" dxfId="292" priority="235" operator="equal">
      <formula>"Deferido"</formula>
    </cfRule>
    <cfRule type="cellIs" dxfId="291" priority="236" operator="equal">
      <formula>"Indeferido"</formula>
    </cfRule>
  </conditionalFormatting>
  <conditionalFormatting sqref="W36">
    <cfRule type="containsText" dxfId="290" priority="233" operator="containsText" text="Cancelado">
      <formula>NOT(ISERROR(SEARCH("Cancelado",W36)))</formula>
    </cfRule>
  </conditionalFormatting>
  <conditionalFormatting sqref="Z36">
    <cfRule type="cellIs" dxfId="289" priority="230" operator="equal">
      <formula>"Tramitando"</formula>
    </cfRule>
    <cfRule type="cellIs" dxfId="288" priority="231" operator="equal">
      <formula>"Deferido"</formula>
    </cfRule>
    <cfRule type="cellIs" dxfId="287" priority="232" operator="equal">
      <formula>"Indeferido"</formula>
    </cfRule>
  </conditionalFormatting>
  <conditionalFormatting sqref="Z36">
    <cfRule type="containsText" dxfId="286" priority="229" operator="containsText" text="Cancelado">
      <formula>NOT(ISERROR(SEARCH("Cancelado",Z36)))</formula>
    </cfRule>
  </conditionalFormatting>
  <conditionalFormatting sqref="AC36">
    <cfRule type="cellIs" dxfId="285" priority="226" operator="equal">
      <formula>"Tramitando"</formula>
    </cfRule>
    <cfRule type="cellIs" dxfId="284" priority="227" operator="equal">
      <formula>"Deferido"</formula>
    </cfRule>
    <cfRule type="cellIs" dxfId="283" priority="228" operator="equal">
      <formula>"Indeferido"</formula>
    </cfRule>
  </conditionalFormatting>
  <conditionalFormatting sqref="AC36">
    <cfRule type="containsText" dxfId="282" priority="225" operator="containsText" text="Cancelado">
      <formula>NOT(ISERROR(SEARCH("Cancelado",AC36)))</formula>
    </cfRule>
  </conditionalFormatting>
  <conditionalFormatting sqref="H37">
    <cfRule type="cellIs" dxfId="281" priority="222" operator="equal">
      <formula>"Tramitando"</formula>
    </cfRule>
    <cfRule type="cellIs" dxfId="280" priority="223" operator="equal">
      <formula>"Deferido"</formula>
    </cfRule>
    <cfRule type="cellIs" dxfId="279" priority="224" operator="equal">
      <formula>"Indeferido"</formula>
    </cfRule>
  </conditionalFormatting>
  <conditionalFormatting sqref="H37">
    <cfRule type="containsText" dxfId="278" priority="221" operator="containsText" text="Cancelado">
      <formula>NOT(ISERROR(SEARCH("Cancelado",H37)))</formula>
    </cfRule>
  </conditionalFormatting>
  <conditionalFormatting sqref="K37">
    <cfRule type="cellIs" dxfId="277" priority="218" operator="equal">
      <formula>"Tramitando"</formula>
    </cfRule>
    <cfRule type="cellIs" dxfId="276" priority="219" operator="equal">
      <formula>"Deferido"</formula>
    </cfRule>
    <cfRule type="cellIs" dxfId="275" priority="220" operator="equal">
      <formula>"Indeferido"</formula>
    </cfRule>
  </conditionalFormatting>
  <conditionalFormatting sqref="K37">
    <cfRule type="containsText" dxfId="274" priority="217" operator="containsText" text="Cancelado">
      <formula>NOT(ISERROR(SEARCH("Cancelado",K37)))</formula>
    </cfRule>
  </conditionalFormatting>
  <conditionalFormatting sqref="N37">
    <cfRule type="cellIs" dxfId="273" priority="214" operator="equal">
      <formula>"Tramitando"</formula>
    </cfRule>
    <cfRule type="cellIs" dxfId="272" priority="215" operator="equal">
      <formula>"Deferido"</formula>
    </cfRule>
    <cfRule type="cellIs" dxfId="271" priority="216" operator="equal">
      <formula>"Indeferido"</formula>
    </cfRule>
  </conditionalFormatting>
  <conditionalFormatting sqref="N37">
    <cfRule type="containsText" dxfId="270" priority="213" operator="containsText" text="Cancelado">
      <formula>NOT(ISERROR(SEARCH("Cancelado",N37)))</formula>
    </cfRule>
  </conditionalFormatting>
  <conditionalFormatting sqref="Q37">
    <cfRule type="cellIs" dxfId="269" priority="210" operator="equal">
      <formula>"Tramitando"</formula>
    </cfRule>
    <cfRule type="cellIs" dxfId="268" priority="211" operator="equal">
      <formula>"Deferido"</formula>
    </cfRule>
    <cfRule type="cellIs" dxfId="267" priority="212" operator="equal">
      <formula>"Indeferido"</formula>
    </cfRule>
  </conditionalFormatting>
  <conditionalFormatting sqref="Q37">
    <cfRule type="containsText" dxfId="266" priority="209" operator="containsText" text="Cancelado">
      <formula>NOT(ISERROR(SEARCH("Cancelado",Q37)))</formula>
    </cfRule>
  </conditionalFormatting>
  <conditionalFormatting sqref="T37">
    <cfRule type="cellIs" dxfId="265" priority="206" operator="equal">
      <formula>"Tramitando"</formula>
    </cfRule>
    <cfRule type="cellIs" dxfId="264" priority="207" operator="equal">
      <formula>"Deferido"</formula>
    </cfRule>
    <cfRule type="cellIs" dxfId="263" priority="208" operator="equal">
      <formula>"Indeferido"</formula>
    </cfRule>
  </conditionalFormatting>
  <conditionalFormatting sqref="T37">
    <cfRule type="containsText" dxfId="262" priority="205" operator="containsText" text="Cancelado">
      <formula>NOT(ISERROR(SEARCH("Cancelado",T37)))</formula>
    </cfRule>
  </conditionalFormatting>
  <conditionalFormatting sqref="W37">
    <cfRule type="cellIs" dxfId="261" priority="202" operator="equal">
      <formula>"Tramitando"</formula>
    </cfRule>
    <cfRule type="cellIs" dxfId="260" priority="203" operator="equal">
      <formula>"Deferido"</formula>
    </cfRule>
    <cfRule type="cellIs" dxfId="259" priority="204" operator="equal">
      <formula>"Indeferido"</formula>
    </cfRule>
  </conditionalFormatting>
  <conditionalFormatting sqref="W37">
    <cfRule type="containsText" dxfId="258" priority="201" operator="containsText" text="Cancelado">
      <formula>NOT(ISERROR(SEARCH("Cancelado",W37)))</formula>
    </cfRule>
  </conditionalFormatting>
  <conditionalFormatting sqref="Z37">
    <cfRule type="cellIs" dxfId="257" priority="198" operator="equal">
      <formula>"Tramitando"</formula>
    </cfRule>
    <cfRule type="cellIs" dxfId="256" priority="199" operator="equal">
      <formula>"Deferido"</formula>
    </cfRule>
    <cfRule type="cellIs" dxfId="255" priority="200" operator="equal">
      <formula>"Indeferido"</formula>
    </cfRule>
  </conditionalFormatting>
  <conditionalFormatting sqref="Z37">
    <cfRule type="containsText" dxfId="254" priority="197" operator="containsText" text="Cancelado">
      <formula>NOT(ISERROR(SEARCH("Cancelado",Z37)))</formula>
    </cfRule>
  </conditionalFormatting>
  <conditionalFormatting sqref="AC37">
    <cfRule type="cellIs" dxfId="253" priority="194" operator="equal">
      <formula>"Tramitando"</formula>
    </cfRule>
    <cfRule type="cellIs" dxfId="252" priority="195" operator="equal">
      <formula>"Deferido"</formula>
    </cfRule>
    <cfRule type="cellIs" dxfId="251" priority="196" operator="equal">
      <formula>"Indeferido"</formula>
    </cfRule>
  </conditionalFormatting>
  <conditionalFormatting sqref="AC37">
    <cfRule type="containsText" dxfId="250" priority="193" operator="containsText" text="Cancelado">
      <formula>NOT(ISERROR(SEARCH("Cancelado",AC37)))</formula>
    </cfRule>
  </conditionalFormatting>
  <conditionalFormatting sqref="H38">
    <cfRule type="cellIs" dxfId="249" priority="190" operator="equal">
      <formula>"Tramitando"</formula>
    </cfRule>
    <cfRule type="cellIs" dxfId="248" priority="191" operator="equal">
      <formula>"Deferido"</formula>
    </cfRule>
    <cfRule type="cellIs" dxfId="247" priority="192" operator="equal">
      <formula>"Indeferido"</formula>
    </cfRule>
  </conditionalFormatting>
  <conditionalFormatting sqref="H38">
    <cfRule type="containsText" dxfId="246" priority="189" operator="containsText" text="Cancelado">
      <formula>NOT(ISERROR(SEARCH("Cancelado",H38)))</formula>
    </cfRule>
  </conditionalFormatting>
  <conditionalFormatting sqref="K38">
    <cfRule type="cellIs" dxfId="245" priority="186" operator="equal">
      <formula>"Tramitando"</formula>
    </cfRule>
    <cfRule type="cellIs" dxfId="244" priority="187" operator="equal">
      <formula>"Deferido"</formula>
    </cfRule>
    <cfRule type="cellIs" dxfId="243" priority="188" operator="equal">
      <formula>"Indeferido"</formula>
    </cfRule>
  </conditionalFormatting>
  <conditionalFormatting sqref="K38">
    <cfRule type="containsText" dxfId="242" priority="185" operator="containsText" text="Cancelado">
      <formula>NOT(ISERROR(SEARCH("Cancelado",K38)))</formula>
    </cfRule>
  </conditionalFormatting>
  <conditionalFormatting sqref="N38">
    <cfRule type="cellIs" dxfId="241" priority="182" operator="equal">
      <formula>"Tramitando"</formula>
    </cfRule>
    <cfRule type="cellIs" dxfId="240" priority="183" operator="equal">
      <formula>"Deferido"</formula>
    </cfRule>
    <cfRule type="cellIs" dxfId="239" priority="184" operator="equal">
      <formula>"Indeferido"</formula>
    </cfRule>
  </conditionalFormatting>
  <conditionalFormatting sqref="N38">
    <cfRule type="containsText" dxfId="238" priority="181" operator="containsText" text="Cancelado">
      <formula>NOT(ISERROR(SEARCH("Cancelado",N38)))</formula>
    </cfRule>
  </conditionalFormatting>
  <conditionalFormatting sqref="Q38">
    <cfRule type="cellIs" dxfId="237" priority="178" operator="equal">
      <formula>"Tramitando"</formula>
    </cfRule>
    <cfRule type="cellIs" dxfId="236" priority="179" operator="equal">
      <formula>"Deferido"</formula>
    </cfRule>
    <cfRule type="cellIs" dxfId="235" priority="180" operator="equal">
      <formula>"Indeferido"</formula>
    </cfRule>
  </conditionalFormatting>
  <conditionalFormatting sqref="Q38">
    <cfRule type="containsText" dxfId="234" priority="177" operator="containsText" text="Cancelado">
      <formula>NOT(ISERROR(SEARCH("Cancelado",Q38)))</formula>
    </cfRule>
  </conditionalFormatting>
  <conditionalFormatting sqref="T38">
    <cfRule type="cellIs" dxfId="233" priority="174" operator="equal">
      <formula>"Tramitando"</formula>
    </cfRule>
    <cfRule type="cellIs" dxfId="232" priority="175" operator="equal">
      <formula>"Deferido"</formula>
    </cfRule>
    <cfRule type="cellIs" dxfId="231" priority="176" operator="equal">
      <formula>"Indeferido"</formula>
    </cfRule>
  </conditionalFormatting>
  <conditionalFormatting sqref="T38">
    <cfRule type="containsText" dxfId="230" priority="173" operator="containsText" text="Cancelado">
      <formula>NOT(ISERROR(SEARCH("Cancelado",T38)))</formula>
    </cfRule>
  </conditionalFormatting>
  <conditionalFormatting sqref="W38">
    <cfRule type="cellIs" dxfId="229" priority="170" operator="equal">
      <formula>"Tramitando"</formula>
    </cfRule>
    <cfRule type="cellIs" dxfId="228" priority="171" operator="equal">
      <formula>"Deferido"</formula>
    </cfRule>
    <cfRule type="cellIs" dxfId="227" priority="172" operator="equal">
      <formula>"Indeferido"</formula>
    </cfRule>
  </conditionalFormatting>
  <conditionalFormatting sqref="W38">
    <cfRule type="containsText" dxfId="226" priority="169" operator="containsText" text="Cancelado">
      <formula>NOT(ISERROR(SEARCH("Cancelado",W38)))</formula>
    </cfRule>
  </conditionalFormatting>
  <conditionalFormatting sqref="Z38">
    <cfRule type="cellIs" dxfId="225" priority="166" operator="equal">
      <formula>"Tramitando"</formula>
    </cfRule>
    <cfRule type="cellIs" dxfId="224" priority="167" operator="equal">
      <formula>"Deferido"</formula>
    </cfRule>
    <cfRule type="cellIs" dxfId="223" priority="168" operator="equal">
      <formula>"Indeferido"</formula>
    </cfRule>
  </conditionalFormatting>
  <conditionalFormatting sqref="Z38">
    <cfRule type="containsText" dxfId="222" priority="165" operator="containsText" text="Cancelado">
      <formula>NOT(ISERROR(SEARCH("Cancelado",Z38)))</formula>
    </cfRule>
  </conditionalFormatting>
  <conditionalFormatting sqref="AC38">
    <cfRule type="cellIs" dxfId="221" priority="162" operator="equal">
      <formula>"Tramitando"</formula>
    </cfRule>
    <cfRule type="cellIs" dxfId="220" priority="163" operator="equal">
      <formula>"Deferido"</formula>
    </cfRule>
    <cfRule type="cellIs" dxfId="219" priority="164" operator="equal">
      <formula>"Indeferido"</formula>
    </cfRule>
  </conditionalFormatting>
  <conditionalFormatting sqref="AC38">
    <cfRule type="containsText" dxfId="218" priority="161" operator="containsText" text="Cancelado">
      <formula>NOT(ISERROR(SEARCH("Cancelado",AC38)))</formula>
    </cfRule>
  </conditionalFormatting>
  <conditionalFormatting sqref="H39">
    <cfRule type="cellIs" dxfId="217" priority="158" operator="equal">
      <formula>"Tramitando"</formula>
    </cfRule>
    <cfRule type="cellIs" dxfId="216" priority="159" operator="equal">
      <formula>"Deferido"</formula>
    </cfRule>
    <cfRule type="cellIs" dxfId="215" priority="160" operator="equal">
      <formula>"Indeferido"</formula>
    </cfRule>
  </conditionalFormatting>
  <conditionalFormatting sqref="H39">
    <cfRule type="containsText" dxfId="214" priority="157" operator="containsText" text="Cancelado">
      <formula>NOT(ISERROR(SEARCH("Cancelado",H39)))</formula>
    </cfRule>
  </conditionalFormatting>
  <conditionalFormatting sqref="K39">
    <cfRule type="cellIs" dxfId="213" priority="154" operator="equal">
      <formula>"Tramitando"</formula>
    </cfRule>
    <cfRule type="cellIs" dxfId="212" priority="155" operator="equal">
      <formula>"Deferido"</formula>
    </cfRule>
    <cfRule type="cellIs" dxfId="211" priority="156" operator="equal">
      <formula>"Indeferido"</formula>
    </cfRule>
  </conditionalFormatting>
  <conditionalFormatting sqref="K39">
    <cfRule type="containsText" dxfId="210" priority="153" operator="containsText" text="Cancelado">
      <formula>NOT(ISERROR(SEARCH("Cancelado",K39)))</formula>
    </cfRule>
  </conditionalFormatting>
  <conditionalFormatting sqref="N39">
    <cfRule type="cellIs" dxfId="209" priority="150" operator="equal">
      <formula>"Tramitando"</formula>
    </cfRule>
    <cfRule type="cellIs" dxfId="208" priority="151" operator="equal">
      <formula>"Deferido"</formula>
    </cfRule>
    <cfRule type="cellIs" dxfId="207" priority="152" operator="equal">
      <formula>"Indeferido"</formula>
    </cfRule>
  </conditionalFormatting>
  <conditionalFormatting sqref="N39">
    <cfRule type="containsText" dxfId="206" priority="149" operator="containsText" text="Cancelado">
      <formula>NOT(ISERROR(SEARCH("Cancelado",N39)))</formula>
    </cfRule>
  </conditionalFormatting>
  <conditionalFormatting sqref="Q39">
    <cfRule type="cellIs" dxfId="205" priority="146" operator="equal">
      <formula>"Tramitando"</formula>
    </cfRule>
    <cfRule type="cellIs" dxfId="204" priority="147" operator="equal">
      <formula>"Deferido"</formula>
    </cfRule>
    <cfRule type="cellIs" dxfId="203" priority="148" operator="equal">
      <formula>"Indeferido"</formula>
    </cfRule>
  </conditionalFormatting>
  <conditionalFormatting sqref="Q39">
    <cfRule type="containsText" dxfId="202" priority="145" operator="containsText" text="Cancelado">
      <formula>NOT(ISERROR(SEARCH("Cancelado",Q39)))</formula>
    </cfRule>
  </conditionalFormatting>
  <conditionalFormatting sqref="T39">
    <cfRule type="cellIs" dxfId="201" priority="142" operator="equal">
      <formula>"Tramitando"</formula>
    </cfRule>
    <cfRule type="cellIs" dxfId="200" priority="143" operator="equal">
      <formula>"Deferido"</formula>
    </cfRule>
    <cfRule type="cellIs" dxfId="199" priority="144" operator="equal">
      <formula>"Indeferido"</formula>
    </cfRule>
  </conditionalFormatting>
  <conditionalFormatting sqref="T39">
    <cfRule type="containsText" dxfId="198" priority="141" operator="containsText" text="Cancelado">
      <formula>NOT(ISERROR(SEARCH("Cancelado",T39)))</formula>
    </cfRule>
  </conditionalFormatting>
  <conditionalFormatting sqref="W39">
    <cfRule type="cellIs" dxfId="197" priority="138" operator="equal">
      <formula>"Tramitando"</formula>
    </cfRule>
    <cfRule type="cellIs" dxfId="196" priority="139" operator="equal">
      <formula>"Deferido"</formula>
    </cfRule>
    <cfRule type="cellIs" dxfId="195" priority="140" operator="equal">
      <formula>"Indeferido"</formula>
    </cfRule>
  </conditionalFormatting>
  <conditionalFormatting sqref="W39">
    <cfRule type="containsText" dxfId="194" priority="137" operator="containsText" text="Cancelado">
      <formula>NOT(ISERROR(SEARCH("Cancelado",W39)))</formula>
    </cfRule>
  </conditionalFormatting>
  <conditionalFormatting sqref="Z39">
    <cfRule type="cellIs" dxfId="193" priority="134" operator="equal">
      <formula>"Tramitando"</formula>
    </cfRule>
    <cfRule type="cellIs" dxfId="192" priority="135" operator="equal">
      <formula>"Deferido"</formula>
    </cfRule>
    <cfRule type="cellIs" dxfId="191" priority="136" operator="equal">
      <formula>"Indeferido"</formula>
    </cfRule>
  </conditionalFormatting>
  <conditionalFormatting sqref="Z39">
    <cfRule type="containsText" dxfId="190" priority="133" operator="containsText" text="Cancelado">
      <formula>NOT(ISERROR(SEARCH("Cancelado",Z39)))</formula>
    </cfRule>
  </conditionalFormatting>
  <conditionalFormatting sqref="AC39">
    <cfRule type="cellIs" dxfId="189" priority="130" operator="equal">
      <formula>"Tramitando"</formula>
    </cfRule>
    <cfRule type="cellIs" dxfId="188" priority="131" operator="equal">
      <formula>"Deferido"</formula>
    </cfRule>
    <cfRule type="cellIs" dxfId="187" priority="132" operator="equal">
      <formula>"Indeferido"</formula>
    </cfRule>
  </conditionalFormatting>
  <conditionalFormatting sqref="AC39">
    <cfRule type="containsText" dxfId="186" priority="129" operator="containsText" text="Cancelado">
      <formula>NOT(ISERROR(SEARCH("Cancelado",AC39)))</formula>
    </cfRule>
  </conditionalFormatting>
  <conditionalFormatting sqref="H40">
    <cfRule type="cellIs" dxfId="185" priority="126" operator="equal">
      <formula>"Tramitando"</formula>
    </cfRule>
    <cfRule type="cellIs" dxfId="184" priority="127" operator="equal">
      <formula>"Deferido"</formula>
    </cfRule>
    <cfRule type="cellIs" dxfId="183" priority="128" operator="equal">
      <formula>"Indeferido"</formula>
    </cfRule>
  </conditionalFormatting>
  <conditionalFormatting sqref="H40">
    <cfRule type="containsText" dxfId="182" priority="125" operator="containsText" text="Cancelado">
      <formula>NOT(ISERROR(SEARCH("Cancelado",H40)))</formula>
    </cfRule>
  </conditionalFormatting>
  <conditionalFormatting sqref="K40">
    <cfRule type="cellIs" dxfId="181" priority="122" operator="equal">
      <formula>"Tramitando"</formula>
    </cfRule>
    <cfRule type="cellIs" dxfId="180" priority="123" operator="equal">
      <formula>"Deferido"</formula>
    </cfRule>
    <cfRule type="cellIs" dxfId="179" priority="124" operator="equal">
      <formula>"Indeferido"</formula>
    </cfRule>
  </conditionalFormatting>
  <conditionalFormatting sqref="K40">
    <cfRule type="containsText" dxfId="178" priority="121" operator="containsText" text="Cancelado">
      <formula>NOT(ISERROR(SEARCH("Cancelado",K40)))</formula>
    </cfRule>
  </conditionalFormatting>
  <conditionalFormatting sqref="N40">
    <cfRule type="cellIs" dxfId="177" priority="118" operator="equal">
      <formula>"Tramitando"</formula>
    </cfRule>
    <cfRule type="cellIs" dxfId="176" priority="119" operator="equal">
      <formula>"Deferido"</formula>
    </cfRule>
    <cfRule type="cellIs" dxfId="175" priority="120" operator="equal">
      <formula>"Indeferido"</formula>
    </cfRule>
  </conditionalFormatting>
  <conditionalFormatting sqref="N40">
    <cfRule type="containsText" dxfId="174" priority="117" operator="containsText" text="Cancelado">
      <formula>NOT(ISERROR(SEARCH("Cancelado",N40)))</formula>
    </cfRule>
  </conditionalFormatting>
  <conditionalFormatting sqref="Q40">
    <cfRule type="cellIs" dxfId="173" priority="114" operator="equal">
      <formula>"Tramitando"</formula>
    </cfRule>
    <cfRule type="cellIs" dxfId="172" priority="115" operator="equal">
      <formula>"Deferido"</formula>
    </cfRule>
    <cfRule type="cellIs" dxfId="171" priority="116" operator="equal">
      <formula>"Indeferido"</formula>
    </cfRule>
  </conditionalFormatting>
  <conditionalFormatting sqref="Q40">
    <cfRule type="containsText" dxfId="170" priority="113" operator="containsText" text="Cancelado">
      <formula>NOT(ISERROR(SEARCH("Cancelado",Q40)))</formula>
    </cfRule>
  </conditionalFormatting>
  <conditionalFormatting sqref="T40">
    <cfRule type="cellIs" dxfId="169" priority="110" operator="equal">
      <formula>"Tramitando"</formula>
    </cfRule>
    <cfRule type="cellIs" dxfId="168" priority="111" operator="equal">
      <formula>"Deferido"</formula>
    </cfRule>
    <cfRule type="cellIs" dxfId="167" priority="112" operator="equal">
      <formula>"Indeferido"</formula>
    </cfRule>
  </conditionalFormatting>
  <conditionalFormatting sqref="T40">
    <cfRule type="containsText" dxfId="166" priority="109" operator="containsText" text="Cancelado">
      <formula>NOT(ISERROR(SEARCH("Cancelado",T40)))</formula>
    </cfRule>
  </conditionalFormatting>
  <conditionalFormatting sqref="W40">
    <cfRule type="cellIs" dxfId="165" priority="106" operator="equal">
      <formula>"Tramitando"</formula>
    </cfRule>
    <cfRule type="cellIs" dxfId="164" priority="107" operator="equal">
      <formula>"Deferido"</formula>
    </cfRule>
    <cfRule type="cellIs" dxfId="163" priority="108" operator="equal">
      <formula>"Indeferido"</formula>
    </cfRule>
  </conditionalFormatting>
  <conditionalFormatting sqref="W40">
    <cfRule type="containsText" dxfId="162" priority="105" operator="containsText" text="Cancelado">
      <formula>NOT(ISERROR(SEARCH("Cancelado",W40)))</formula>
    </cfRule>
  </conditionalFormatting>
  <conditionalFormatting sqref="Z40">
    <cfRule type="cellIs" dxfId="161" priority="102" operator="equal">
      <formula>"Tramitando"</formula>
    </cfRule>
    <cfRule type="cellIs" dxfId="160" priority="103" operator="equal">
      <formula>"Deferido"</formula>
    </cfRule>
    <cfRule type="cellIs" dxfId="159" priority="104" operator="equal">
      <formula>"Indeferido"</formula>
    </cfRule>
  </conditionalFormatting>
  <conditionalFormatting sqref="Z40">
    <cfRule type="containsText" dxfId="158" priority="101" operator="containsText" text="Cancelado">
      <formula>NOT(ISERROR(SEARCH("Cancelado",Z40)))</formula>
    </cfRule>
  </conditionalFormatting>
  <conditionalFormatting sqref="AC40">
    <cfRule type="cellIs" dxfId="157" priority="98" operator="equal">
      <formula>"Tramitando"</formula>
    </cfRule>
    <cfRule type="cellIs" dxfId="156" priority="99" operator="equal">
      <formula>"Deferido"</formula>
    </cfRule>
    <cfRule type="cellIs" dxfId="155" priority="100" operator="equal">
      <formula>"Indeferido"</formula>
    </cfRule>
  </conditionalFormatting>
  <conditionalFormatting sqref="AC40">
    <cfRule type="containsText" dxfId="154" priority="97" operator="containsText" text="Cancelado">
      <formula>NOT(ISERROR(SEARCH("Cancelado",AC40)))</formula>
    </cfRule>
  </conditionalFormatting>
  <conditionalFormatting sqref="H41">
    <cfRule type="cellIs" dxfId="153" priority="94" operator="equal">
      <formula>"Tramitando"</formula>
    </cfRule>
    <cfRule type="cellIs" dxfId="152" priority="95" operator="equal">
      <formula>"Deferido"</formula>
    </cfRule>
    <cfRule type="cellIs" dxfId="151" priority="96" operator="equal">
      <formula>"Indeferido"</formula>
    </cfRule>
  </conditionalFormatting>
  <conditionalFormatting sqref="H41">
    <cfRule type="containsText" dxfId="150" priority="93" operator="containsText" text="Cancelado">
      <formula>NOT(ISERROR(SEARCH("Cancelado",H41)))</formula>
    </cfRule>
  </conditionalFormatting>
  <conditionalFormatting sqref="K41">
    <cfRule type="cellIs" dxfId="149" priority="90" operator="equal">
      <formula>"Tramitando"</formula>
    </cfRule>
    <cfRule type="cellIs" dxfId="148" priority="91" operator="equal">
      <formula>"Deferido"</formula>
    </cfRule>
    <cfRule type="cellIs" dxfId="147" priority="92" operator="equal">
      <formula>"Indeferido"</formula>
    </cfRule>
  </conditionalFormatting>
  <conditionalFormatting sqref="K41">
    <cfRule type="containsText" dxfId="146" priority="89" operator="containsText" text="Cancelado">
      <formula>NOT(ISERROR(SEARCH("Cancelado",K41)))</formula>
    </cfRule>
  </conditionalFormatting>
  <conditionalFormatting sqref="N41">
    <cfRule type="cellIs" dxfId="145" priority="86" operator="equal">
      <formula>"Tramitando"</formula>
    </cfRule>
    <cfRule type="cellIs" dxfId="144" priority="87" operator="equal">
      <formula>"Deferido"</formula>
    </cfRule>
    <cfRule type="cellIs" dxfId="143" priority="88" operator="equal">
      <formula>"Indeferido"</formula>
    </cfRule>
  </conditionalFormatting>
  <conditionalFormatting sqref="N41">
    <cfRule type="containsText" dxfId="142" priority="85" operator="containsText" text="Cancelado">
      <formula>NOT(ISERROR(SEARCH("Cancelado",N41)))</formula>
    </cfRule>
  </conditionalFormatting>
  <conditionalFormatting sqref="Q41">
    <cfRule type="cellIs" dxfId="141" priority="82" operator="equal">
      <formula>"Tramitando"</formula>
    </cfRule>
    <cfRule type="cellIs" dxfId="140" priority="83" operator="equal">
      <formula>"Deferido"</formula>
    </cfRule>
    <cfRule type="cellIs" dxfId="139" priority="84" operator="equal">
      <formula>"Indeferido"</formula>
    </cfRule>
  </conditionalFormatting>
  <conditionalFormatting sqref="Q41">
    <cfRule type="containsText" dxfId="138" priority="81" operator="containsText" text="Cancelado">
      <formula>NOT(ISERROR(SEARCH("Cancelado",Q41)))</formula>
    </cfRule>
  </conditionalFormatting>
  <conditionalFormatting sqref="T41">
    <cfRule type="cellIs" dxfId="137" priority="78" operator="equal">
      <formula>"Tramitando"</formula>
    </cfRule>
    <cfRule type="cellIs" dxfId="136" priority="79" operator="equal">
      <formula>"Deferido"</formula>
    </cfRule>
    <cfRule type="cellIs" dxfId="135" priority="80" operator="equal">
      <formula>"Indeferido"</formula>
    </cfRule>
  </conditionalFormatting>
  <conditionalFormatting sqref="T41">
    <cfRule type="containsText" dxfId="134" priority="77" operator="containsText" text="Cancelado">
      <formula>NOT(ISERROR(SEARCH("Cancelado",T41)))</formula>
    </cfRule>
  </conditionalFormatting>
  <conditionalFormatting sqref="W41">
    <cfRule type="cellIs" dxfId="133" priority="74" operator="equal">
      <formula>"Tramitando"</formula>
    </cfRule>
    <cfRule type="cellIs" dxfId="132" priority="75" operator="equal">
      <formula>"Deferido"</formula>
    </cfRule>
    <cfRule type="cellIs" dxfId="131" priority="76" operator="equal">
      <formula>"Indeferido"</formula>
    </cfRule>
  </conditionalFormatting>
  <conditionalFormatting sqref="W41">
    <cfRule type="containsText" dxfId="130" priority="73" operator="containsText" text="Cancelado">
      <formula>NOT(ISERROR(SEARCH("Cancelado",W41)))</formula>
    </cfRule>
  </conditionalFormatting>
  <conditionalFormatting sqref="Z41">
    <cfRule type="cellIs" dxfId="129" priority="70" operator="equal">
      <formula>"Tramitando"</formula>
    </cfRule>
    <cfRule type="cellIs" dxfId="128" priority="71" operator="equal">
      <formula>"Deferido"</formula>
    </cfRule>
    <cfRule type="cellIs" dxfId="127" priority="72" operator="equal">
      <formula>"Indeferido"</formula>
    </cfRule>
  </conditionalFormatting>
  <conditionalFormatting sqref="Z41">
    <cfRule type="containsText" dxfId="126" priority="69" operator="containsText" text="Cancelado">
      <formula>NOT(ISERROR(SEARCH("Cancelado",Z41)))</formula>
    </cfRule>
  </conditionalFormatting>
  <conditionalFormatting sqref="AC41">
    <cfRule type="cellIs" dxfId="125" priority="66" operator="equal">
      <formula>"Tramitando"</formula>
    </cfRule>
    <cfRule type="cellIs" dxfId="124" priority="67" operator="equal">
      <formula>"Deferido"</formula>
    </cfRule>
    <cfRule type="cellIs" dxfId="123" priority="68" operator="equal">
      <formula>"Indeferido"</formula>
    </cfRule>
  </conditionalFormatting>
  <conditionalFormatting sqref="AC41">
    <cfRule type="containsText" dxfId="122" priority="65" operator="containsText" text="Cancelado">
      <formula>NOT(ISERROR(SEARCH("Cancelado",AC41)))</formula>
    </cfRule>
  </conditionalFormatting>
  <conditionalFormatting sqref="H42">
    <cfRule type="cellIs" dxfId="121" priority="62" operator="equal">
      <formula>"Tramitando"</formula>
    </cfRule>
    <cfRule type="cellIs" dxfId="120" priority="63" operator="equal">
      <formula>"Deferido"</formula>
    </cfRule>
    <cfRule type="cellIs" dxfId="119" priority="64" operator="equal">
      <formula>"Indeferido"</formula>
    </cfRule>
  </conditionalFormatting>
  <conditionalFormatting sqref="H42">
    <cfRule type="containsText" dxfId="118" priority="61" operator="containsText" text="Cancelado">
      <formula>NOT(ISERROR(SEARCH("Cancelado",H42)))</formula>
    </cfRule>
  </conditionalFormatting>
  <conditionalFormatting sqref="K42">
    <cfRule type="cellIs" dxfId="117" priority="58" operator="equal">
      <formula>"Tramitando"</formula>
    </cfRule>
    <cfRule type="cellIs" dxfId="116" priority="59" operator="equal">
      <formula>"Deferido"</formula>
    </cfRule>
    <cfRule type="cellIs" dxfId="115" priority="60" operator="equal">
      <formula>"Indeferido"</formula>
    </cfRule>
  </conditionalFormatting>
  <conditionalFormatting sqref="K42">
    <cfRule type="containsText" dxfId="114" priority="57" operator="containsText" text="Cancelado">
      <formula>NOT(ISERROR(SEARCH("Cancelado",K42)))</formula>
    </cfRule>
  </conditionalFormatting>
  <conditionalFormatting sqref="N42">
    <cfRule type="cellIs" dxfId="113" priority="54" operator="equal">
      <formula>"Tramitando"</formula>
    </cfRule>
    <cfRule type="cellIs" dxfId="112" priority="55" operator="equal">
      <formula>"Deferido"</formula>
    </cfRule>
    <cfRule type="cellIs" dxfId="111" priority="56" operator="equal">
      <formula>"Indeferido"</formula>
    </cfRule>
  </conditionalFormatting>
  <conditionalFormatting sqref="N42">
    <cfRule type="containsText" dxfId="110" priority="53" operator="containsText" text="Cancelado">
      <formula>NOT(ISERROR(SEARCH("Cancelado",N42)))</formula>
    </cfRule>
  </conditionalFormatting>
  <conditionalFormatting sqref="Q42">
    <cfRule type="cellIs" dxfId="109" priority="50" operator="equal">
      <formula>"Tramitando"</formula>
    </cfRule>
    <cfRule type="cellIs" dxfId="108" priority="51" operator="equal">
      <formula>"Deferido"</formula>
    </cfRule>
    <cfRule type="cellIs" dxfId="107" priority="52" operator="equal">
      <formula>"Indeferido"</formula>
    </cfRule>
  </conditionalFormatting>
  <conditionalFormatting sqref="Q42">
    <cfRule type="containsText" dxfId="106" priority="49" operator="containsText" text="Cancelado">
      <formula>NOT(ISERROR(SEARCH("Cancelado",Q42)))</formula>
    </cfRule>
  </conditionalFormatting>
  <conditionalFormatting sqref="T42">
    <cfRule type="cellIs" dxfId="105" priority="46" operator="equal">
      <formula>"Tramitando"</formula>
    </cfRule>
    <cfRule type="cellIs" dxfId="104" priority="47" operator="equal">
      <formula>"Deferido"</formula>
    </cfRule>
    <cfRule type="cellIs" dxfId="103" priority="48" operator="equal">
      <formula>"Indeferido"</formula>
    </cfRule>
  </conditionalFormatting>
  <conditionalFormatting sqref="T42">
    <cfRule type="containsText" dxfId="102" priority="45" operator="containsText" text="Cancelado">
      <formula>NOT(ISERROR(SEARCH("Cancelado",T42)))</formula>
    </cfRule>
  </conditionalFormatting>
  <conditionalFormatting sqref="W42">
    <cfRule type="cellIs" dxfId="101" priority="42" operator="equal">
      <formula>"Tramitando"</formula>
    </cfRule>
    <cfRule type="cellIs" dxfId="100" priority="43" operator="equal">
      <formula>"Deferido"</formula>
    </cfRule>
    <cfRule type="cellIs" dxfId="99" priority="44" operator="equal">
      <formula>"Indeferido"</formula>
    </cfRule>
  </conditionalFormatting>
  <conditionalFormatting sqref="W42">
    <cfRule type="containsText" dxfId="98" priority="41" operator="containsText" text="Cancelado">
      <formula>NOT(ISERROR(SEARCH("Cancelado",W42)))</formula>
    </cfRule>
  </conditionalFormatting>
  <conditionalFormatting sqref="Z42">
    <cfRule type="cellIs" dxfId="97" priority="38" operator="equal">
      <formula>"Tramitando"</formula>
    </cfRule>
    <cfRule type="cellIs" dxfId="96" priority="39" operator="equal">
      <formula>"Deferido"</formula>
    </cfRule>
    <cfRule type="cellIs" dxfId="95" priority="40" operator="equal">
      <formula>"Indeferido"</formula>
    </cfRule>
  </conditionalFormatting>
  <conditionalFormatting sqref="Z42">
    <cfRule type="containsText" dxfId="94" priority="37" operator="containsText" text="Cancelado">
      <formula>NOT(ISERROR(SEARCH("Cancelado",Z42)))</formula>
    </cfRule>
  </conditionalFormatting>
  <conditionalFormatting sqref="AC42">
    <cfRule type="cellIs" dxfId="93" priority="34" operator="equal">
      <formula>"Tramitando"</formula>
    </cfRule>
    <cfRule type="cellIs" dxfId="92" priority="35" operator="equal">
      <formula>"Deferido"</formula>
    </cfRule>
    <cfRule type="cellIs" dxfId="91" priority="36" operator="equal">
      <formula>"Indeferido"</formula>
    </cfRule>
  </conditionalFormatting>
  <conditionalFormatting sqref="AC42">
    <cfRule type="containsText" dxfId="90" priority="33" operator="containsText" text="Cancelado">
      <formula>NOT(ISERROR(SEARCH("Cancelado",AC42)))</formula>
    </cfRule>
  </conditionalFormatting>
  <conditionalFormatting sqref="H43">
    <cfRule type="cellIs" dxfId="89" priority="30" operator="equal">
      <formula>"Tramitando"</formula>
    </cfRule>
    <cfRule type="cellIs" dxfId="88" priority="31" operator="equal">
      <formula>"Deferido"</formula>
    </cfRule>
    <cfRule type="cellIs" dxfId="87" priority="32" operator="equal">
      <formula>"Indeferido"</formula>
    </cfRule>
  </conditionalFormatting>
  <conditionalFormatting sqref="H43">
    <cfRule type="containsText" dxfId="86" priority="29" operator="containsText" text="Cancelado">
      <formula>NOT(ISERROR(SEARCH("Cancelado",H43)))</formula>
    </cfRule>
  </conditionalFormatting>
  <conditionalFormatting sqref="K43">
    <cfRule type="cellIs" dxfId="85" priority="26" operator="equal">
      <formula>"Tramitando"</formula>
    </cfRule>
    <cfRule type="cellIs" dxfId="84" priority="27" operator="equal">
      <formula>"Deferido"</formula>
    </cfRule>
    <cfRule type="cellIs" dxfId="83" priority="28" operator="equal">
      <formula>"Indeferido"</formula>
    </cfRule>
  </conditionalFormatting>
  <conditionalFormatting sqref="K43">
    <cfRule type="containsText" dxfId="82" priority="25" operator="containsText" text="Cancelado">
      <formula>NOT(ISERROR(SEARCH("Cancelado",K43)))</formula>
    </cfRule>
  </conditionalFormatting>
  <conditionalFormatting sqref="N43">
    <cfRule type="cellIs" dxfId="81" priority="22" operator="equal">
      <formula>"Tramitando"</formula>
    </cfRule>
    <cfRule type="cellIs" dxfId="80" priority="23" operator="equal">
      <formula>"Deferido"</formula>
    </cfRule>
    <cfRule type="cellIs" dxfId="79" priority="24" operator="equal">
      <formula>"Indeferido"</formula>
    </cfRule>
  </conditionalFormatting>
  <conditionalFormatting sqref="N43">
    <cfRule type="containsText" dxfId="78" priority="21" operator="containsText" text="Cancelado">
      <formula>NOT(ISERROR(SEARCH("Cancelado",N43)))</formula>
    </cfRule>
  </conditionalFormatting>
  <conditionalFormatting sqref="Q43">
    <cfRule type="cellIs" dxfId="77" priority="18" operator="equal">
      <formula>"Tramitando"</formula>
    </cfRule>
    <cfRule type="cellIs" dxfId="76" priority="19" operator="equal">
      <formula>"Deferido"</formula>
    </cfRule>
    <cfRule type="cellIs" dxfId="75" priority="20" operator="equal">
      <formula>"Indeferido"</formula>
    </cfRule>
  </conditionalFormatting>
  <conditionalFormatting sqref="Q43">
    <cfRule type="containsText" dxfId="74" priority="17" operator="containsText" text="Cancelado">
      <formula>NOT(ISERROR(SEARCH("Cancelado",Q43)))</formula>
    </cfRule>
  </conditionalFormatting>
  <conditionalFormatting sqref="T43">
    <cfRule type="cellIs" dxfId="73" priority="14" operator="equal">
      <formula>"Tramitando"</formula>
    </cfRule>
    <cfRule type="cellIs" dxfId="72" priority="15" operator="equal">
      <formula>"Deferido"</formula>
    </cfRule>
    <cfRule type="cellIs" dxfId="71" priority="16" operator="equal">
      <formula>"Indeferido"</formula>
    </cfRule>
  </conditionalFormatting>
  <conditionalFormatting sqref="T43">
    <cfRule type="containsText" dxfId="70" priority="13" operator="containsText" text="Cancelado">
      <formula>NOT(ISERROR(SEARCH("Cancelado",T43)))</formula>
    </cfRule>
  </conditionalFormatting>
  <conditionalFormatting sqref="W43">
    <cfRule type="cellIs" dxfId="69" priority="10" operator="equal">
      <formula>"Tramitando"</formula>
    </cfRule>
    <cfRule type="cellIs" dxfId="68" priority="11" operator="equal">
      <formula>"Deferido"</formula>
    </cfRule>
    <cfRule type="cellIs" dxfId="67" priority="12" operator="equal">
      <formula>"Indeferido"</formula>
    </cfRule>
  </conditionalFormatting>
  <conditionalFormatting sqref="W43">
    <cfRule type="containsText" dxfId="66" priority="9" operator="containsText" text="Cancelado">
      <formula>NOT(ISERROR(SEARCH("Cancelado",W43)))</formula>
    </cfRule>
  </conditionalFormatting>
  <conditionalFormatting sqref="Z43">
    <cfRule type="cellIs" dxfId="65" priority="6" operator="equal">
      <formula>"Tramitando"</formula>
    </cfRule>
    <cfRule type="cellIs" dxfId="64" priority="7" operator="equal">
      <formula>"Deferido"</formula>
    </cfRule>
    <cfRule type="cellIs" dxfId="63" priority="8" operator="equal">
      <formula>"Indeferido"</formula>
    </cfRule>
  </conditionalFormatting>
  <conditionalFormatting sqref="Z43">
    <cfRule type="containsText" dxfId="62" priority="5" operator="containsText" text="Cancelado">
      <formula>NOT(ISERROR(SEARCH("Cancelado",Z43)))</formula>
    </cfRule>
  </conditionalFormatting>
  <conditionalFormatting sqref="AC43">
    <cfRule type="cellIs" dxfId="61" priority="2" operator="equal">
      <formula>"Tramitando"</formula>
    </cfRule>
    <cfRule type="cellIs" dxfId="60" priority="3" operator="equal">
      <formula>"Deferido"</formula>
    </cfRule>
    <cfRule type="cellIs" dxfId="59" priority="4" operator="equal">
      <formula>"Indeferido"</formula>
    </cfRule>
  </conditionalFormatting>
  <conditionalFormatting sqref="AC43">
    <cfRule type="containsText" dxfId="58" priority="1" operator="containsText" text="Cancelado">
      <formula>NOT(ISERROR(SEARCH("Cancelado",AC43)))</formula>
    </cfRule>
  </conditionalFormatting>
  <dataValidations count="4">
    <dataValidation type="list" allowBlank="1" showInputMessage="1" showErrorMessage="1" sqref="I44:I1048576 R44:R1048576 U44:U1048576 X44:X1048576 AA44:AA1048576 AD44:AD1048576 L44:L1048576 O44:O1048576">
      <formula1>Atendente</formula1>
    </dataValidation>
    <dataValidation type="list" allowBlank="1" showInputMessage="1" showErrorMessage="1" sqref="B44:D1048576">
      <formula1>Cliente</formula1>
    </dataValidation>
    <dataValidation type="list" allowBlank="1" showInputMessage="1" showErrorMessage="1" sqref="E4:E1048576">
      <formula1>Motivo</formula1>
    </dataValidation>
    <dataValidation type="list" allowBlank="1" showInputMessage="1" showErrorMessage="1" sqref="H4:H1048576 K4:K1048576 N4:N1048576 Q4:Q1048576 T4:T1048576 W4:W1048576 Z4:Z1048576 AC4:AC1048576">
      <formula1>Situacao</formula1>
    </dataValidation>
  </dataValidations>
  <hyperlinks>
    <hyperlink ref="B2" location="Anexos!A1" display="Anexos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Clientes!$A$3:$A$48</xm:f>
          </x14:formula1>
          <xm:sqref>I4:I43 O4:O43 L4:L43 R4:R43 U4:U43 X4:X43 AA4:AA43 AD4:AD43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Y1213"/>
  <sheetViews>
    <sheetView topLeftCell="B1" workbookViewId="0">
      <pane xSplit="3" ySplit="4" topLeftCell="E11" activePane="bottomRight" state="frozen"/>
      <selection activeCell="B1" sqref="B1"/>
      <selection pane="topRight" activeCell="E1" sqref="E1"/>
      <selection pane="bottomLeft" activeCell="B5" sqref="B5"/>
      <selection pane="bottomRight" activeCell="F7" sqref="F7"/>
    </sheetView>
  </sheetViews>
  <sheetFormatPr defaultRowHeight="15.75" x14ac:dyDescent="0.25"/>
  <cols>
    <col min="1" max="1" width="12.375" hidden="1" customWidth="1"/>
    <col min="2" max="2" width="20.25" style="18" customWidth="1"/>
    <col min="3" max="3" width="28.25" style="53" customWidth="1"/>
    <col min="4" max="4" width="54" style="23" customWidth="1"/>
    <col min="5" max="5" width="23.5" customWidth="1"/>
    <col min="6" max="6" width="19.75" style="31" customWidth="1"/>
    <col min="7" max="7" width="40.625" style="25" customWidth="1"/>
    <col min="8" max="8" width="19.75" style="31" customWidth="1"/>
    <col min="9" max="9" width="19.75" style="61" customWidth="1"/>
    <col min="10" max="10" width="40.375" style="23" bestFit="1" customWidth="1"/>
    <col min="11" max="11" width="40.625" style="25" customWidth="1"/>
    <col min="12" max="12" width="19.75" style="31" customWidth="1"/>
    <col min="13" max="13" width="19.75" style="61" customWidth="1"/>
    <col min="14" max="14" width="40.375" style="23" bestFit="1" customWidth="1"/>
    <col min="15" max="15" width="40.625" style="25" customWidth="1"/>
    <col min="16" max="16" width="19.75" style="31" customWidth="1"/>
    <col min="17" max="17" width="19.75" style="61" customWidth="1"/>
    <col min="18" max="18" width="40.375" style="23" bestFit="1" customWidth="1"/>
    <col min="19" max="19" width="40.625" style="25" customWidth="1"/>
    <col min="20" max="20" width="19.75" style="31" customWidth="1"/>
    <col min="21" max="21" width="19.75" style="61" customWidth="1"/>
    <col min="22" max="22" width="40.375" style="23" bestFit="1" customWidth="1"/>
    <col min="23" max="23" width="19.75" style="31" customWidth="1"/>
    <col min="24" max="24" width="49.875" style="25" customWidth="1"/>
    <col min="25" max="25" width="47.375" style="16" customWidth="1"/>
    <col min="26" max="26" width="14.625" bestFit="1" customWidth="1"/>
  </cols>
  <sheetData>
    <row r="1" spans="1:25" s="38" customFormat="1" ht="37.5" customHeight="1" x14ac:dyDescent="0.25">
      <c r="B1" s="39"/>
      <c r="C1" s="81" t="s">
        <v>213</v>
      </c>
      <c r="D1" s="81"/>
      <c r="E1" s="40"/>
      <c r="F1" s="41"/>
      <c r="G1" s="40"/>
      <c r="H1" s="41"/>
      <c r="I1" s="57"/>
      <c r="J1" s="40"/>
      <c r="K1" s="40"/>
      <c r="L1" s="41"/>
      <c r="M1" s="57"/>
      <c r="N1" s="40"/>
      <c r="O1" s="40"/>
      <c r="P1" s="41"/>
      <c r="Q1" s="57"/>
      <c r="R1" s="40"/>
      <c r="S1" s="40"/>
      <c r="T1" s="41"/>
      <c r="U1" s="57"/>
      <c r="V1" s="40"/>
      <c r="W1" s="41">
        <f ca="1">NOW()</f>
        <v>42376.442328124998</v>
      </c>
      <c r="X1" s="40"/>
      <c r="Y1" s="43"/>
    </row>
    <row r="2" spans="1:25" s="38" customFormat="1" ht="16.5" thickBot="1" x14ac:dyDescent="0.3">
      <c r="B2" s="44" t="s">
        <v>46</v>
      </c>
      <c r="C2" s="69"/>
      <c r="D2" s="45"/>
      <c r="F2" s="46" t="s">
        <v>49</v>
      </c>
      <c r="G2" s="47"/>
      <c r="H2" s="46" t="s">
        <v>49</v>
      </c>
      <c r="I2" s="58" t="s">
        <v>49</v>
      </c>
      <c r="J2" s="42"/>
      <c r="K2" s="47"/>
      <c r="L2" s="46" t="s">
        <v>49</v>
      </c>
      <c r="M2" s="58" t="s">
        <v>49</v>
      </c>
      <c r="N2" s="42"/>
      <c r="O2" s="47"/>
      <c r="P2" s="46" t="s">
        <v>49</v>
      </c>
      <c r="Q2" s="58" t="s">
        <v>49</v>
      </c>
      <c r="R2" s="42"/>
      <c r="S2" s="47"/>
      <c r="T2" s="46" t="s">
        <v>49</v>
      </c>
      <c r="U2" s="58" t="s">
        <v>49</v>
      </c>
      <c r="V2" s="42"/>
      <c r="W2" s="46" t="s">
        <v>49</v>
      </c>
      <c r="X2" s="47"/>
      <c r="Y2" s="48"/>
    </row>
    <row r="3" spans="1:25" ht="36.75" customHeight="1" x14ac:dyDescent="0.25">
      <c r="A3" s="3" t="s">
        <v>5</v>
      </c>
      <c r="B3" s="3" t="s">
        <v>51</v>
      </c>
      <c r="C3" s="51" t="s">
        <v>52</v>
      </c>
      <c r="D3" s="3" t="s">
        <v>50</v>
      </c>
      <c r="E3" s="3" t="s">
        <v>53</v>
      </c>
      <c r="F3" s="32" t="s">
        <v>55</v>
      </c>
      <c r="G3" s="5" t="s">
        <v>119</v>
      </c>
      <c r="H3" s="32" t="s">
        <v>120</v>
      </c>
      <c r="I3" s="59" t="s">
        <v>121</v>
      </c>
      <c r="J3" s="6" t="s">
        <v>96</v>
      </c>
      <c r="K3" s="5" t="s">
        <v>122</v>
      </c>
      <c r="L3" s="32" t="s">
        <v>123</v>
      </c>
      <c r="M3" s="59" t="s">
        <v>124</v>
      </c>
      <c r="N3" s="6" t="s">
        <v>99</v>
      </c>
      <c r="O3" s="5" t="s">
        <v>125</v>
      </c>
      <c r="P3" s="32" t="s">
        <v>126</v>
      </c>
      <c r="Q3" s="59" t="s">
        <v>127</v>
      </c>
      <c r="R3" s="6" t="s">
        <v>102</v>
      </c>
      <c r="S3" s="5" t="s">
        <v>128</v>
      </c>
      <c r="T3" s="32" t="s">
        <v>129</v>
      </c>
      <c r="U3" s="59" t="s">
        <v>130</v>
      </c>
      <c r="V3" s="6" t="s">
        <v>105</v>
      </c>
      <c r="W3" s="32" t="s">
        <v>79</v>
      </c>
      <c r="X3" s="5" t="s">
        <v>48</v>
      </c>
      <c r="Y3" s="30" t="s">
        <v>0</v>
      </c>
    </row>
    <row r="4" spans="1:25" hidden="1" x14ac:dyDescent="0.25">
      <c r="A4" s="2" t="str">
        <f>IFERROR(VLOOKUP(B4,Clientes!A:B,2,0),"")</f>
        <v/>
      </c>
      <c r="B4" s="20" t="e">
        <f>B3+1</f>
        <v>#VALUE!</v>
      </c>
      <c r="C4" s="52"/>
      <c r="D4" s="22"/>
      <c r="E4" s="2"/>
      <c r="F4" s="37"/>
      <c r="G4" s="26"/>
      <c r="H4" s="37"/>
      <c r="I4" s="62"/>
      <c r="J4" s="20" t="s">
        <v>84</v>
      </c>
      <c r="K4" s="26"/>
      <c r="L4" s="37"/>
      <c r="M4" s="62"/>
      <c r="N4" s="20" t="s">
        <v>84</v>
      </c>
      <c r="O4" s="26"/>
      <c r="P4" s="37"/>
      <c r="Q4" s="62"/>
      <c r="R4" s="20" t="s">
        <v>84</v>
      </c>
      <c r="S4" s="26"/>
      <c r="T4" s="37"/>
      <c r="U4" s="62"/>
      <c r="V4" s="20" t="s">
        <v>84</v>
      </c>
      <c r="W4" s="37"/>
      <c r="X4" s="26"/>
      <c r="Y4" s="17"/>
    </row>
    <row r="5" spans="1:25" x14ac:dyDescent="0.25">
      <c r="A5" s="2" t="str">
        <f>IFERROR(VLOOKUP(B5,Clientes!A:B,2,0),"")</f>
        <v/>
      </c>
      <c r="B5" s="20">
        <v>1</v>
      </c>
      <c r="C5" s="52" t="s">
        <v>323</v>
      </c>
      <c r="D5" s="22" t="s">
        <v>324</v>
      </c>
      <c r="E5" s="2"/>
      <c r="F5" s="37">
        <v>42152</v>
      </c>
      <c r="G5" s="26" t="s">
        <v>326</v>
      </c>
      <c r="H5" s="37"/>
      <c r="I5" s="62"/>
      <c r="J5" s="20"/>
      <c r="K5" s="26"/>
      <c r="L5" s="37"/>
      <c r="M5" s="62"/>
      <c r="N5" s="20"/>
      <c r="O5" s="26"/>
      <c r="P5" s="37"/>
      <c r="Q5" s="62"/>
      <c r="R5" s="20"/>
      <c r="S5" s="26"/>
      <c r="T5" s="37"/>
      <c r="U5" s="62"/>
      <c r="V5" s="20"/>
      <c r="W5" s="37"/>
      <c r="X5" s="26"/>
      <c r="Y5" s="17"/>
    </row>
    <row r="6" spans="1:25" x14ac:dyDescent="0.25">
      <c r="A6" s="2"/>
      <c r="B6" s="20">
        <v>1</v>
      </c>
      <c r="C6" s="52" t="s">
        <v>377</v>
      </c>
      <c r="D6" s="22" t="s">
        <v>378</v>
      </c>
      <c r="E6" s="2"/>
      <c r="F6" s="37">
        <v>42149</v>
      </c>
      <c r="G6" s="26" t="s">
        <v>379</v>
      </c>
      <c r="H6" s="37">
        <v>42156</v>
      </c>
      <c r="I6" s="62" t="s">
        <v>380</v>
      </c>
      <c r="J6" s="20"/>
      <c r="K6" s="26"/>
      <c r="L6" s="37"/>
      <c r="M6" s="62"/>
      <c r="N6" s="20"/>
      <c r="O6" s="26"/>
      <c r="P6" s="37"/>
      <c r="Q6" s="62"/>
      <c r="R6" s="20"/>
      <c r="S6" s="26"/>
      <c r="T6" s="37"/>
      <c r="U6" s="62"/>
      <c r="V6" s="20"/>
      <c r="W6" s="37"/>
      <c r="X6" s="26"/>
      <c r="Y6" s="17"/>
    </row>
    <row r="7" spans="1:25" x14ac:dyDescent="0.25">
      <c r="A7" s="2" t="str">
        <f>IFERROR(VLOOKUP(B7,Clientes!A:B,2,0),"")</f>
        <v/>
      </c>
      <c r="B7" s="20">
        <f>B5+1</f>
        <v>2</v>
      </c>
      <c r="C7" s="52" t="s">
        <v>1079</v>
      </c>
      <c r="D7" s="22" t="s">
        <v>1080</v>
      </c>
      <c r="E7" s="2" t="s">
        <v>1237</v>
      </c>
      <c r="F7" s="37">
        <v>42258</v>
      </c>
      <c r="G7" s="26" t="s">
        <v>1397</v>
      </c>
      <c r="H7" s="37"/>
      <c r="I7" s="62"/>
      <c r="J7" s="20"/>
      <c r="K7" s="26"/>
      <c r="L7" s="37"/>
      <c r="M7" s="62"/>
      <c r="N7" s="20" t="s">
        <v>84</v>
      </c>
      <c r="O7" s="26"/>
      <c r="P7" s="37"/>
      <c r="Q7" s="62"/>
      <c r="R7" s="20" t="s">
        <v>84</v>
      </c>
      <c r="S7" s="26"/>
      <c r="T7" s="37"/>
      <c r="U7" s="62"/>
      <c r="V7" s="20" t="s">
        <v>84</v>
      </c>
      <c r="W7" s="37"/>
      <c r="X7" s="26" t="s">
        <v>1398</v>
      </c>
      <c r="Y7" s="17"/>
    </row>
    <row r="8" spans="1:25" x14ac:dyDescent="0.25">
      <c r="A8" s="2" t="str">
        <f>IFERROR(VLOOKUP(B8,Clientes!A:B,2,0),"")</f>
        <v/>
      </c>
      <c r="B8" s="20">
        <f>B7+1</f>
        <v>3</v>
      </c>
      <c r="C8" s="52" t="s">
        <v>383</v>
      </c>
      <c r="D8" s="22" t="s">
        <v>384</v>
      </c>
      <c r="E8" s="2"/>
      <c r="F8" s="37">
        <v>42149</v>
      </c>
      <c r="G8" s="26" t="s">
        <v>379</v>
      </c>
      <c r="H8" s="37">
        <v>42156</v>
      </c>
      <c r="I8" s="62" t="s">
        <v>380</v>
      </c>
      <c r="J8" s="20"/>
      <c r="K8" s="26"/>
      <c r="L8" s="37"/>
      <c r="M8" s="62"/>
      <c r="N8" s="20" t="s">
        <v>84</v>
      </c>
      <c r="O8" s="26"/>
      <c r="P8" s="37"/>
      <c r="Q8" s="62"/>
      <c r="R8" s="20" t="s">
        <v>84</v>
      </c>
      <c r="S8" s="26"/>
      <c r="T8" s="37"/>
      <c r="U8" s="62"/>
      <c r="V8" s="20" t="s">
        <v>84</v>
      </c>
      <c r="W8" s="37"/>
      <c r="X8" s="26"/>
      <c r="Y8" s="17"/>
    </row>
    <row r="9" spans="1:25" x14ac:dyDescent="0.25">
      <c r="A9" s="2" t="str">
        <f>IFERROR(VLOOKUP(B9,Clientes!A:B,2,0),"")</f>
        <v/>
      </c>
      <c r="B9" s="20">
        <f>B8+1</f>
        <v>4</v>
      </c>
      <c r="C9" s="52" t="s">
        <v>381</v>
      </c>
      <c r="D9" s="22" t="s">
        <v>382</v>
      </c>
      <c r="E9" s="2"/>
      <c r="F9" s="37">
        <v>42149</v>
      </c>
      <c r="G9" s="26" t="s">
        <v>379</v>
      </c>
      <c r="H9" s="37">
        <v>42156</v>
      </c>
      <c r="I9" s="62" t="s">
        <v>380</v>
      </c>
      <c r="J9" s="20"/>
      <c r="K9" s="26"/>
      <c r="L9" s="37"/>
      <c r="M9" s="62"/>
      <c r="N9" s="20" t="s">
        <v>84</v>
      </c>
      <c r="O9" s="26"/>
      <c r="P9" s="37"/>
      <c r="Q9" s="62"/>
      <c r="R9" s="20" t="s">
        <v>84</v>
      </c>
      <c r="S9" s="26"/>
      <c r="T9" s="37"/>
      <c r="U9" s="62"/>
      <c r="V9" s="20" t="s">
        <v>84</v>
      </c>
      <c r="W9" s="37"/>
      <c r="X9" s="26"/>
      <c r="Y9" s="17"/>
    </row>
    <row r="10" spans="1:25" x14ac:dyDescent="0.25">
      <c r="A10" s="2" t="str">
        <f>IFERROR(VLOOKUP(B10,Clientes!A:B,2,0),"")</f>
        <v/>
      </c>
      <c r="B10" s="20">
        <f>B9+1</f>
        <v>5</v>
      </c>
      <c r="C10" s="52" t="s">
        <v>385</v>
      </c>
      <c r="D10" s="22" t="s">
        <v>386</v>
      </c>
      <c r="E10" s="2"/>
      <c r="F10" s="37">
        <v>42149</v>
      </c>
      <c r="G10" s="26" t="s">
        <v>379</v>
      </c>
      <c r="H10" s="37">
        <v>42156</v>
      </c>
      <c r="I10" s="62" t="s">
        <v>380</v>
      </c>
      <c r="J10" s="20"/>
      <c r="K10" s="26"/>
      <c r="L10" s="37"/>
      <c r="M10" s="62"/>
      <c r="N10" s="20" t="s">
        <v>84</v>
      </c>
      <c r="O10" s="26"/>
      <c r="P10" s="37"/>
      <c r="Q10" s="62"/>
      <c r="R10" s="20" t="s">
        <v>84</v>
      </c>
      <c r="S10" s="26"/>
      <c r="T10" s="37"/>
      <c r="U10" s="62"/>
      <c r="V10" s="20" t="s">
        <v>84</v>
      </c>
      <c r="W10" s="37"/>
      <c r="X10" s="26"/>
      <c r="Y10" s="17"/>
    </row>
    <row r="11" spans="1:25" s="38" customFormat="1" x14ac:dyDescent="0.25">
      <c r="B11" s="20">
        <f t="shared" ref="B11:B44" si="0">B10+1</f>
        <v>6</v>
      </c>
      <c r="C11" s="52" t="s">
        <v>387</v>
      </c>
      <c r="D11" s="22" t="s">
        <v>388</v>
      </c>
      <c r="E11" s="2"/>
      <c r="F11" s="37">
        <v>42149</v>
      </c>
      <c r="G11" s="26" t="s">
        <v>379</v>
      </c>
      <c r="H11" s="37">
        <v>42156</v>
      </c>
      <c r="I11" s="62" t="s">
        <v>380</v>
      </c>
      <c r="J11" s="20"/>
      <c r="K11" s="26"/>
      <c r="L11" s="37"/>
      <c r="M11" s="62"/>
      <c r="N11" s="20" t="s">
        <v>84</v>
      </c>
      <c r="O11" s="26"/>
      <c r="P11" s="37"/>
      <c r="Q11" s="62"/>
      <c r="R11" s="20" t="s">
        <v>84</v>
      </c>
      <c r="S11" s="26"/>
      <c r="T11" s="37"/>
      <c r="U11" s="62"/>
      <c r="V11" s="20" t="s">
        <v>84</v>
      </c>
      <c r="W11" s="37"/>
      <c r="X11" s="26"/>
      <c r="Y11" s="17"/>
    </row>
    <row r="12" spans="1:25" s="38" customFormat="1" x14ac:dyDescent="0.25">
      <c r="B12" s="20">
        <f t="shared" si="0"/>
        <v>7</v>
      </c>
      <c r="C12" s="52" t="s">
        <v>297</v>
      </c>
      <c r="D12" s="22" t="s">
        <v>298</v>
      </c>
      <c r="E12" s="2"/>
      <c r="F12" s="37">
        <v>42149</v>
      </c>
      <c r="G12" s="26" t="s">
        <v>379</v>
      </c>
      <c r="H12" s="37">
        <v>42156</v>
      </c>
      <c r="I12" s="62" t="s">
        <v>380</v>
      </c>
      <c r="J12" s="20"/>
      <c r="K12" s="26"/>
      <c r="L12" s="37"/>
      <c r="M12" s="62"/>
      <c r="N12" s="20" t="s">
        <v>84</v>
      </c>
      <c r="O12" s="26"/>
      <c r="P12" s="37"/>
      <c r="Q12" s="62"/>
      <c r="R12" s="20" t="s">
        <v>84</v>
      </c>
      <c r="S12" s="26"/>
      <c r="T12" s="37"/>
      <c r="U12" s="62"/>
      <c r="V12" s="20" t="s">
        <v>84</v>
      </c>
      <c r="W12" s="37"/>
      <c r="X12" s="26"/>
      <c r="Y12" s="17"/>
    </row>
    <row r="13" spans="1:25" s="38" customFormat="1" x14ac:dyDescent="0.25">
      <c r="B13" s="20">
        <f t="shared" si="0"/>
        <v>8</v>
      </c>
      <c r="C13" s="52" t="s">
        <v>389</v>
      </c>
      <c r="D13" s="22" t="s">
        <v>390</v>
      </c>
      <c r="E13" s="2"/>
      <c r="F13" s="37">
        <v>42149</v>
      </c>
      <c r="G13" s="26" t="s">
        <v>379</v>
      </c>
      <c r="H13" s="37">
        <v>42156</v>
      </c>
      <c r="I13" s="62" t="s">
        <v>380</v>
      </c>
      <c r="J13" s="20"/>
      <c r="K13" s="26"/>
      <c r="L13" s="37"/>
      <c r="M13" s="62"/>
      <c r="N13" s="20" t="s">
        <v>84</v>
      </c>
      <c r="O13" s="26"/>
      <c r="P13" s="37"/>
      <c r="Q13" s="62"/>
      <c r="R13" s="20" t="s">
        <v>84</v>
      </c>
      <c r="S13" s="26"/>
      <c r="T13" s="37"/>
      <c r="U13" s="62"/>
      <c r="V13" s="20" t="s">
        <v>84</v>
      </c>
      <c r="W13" s="37"/>
      <c r="X13" s="26"/>
      <c r="Y13" s="17"/>
    </row>
    <row r="14" spans="1:25" s="38" customFormat="1" x14ac:dyDescent="0.25">
      <c r="B14" s="20">
        <f t="shared" si="0"/>
        <v>9</v>
      </c>
      <c r="C14" s="52"/>
      <c r="D14" s="22" t="s">
        <v>391</v>
      </c>
      <c r="E14" s="2"/>
      <c r="F14" s="37">
        <v>42149</v>
      </c>
      <c r="G14" s="26" t="s">
        <v>379</v>
      </c>
      <c r="H14" s="37">
        <v>42156</v>
      </c>
      <c r="I14" s="62" t="s">
        <v>380</v>
      </c>
      <c r="J14" s="20"/>
      <c r="K14" s="26"/>
      <c r="L14" s="37"/>
      <c r="M14" s="62"/>
      <c r="N14" s="20" t="s">
        <v>84</v>
      </c>
      <c r="O14" s="26"/>
      <c r="P14" s="37"/>
      <c r="Q14" s="62"/>
      <c r="R14" s="20" t="s">
        <v>84</v>
      </c>
      <c r="S14" s="26"/>
      <c r="T14" s="37"/>
      <c r="U14" s="62"/>
      <c r="V14" s="20" t="s">
        <v>84</v>
      </c>
      <c r="W14" s="37"/>
      <c r="X14" s="26"/>
      <c r="Y14" s="17"/>
    </row>
    <row r="15" spans="1:25" s="38" customFormat="1" x14ac:dyDescent="0.25">
      <c r="B15" s="20">
        <f>B14+1</f>
        <v>10</v>
      </c>
      <c r="C15" s="52" t="s">
        <v>392</v>
      </c>
      <c r="D15" s="22" t="s">
        <v>393</v>
      </c>
      <c r="E15" s="2"/>
      <c r="F15" s="37">
        <v>42149</v>
      </c>
      <c r="G15" s="26" t="s">
        <v>379</v>
      </c>
      <c r="H15" s="37">
        <v>42156</v>
      </c>
      <c r="I15" s="62" t="s">
        <v>380</v>
      </c>
      <c r="J15" s="20"/>
      <c r="K15" s="26"/>
      <c r="L15" s="37"/>
      <c r="M15" s="62"/>
      <c r="N15" s="20" t="s">
        <v>84</v>
      </c>
      <c r="O15" s="26"/>
      <c r="P15" s="37"/>
      <c r="Q15" s="62"/>
      <c r="R15" s="20" t="s">
        <v>84</v>
      </c>
      <c r="S15" s="26"/>
      <c r="T15" s="37"/>
      <c r="U15" s="62"/>
      <c r="V15" s="20" t="s">
        <v>84</v>
      </c>
      <c r="W15" s="37"/>
      <c r="X15" s="26"/>
      <c r="Y15" s="17"/>
    </row>
    <row r="16" spans="1:25" s="38" customFormat="1" x14ac:dyDescent="0.25">
      <c r="B16" s="20">
        <f t="shared" si="0"/>
        <v>11</v>
      </c>
      <c r="C16" s="52"/>
      <c r="D16" s="22"/>
      <c r="E16" s="2"/>
      <c r="F16" s="37"/>
      <c r="G16" s="26"/>
      <c r="H16" s="37"/>
      <c r="I16" s="62"/>
      <c r="J16" s="20"/>
      <c r="K16" s="26"/>
      <c r="L16" s="37"/>
      <c r="M16" s="62"/>
      <c r="N16" s="20" t="s">
        <v>84</v>
      </c>
      <c r="O16" s="26"/>
      <c r="P16" s="37"/>
      <c r="Q16" s="62"/>
      <c r="R16" s="20" t="s">
        <v>84</v>
      </c>
      <c r="S16" s="26"/>
      <c r="T16" s="37"/>
      <c r="U16" s="62"/>
      <c r="V16" s="20" t="s">
        <v>84</v>
      </c>
      <c r="W16" s="37"/>
      <c r="X16" s="26"/>
      <c r="Y16" s="17"/>
    </row>
    <row r="17" spans="2:25" s="38" customFormat="1" x14ac:dyDescent="0.25">
      <c r="B17" s="20">
        <f t="shared" si="0"/>
        <v>12</v>
      </c>
      <c r="C17" s="52" t="s">
        <v>394</v>
      </c>
      <c r="D17" s="22" t="s">
        <v>395</v>
      </c>
      <c r="E17" s="2"/>
      <c r="F17" s="37">
        <v>42149</v>
      </c>
      <c r="G17" s="26" t="s">
        <v>379</v>
      </c>
      <c r="H17" s="37">
        <v>42156</v>
      </c>
      <c r="I17" s="62" t="s">
        <v>380</v>
      </c>
      <c r="J17" s="20"/>
      <c r="K17" s="26"/>
      <c r="L17" s="37"/>
      <c r="M17" s="62"/>
      <c r="N17" s="20" t="s">
        <v>84</v>
      </c>
      <c r="O17" s="26"/>
      <c r="P17" s="37"/>
      <c r="Q17" s="62"/>
      <c r="R17" s="20" t="s">
        <v>84</v>
      </c>
      <c r="S17" s="26"/>
      <c r="T17" s="37"/>
      <c r="U17" s="62"/>
      <c r="V17" s="20" t="s">
        <v>84</v>
      </c>
      <c r="W17" s="37"/>
      <c r="X17" s="26"/>
      <c r="Y17" s="17"/>
    </row>
    <row r="18" spans="2:25" s="38" customFormat="1" x14ac:dyDescent="0.25">
      <c r="B18" s="20" t="s">
        <v>945</v>
      </c>
      <c r="C18" s="52"/>
      <c r="D18" s="22" t="s">
        <v>946</v>
      </c>
      <c r="E18" s="2"/>
      <c r="F18" s="37">
        <v>42149</v>
      </c>
      <c r="G18" s="26" t="s">
        <v>369</v>
      </c>
      <c r="H18" s="37"/>
      <c r="I18" s="62" t="s">
        <v>415</v>
      </c>
      <c r="J18" s="20"/>
      <c r="K18" s="26" t="s">
        <v>947</v>
      </c>
      <c r="L18" s="37"/>
      <c r="M18" s="62" t="s">
        <v>415</v>
      </c>
      <c r="N18" s="20"/>
      <c r="O18" s="26" t="s">
        <v>443</v>
      </c>
      <c r="P18" s="37"/>
      <c r="Q18" s="62" t="s">
        <v>415</v>
      </c>
      <c r="R18" s="20"/>
      <c r="S18" s="26" t="s">
        <v>326</v>
      </c>
      <c r="T18" s="37"/>
      <c r="U18" s="62" t="s">
        <v>415</v>
      </c>
      <c r="V18" s="20"/>
      <c r="W18" s="37"/>
      <c r="X18" s="26"/>
      <c r="Y18" s="17"/>
    </row>
    <row r="19" spans="2:25" s="38" customFormat="1" x14ac:dyDescent="0.25">
      <c r="B19" s="20">
        <f>B17+1</f>
        <v>13</v>
      </c>
      <c r="C19" s="52" t="s">
        <v>396</v>
      </c>
      <c r="D19" s="22" t="s">
        <v>397</v>
      </c>
      <c r="E19" s="2"/>
      <c r="F19" s="37">
        <v>42149</v>
      </c>
      <c r="G19" s="26" t="s">
        <v>379</v>
      </c>
      <c r="H19" s="37">
        <v>42156</v>
      </c>
      <c r="I19" s="62" t="s">
        <v>380</v>
      </c>
      <c r="J19" s="20"/>
      <c r="K19" s="26"/>
      <c r="L19" s="37"/>
      <c r="M19" s="62"/>
      <c r="N19" s="20" t="s">
        <v>84</v>
      </c>
      <c r="O19" s="26"/>
      <c r="P19" s="37"/>
      <c r="Q19" s="62"/>
      <c r="R19" s="20" t="s">
        <v>84</v>
      </c>
      <c r="S19" s="26"/>
      <c r="T19" s="37"/>
      <c r="U19" s="62"/>
      <c r="V19" s="20" t="s">
        <v>84</v>
      </c>
      <c r="W19" s="37"/>
      <c r="X19" s="26"/>
      <c r="Y19" s="17"/>
    </row>
    <row r="20" spans="2:25" s="38" customFormat="1" x14ac:dyDescent="0.25">
      <c r="B20" s="20">
        <f t="shared" si="0"/>
        <v>14</v>
      </c>
      <c r="C20" s="52" t="s">
        <v>398</v>
      </c>
      <c r="D20" s="22" t="s">
        <v>399</v>
      </c>
      <c r="E20" s="2"/>
      <c r="F20" s="37">
        <v>42149</v>
      </c>
      <c r="G20" s="26" t="s">
        <v>379</v>
      </c>
      <c r="H20" s="37">
        <v>42156</v>
      </c>
      <c r="I20" s="62" t="s">
        <v>380</v>
      </c>
      <c r="J20" s="20"/>
      <c r="K20" s="26"/>
      <c r="L20" s="37"/>
      <c r="M20" s="62"/>
      <c r="N20" s="20" t="s">
        <v>84</v>
      </c>
      <c r="O20" s="26"/>
      <c r="P20" s="37"/>
      <c r="Q20" s="62"/>
      <c r="R20" s="20" t="s">
        <v>84</v>
      </c>
      <c r="S20" s="26"/>
      <c r="T20" s="37"/>
      <c r="U20" s="62"/>
      <c r="V20" s="20" t="s">
        <v>84</v>
      </c>
      <c r="W20" s="37"/>
      <c r="X20" s="26"/>
      <c r="Y20" s="17"/>
    </row>
    <row r="21" spans="2:25" s="38" customFormat="1" x14ac:dyDescent="0.25">
      <c r="B21" s="20">
        <f t="shared" si="0"/>
        <v>15</v>
      </c>
      <c r="C21" s="52" t="s">
        <v>400</v>
      </c>
      <c r="D21" s="22" t="s">
        <v>401</v>
      </c>
      <c r="E21" s="2"/>
      <c r="F21" s="37">
        <v>42149</v>
      </c>
      <c r="G21" s="26" t="s">
        <v>379</v>
      </c>
      <c r="H21" s="37">
        <v>42156</v>
      </c>
      <c r="I21" s="62" t="s">
        <v>380</v>
      </c>
      <c r="J21" s="20"/>
      <c r="K21" s="26"/>
      <c r="L21" s="37"/>
      <c r="M21" s="62"/>
      <c r="N21" s="20" t="s">
        <v>84</v>
      </c>
      <c r="O21" s="26"/>
      <c r="P21" s="37"/>
      <c r="Q21" s="62"/>
      <c r="R21" s="20" t="s">
        <v>84</v>
      </c>
      <c r="S21" s="26"/>
      <c r="T21" s="37"/>
      <c r="U21" s="62"/>
      <c r="V21" s="20" t="s">
        <v>84</v>
      </c>
      <c r="W21" s="37"/>
      <c r="X21" s="26"/>
      <c r="Y21" s="17"/>
    </row>
    <row r="22" spans="2:25" s="38" customFormat="1" x14ac:dyDescent="0.25">
      <c r="B22" s="20">
        <f t="shared" si="0"/>
        <v>16</v>
      </c>
      <c r="C22" s="52" t="s">
        <v>402</v>
      </c>
      <c r="D22" s="22" t="s">
        <v>403</v>
      </c>
      <c r="E22" s="2"/>
      <c r="F22" s="37">
        <v>42149</v>
      </c>
      <c r="G22" s="26" t="s">
        <v>379</v>
      </c>
      <c r="H22" s="37">
        <v>42156</v>
      </c>
      <c r="I22" s="62" t="s">
        <v>380</v>
      </c>
      <c r="J22" s="20"/>
      <c r="K22" s="26"/>
      <c r="L22" s="37"/>
      <c r="M22" s="62"/>
      <c r="N22" s="20" t="s">
        <v>84</v>
      </c>
      <c r="O22" s="26"/>
      <c r="P22" s="37"/>
      <c r="Q22" s="62"/>
      <c r="R22" s="20" t="s">
        <v>84</v>
      </c>
      <c r="S22" s="26"/>
      <c r="T22" s="37"/>
      <c r="U22" s="62"/>
      <c r="V22" s="20" t="s">
        <v>84</v>
      </c>
      <c r="W22" s="37"/>
      <c r="X22" s="26"/>
      <c r="Y22" s="17"/>
    </row>
    <row r="23" spans="2:25" s="38" customFormat="1" x14ac:dyDescent="0.25">
      <c r="B23" s="20">
        <f t="shared" si="0"/>
        <v>17</v>
      </c>
      <c r="C23" s="52" t="s">
        <v>404</v>
      </c>
      <c r="D23" s="22" t="s">
        <v>405</v>
      </c>
      <c r="E23" s="2"/>
      <c r="F23" s="37">
        <v>42149</v>
      </c>
      <c r="G23" s="26" t="s">
        <v>379</v>
      </c>
      <c r="H23" s="37">
        <v>42156</v>
      </c>
      <c r="I23" s="62" t="s">
        <v>380</v>
      </c>
      <c r="J23" s="20"/>
      <c r="K23" s="26"/>
      <c r="L23" s="37"/>
      <c r="M23" s="62"/>
      <c r="N23" s="20" t="s">
        <v>84</v>
      </c>
      <c r="O23" s="26"/>
      <c r="P23" s="37"/>
      <c r="Q23" s="62"/>
      <c r="R23" s="20" t="s">
        <v>84</v>
      </c>
      <c r="S23" s="26"/>
      <c r="T23" s="37"/>
      <c r="U23" s="62"/>
      <c r="V23" s="20" t="s">
        <v>84</v>
      </c>
      <c r="W23" s="37"/>
      <c r="X23" s="26"/>
      <c r="Y23" s="17"/>
    </row>
    <row r="24" spans="2:25" s="38" customFormat="1" x14ac:dyDescent="0.25">
      <c r="B24" s="20">
        <f t="shared" si="0"/>
        <v>18</v>
      </c>
      <c r="C24" s="52" t="s">
        <v>406</v>
      </c>
      <c r="D24" s="22" t="s">
        <v>324</v>
      </c>
      <c r="E24" s="2"/>
      <c r="F24" s="37">
        <v>42150</v>
      </c>
      <c r="G24" s="26" t="s">
        <v>379</v>
      </c>
      <c r="H24" s="37">
        <v>42156</v>
      </c>
      <c r="I24" s="62" t="s">
        <v>380</v>
      </c>
      <c r="J24" s="20"/>
      <c r="K24" s="26"/>
      <c r="L24" s="37"/>
      <c r="M24" s="62"/>
      <c r="N24" s="20" t="s">
        <v>84</v>
      </c>
      <c r="O24" s="26"/>
      <c r="P24" s="37"/>
      <c r="Q24" s="62"/>
      <c r="R24" s="20" t="s">
        <v>84</v>
      </c>
      <c r="S24" s="26"/>
      <c r="T24" s="37"/>
      <c r="U24" s="62"/>
      <c r="V24" s="20" t="s">
        <v>84</v>
      </c>
      <c r="W24" s="37"/>
      <c r="X24" s="26"/>
      <c r="Y24" s="17"/>
    </row>
    <row r="25" spans="2:25" s="38" customFormat="1" x14ac:dyDescent="0.25">
      <c r="B25" s="20">
        <v>19</v>
      </c>
      <c r="C25" s="52"/>
      <c r="D25" s="22"/>
      <c r="E25" s="2"/>
      <c r="F25" s="37"/>
      <c r="G25" s="26"/>
      <c r="H25" s="37"/>
      <c r="I25" s="62"/>
      <c r="J25" s="20"/>
      <c r="K25" s="26"/>
      <c r="L25" s="37"/>
      <c r="M25" s="62"/>
      <c r="N25" s="20"/>
      <c r="O25" s="26"/>
      <c r="P25" s="37"/>
      <c r="Q25" s="62"/>
      <c r="R25" s="20"/>
      <c r="S25" s="26"/>
      <c r="T25" s="37"/>
      <c r="U25" s="62"/>
      <c r="V25" s="20"/>
      <c r="W25" s="37"/>
      <c r="X25" s="26"/>
      <c r="Y25" s="17"/>
    </row>
    <row r="26" spans="2:25" s="38" customFormat="1" x14ac:dyDescent="0.25">
      <c r="B26" s="20">
        <v>20</v>
      </c>
      <c r="C26" s="52"/>
      <c r="D26" s="22"/>
      <c r="E26" s="2"/>
      <c r="F26" s="37"/>
      <c r="G26" s="26"/>
      <c r="H26" s="37"/>
      <c r="I26" s="62"/>
      <c r="J26" s="20"/>
      <c r="K26" s="26"/>
      <c r="L26" s="37"/>
      <c r="M26" s="62"/>
      <c r="N26" s="20"/>
      <c r="O26" s="26"/>
      <c r="P26" s="37"/>
      <c r="Q26" s="62"/>
      <c r="R26" s="20"/>
      <c r="S26" s="26"/>
      <c r="T26" s="37"/>
      <c r="U26" s="62"/>
      <c r="V26" s="20"/>
      <c r="W26" s="37"/>
      <c r="X26" s="26"/>
      <c r="Y26" s="17"/>
    </row>
    <row r="27" spans="2:25" s="38" customFormat="1" x14ac:dyDescent="0.25">
      <c r="B27" s="20">
        <v>21</v>
      </c>
      <c r="C27" s="52" t="s">
        <v>940</v>
      </c>
      <c r="D27" s="22" t="s">
        <v>941</v>
      </c>
      <c r="E27" s="2"/>
      <c r="F27" s="37">
        <v>42151</v>
      </c>
      <c r="G27" s="26" t="s">
        <v>443</v>
      </c>
      <c r="H27" s="37">
        <v>42179</v>
      </c>
      <c r="I27" s="62" t="s">
        <v>380</v>
      </c>
      <c r="J27" s="20"/>
      <c r="K27" s="26"/>
      <c r="L27" s="37"/>
      <c r="M27" s="62"/>
      <c r="N27" s="20"/>
      <c r="O27" s="26"/>
      <c r="P27" s="37"/>
      <c r="Q27" s="62"/>
      <c r="R27" s="20"/>
      <c r="S27" s="26"/>
      <c r="T27" s="37"/>
      <c r="U27" s="62"/>
      <c r="V27" s="20"/>
      <c r="W27" s="37"/>
      <c r="X27" s="26"/>
      <c r="Y27" s="17"/>
    </row>
    <row r="28" spans="2:25" s="38" customFormat="1" x14ac:dyDescent="0.25">
      <c r="B28" s="20">
        <v>22</v>
      </c>
      <c r="C28" s="52" t="s">
        <v>377</v>
      </c>
      <c r="D28" s="22" t="s">
        <v>378</v>
      </c>
      <c r="E28" s="2"/>
      <c r="F28" s="37">
        <v>42151</v>
      </c>
      <c r="G28" s="26" t="s">
        <v>407</v>
      </c>
      <c r="H28" s="37">
        <v>42156</v>
      </c>
      <c r="I28" s="62" t="s">
        <v>415</v>
      </c>
      <c r="J28" s="20"/>
      <c r="K28" s="26"/>
      <c r="L28" s="37"/>
      <c r="M28" s="62"/>
      <c r="N28" s="20" t="s">
        <v>84</v>
      </c>
      <c r="O28" s="26"/>
      <c r="P28" s="37"/>
      <c r="Q28" s="62"/>
      <c r="R28" s="20" t="s">
        <v>84</v>
      </c>
      <c r="S28" s="26"/>
      <c r="T28" s="37"/>
      <c r="U28" s="62"/>
      <c r="V28" s="20" t="s">
        <v>84</v>
      </c>
      <c r="W28" s="37"/>
      <c r="X28" s="26"/>
      <c r="Y28" s="17"/>
    </row>
    <row r="29" spans="2:25" s="38" customFormat="1" x14ac:dyDescent="0.25">
      <c r="B29" s="20">
        <v>23</v>
      </c>
      <c r="C29" s="52"/>
      <c r="D29" s="22"/>
      <c r="E29" s="2"/>
      <c r="F29" s="37"/>
      <c r="G29" s="26"/>
      <c r="H29" s="37"/>
      <c r="I29" s="62"/>
      <c r="J29" s="20"/>
      <c r="K29" s="26"/>
      <c r="L29" s="37"/>
      <c r="M29" s="62"/>
      <c r="N29" s="20"/>
      <c r="O29" s="26"/>
      <c r="P29" s="37"/>
      <c r="Q29" s="62"/>
      <c r="R29" s="20"/>
      <c r="S29" s="26"/>
      <c r="T29" s="37"/>
      <c r="U29" s="62"/>
      <c r="V29" s="20"/>
      <c r="W29" s="37"/>
      <c r="X29" s="26"/>
      <c r="Y29" s="17"/>
    </row>
    <row r="30" spans="2:25" s="38" customFormat="1" x14ac:dyDescent="0.25">
      <c r="B30" s="20">
        <v>24</v>
      </c>
      <c r="C30" s="52" t="s">
        <v>408</v>
      </c>
      <c r="D30" s="22" t="s">
        <v>409</v>
      </c>
      <c r="E30" s="2"/>
      <c r="F30" s="37">
        <v>42151</v>
      </c>
      <c r="G30" s="26" t="s">
        <v>379</v>
      </c>
      <c r="H30" s="37">
        <v>42156</v>
      </c>
      <c r="I30" s="62" t="s">
        <v>380</v>
      </c>
      <c r="J30" s="20"/>
      <c r="K30" s="26"/>
      <c r="L30" s="37"/>
      <c r="M30" s="62"/>
      <c r="N30" s="20" t="s">
        <v>84</v>
      </c>
      <c r="O30" s="26"/>
      <c r="P30" s="37"/>
      <c r="Q30" s="62"/>
      <c r="R30" s="20" t="s">
        <v>84</v>
      </c>
      <c r="S30" s="26"/>
      <c r="T30" s="37"/>
      <c r="U30" s="62"/>
      <c r="V30" s="20" t="s">
        <v>84</v>
      </c>
      <c r="W30" s="37"/>
      <c r="X30" s="26"/>
      <c r="Y30" s="17"/>
    </row>
    <row r="31" spans="2:25" s="38" customFormat="1" x14ac:dyDescent="0.25">
      <c r="B31" s="20">
        <f t="shared" si="0"/>
        <v>25</v>
      </c>
      <c r="C31" s="52" t="s">
        <v>410</v>
      </c>
      <c r="D31" s="22" t="s">
        <v>411</v>
      </c>
      <c r="E31" s="2"/>
      <c r="F31" s="37">
        <v>42152</v>
      </c>
      <c r="G31" s="26" t="s">
        <v>379</v>
      </c>
      <c r="H31" s="37">
        <v>42156</v>
      </c>
      <c r="I31" s="62" t="s">
        <v>380</v>
      </c>
      <c r="J31" s="20"/>
      <c r="K31" s="26"/>
      <c r="L31" s="37"/>
      <c r="M31" s="62"/>
      <c r="N31" s="20" t="s">
        <v>84</v>
      </c>
      <c r="O31" s="26"/>
      <c r="P31" s="37"/>
      <c r="Q31" s="62"/>
      <c r="R31" s="20" t="s">
        <v>84</v>
      </c>
      <c r="S31" s="26"/>
      <c r="T31" s="37"/>
      <c r="U31" s="62"/>
      <c r="V31" s="20" t="s">
        <v>84</v>
      </c>
      <c r="W31" s="37"/>
      <c r="X31" s="26"/>
      <c r="Y31" s="17"/>
    </row>
    <row r="32" spans="2:25" s="38" customFormat="1" x14ac:dyDescent="0.25">
      <c r="B32" s="20">
        <f t="shared" si="0"/>
        <v>26</v>
      </c>
      <c r="C32" s="52"/>
      <c r="D32" s="22" t="s">
        <v>412</v>
      </c>
      <c r="E32" s="2"/>
      <c r="F32" s="37">
        <v>42152</v>
      </c>
      <c r="G32" s="26" t="s">
        <v>379</v>
      </c>
      <c r="H32" s="37">
        <v>42156</v>
      </c>
      <c r="I32" s="62" t="s">
        <v>380</v>
      </c>
      <c r="J32" s="20"/>
      <c r="K32" s="26"/>
      <c r="L32" s="37"/>
      <c r="M32" s="62"/>
      <c r="N32" s="20" t="s">
        <v>84</v>
      </c>
      <c r="O32" s="26"/>
      <c r="P32" s="37"/>
      <c r="Q32" s="62"/>
      <c r="R32" s="20" t="s">
        <v>84</v>
      </c>
      <c r="S32" s="26"/>
      <c r="T32" s="37"/>
      <c r="U32" s="62"/>
      <c r="V32" s="20" t="s">
        <v>84</v>
      </c>
      <c r="W32" s="37"/>
      <c r="X32" s="26"/>
      <c r="Y32" s="17"/>
    </row>
    <row r="33" spans="2:25" s="38" customFormat="1" x14ac:dyDescent="0.25">
      <c r="B33" s="20">
        <f t="shared" si="0"/>
        <v>27</v>
      </c>
      <c r="C33" s="52"/>
      <c r="D33" s="22" t="s">
        <v>413</v>
      </c>
      <c r="E33" s="2"/>
      <c r="F33" s="37">
        <v>42152</v>
      </c>
      <c r="G33" s="26" t="s">
        <v>379</v>
      </c>
      <c r="H33" s="37">
        <v>42156</v>
      </c>
      <c r="I33" s="62" t="s">
        <v>380</v>
      </c>
      <c r="J33" s="20"/>
      <c r="K33" s="26"/>
      <c r="L33" s="37"/>
      <c r="M33" s="62"/>
      <c r="N33" s="20" t="s">
        <v>84</v>
      </c>
      <c r="O33" s="26"/>
      <c r="P33" s="37"/>
      <c r="Q33" s="62"/>
      <c r="R33" s="20" t="s">
        <v>84</v>
      </c>
      <c r="S33" s="26"/>
      <c r="T33" s="37"/>
      <c r="U33" s="62"/>
      <c r="V33" s="20" t="s">
        <v>84</v>
      </c>
      <c r="W33" s="37"/>
      <c r="X33" s="26"/>
      <c r="Y33" s="17"/>
    </row>
    <row r="34" spans="2:25" s="38" customFormat="1" x14ac:dyDescent="0.25">
      <c r="B34" s="20">
        <f t="shared" si="0"/>
        <v>28</v>
      </c>
      <c r="C34" s="52"/>
      <c r="D34" s="22" t="s">
        <v>414</v>
      </c>
      <c r="E34" s="2"/>
      <c r="F34" s="37">
        <v>42152</v>
      </c>
      <c r="G34" s="26" t="s">
        <v>379</v>
      </c>
      <c r="H34" s="37">
        <v>42156</v>
      </c>
      <c r="I34" s="74" t="s">
        <v>415</v>
      </c>
      <c r="J34" s="20"/>
      <c r="K34" s="26"/>
      <c r="L34" s="37"/>
      <c r="M34" s="62"/>
      <c r="N34" s="20" t="s">
        <v>84</v>
      </c>
      <c r="O34" s="26"/>
      <c r="P34" s="37"/>
      <c r="Q34" s="62"/>
      <c r="R34" s="20" t="s">
        <v>84</v>
      </c>
      <c r="S34" s="26"/>
      <c r="T34" s="37"/>
      <c r="U34" s="62"/>
      <c r="V34" s="20" t="s">
        <v>84</v>
      </c>
      <c r="W34" s="37"/>
      <c r="X34" s="26"/>
      <c r="Y34" s="17"/>
    </row>
    <row r="35" spans="2:25" s="38" customFormat="1" x14ac:dyDescent="0.25">
      <c r="B35" s="20">
        <f t="shared" si="0"/>
        <v>29</v>
      </c>
      <c r="C35" s="52" t="s">
        <v>363</v>
      </c>
      <c r="D35" s="22" t="s">
        <v>416</v>
      </c>
      <c r="E35" s="2"/>
      <c r="F35" s="37">
        <v>42152</v>
      </c>
      <c r="G35" s="26" t="s">
        <v>379</v>
      </c>
      <c r="H35" s="37">
        <v>42156</v>
      </c>
      <c r="I35" s="62" t="s">
        <v>415</v>
      </c>
      <c r="J35" s="20"/>
      <c r="K35" s="26"/>
      <c r="L35" s="37"/>
      <c r="M35" s="62"/>
      <c r="N35" s="20" t="s">
        <v>84</v>
      </c>
      <c r="O35" s="26"/>
      <c r="P35" s="37"/>
      <c r="Q35" s="62"/>
      <c r="R35" s="20" t="s">
        <v>84</v>
      </c>
      <c r="S35" s="26"/>
      <c r="T35" s="37"/>
      <c r="U35" s="62"/>
      <c r="V35" s="20" t="s">
        <v>84</v>
      </c>
      <c r="W35" s="37"/>
      <c r="X35" s="26"/>
      <c r="Y35" s="17"/>
    </row>
    <row r="36" spans="2:25" s="38" customFormat="1" x14ac:dyDescent="0.25">
      <c r="B36" s="20">
        <f t="shared" si="0"/>
        <v>30</v>
      </c>
      <c r="C36" s="52"/>
      <c r="D36" s="22" t="s">
        <v>417</v>
      </c>
      <c r="E36" s="2"/>
      <c r="F36" s="37">
        <v>42152</v>
      </c>
      <c r="G36" s="26" t="s">
        <v>379</v>
      </c>
      <c r="H36" s="37">
        <v>42156</v>
      </c>
      <c r="I36" s="62" t="s">
        <v>380</v>
      </c>
      <c r="J36" s="20"/>
      <c r="K36" s="26"/>
      <c r="L36" s="37"/>
      <c r="M36" s="62"/>
      <c r="N36" s="20" t="s">
        <v>84</v>
      </c>
      <c r="O36" s="26"/>
      <c r="P36" s="37"/>
      <c r="Q36" s="62"/>
      <c r="R36" s="20" t="s">
        <v>84</v>
      </c>
      <c r="S36" s="26"/>
      <c r="T36" s="37"/>
      <c r="U36" s="62"/>
      <c r="V36" s="20" t="s">
        <v>84</v>
      </c>
      <c r="W36" s="37"/>
      <c r="X36" s="26"/>
      <c r="Y36" s="17"/>
    </row>
    <row r="37" spans="2:25" s="38" customFormat="1" x14ac:dyDescent="0.25">
      <c r="B37" s="20">
        <f t="shared" si="0"/>
        <v>31</v>
      </c>
      <c r="C37" s="52"/>
      <c r="D37" s="22" t="s">
        <v>582</v>
      </c>
      <c r="E37" s="2"/>
      <c r="F37" s="37">
        <v>42152</v>
      </c>
      <c r="G37" s="26" t="s">
        <v>432</v>
      </c>
      <c r="H37" s="37">
        <v>42186</v>
      </c>
      <c r="I37" s="62" t="s">
        <v>380</v>
      </c>
      <c r="J37" s="20"/>
      <c r="K37" s="26" t="s">
        <v>407</v>
      </c>
      <c r="L37" s="37">
        <v>42186</v>
      </c>
      <c r="M37" s="62" t="s">
        <v>415</v>
      </c>
      <c r="N37" s="20" t="s">
        <v>84</v>
      </c>
      <c r="O37" s="26"/>
      <c r="P37" s="37"/>
      <c r="Q37" s="62"/>
      <c r="R37" s="20" t="s">
        <v>84</v>
      </c>
      <c r="S37" s="26"/>
      <c r="T37" s="37"/>
      <c r="U37" s="62"/>
      <c r="V37" s="20" t="s">
        <v>84</v>
      </c>
      <c r="W37" s="37"/>
      <c r="X37" s="26"/>
      <c r="Y37" s="17"/>
    </row>
    <row r="38" spans="2:25" s="38" customFormat="1" x14ac:dyDescent="0.25">
      <c r="B38" s="20">
        <f t="shared" si="0"/>
        <v>32</v>
      </c>
      <c r="C38" s="52"/>
      <c r="D38" s="22" t="s">
        <v>418</v>
      </c>
      <c r="E38" s="2"/>
      <c r="F38" s="37">
        <v>42152</v>
      </c>
      <c r="G38" s="26" t="s">
        <v>379</v>
      </c>
      <c r="H38" s="37">
        <v>42156</v>
      </c>
      <c r="I38" s="62" t="s">
        <v>415</v>
      </c>
      <c r="J38" s="20"/>
      <c r="K38" s="26"/>
      <c r="L38" s="37"/>
      <c r="M38" s="62"/>
      <c r="N38" s="20" t="s">
        <v>84</v>
      </c>
      <c r="O38" s="26"/>
      <c r="P38" s="37"/>
      <c r="Q38" s="62"/>
      <c r="R38" s="20" t="s">
        <v>84</v>
      </c>
      <c r="S38" s="26"/>
      <c r="T38" s="37"/>
      <c r="U38" s="62"/>
      <c r="V38" s="20" t="s">
        <v>84</v>
      </c>
      <c r="W38" s="37"/>
      <c r="X38" s="26"/>
      <c r="Y38" s="17"/>
    </row>
    <row r="39" spans="2:25" s="38" customFormat="1" x14ac:dyDescent="0.25">
      <c r="B39" s="20">
        <f t="shared" si="0"/>
        <v>33</v>
      </c>
      <c r="C39" s="52" t="s">
        <v>323</v>
      </c>
      <c r="D39" s="22" t="s">
        <v>324</v>
      </c>
      <c r="E39" s="2"/>
      <c r="F39" s="37">
        <v>42152</v>
      </c>
      <c r="G39" s="26" t="s">
        <v>326</v>
      </c>
      <c r="H39" s="37"/>
      <c r="I39" s="62" t="s">
        <v>581</v>
      </c>
      <c r="J39" s="20"/>
      <c r="K39" s="26"/>
      <c r="L39" s="37"/>
      <c r="M39" s="62"/>
      <c r="N39" s="20" t="s">
        <v>84</v>
      </c>
      <c r="O39" s="26"/>
      <c r="P39" s="37"/>
      <c r="Q39" s="62"/>
      <c r="R39" s="20" t="s">
        <v>84</v>
      </c>
      <c r="S39" s="26"/>
      <c r="T39" s="37"/>
      <c r="U39" s="62"/>
      <c r="V39" s="20" t="s">
        <v>84</v>
      </c>
      <c r="W39" s="37"/>
      <c r="X39" s="26"/>
      <c r="Y39" s="17"/>
    </row>
    <row r="40" spans="2:25" s="38" customFormat="1" x14ac:dyDescent="0.25">
      <c r="B40" s="20">
        <f t="shared" si="0"/>
        <v>34</v>
      </c>
      <c r="C40" s="52" t="s">
        <v>430</v>
      </c>
      <c r="D40" s="22" t="s">
        <v>431</v>
      </c>
      <c r="E40" s="2"/>
      <c r="F40" s="37">
        <v>42158</v>
      </c>
      <c r="G40" s="26" t="s">
        <v>432</v>
      </c>
      <c r="H40" s="37">
        <v>42166</v>
      </c>
      <c r="I40" s="62" t="s">
        <v>380</v>
      </c>
      <c r="J40" s="20"/>
      <c r="K40" s="26"/>
      <c r="L40" s="37"/>
      <c r="M40" s="62"/>
      <c r="N40" s="20" t="s">
        <v>84</v>
      </c>
      <c r="O40" s="26"/>
      <c r="P40" s="37"/>
      <c r="Q40" s="62"/>
      <c r="R40" s="20" t="s">
        <v>84</v>
      </c>
      <c r="S40" s="26"/>
      <c r="T40" s="37"/>
      <c r="U40" s="62"/>
      <c r="V40" s="20" t="s">
        <v>84</v>
      </c>
      <c r="W40" s="37"/>
      <c r="X40" s="26"/>
      <c r="Y40" s="17"/>
    </row>
    <row r="41" spans="2:25" s="38" customFormat="1" x14ac:dyDescent="0.25">
      <c r="B41" s="20">
        <f t="shared" si="0"/>
        <v>35</v>
      </c>
      <c r="C41" s="52"/>
      <c r="D41" s="22" t="s">
        <v>440</v>
      </c>
      <c r="E41" s="2"/>
      <c r="F41" s="37">
        <v>42166</v>
      </c>
      <c r="G41" s="26" t="s">
        <v>441</v>
      </c>
      <c r="H41" s="37"/>
      <c r="I41" s="62"/>
      <c r="J41" s="20"/>
      <c r="K41" s="26"/>
      <c r="L41" s="37"/>
      <c r="M41" s="62"/>
      <c r="N41" s="20" t="s">
        <v>84</v>
      </c>
      <c r="O41" s="26"/>
      <c r="P41" s="37"/>
      <c r="Q41" s="62"/>
      <c r="R41" s="20" t="s">
        <v>84</v>
      </c>
      <c r="S41" s="26"/>
      <c r="T41" s="37"/>
      <c r="U41" s="62"/>
      <c r="V41" s="20" t="s">
        <v>84</v>
      </c>
      <c r="W41" s="37"/>
      <c r="X41" s="26"/>
      <c r="Y41" s="17"/>
    </row>
    <row r="42" spans="2:25" s="38" customFormat="1" x14ac:dyDescent="0.25">
      <c r="B42" s="20">
        <f t="shared" si="0"/>
        <v>36</v>
      </c>
      <c r="C42" s="52"/>
      <c r="D42" s="22" t="s">
        <v>442</v>
      </c>
      <c r="E42" s="2"/>
      <c r="F42" s="37">
        <v>42166</v>
      </c>
      <c r="G42" s="26" t="s">
        <v>443</v>
      </c>
      <c r="H42" s="37"/>
      <c r="I42" s="62"/>
      <c r="J42" s="20"/>
      <c r="K42" s="26"/>
      <c r="L42" s="37"/>
      <c r="M42" s="62"/>
      <c r="N42" s="20" t="s">
        <v>84</v>
      </c>
      <c r="O42" s="26"/>
      <c r="P42" s="37"/>
      <c r="Q42" s="62"/>
      <c r="R42" s="20" t="s">
        <v>84</v>
      </c>
      <c r="S42" s="26"/>
      <c r="T42" s="37"/>
      <c r="U42" s="62"/>
      <c r="V42" s="20" t="s">
        <v>84</v>
      </c>
      <c r="W42" s="37"/>
      <c r="X42" s="26"/>
      <c r="Y42" s="17"/>
    </row>
    <row r="43" spans="2:25" s="38" customFormat="1" x14ac:dyDescent="0.25">
      <c r="B43" s="20">
        <f t="shared" si="0"/>
        <v>37</v>
      </c>
      <c r="C43" s="52" t="s">
        <v>942</v>
      </c>
      <c r="D43" s="22" t="s">
        <v>943</v>
      </c>
      <c r="E43" s="2"/>
      <c r="F43" s="37">
        <v>42184</v>
      </c>
      <c r="G43" s="26" t="s">
        <v>131</v>
      </c>
      <c r="H43" s="37"/>
      <c r="I43" s="62" t="s">
        <v>581</v>
      </c>
      <c r="J43" s="20"/>
      <c r="K43" s="26" t="s">
        <v>944</v>
      </c>
      <c r="L43" s="37"/>
      <c r="M43" s="62" t="s">
        <v>380</v>
      </c>
      <c r="N43" s="20" t="s">
        <v>84</v>
      </c>
      <c r="O43" s="26" t="s">
        <v>369</v>
      </c>
      <c r="P43" s="37"/>
      <c r="Q43" s="62" t="s">
        <v>380</v>
      </c>
      <c r="R43" s="20" t="s">
        <v>84</v>
      </c>
      <c r="S43" s="26"/>
      <c r="T43" s="37"/>
      <c r="U43" s="62"/>
      <c r="V43" s="20" t="s">
        <v>84</v>
      </c>
      <c r="W43" s="37"/>
      <c r="X43" s="26"/>
      <c r="Y43" s="17"/>
    </row>
    <row r="44" spans="2:25" s="38" customFormat="1" x14ac:dyDescent="0.25">
      <c r="B44" s="20">
        <f t="shared" si="0"/>
        <v>38</v>
      </c>
      <c r="C44" s="52"/>
      <c r="D44" s="22"/>
      <c r="E44" s="2"/>
      <c r="F44" s="37"/>
      <c r="G44" s="26"/>
      <c r="H44" s="37"/>
      <c r="I44" s="62"/>
      <c r="J44" s="20"/>
      <c r="K44" s="26"/>
      <c r="L44" s="37"/>
      <c r="M44" s="62"/>
      <c r="N44" s="20" t="s">
        <v>84</v>
      </c>
      <c r="O44" s="26"/>
      <c r="P44" s="37"/>
      <c r="Q44" s="62"/>
      <c r="R44" s="20" t="s">
        <v>84</v>
      </c>
      <c r="S44" s="26"/>
      <c r="T44" s="37"/>
      <c r="U44" s="62"/>
      <c r="V44" s="20" t="s">
        <v>84</v>
      </c>
      <c r="W44" s="37"/>
      <c r="X44" s="26"/>
      <c r="Y44" s="17"/>
    </row>
    <row r="45" spans="2:25" s="38" customFormat="1" x14ac:dyDescent="0.25">
      <c r="B45" s="20"/>
      <c r="C45" s="52"/>
      <c r="D45" s="22"/>
      <c r="E45" s="2"/>
      <c r="F45" s="37"/>
      <c r="G45" s="26"/>
      <c r="H45" s="37"/>
      <c r="I45" s="62"/>
      <c r="J45" s="20"/>
      <c r="K45" s="26"/>
      <c r="L45" s="37"/>
      <c r="M45" s="62"/>
      <c r="N45" s="20"/>
      <c r="O45" s="26"/>
      <c r="P45" s="37"/>
      <c r="Q45" s="62"/>
      <c r="R45" s="20"/>
      <c r="S45" s="26"/>
      <c r="T45" s="37"/>
      <c r="U45" s="62"/>
      <c r="V45" s="20"/>
      <c r="W45" s="37"/>
      <c r="X45" s="26"/>
      <c r="Y45" s="17"/>
    </row>
    <row r="46" spans="2:25" s="38" customFormat="1" x14ac:dyDescent="0.25">
      <c r="B46" s="20">
        <f>B44+1</f>
        <v>39</v>
      </c>
      <c r="C46" s="52" t="s">
        <v>969</v>
      </c>
      <c r="D46" s="22" t="s">
        <v>970</v>
      </c>
      <c r="E46" s="2"/>
      <c r="F46" s="37"/>
      <c r="G46" s="26" t="s">
        <v>971</v>
      </c>
      <c r="H46" s="37"/>
      <c r="I46" s="62"/>
      <c r="J46" s="20"/>
      <c r="K46" s="26"/>
      <c r="L46" s="37"/>
      <c r="M46" s="62"/>
      <c r="N46" s="20" t="s">
        <v>84</v>
      </c>
      <c r="O46" s="26"/>
      <c r="P46" s="37"/>
      <c r="Q46" s="62"/>
      <c r="R46" s="20" t="s">
        <v>84</v>
      </c>
      <c r="S46" s="26"/>
      <c r="T46" s="37"/>
      <c r="U46" s="62"/>
      <c r="V46" s="20" t="s">
        <v>84</v>
      </c>
      <c r="W46" s="37"/>
      <c r="X46" s="26"/>
      <c r="Y46" s="17"/>
    </row>
    <row r="47" spans="2:25" s="38" customFormat="1" x14ac:dyDescent="0.25">
      <c r="B47" s="20">
        <v>40</v>
      </c>
      <c r="C47" s="52" t="s">
        <v>347</v>
      </c>
      <c r="D47" s="22" t="s">
        <v>348</v>
      </c>
      <c r="E47" s="2"/>
      <c r="F47" s="37">
        <v>42249</v>
      </c>
      <c r="G47" s="26" t="s">
        <v>1082</v>
      </c>
      <c r="H47" s="37"/>
      <c r="I47" s="62" t="s">
        <v>581</v>
      </c>
      <c r="J47" s="20"/>
      <c r="K47" s="26"/>
      <c r="L47" s="37"/>
      <c r="M47" s="62"/>
      <c r="N47" s="20"/>
      <c r="O47" s="26"/>
      <c r="P47" s="37"/>
      <c r="Q47" s="62"/>
      <c r="R47" s="20"/>
      <c r="S47" s="26"/>
      <c r="T47" s="37"/>
      <c r="U47" s="62"/>
      <c r="V47" s="20"/>
      <c r="W47" s="37"/>
      <c r="X47" s="26"/>
      <c r="Y47" s="17"/>
    </row>
    <row r="48" spans="2:25" s="38" customFormat="1" x14ac:dyDescent="0.25">
      <c r="B48" s="20">
        <v>1</v>
      </c>
      <c r="C48" s="52" t="s">
        <v>377</v>
      </c>
      <c r="D48" s="22" t="s">
        <v>378</v>
      </c>
      <c r="E48" s="2"/>
      <c r="F48" s="37">
        <v>42257</v>
      </c>
      <c r="G48" s="26" t="s">
        <v>1074</v>
      </c>
      <c r="H48" s="37"/>
      <c r="I48" s="62"/>
      <c r="J48" s="20"/>
      <c r="K48" s="26"/>
      <c r="L48" s="37"/>
      <c r="M48" s="62"/>
      <c r="N48" s="20"/>
      <c r="O48" s="26"/>
      <c r="P48" s="37"/>
      <c r="Q48" s="62"/>
      <c r="R48" s="20"/>
      <c r="S48" s="26"/>
      <c r="T48" s="37"/>
      <c r="U48" s="62"/>
      <c r="V48" s="20"/>
      <c r="W48" s="37"/>
      <c r="X48" s="26"/>
      <c r="Y48" s="17"/>
    </row>
    <row r="49" spans="2:25" s="38" customFormat="1" x14ac:dyDescent="0.25">
      <c r="B49" s="20">
        <v>2</v>
      </c>
      <c r="C49" s="52"/>
      <c r="D49" s="22" t="s">
        <v>1083</v>
      </c>
      <c r="E49" s="2"/>
      <c r="F49" s="37">
        <v>42258</v>
      </c>
      <c r="G49" s="26" t="s">
        <v>195</v>
      </c>
      <c r="H49" s="37"/>
      <c r="I49" s="62"/>
      <c r="J49" s="20"/>
      <c r="K49" s="26" t="s">
        <v>1084</v>
      </c>
      <c r="L49" s="37"/>
      <c r="M49" s="62"/>
      <c r="N49" s="20"/>
      <c r="O49" s="26"/>
      <c r="P49" s="37"/>
      <c r="Q49" s="62"/>
      <c r="R49" s="20"/>
      <c r="S49" s="26"/>
      <c r="T49" s="37"/>
      <c r="U49" s="62"/>
      <c r="V49" s="20"/>
      <c r="W49" s="37"/>
      <c r="X49" s="26"/>
      <c r="Y49" s="17"/>
    </row>
    <row r="50" spans="2:25" s="38" customFormat="1" x14ac:dyDescent="0.25">
      <c r="B50" s="20">
        <v>2</v>
      </c>
      <c r="C50" s="52" t="s">
        <v>1079</v>
      </c>
      <c r="D50" s="22" t="s">
        <v>1080</v>
      </c>
      <c r="E50" s="2"/>
      <c r="F50" s="37">
        <v>42258</v>
      </c>
      <c r="G50" s="26" t="s">
        <v>1081</v>
      </c>
      <c r="H50" s="37"/>
      <c r="I50" s="62"/>
      <c r="J50" s="20"/>
      <c r="K50" s="26"/>
      <c r="L50" s="37"/>
      <c r="M50" s="62"/>
      <c r="N50" s="20"/>
      <c r="O50" s="26"/>
      <c r="P50" s="37"/>
      <c r="Q50" s="62"/>
      <c r="R50" s="20"/>
      <c r="S50" s="26"/>
      <c r="T50" s="37"/>
      <c r="U50" s="62"/>
      <c r="V50" s="20"/>
      <c r="W50" s="37"/>
      <c r="X50" s="26"/>
      <c r="Y50" s="17"/>
    </row>
    <row r="51" spans="2:25" s="38" customFormat="1" x14ac:dyDescent="0.25">
      <c r="B51" s="20">
        <v>3</v>
      </c>
      <c r="C51" s="52" t="s">
        <v>1075</v>
      </c>
      <c r="D51" s="22" t="s">
        <v>1076</v>
      </c>
      <c r="E51" s="2"/>
      <c r="F51" s="37">
        <v>42258</v>
      </c>
      <c r="G51" s="26" t="s">
        <v>1077</v>
      </c>
      <c r="H51" s="37"/>
      <c r="I51" s="62"/>
      <c r="J51" s="20"/>
      <c r="K51" s="26"/>
      <c r="L51" s="37"/>
      <c r="M51" s="62"/>
      <c r="N51" s="20"/>
      <c r="O51" s="26"/>
      <c r="P51" s="37"/>
      <c r="Q51" s="62"/>
      <c r="R51" s="20"/>
      <c r="S51" s="26"/>
      <c r="T51" s="37"/>
      <c r="U51" s="62"/>
      <c r="V51" s="20"/>
      <c r="W51" s="37"/>
      <c r="X51" s="26"/>
      <c r="Y51" s="17"/>
    </row>
    <row r="52" spans="2:25" s="38" customFormat="1" x14ac:dyDescent="0.25">
      <c r="B52" s="20">
        <v>4</v>
      </c>
      <c r="C52" s="52" t="s">
        <v>381</v>
      </c>
      <c r="D52" s="22" t="s">
        <v>1078</v>
      </c>
      <c r="E52" s="2"/>
      <c r="F52" s="37">
        <v>42258</v>
      </c>
      <c r="G52" s="26" t="s">
        <v>1074</v>
      </c>
      <c r="H52" s="37"/>
      <c r="I52" s="62"/>
      <c r="J52" s="20"/>
      <c r="K52" s="26"/>
      <c r="L52" s="37"/>
      <c r="M52" s="62"/>
      <c r="N52" s="20"/>
      <c r="O52" s="26"/>
      <c r="P52" s="37"/>
      <c r="Q52" s="62"/>
      <c r="R52" s="20"/>
      <c r="S52" s="26"/>
      <c r="T52" s="37"/>
      <c r="U52" s="62"/>
      <c r="V52" s="20"/>
      <c r="W52" s="37"/>
      <c r="X52" s="26"/>
      <c r="Y52" s="17"/>
    </row>
    <row r="53" spans="2:25" s="38" customFormat="1" x14ac:dyDescent="0.25">
      <c r="B53" s="20">
        <v>5</v>
      </c>
      <c r="C53" s="52" t="s">
        <v>387</v>
      </c>
      <c r="D53" s="22" t="s">
        <v>388</v>
      </c>
      <c r="E53" s="2"/>
      <c r="F53" s="37">
        <v>42258</v>
      </c>
      <c r="G53" s="26" t="s">
        <v>1074</v>
      </c>
      <c r="H53" s="37"/>
      <c r="I53" s="62"/>
      <c r="J53" s="20"/>
      <c r="K53" s="26"/>
      <c r="L53" s="37"/>
      <c r="M53" s="62"/>
      <c r="N53" s="20"/>
      <c r="O53" s="26"/>
      <c r="P53" s="37"/>
      <c r="Q53" s="62"/>
      <c r="R53" s="20"/>
      <c r="S53" s="26"/>
      <c r="T53" s="37"/>
      <c r="U53" s="62"/>
      <c r="V53" s="20"/>
      <c r="W53" s="37"/>
      <c r="X53" s="26"/>
      <c r="Y53" s="17"/>
    </row>
    <row r="54" spans="2:25" s="38" customFormat="1" x14ac:dyDescent="0.25">
      <c r="B54" s="20"/>
      <c r="C54" s="52"/>
      <c r="D54" s="22"/>
      <c r="E54" s="2"/>
      <c r="F54" s="37"/>
      <c r="G54" s="26"/>
      <c r="H54" s="37"/>
      <c r="I54" s="62"/>
      <c r="J54" s="20"/>
      <c r="K54" s="26"/>
      <c r="L54" s="37"/>
      <c r="M54" s="62"/>
      <c r="N54" s="20"/>
      <c r="O54" s="26"/>
      <c r="P54" s="37"/>
      <c r="Q54" s="62"/>
      <c r="R54" s="20"/>
      <c r="S54" s="26"/>
      <c r="T54" s="37"/>
      <c r="U54" s="62"/>
      <c r="V54" s="20"/>
      <c r="W54" s="37"/>
      <c r="X54" s="26"/>
      <c r="Y54" s="17"/>
    </row>
    <row r="55" spans="2:25" s="38" customFormat="1" x14ac:dyDescent="0.25">
      <c r="B55" s="20">
        <v>7</v>
      </c>
      <c r="C55" s="52" t="s">
        <v>1184</v>
      </c>
      <c r="D55" s="22" t="s">
        <v>1185</v>
      </c>
      <c r="E55" s="2"/>
      <c r="F55" s="37">
        <v>42298</v>
      </c>
      <c r="G55" s="26" t="s">
        <v>1186</v>
      </c>
      <c r="H55" s="37"/>
      <c r="I55" s="62" t="s">
        <v>1265</v>
      </c>
      <c r="J55" s="20"/>
      <c r="K55" s="26" t="s">
        <v>443</v>
      </c>
      <c r="L55" s="37"/>
      <c r="M55" s="62" t="s">
        <v>1265</v>
      </c>
      <c r="N55" s="20"/>
      <c r="O55" s="26"/>
      <c r="P55" s="37"/>
      <c r="Q55" s="62"/>
      <c r="R55" s="20"/>
      <c r="S55" s="26"/>
      <c r="T55" s="37"/>
      <c r="U55" s="62"/>
      <c r="V55" s="20"/>
      <c r="W55" s="37"/>
      <c r="X55" s="26"/>
      <c r="Y55" s="17"/>
    </row>
    <row r="56" spans="2:25" s="38" customFormat="1" x14ac:dyDescent="0.25">
      <c r="B56" s="20">
        <v>8</v>
      </c>
      <c r="C56" s="52" t="s">
        <v>1187</v>
      </c>
      <c r="D56" s="22" t="s">
        <v>1188</v>
      </c>
      <c r="E56" s="2"/>
      <c r="F56" s="37">
        <v>42298</v>
      </c>
      <c r="G56" s="26" t="s">
        <v>432</v>
      </c>
      <c r="H56" s="37"/>
      <c r="I56" s="62"/>
      <c r="J56" s="20"/>
      <c r="K56" s="26" t="s">
        <v>407</v>
      </c>
      <c r="L56" s="37"/>
      <c r="M56" s="62"/>
      <c r="N56" s="20"/>
      <c r="O56" s="26"/>
      <c r="P56" s="37"/>
      <c r="Q56" s="62"/>
      <c r="R56" s="20"/>
      <c r="S56" s="26"/>
      <c r="T56" s="37"/>
      <c r="U56" s="62"/>
      <c r="V56" s="20"/>
      <c r="W56" s="37"/>
      <c r="X56" s="26"/>
      <c r="Y56" s="17"/>
    </row>
    <row r="57" spans="2:25" s="38" customFormat="1" x14ac:dyDescent="0.25">
      <c r="B57" s="20">
        <v>9</v>
      </c>
      <c r="C57" s="52" t="s">
        <v>1189</v>
      </c>
      <c r="D57" s="22" t="s">
        <v>1190</v>
      </c>
      <c r="E57" s="2"/>
      <c r="F57" s="37">
        <v>42298</v>
      </c>
      <c r="G57" s="26" t="s">
        <v>443</v>
      </c>
      <c r="H57" s="37"/>
      <c r="I57" s="62" t="s">
        <v>1265</v>
      </c>
      <c r="J57" s="20"/>
      <c r="K57" s="26"/>
      <c r="L57" s="37"/>
      <c r="M57" s="62"/>
      <c r="N57" s="20"/>
      <c r="O57" s="26"/>
      <c r="P57" s="37"/>
      <c r="Q57" s="62"/>
      <c r="R57" s="20"/>
      <c r="S57" s="26"/>
      <c r="T57" s="37"/>
      <c r="U57" s="62"/>
      <c r="V57" s="20"/>
      <c r="W57" s="37"/>
      <c r="X57" s="26"/>
      <c r="Y57" s="17"/>
    </row>
    <row r="58" spans="2:25" s="38" customFormat="1" x14ac:dyDescent="0.25">
      <c r="B58" s="20">
        <v>10</v>
      </c>
      <c r="C58" s="52"/>
      <c r="D58" s="22"/>
      <c r="E58" s="2"/>
      <c r="F58" s="37"/>
      <c r="G58" s="26"/>
      <c r="H58" s="37"/>
      <c r="I58" s="62"/>
      <c r="J58" s="20"/>
      <c r="K58" s="26"/>
      <c r="L58" s="37"/>
      <c r="M58" s="62"/>
      <c r="N58" s="20"/>
      <c r="O58" s="26"/>
      <c r="P58" s="37"/>
      <c r="Q58" s="62"/>
      <c r="R58" s="20"/>
      <c r="S58" s="26"/>
      <c r="T58" s="37"/>
      <c r="U58" s="62"/>
      <c r="V58" s="20"/>
      <c r="W58" s="37"/>
      <c r="X58" s="26"/>
      <c r="Y58" s="17"/>
    </row>
    <row r="59" spans="2:25" s="38" customFormat="1" x14ac:dyDescent="0.25">
      <c r="B59" s="20"/>
      <c r="C59" s="52"/>
      <c r="D59" s="22"/>
      <c r="E59" s="2"/>
      <c r="F59" s="37"/>
      <c r="G59" s="26"/>
      <c r="H59" s="37"/>
      <c r="I59" s="62"/>
      <c r="J59" s="20"/>
      <c r="K59" s="26"/>
      <c r="L59" s="37"/>
      <c r="M59" s="62"/>
      <c r="N59" s="20"/>
      <c r="O59" s="26"/>
      <c r="P59" s="37"/>
      <c r="Q59" s="62"/>
      <c r="R59" s="20"/>
      <c r="S59" s="26"/>
      <c r="T59" s="37"/>
      <c r="U59" s="62"/>
      <c r="V59" s="20"/>
      <c r="W59" s="37"/>
      <c r="X59" s="26"/>
      <c r="Y59" s="17"/>
    </row>
    <row r="60" spans="2:25" s="38" customFormat="1" x14ac:dyDescent="0.25">
      <c r="B60" s="20"/>
      <c r="C60" s="52"/>
      <c r="D60" s="22"/>
      <c r="E60" s="2"/>
      <c r="F60" s="37"/>
      <c r="G60" s="26"/>
      <c r="H60" s="37"/>
      <c r="I60" s="62"/>
      <c r="J60" s="20"/>
      <c r="K60" s="26"/>
      <c r="L60" s="37"/>
      <c r="M60" s="62"/>
      <c r="N60" s="20"/>
      <c r="O60" s="26"/>
      <c r="P60" s="37"/>
      <c r="Q60" s="62"/>
      <c r="R60" s="20"/>
      <c r="S60" s="26"/>
      <c r="T60" s="37"/>
      <c r="U60" s="62"/>
      <c r="V60" s="20"/>
      <c r="W60" s="37"/>
      <c r="X60" s="26"/>
      <c r="Y60" s="17"/>
    </row>
    <row r="61" spans="2:25" s="38" customFormat="1" x14ac:dyDescent="0.25">
      <c r="B61" s="20"/>
      <c r="C61" s="52"/>
      <c r="D61" s="22"/>
      <c r="E61" s="2"/>
      <c r="F61" s="37"/>
      <c r="G61" s="26"/>
      <c r="H61" s="37"/>
      <c r="I61" s="62"/>
      <c r="J61" s="20"/>
      <c r="K61" s="26"/>
      <c r="L61" s="37"/>
      <c r="M61" s="62"/>
      <c r="N61" s="20"/>
      <c r="O61" s="26"/>
      <c r="P61" s="37"/>
      <c r="Q61" s="62"/>
      <c r="R61" s="20"/>
      <c r="S61" s="26"/>
      <c r="T61" s="37"/>
      <c r="U61" s="62"/>
      <c r="V61" s="20"/>
      <c r="W61" s="37"/>
      <c r="X61" s="26"/>
      <c r="Y61" s="17"/>
    </row>
    <row r="62" spans="2:25" s="38" customFormat="1" x14ac:dyDescent="0.25">
      <c r="B62" s="20"/>
      <c r="C62" s="52"/>
      <c r="D62" s="22"/>
      <c r="E62" s="2"/>
      <c r="F62" s="37"/>
      <c r="G62" s="26"/>
      <c r="H62" s="37"/>
      <c r="I62" s="62"/>
      <c r="J62" s="20"/>
      <c r="K62" s="26"/>
      <c r="L62" s="37"/>
      <c r="M62" s="62"/>
      <c r="N62" s="20"/>
      <c r="O62" s="26"/>
      <c r="P62" s="37"/>
      <c r="Q62" s="62"/>
      <c r="R62" s="20"/>
      <c r="S62" s="26"/>
      <c r="T62" s="37"/>
      <c r="U62" s="62"/>
      <c r="V62" s="20"/>
      <c r="W62" s="37"/>
      <c r="X62" s="26"/>
      <c r="Y62" s="17"/>
    </row>
    <row r="63" spans="2:25" s="38" customFormat="1" x14ac:dyDescent="0.25">
      <c r="B63" s="20"/>
      <c r="C63" s="52"/>
      <c r="D63" s="22"/>
      <c r="E63" s="2"/>
      <c r="F63" s="37"/>
      <c r="G63" s="26"/>
      <c r="H63" s="37"/>
      <c r="I63" s="62"/>
      <c r="J63" s="20"/>
      <c r="K63" s="26"/>
      <c r="L63" s="37"/>
      <c r="M63" s="62"/>
      <c r="N63" s="20"/>
      <c r="O63" s="26"/>
      <c r="P63" s="37"/>
      <c r="Q63" s="62"/>
      <c r="R63" s="20"/>
      <c r="S63" s="26"/>
      <c r="T63" s="37"/>
      <c r="U63" s="62"/>
      <c r="V63" s="20"/>
      <c r="W63" s="37"/>
      <c r="X63" s="26"/>
      <c r="Y63" s="17"/>
    </row>
    <row r="64" spans="2:25" s="38" customFormat="1" x14ac:dyDescent="0.25">
      <c r="B64" s="20"/>
      <c r="C64" s="52"/>
      <c r="D64" s="22"/>
      <c r="E64" s="2"/>
      <c r="F64" s="37"/>
      <c r="G64" s="26"/>
      <c r="H64" s="37"/>
      <c r="I64" s="62"/>
      <c r="J64" s="20"/>
      <c r="K64" s="26"/>
      <c r="L64" s="37"/>
      <c r="M64" s="62"/>
      <c r="N64" s="20"/>
      <c r="O64" s="26"/>
      <c r="P64" s="37"/>
      <c r="Q64" s="62"/>
      <c r="R64" s="20"/>
      <c r="S64" s="26"/>
      <c r="T64" s="37"/>
      <c r="U64" s="62"/>
      <c r="V64" s="20"/>
      <c r="W64" s="37"/>
      <c r="X64" s="26"/>
      <c r="Y64" s="17"/>
    </row>
    <row r="65" spans="2:25" s="38" customFormat="1" x14ac:dyDescent="0.25">
      <c r="B65" s="20"/>
      <c r="C65" s="52"/>
      <c r="D65" s="22"/>
      <c r="E65" s="2"/>
      <c r="F65" s="37"/>
      <c r="G65" s="26"/>
      <c r="H65" s="37"/>
      <c r="I65" s="62"/>
      <c r="J65" s="20"/>
      <c r="K65" s="26"/>
      <c r="L65" s="37"/>
      <c r="M65" s="62"/>
      <c r="N65" s="20"/>
      <c r="O65" s="26"/>
      <c r="P65" s="37"/>
      <c r="Q65" s="62"/>
      <c r="R65" s="20"/>
      <c r="S65" s="26"/>
      <c r="T65" s="37"/>
      <c r="U65" s="62"/>
      <c r="V65" s="20"/>
      <c r="W65" s="37"/>
      <c r="X65" s="26"/>
      <c r="Y65" s="17"/>
    </row>
    <row r="66" spans="2:25" s="38" customFormat="1" x14ac:dyDescent="0.25">
      <c r="B66" s="20"/>
      <c r="C66" s="52"/>
      <c r="D66" s="22"/>
      <c r="E66" s="2"/>
      <c r="F66" s="37"/>
      <c r="G66" s="26"/>
      <c r="H66" s="37"/>
      <c r="I66" s="62"/>
      <c r="J66" s="20"/>
      <c r="K66" s="26"/>
      <c r="L66" s="37"/>
      <c r="M66" s="62"/>
      <c r="N66" s="20"/>
      <c r="O66" s="26"/>
      <c r="P66" s="37"/>
      <c r="Q66" s="62"/>
      <c r="R66" s="20"/>
      <c r="S66" s="26"/>
      <c r="T66" s="37"/>
      <c r="U66" s="62"/>
      <c r="V66" s="20"/>
      <c r="W66" s="37"/>
      <c r="X66" s="26"/>
      <c r="Y66" s="17"/>
    </row>
    <row r="67" spans="2:25" s="38" customFormat="1" x14ac:dyDescent="0.25">
      <c r="B67" s="20"/>
      <c r="C67" s="52"/>
      <c r="D67" s="22"/>
      <c r="E67" s="2"/>
      <c r="F67" s="37"/>
      <c r="G67" s="26"/>
      <c r="H67" s="37"/>
      <c r="I67" s="62"/>
      <c r="J67" s="20"/>
      <c r="K67" s="26"/>
      <c r="L67" s="37"/>
      <c r="M67" s="62"/>
      <c r="N67" s="20"/>
      <c r="O67" s="26"/>
      <c r="P67" s="37"/>
      <c r="Q67" s="62"/>
      <c r="R67" s="20"/>
      <c r="S67" s="26"/>
      <c r="T67" s="37"/>
      <c r="U67" s="62"/>
      <c r="V67" s="20"/>
      <c r="W67" s="37"/>
      <c r="X67" s="26"/>
      <c r="Y67" s="17"/>
    </row>
    <row r="68" spans="2:25" s="38" customFormat="1" x14ac:dyDescent="0.25">
      <c r="B68" s="20"/>
      <c r="C68" s="52"/>
      <c r="D68" s="22"/>
      <c r="E68" s="2"/>
      <c r="F68" s="37"/>
      <c r="G68" s="26"/>
      <c r="H68" s="37"/>
      <c r="I68" s="62"/>
      <c r="J68" s="20"/>
      <c r="K68" s="26"/>
      <c r="L68" s="37"/>
      <c r="M68" s="62"/>
      <c r="N68" s="20"/>
      <c r="O68" s="26"/>
      <c r="P68" s="37"/>
      <c r="Q68" s="62"/>
      <c r="R68" s="20"/>
      <c r="S68" s="26"/>
      <c r="T68" s="37"/>
      <c r="U68" s="62"/>
      <c r="V68" s="20"/>
      <c r="W68" s="37"/>
      <c r="X68" s="26"/>
      <c r="Y68" s="17"/>
    </row>
    <row r="69" spans="2:25" s="38" customFormat="1" x14ac:dyDescent="0.25">
      <c r="B69" s="20"/>
      <c r="C69" s="52"/>
      <c r="D69" s="22"/>
      <c r="E69" s="2"/>
      <c r="F69" s="37"/>
      <c r="G69" s="26"/>
      <c r="H69" s="37"/>
      <c r="I69" s="62"/>
      <c r="J69" s="20"/>
      <c r="K69" s="26"/>
      <c r="L69" s="37"/>
      <c r="M69" s="62"/>
      <c r="N69" s="20"/>
      <c r="O69" s="26"/>
      <c r="P69" s="37"/>
      <c r="Q69" s="62"/>
      <c r="R69" s="20"/>
      <c r="S69" s="26"/>
      <c r="T69" s="37"/>
      <c r="U69" s="62"/>
      <c r="V69" s="20"/>
      <c r="W69" s="37"/>
      <c r="X69" s="26"/>
      <c r="Y69" s="17"/>
    </row>
    <row r="70" spans="2:25" s="38" customFormat="1" x14ac:dyDescent="0.25">
      <c r="B70" s="20"/>
      <c r="C70" s="52"/>
      <c r="D70" s="22"/>
      <c r="E70" s="2"/>
      <c r="F70" s="37"/>
      <c r="G70" s="26"/>
      <c r="H70" s="37"/>
      <c r="I70" s="62"/>
      <c r="J70" s="20"/>
      <c r="K70" s="26"/>
      <c r="L70" s="37"/>
      <c r="M70" s="62"/>
      <c r="N70" s="20"/>
      <c r="O70" s="26"/>
      <c r="P70" s="37"/>
      <c r="Q70" s="62"/>
      <c r="R70" s="20"/>
      <c r="S70" s="26"/>
      <c r="T70" s="37"/>
      <c r="U70" s="62"/>
      <c r="V70" s="20"/>
      <c r="W70" s="37"/>
      <c r="X70" s="26"/>
      <c r="Y70" s="17"/>
    </row>
    <row r="71" spans="2:25" s="38" customFormat="1" x14ac:dyDescent="0.25">
      <c r="B71" s="20"/>
      <c r="C71" s="52"/>
      <c r="D71" s="22"/>
      <c r="E71" s="2"/>
      <c r="F71" s="37"/>
      <c r="G71" s="26"/>
      <c r="H71" s="37"/>
      <c r="I71" s="62"/>
      <c r="J71" s="20"/>
      <c r="K71" s="26"/>
      <c r="L71" s="37"/>
      <c r="M71" s="62"/>
      <c r="N71" s="20"/>
      <c r="O71" s="26"/>
      <c r="P71" s="37"/>
      <c r="Q71" s="62"/>
      <c r="R71" s="20"/>
      <c r="S71" s="26"/>
      <c r="T71" s="37"/>
      <c r="U71" s="62"/>
      <c r="V71" s="20"/>
      <c r="W71" s="37"/>
      <c r="X71" s="26"/>
      <c r="Y71" s="17"/>
    </row>
    <row r="72" spans="2:25" s="38" customFormat="1" x14ac:dyDescent="0.25">
      <c r="B72" s="20"/>
      <c r="C72" s="52"/>
      <c r="D72" s="22"/>
      <c r="E72" s="2"/>
      <c r="F72" s="37"/>
      <c r="G72" s="26"/>
      <c r="H72" s="37"/>
      <c r="I72" s="62"/>
      <c r="J72" s="20"/>
      <c r="K72" s="26"/>
      <c r="L72" s="37"/>
      <c r="M72" s="62"/>
      <c r="N72" s="20"/>
      <c r="O72" s="26"/>
      <c r="P72" s="37"/>
      <c r="Q72" s="62"/>
      <c r="R72" s="20"/>
      <c r="S72" s="26"/>
      <c r="T72" s="37"/>
      <c r="U72" s="62"/>
      <c r="V72" s="20"/>
      <c r="W72" s="37"/>
      <c r="X72" s="26"/>
      <c r="Y72" s="17"/>
    </row>
    <row r="73" spans="2:25" s="38" customFormat="1" x14ac:dyDescent="0.25">
      <c r="B73" s="20"/>
      <c r="C73" s="52"/>
      <c r="D73" s="22"/>
      <c r="E73" s="2"/>
      <c r="F73" s="37"/>
      <c r="G73" s="26"/>
      <c r="H73" s="37"/>
      <c r="I73" s="62"/>
      <c r="J73" s="20"/>
      <c r="K73" s="26"/>
      <c r="L73" s="37"/>
      <c r="M73" s="62"/>
      <c r="N73" s="20"/>
      <c r="O73" s="26"/>
      <c r="P73" s="37"/>
      <c r="Q73" s="62"/>
      <c r="R73" s="20"/>
      <c r="S73" s="26"/>
      <c r="T73" s="37"/>
      <c r="U73" s="62"/>
      <c r="V73" s="20"/>
      <c r="W73" s="37"/>
      <c r="X73" s="26"/>
      <c r="Y73" s="17"/>
    </row>
    <row r="74" spans="2:25" s="38" customFormat="1" x14ac:dyDescent="0.25">
      <c r="B74" s="20"/>
      <c r="C74" s="52"/>
      <c r="D74" s="22"/>
      <c r="E74" s="2"/>
      <c r="F74" s="37"/>
      <c r="G74" s="26"/>
      <c r="H74" s="37"/>
      <c r="I74" s="62"/>
      <c r="J74" s="20"/>
      <c r="K74" s="26"/>
      <c r="L74" s="37"/>
      <c r="M74" s="62"/>
      <c r="N74" s="20"/>
      <c r="O74" s="26"/>
      <c r="P74" s="37"/>
      <c r="Q74" s="62"/>
      <c r="R74" s="20"/>
      <c r="S74" s="26"/>
      <c r="T74" s="37"/>
      <c r="U74" s="62"/>
      <c r="V74" s="20"/>
      <c r="W74" s="37"/>
      <c r="X74" s="26"/>
      <c r="Y74" s="17"/>
    </row>
    <row r="75" spans="2:25" s="38" customFormat="1" x14ac:dyDescent="0.25">
      <c r="B75" s="20"/>
      <c r="C75" s="52"/>
      <c r="D75" s="22"/>
      <c r="E75" s="2"/>
      <c r="F75" s="37"/>
      <c r="G75" s="26"/>
      <c r="H75" s="37"/>
      <c r="I75" s="62"/>
      <c r="J75" s="20"/>
      <c r="K75" s="26"/>
      <c r="L75" s="37"/>
      <c r="M75" s="62"/>
      <c r="N75" s="20"/>
      <c r="O75" s="26"/>
      <c r="P75" s="37"/>
      <c r="Q75" s="62"/>
      <c r="R75" s="20"/>
      <c r="S75" s="26"/>
      <c r="T75" s="37"/>
      <c r="U75" s="62"/>
      <c r="V75" s="20"/>
      <c r="W75" s="37"/>
      <c r="X75" s="26"/>
      <c r="Y75" s="17"/>
    </row>
    <row r="76" spans="2:25" s="38" customFormat="1" x14ac:dyDescent="0.25">
      <c r="B76" s="20"/>
      <c r="C76" s="52"/>
      <c r="D76" s="22"/>
      <c r="E76" s="2"/>
      <c r="F76" s="37"/>
      <c r="G76" s="26"/>
      <c r="H76" s="37"/>
      <c r="I76" s="62"/>
      <c r="J76" s="20"/>
      <c r="K76" s="26"/>
      <c r="L76" s="37"/>
      <c r="M76" s="62"/>
      <c r="N76" s="20"/>
      <c r="O76" s="26"/>
      <c r="P76" s="37"/>
      <c r="Q76" s="62"/>
      <c r="R76" s="20"/>
      <c r="S76" s="26"/>
      <c r="T76" s="37"/>
      <c r="U76" s="62"/>
      <c r="V76" s="20"/>
      <c r="W76" s="37"/>
      <c r="X76" s="26"/>
      <c r="Y76" s="17"/>
    </row>
    <row r="77" spans="2:25" s="38" customFormat="1" x14ac:dyDescent="0.25">
      <c r="B77" s="20"/>
      <c r="C77" s="52"/>
      <c r="D77" s="22"/>
      <c r="E77" s="2"/>
      <c r="F77" s="37"/>
      <c r="G77" s="26"/>
      <c r="H77" s="37"/>
      <c r="I77" s="62"/>
      <c r="J77" s="20"/>
      <c r="K77" s="26"/>
      <c r="L77" s="37"/>
      <c r="M77" s="62"/>
      <c r="N77" s="20"/>
      <c r="O77" s="26"/>
      <c r="P77" s="37"/>
      <c r="Q77" s="62"/>
      <c r="R77" s="20"/>
      <c r="S77" s="26"/>
      <c r="T77" s="37"/>
      <c r="U77" s="62"/>
      <c r="V77" s="20"/>
      <c r="W77" s="37"/>
      <c r="X77" s="26"/>
      <c r="Y77" s="17"/>
    </row>
    <row r="78" spans="2:25" s="38" customFormat="1" x14ac:dyDescent="0.25">
      <c r="B78" s="20"/>
      <c r="C78" s="52"/>
      <c r="D78" s="22"/>
      <c r="E78" s="2"/>
      <c r="F78" s="37"/>
      <c r="G78" s="26"/>
      <c r="H78" s="37"/>
      <c r="I78" s="62"/>
      <c r="J78" s="20"/>
      <c r="K78" s="26"/>
      <c r="L78" s="37"/>
      <c r="M78" s="62"/>
      <c r="N78" s="20"/>
      <c r="O78" s="26"/>
      <c r="P78" s="37"/>
      <c r="Q78" s="62"/>
      <c r="R78" s="20"/>
      <c r="S78" s="26"/>
      <c r="T78" s="37"/>
      <c r="U78" s="62"/>
      <c r="V78" s="20"/>
      <c r="W78" s="37"/>
      <c r="X78" s="26"/>
      <c r="Y78" s="17"/>
    </row>
    <row r="79" spans="2:25" s="38" customFormat="1" x14ac:dyDescent="0.25">
      <c r="B79" s="20"/>
      <c r="C79" s="52"/>
      <c r="D79" s="22"/>
      <c r="E79" s="2"/>
      <c r="F79" s="37"/>
      <c r="G79" s="26"/>
      <c r="H79" s="37"/>
      <c r="I79" s="62"/>
      <c r="J79" s="20"/>
      <c r="K79" s="26"/>
      <c r="L79" s="37"/>
      <c r="M79" s="62"/>
      <c r="N79" s="20"/>
      <c r="O79" s="26"/>
      <c r="P79" s="37"/>
      <c r="Q79" s="62"/>
      <c r="R79" s="20"/>
      <c r="S79" s="26"/>
      <c r="T79" s="37"/>
      <c r="U79" s="62"/>
      <c r="V79" s="20"/>
      <c r="W79" s="37"/>
      <c r="X79" s="26"/>
      <c r="Y79" s="17"/>
    </row>
    <row r="80" spans="2:25" s="38" customFormat="1" x14ac:dyDescent="0.25">
      <c r="B80" s="20"/>
      <c r="C80" s="52"/>
      <c r="D80" s="22"/>
      <c r="E80" s="2"/>
      <c r="F80" s="37"/>
      <c r="G80" s="26"/>
      <c r="H80" s="37"/>
      <c r="I80" s="62"/>
      <c r="J80" s="20"/>
      <c r="K80" s="26"/>
      <c r="L80" s="37"/>
      <c r="M80" s="62"/>
      <c r="N80" s="20"/>
      <c r="O80" s="26"/>
      <c r="P80" s="37"/>
      <c r="Q80" s="62"/>
      <c r="R80" s="20"/>
      <c r="S80" s="26"/>
      <c r="T80" s="37"/>
      <c r="U80" s="62"/>
      <c r="V80" s="20"/>
      <c r="W80" s="37"/>
      <c r="X80" s="26"/>
      <c r="Y80" s="17"/>
    </row>
    <row r="81" spans="2:25" s="38" customFormat="1" x14ac:dyDescent="0.25">
      <c r="B81" s="20"/>
      <c r="C81" s="52"/>
      <c r="D81" s="22"/>
      <c r="E81" s="2"/>
      <c r="F81" s="37"/>
      <c r="G81" s="26"/>
      <c r="H81" s="37"/>
      <c r="I81" s="62"/>
      <c r="J81" s="20"/>
      <c r="K81" s="26"/>
      <c r="L81" s="37"/>
      <c r="M81" s="62"/>
      <c r="N81" s="20"/>
      <c r="O81" s="26"/>
      <c r="P81" s="37"/>
      <c r="Q81" s="62"/>
      <c r="R81" s="20"/>
      <c r="S81" s="26"/>
      <c r="T81" s="37"/>
      <c r="U81" s="62"/>
      <c r="V81" s="20"/>
      <c r="W81" s="37"/>
      <c r="X81" s="26"/>
      <c r="Y81" s="17"/>
    </row>
    <row r="82" spans="2:25" s="38" customFormat="1" x14ac:dyDescent="0.25">
      <c r="B82" s="20"/>
      <c r="C82" s="52"/>
      <c r="D82" s="22"/>
      <c r="E82" s="2"/>
      <c r="F82" s="37"/>
      <c r="G82" s="26"/>
      <c r="H82" s="37"/>
      <c r="I82" s="62"/>
      <c r="J82" s="20"/>
      <c r="K82" s="26"/>
      <c r="L82" s="37"/>
      <c r="M82" s="62"/>
      <c r="N82" s="20"/>
      <c r="O82" s="26"/>
      <c r="P82" s="37"/>
      <c r="Q82" s="62"/>
      <c r="R82" s="20"/>
      <c r="S82" s="26"/>
      <c r="T82" s="37"/>
      <c r="U82" s="62"/>
      <c r="V82" s="20"/>
      <c r="W82" s="37"/>
      <c r="X82" s="26"/>
      <c r="Y82" s="17"/>
    </row>
    <row r="83" spans="2:25" s="38" customFormat="1" x14ac:dyDescent="0.25">
      <c r="B83" s="20"/>
      <c r="C83" s="52"/>
      <c r="D83" s="22"/>
      <c r="E83" s="2"/>
      <c r="F83" s="37"/>
      <c r="G83" s="26"/>
      <c r="H83" s="37"/>
      <c r="I83" s="62"/>
      <c r="J83" s="20"/>
      <c r="K83" s="26"/>
      <c r="L83" s="37"/>
      <c r="M83" s="62"/>
      <c r="N83" s="20"/>
      <c r="O83" s="26"/>
      <c r="P83" s="37"/>
      <c r="Q83" s="62"/>
      <c r="R83" s="20"/>
      <c r="S83" s="26"/>
      <c r="T83" s="37"/>
      <c r="U83" s="62"/>
      <c r="V83" s="20"/>
      <c r="W83" s="37"/>
      <c r="X83" s="26"/>
      <c r="Y83" s="17"/>
    </row>
    <row r="84" spans="2:25" s="38" customFormat="1" x14ac:dyDescent="0.25">
      <c r="B84" s="20"/>
      <c r="C84" s="52"/>
      <c r="D84" s="22"/>
      <c r="E84" s="2"/>
      <c r="F84" s="37"/>
      <c r="G84" s="26"/>
      <c r="H84" s="37"/>
      <c r="I84" s="62"/>
      <c r="J84" s="20"/>
      <c r="K84" s="26"/>
      <c r="L84" s="37"/>
      <c r="M84" s="62"/>
      <c r="N84" s="20"/>
      <c r="O84" s="26"/>
      <c r="P84" s="37"/>
      <c r="Q84" s="62"/>
      <c r="R84" s="20"/>
      <c r="S84" s="26"/>
      <c r="T84" s="37"/>
      <c r="U84" s="62"/>
      <c r="V84" s="20"/>
      <c r="W84" s="37"/>
      <c r="X84" s="26"/>
      <c r="Y84" s="17"/>
    </row>
    <row r="85" spans="2:25" s="38" customFormat="1" x14ac:dyDescent="0.25">
      <c r="B85" s="20"/>
      <c r="C85" s="52"/>
      <c r="D85" s="22"/>
      <c r="E85" s="2"/>
      <c r="F85" s="37"/>
      <c r="G85" s="26"/>
      <c r="H85" s="37"/>
      <c r="I85" s="62"/>
      <c r="J85" s="20"/>
      <c r="K85" s="26"/>
      <c r="L85" s="37"/>
      <c r="M85" s="62"/>
      <c r="N85" s="20"/>
      <c r="O85" s="26"/>
      <c r="P85" s="37"/>
      <c r="Q85" s="62"/>
      <c r="R85" s="20"/>
      <c r="S85" s="26"/>
      <c r="T85" s="37"/>
      <c r="U85" s="62"/>
      <c r="V85" s="20"/>
      <c r="W85" s="37"/>
      <c r="X85" s="26"/>
      <c r="Y85" s="17"/>
    </row>
    <row r="86" spans="2:25" s="38" customFormat="1" x14ac:dyDescent="0.25">
      <c r="B86" s="20"/>
      <c r="C86" s="52"/>
      <c r="D86" s="22"/>
      <c r="E86" s="2"/>
      <c r="F86" s="37"/>
      <c r="G86" s="26"/>
      <c r="H86" s="37"/>
      <c r="I86" s="62"/>
      <c r="J86" s="20"/>
      <c r="K86" s="26"/>
      <c r="L86" s="37"/>
      <c r="M86" s="62"/>
      <c r="N86" s="20"/>
      <c r="O86" s="26"/>
      <c r="P86" s="37"/>
      <c r="Q86" s="62"/>
      <c r="R86" s="20"/>
      <c r="S86" s="26"/>
      <c r="T86" s="37"/>
      <c r="U86" s="62"/>
      <c r="V86" s="20"/>
      <c r="W86" s="37"/>
      <c r="X86" s="26"/>
      <c r="Y86" s="17"/>
    </row>
    <row r="87" spans="2:25" s="38" customFormat="1" x14ac:dyDescent="0.25">
      <c r="B87" s="20"/>
      <c r="C87" s="52"/>
      <c r="D87" s="22"/>
      <c r="E87" s="2"/>
      <c r="F87" s="37"/>
      <c r="G87" s="26"/>
      <c r="H87" s="37"/>
      <c r="I87" s="62"/>
      <c r="J87" s="20"/>
      <c r="K87" s="26"/>
      <c r="L87" s="37"/>
      <c r="M87" s="62"/>
      <c r="N87" s="20"/>
      <c r="O87" s="26"/>
      <c r="P87" s="37"/>
      <c r="Q87" s="62"/>
      <c r="R87" s="20"/>
      <c r="S87" s="26"/>
      <c r="T87" s="37"/>
      <c r="U87" s="62"/>
      <c r="V87" s="20"/>
      <c r="W87" s="37"/>
      <c r="X87" s="26"/>
      <c r="Y87" s="17"/>
    </row>
    <row r="88" spans="2:25" s="38" customFormat="1" x14ac:dyDescent="0.25">
      <c r="B88" s="20"/>
      <c r="C88" s="52"/>
      <c r="D88" s="22"/>
      <c r="E88" s="2"/>
      <c r="F88" s="37"/>
      <c r="G88" s="26"/>
      <c r="H88" s="37"/>
      <c r="I88" s="62"/>
      <c r="J88" s="20"/>
      <c r="K88" s="26"/>
      <c r="L88" s="37"/>
      <c r="M88" s="62"/>
      <c r="N88" s="20"/>
      <c r="O88" s="26"/>
      <c r="P88" s="37"/>
      <c r="Q88" s="62"/>
      <c r="R88" s="20"/>
      <c r="S88" s="26"/>
      <c r="T88" s="37"/>
      <c r="U88" s="62"/>
      <c r="V88" s="20"/>
      <c r="W88" s="37"/>
      <c r="X88" s="26"/>
      <c r="Y88" s="17"/>
    </row>
    <row r="89" spans="2:25" s="38" customFormat="1" x14ac:dyDescent="0.25">
      <c r="B89" s="20"/>
      <c r="C89" s="52"/>
      <c r="D89" s="22"/>
      <c r="E89" s="2"/>
      <c r="F89" s="37"/>
      <c r="G89" s="26"/>
      <c r="H89" s="37"/>
      <c r="I89" s="62"/>
      <c r="J89" s="20"/>
      <c r="K89" s="26"/>
      <c r="L89" s="37"/>
      <c r="M89" s="62"/>
      <c r="N89" s="20"/>
      <c r="O89" s="26"/>
      <c r="P89" s="37"/>
      <c r="Q89" s="62"/>
      <c r="R89" s="20"/>
      <c r="S89" s="26"/>
      <c r="T89" s="37"/>
      <c r="U89" s="62"/>
      <c r="V89" s="20"/>
      <c r="W89" s="37"/>
      <c r="X89" s="26"/>
      <c r="Y89" s="17"/>
    </row>
    <row r="90" spans="2:25" s="38" customFormat="1" x14ac:dyDescent="0.25">
      <c r="B90" s="20"/>
      <c r="C90" s="52"/>
      <c r="D90" s="22"/>
      <c r="E90" s="2"/>
      <c r="F90" s="37"/>
      <c r="G90" s="26"/>
      <c r="H90" s="37"/>
      <c r="I90" s="62"/>
      <c r="J90" s="20"/>
      <c r="K90" s="26"/>
      <c r="L90" s="37"/>
      <c r="M90" s="62"/>
      <c r="N90" s="20"/>
      <c r="O90" s="26"/>
      <c r="P90" s="37"/>
      <c r="Q90" s="62"/>
      <c r="R90" s="20"/>
      <c r="S90" s="26"/>
      <c r="T90" s="37"/>
      <c r="U90" s="62"/>
      <c r="V90" s="20"/>
      <c r="W90" s="37"/>
      <c r="X90" s="26"/>
      <c r="Y90" s="17"/>
    </row>
    <row r="91" spans="2:25" s="38" customFormat="1" x14ac:dyDescent="0.25">
      <c r="B91" s="20"/>
      <c r="C91" s="52"/>
      <c r="D91" s="22"/>
      <c r="E91" s="2"/>
      <c r="F91" s="37"/>
      <c r="G91" s="26"/>
      <c r="H91" s="37"/>
      <c r="I91" s="62"/>
      <c r="J91" s="20"/>
      <c r="K91" s="26"/>
      <c r="L91" s="37"/>
      <c r="M91" s="62"/>
      <c r="N91" s="20"/>
      <c r="O91" s="26"/>
      <c r="P91" s="37"/>
      <c r="Q91" s="62"/>
      <c r="R91" s="20"/>
      <c r="S91" s="26"/>
      <c r="T91" s="37"/>
      <c r="U91" s="62"/>
      <c r="V91" s="20"/>
      <c r="W91" s="37"/>
      <c r="X91" s="26"/>
      <c r="Y91" s="17"/>
    </row>
    <row r="92" spans="2:25" s="38" customFormat="1" x14ac:dyDescent="0.25">
      <c r="B92" s="20"/>
      <c r="C92" s="52"/>
      <c r="D92" s="22"/>
      <c r="E92" s="2"/>
      <c r="F92" s="37"/>
      <c r="G92" s="26"/>
      <c r="H92" s="37"/>
      <c r="I92" s="62"/>
      <c r="J92" s="20"/>
      <c r="K92" s="26"/>
      <c r="L92" s="37"/>
      <c r="M92" s="62"/>
      <c r="N92" s="20"/>
      <c r="O92" s="26"/>
      <c r="P92" s="37"/>
      <c r="Q92" s="62"/>
      <c r="R92" s="20"/>
      <c r="S92" s="26"/>
      <c r="T92" s="37"/>
      <c r="U92" s="62"/>
      <c r="V92" s="20"/>
      <c r="W92" s="37"/>
      <c r="X92" s="26"/>
      <c r="Y92" s="17"/>
    </row>
    <row r="93" spans="2:25" s="38" customFormat="1" x14ac:dyDescent="0.25">
      <c r="B93" s="20"/>
      <c r="C93" s="52"/>
      <c r="D93" s="22"/>
      <c r="E93" s="2"/>
      <c r="F93" s="37"/>
      <c r="G93" s="26"/>
      <c r="H93" s="37"/>
      <c r="I93" s="62"/>
      <c r="J93" s="20"/>
      <c r="K93" s="26"/>
      <c r="L93" s="37"/>
      <c r="M93" s="62"/>
      <c r="N93" s="20"/>
      <c r="O93" s="26"/>
      <c r="P93" s="37"/>
      <c r="Q93" s="62"/>
      <c r="R93" s="20"/>
      <c r="S93" s="26"/>
      <c r="T93" s="37"/>
      <c r="U93" s="62"/>
      <c r="V93" s="20"/>
      <c r="W93" s="37"/>
      <c r="X93" s="26"/>
      <c r="Y93" s="17"/>
    </row>
    <row r="94" spans="2:25" s="38" customFormat="1" x14ac:dyDescent="0.25">
      <c r="B94" s="20"/>
      <c r="C94" s="52"/>
      <c r="D94" s="22"/>
      <c r="E94" s="2"/>
      <c r="F94" s="37"/>
      <c r="G94" s="26"/>
      <c r="H94" s="37"/>
      <c r="I94" s="62"/>
      <c r="J94" s="20"/>
      <c r="K94" s="26"/>
      <c r="L94" s="37"/>
      <c r="M94" s="62"/>
      <c r="N94" s="20"/>
      <c r="O94" s="26"/>
      <c r="P94" s="37"/>
      <c r="Q94" s="62"/>
      <c r="R94" s="20"/>
      <c r="S94" s="26"/>
      <c r="T94" s="37"/>
      <c r="U94" s="62"/>
      <c r="V94" s="20"/>
      <c r="W94" s="37"/>
      <c r="X94" s="26"/>
      <c r="Y94" s="17"/>
    </row>
    <row r="95" spans="2:25" s="38" customFormat="1" x14ac:dyDescent="0.25">
      <c r="B95" s="20"/>
      <c r="C95" s="52"/>
      <c r="D95" s="22"/>
      <c r="E95" s="2"/>
      <c r="F95" s="37"/>
      <c r="G95" s="26"/>
      <c r="H95" s="37"/>
      <c r="I95" s="62"/>
      <c r="J95" s="20"/>
      <c r="K95" s="26"/>
      <c r="L95" s="37"/>
      <c r="M95" s="62"/>
      <c r="N95" s="20"/>
      <c r="O95" s="26"/>
      <c r="P95" s="37"/>
      <c r="Q95" s="62"/>
      <c r="R95" s="20"/>
      <c r="S95" s="26"/>
      <c r="T95" s="37"/>
      <c r="U95" s="62"/>
      <c r="V95" s="20"/>
      <c r="W95" s="37"/>
      <c r="X95" s="26"/>
      <c r="Y95" s="17"/>
    </row>
    <row r="96" spans="2:25" s="38" customFormat="1" x14ac:dyDescent="0.25">
      <c r="B96" s="20"/>
      <c r="C96" s="52"/>
      <c r="D96" s="22"/>
      <c r="E96" s="2"/>
      <c r="F96" s="37"/>
      <c r="G96" s="26"/>
      <c r="H96" s="37"/>
      <c r="I96" s="62"/>
      <c r="J96" s="20"/>
      <c r="K96" s="26"/>
      <c r="L96" s="37"/>
      <c r="M96" s="62"/>
      <c r="N96" s="20"/>
      <c r="O96" s="26"/>
      <c r="P96" s="37"/>
      <c r="Q96" s="62"/>
      <c r="R96" s="20"/>
      <c r="S96" s="26"/>
      <c r="T96" s="37"/>
      <c r="U96" s="62"/>
      <c r="V96" s="20"/>
      <c r="W96" s="37"/>
      <c r="X96" s="26"/>
      <c r="Y96" s="17"/>
    </row>
    <row r="97" spans="2:25" s="38" customFormat="1" x14ac:dyDescent="0.25">
      <c r="B97" s="20"/>
      <c r="C97" s="52"/>
      <c r="D97" s="22"/>
      <c r="E97" s="2"/>
      <c r="F97" s="37"/>
      <c r="G97" s="26"/>
      <c r="H97" s="37"/>
      <c r="I97" s="62"/>
      <c r="J97" s="20"/>
      <c r="K97" s="26"/>
      <c r="L97" s="37"/>
      <c r="M97" s="62"/>
      <c r="N97" s="20"/>
      <c r="O97" s="26"/>
      <c r="P97" s="37"/>
      <c r="Q97" s="62"/>
      <c r="R97" s="20"/>
      <c r="S97" s="26"/>
      <c r="T97" s="37"/>
      <c r="U97" s="62"/>
      <c r="V97" s="20"/>
      <c r="W97" s="37"/>
      <c r="X97" s="26"/>
      <c r="Y97" s="17"/>
    </row>
    <row r="98" spans="2:25" s="38" customFormat="1" x14ac:dyDescent="0.25">
      <c r="B98" s="20"/>
      <c r="C98" s="52"/>
      <c r="D98" s="22"/>
      <c r="E98" s="2"/>
      <c r="F98" s="37"/>
      <c r="G98" s="26"/>
      <c r="H98" s="37"/>
      <c r="I98" s="62"/>
      <c r="J98" s="20"/>
      <c r="K98" s="26"/>
      <c r="L98" s="37"/>
      <c r="M98" s="62"/>
      <c r="N98" s="20"/>
      <c r="O98" s="26"/>
      <c r="P98" s="37"/>
      <c r="Q98" s="62"/>
      <c r="R98" s="20"/>
      <c r="S98" s="26"/>
      <c r="T98" s="37"/>
      <c r="U98" s="62"/>
      <c r="V98" s="20"/>
      <c r="W98" s="37"/>
      <c r="X98" s="26"/>
      <c r="Y98" s="17"/>
    </row>
    <row r="99" spans="2:25" s="38" customFormat="1" x14ac:dyDescent="0.25">
      <c r="B99" s="20"/>
      <c r="C99" s="52"/>
      <c r="D99" s="22"/>
      <c r="E99" s="2"/>
      <c r="F99" s="37"/>
      <c r="G99" s="26"/>
      <c r="H99" s="37"/>
      <c r="I99" s="62"/>
      <c r="J99" s="20"/>
      <c r="K99" s="26"/>
      <c r="L99" s="37"/>
      <c r="M99" s="62"/>
      <c r="N99" s="20"/>
      <c r="O99" s="26"/>
      <c r="P99" s="37"/>
      <c r="Q99" s="62"/>
      <c r="R99" s="20"/>
      <c r="S99" s="26"/>
      <c r="T99" s="37"/>
      <c r="U99" s="62"/>
      <c r="V99" s="20"/>
      <c r="W99" s="37"/>
      <c r="X99" s="26"/>
      <c r="Y99" s="17"/>
    </row>
    <row r="100" spans="2:25" s="38" customFormat="1" x14ac:dyDescent="0.25">
      <c r="B100" s="20"/>
      <c r="C100" s="52"/>
      <c r="D100" s="22"/>
      <c r="E100" s="2"/>
      <c r="F100" s="37"/>
      <c r="G100" s="26"/>
      <c r="H100" s="37"/>
      <c r="I100" s="62"/>
      <c r="J100" s="20"/>
      <c r="K100" s="26"/>
      <c r="L100" s="37"/>
      <c r="M100" s="62"/>
      <c r="N100" s="20"/>
      <c r="O100" s="26"/>
      <c r="P100" s="37"/>
      <c r="Q100" s="62"/>
      <c r="R100" s="20"/>
      <c r="S100" s="26"/>
      <c r="T100" s="37"/>
      <c r="U100" s="62"/>
      <c r="V100" s="20"/>
      <c r="W100" s="37"/>
      <c r="X100" s="26"/>
      <c r="Y100" s="17"/>
    </row>
    <row r="101" spans="2:25" s="38" customFormat="1" x14ac:dyDescent="0.25">
      <c r="B101" s="20"/>
      <c r="C101" s="52"/>
      <c r="D101" s="22"/>
      <c r="E101" s="2"/>
      <c r="F101" s="37"/>
      <c r="G101" s="26"/>
      <c r="H101" s="37"/>
      <c r="I101" s="62"/>
      <c r="J101" s="20"/>
      <c r="K101" s="26"/>
      <c r="L101" s="37"/>
      <c r="M101" s="62"/>
      <c r="N101" s="20"/>
      <c r="O101" s="26"/>
      <c r="P101" s="37"/>
      <c r="Q101" s="62"/>
      <c r="R101" s="20"/>
      <c r="S101" s="26"/>
      <c r="T101" s="37"/>
      <c r="U101" s="62"/>
      <c r="V101" s="20"/>
      <c r="W101" s="37"/>
      <c r="X101" s="26"/>
      <c r="Y101" s="17"/>
    </row>
    <row r="102" spans="2:25" s="38" customFormat="1" x14ac:dyDescent="0.25">
      <c r="B102" s="20"/>
      <c r="C102" s="52"/>
      <c r="D102" s="22"/>
      <c r="E102" s="2"/>
      <c r="F102" s="37"/>
      <c r="G102" s="26"/>
      <c r="H102" s="37"/>
      <c r="I102" s="62"/>
      <c r="J102" s="20"/>
      <c r="K102" s="26"/>
      <c r="L102" s="37"/>
      <c r="M102" s="62"/>
      <c r="N102" s="20"/>
      <c r="O102" s="26"/>
      <c r="P102" s="37"/>
      <c r="Q102" s="62"/>
      <c r="R102" s="20"/>
      <c r="S102" s="26"/>
      <c r="T102" s="37"/>
      <c r="U102" s="62"/>
      <c r="V102" s="20"/>
      <c r="W102" s="37"/>
      <c r="X102" s="26"/>
      <c r="Y102" s="17"/>
    </row>
    <row r="103" spans="2:25" s="38" customFormat="1" x14ac:dyDescent="0.25">
      <c r="B103" s="20"/>
      <c r="C103" s="52"/>
      <c r="D103" s="22"/>
      <c r="E103" s="2"/>
      <c r="F103" s="37"/>
      <c r="G103" s="26"/>
      <c r="H103" s="37"/>
      <c r="I103" s="62"/>
      <c r="J103" s="20"/>
      <c r="K103" s="26"/>
      <c r="L103" s="37"/>
      <c r="M103" s="62"/>
      <c r="N103" s="20"/>
      <c r="O103" s="26"/>
      <c r="P103" s="37"/>
      <c r="Q103" s="62"/>
      <c r="R103" s="20"/>
      <c r="S103" s="26"/>
      <c r="T103" s="37"/>
      <c r="U103" s="62"/>
      <c r="V103" s="20"/>
      <c r="W103" s="37"/>
      <c r="X103" s="26"/>
      <c r="Y103" s="17"/>
    </row>
    <row r="104" spans="2:25" s="38" customFormat="1" x14ac:dyDescent="0.25">
      <c r="B104" s="20"/>
      <c r="C104" s="52"/>
      <c r="D104" s="22"/>
      <c r="E104" s="2"/>
      <c r="F104" s="37"/>
      <c r="G104" s="26"/>
      <c r="H104" s="37"/>
      <c r="I104" s="62"/>
      <c r="J104" s="20"/>
      <c r="K104" s="26"/>
      <c r="L104" s="37"/>
      <c r="M104" s="62"/>
      <c r="N104" s="20"/>
      <c r="O104" s="26"/>
      <c r="P104" s="37"/>
      <c r="Q104" s="62"/>
      <c r="R104" s="20"/>
      <c r="S104" s="26"/>
      <c r="T104" s="37"/>
      <c r="U104" s="62"/>
      <c r="V104" s="20"/>
      <c r="W104" s="37"/>
      <c r="X104" s="26"/>
      <c r="Y104" s="17"/>
    </row>
    <row r="105" spans="2:25" s="38" customFormat="1" x14ac:dyDescent="0.25">
      <c r="B105" s="20"/>
      <c r="C105" s="52"/>
      <c r="D105" s="22"/>
      <c r="E105" s="2"/>
      <c r="F105" s="37"/>
      <c r="G105" s="26"/>
      <c r="H105" s="37"/>
      <c r="I105" s="62"/>
      <c r="J105" s="20"/>
      <c r="K105" s="26"/>
      <c r="L105" s="37"/>
      <c r="M105" s="62"/>
      <c r="N105" s="20"/>
      <c r="O105" s="26"/>
      <c r="P105" s="37"/>
      <c r="Q105" s="62"/>
      <c r="R105" s="20"/>
      <c r="S105" s="26"/>
      <c r="T105" s="37"/>
      <c r="U105" s="62"/>
      <c r="V105" s="20"/>
      <c r="W105" s="37"/>
      <c r="X105" s="26"/>
      <c r="Y105" s="17"/>
    </row>
    <row r="106" spans="2:25" s="38" customFormat="1" x14ac:dyDescent="0.25">
      <c r="B106" s="20"/>
      <c r="C106" s="52"/>
      <c r="D106" s="22"/>
      <c r="E106" s="2"/>
      <c r="F106" s="37"/>
      <c r="G106" s="26"/>
      <c r="H106" s="37"/>
      <c r="I106" s="62"/>
      <c r="J106" s="20"/>
      <c r="K106" s="26"/>
      <c r="L106" s="37"/>
      <c r="M106" s="62"/>
      <c r="N106" s="20"/>
      <c r="O106" s="26"/>
      <c r="P106" s="37"/>
      <c r="Q106" s="62"/>
      <c r="R106" s="20"/>
      <c r="S106" s="26"/>
      <c r="T106" s="37"/>
      <c r="U106" s="62"/>
      <c r="V106" s="20"/>
      <c r="W106" s="37"/>
      <c r="X106" s="26"/>
      <c r="Y106" s="17"/>
    </row>
    <row r="107" spans="2:25" s="38" customFormat="1" x14ac:dyDescent="0.25">
      <c r="B107" s="20"/>
      <c r="C107" s="52"/>
      <c r="D107" s="22"/>
      <c r="E107" s="2"/>
      <c r="F107" s="37"/>
      <c r="G107" s="26"/>
      <c r="H107" s="37"/>
      <c r="I107" s="62"/>
      <c r="J107" s="20"/>
      <c r="K107" s="26"/>
      <c r="L107" s="37"/>
      <c r="M107" s="62"/>
      <c r="N107" s="20"/>
      <c r="O107" s="26"/>
      <c r="P107" s="37"/>
      <c r="Q107" s="62"/>
      <c r="R107" s="20"/>
      <c r="S107" s="26"/>
      <c r="T107" s="37"/>
      <c r="U107" s="62"/>
      <c r="V107" s="20"/>
      <c r="W107" s="37"/>
      <c r="X107" s="26"/>
      <c r="Y107" s="17"/>
    </row>
    <row r="108" spans="2:25" s="38" customFormat="1" x14ac:dyDescent="0.25">
      <c r="B108" s="20"/>
      <c r="C108" s="52"/>
      <c r="D108" s="22"/>
      <c r="E108" s="2"/>
      <c r="F108" s="37"/>
      <c r="G108" s="26"/>
      <c r="H108" s="37"/>
      <c r="I108" s="62"/>
      <c r="J108" s="20"/>
      <c r="K108" s="26"/>
      <c r="L108" s="37"/>
      <c r="M108" s="62"/>
      <c r="N108" s="20"/>
      <c r="O108" s="26"/>
      <c r="P108" s="37"/>
      <c r="Q108" s="62"/>
      <c r="R108" s="20"/>
      <c r="S108" s="26"/>
      <c r="T108" s="37"/>
      <c r="U108" s="62"/>
      <c r="V108" s="20"/>
      <c r="W108" s="37"/>
      <c r="X108" s="26"/>
      <c r="Y108" s="17"/>
    </row>
    <row r="109" spans="2:25" s="38" customFormat="1" x14ac:dyDescent="0.25">
      <c r="B109" s="20"/>
      <c r="C109" s="52"/>
      <c r="D109" s="22"/>
      <c r="E109" s="2"/>
      <c r="F109" s="37"/>
      <c r="G109" s="26"/>
      <c r="H109" s="37"/>
      <c r="I109" s="62"/>
      <c r="J109" s="20"/>
      <c r="K109" s="26"/>
      <c r="L109" s="37"/>
      <c r="M109" s="62"/>
      <c r="N109" s="20"/>
      <c r="O109" s="26"/>
      <c r="P109" s="37"/>
      <c r="Q109" s="62"/>
      <c r="R109" s="20"/>
      <c r="S109" s="26"/>
      <c r="T109" s="37"/>
      <c r="U109" s="62"/>
      <c r="V109" s="20"/>
      <c r="W109" s="37"/>
      <c r="X109" s="26"/>
      <c r="Y109" s="17"/>
    </row>
    <row r="110" spans="2:25" s="38" customFormat="1" x14ac:dyDescent="0.25">
      <c r="B110" s="20"/>
      <c r="C110" s="52"/>
      <c r="D110" s="22"/>
      <c r="E110" s="2"/>
      <c r="F110" s="37"/>
      <c r="G110" s="26"/>
      <c r="H110" s="37"/>
      <c r="I110" s="62"/>
      <c r="J110" s="20"/>
      <c r="K110" s="26"/>
      <c r="L110" s="37"/>
      <c r="M110" s="62"/>
      <c r="N110" s="20"/>
      <c r="O110" s="26"/>
      <c r="P110" s="37"/>
      <c r="Q110" s="62"/>
      <c r="R110" s="20"/>
      <c r="S110" s="26"/>
      <c r="T110" s="37"/>
      <c r="U110" s="62"/>
      <c r="V110" s="20"/>
      <c r="W110" s="37"/>
      <c r="X110" s="26"/>
      <c r="Y110" s="17"/>
    </row>
    <row r="111" spans="2:25" s="38" customFormat="1" x14ac:dyDescent="0.25">
      <c r="B111" s="20"/>
      <c r="C111" s="52"/>
      <c r="D111" s="22"/>
      <c r="E111" s="2"/>
      <c r="F111" s="37"/>
      <c r="G111" s="26"/>
      <c r="H111" s="37"/>
      <c r="I111" s="62"/>
      <c r="J111" s="20"/>
      <c r="K111" s="26"/>
      <c r="L111" s="37"/>
      <c r="M111" s="62"/>
      <c r="N111" s="20"/>
      <c r="O111" s="26"/>
      <c r="P111" s="37"/>
      <c r="Q111" s="62"/>
      <c r="R111" s="20"/>
      <c r="S111" s="26"/>
      <c r="T111" s="37"/>
      <c r="U111" s="62"/>
      <c r="V111" s="20"/>
      <c r="W111" s="37"/>
      <c r="X111" s="26"/>
      <c r="Y111" s="17"/>
    </row>
    <row r="112" spans="2:25" s="38" customFormat="1" x14ac:dyDescent="0.25">
      <c r="B112" s="20"/>
      <c r="C112" s="52"/>
      <c r="D112" s="22"/>
      <c r="E112" s="2"/>
      <c r="F112" s="37"/>
      <c r="G112" s="26"/>
      <c r="H112" s="37"/>
      <c r="I112" s="62"/>
      <c r="J112" s="20"/>
      <c r="K112" s="26"/>
      <c r="L112" s="37"/>
      <c r="M112" s="62"/>
      <c r="N112" s="20"/>
      <c r="O112" s="26"/>
      <c r="P112" s="37"/>
      <c r="Q112" s="62"/>
      <c r="R112" s="20"/>
      <c r="S112" s="26"/>
      <c r="T112" s="37"/>
      <c r="U112" s="62"/>
      <c r="V112" s="20"/>
      <c r="W112" s="37"/>
      <c r="X112" s="26"/>
      <c r="Y112" s="17"/>
    </row>
    <row r="113" spans="2:25" s="38" customFormat="1" x14ac:dyDescent="0.25">
      <c r="B113" s="20"/>
      <c r="C113" s="52"/>
      <c r="D113" s="22"/>
      <c r="E113" s="2"/>
      <c r="F113" s="37"/>
      <c r="G113" s="26"/>
      <c r="H113" s="37"/>
      <c r="I113" s="62"/>
      <c r="J113" s="20"/>
      <c r="K113" s="26"/>
      <c r="L113" s="37"/>
      <c r="M113" s="62"/>
      <c r="N113" s="20"/>
      <c r="O113" s="26"/>
      <c r="P113" s="37"/>
      <c r="Q113" s="62"/>
      <c r="R113" s="20"/>
      <c r="S113" s="26"/>
      <c r="T113" s="37"/>
      <c r="U113" s="62"/>
      <c r="V113" s="20"/>
      <c r="W113" s="37"/>
      <c r="X113" s="26"/>
      <c r="Y113" s="17"/>
    </row>
    <row r="114" spans="2:25" s="38" customFormat="1" x14ac:dyDescent="0.25">
      <c r="B114" s="20"/>
      <c r="C114" s="52"/>
      <c r="D114" s="22"/>
      <c r="E114" s="2"/>
      <c r="F114" s="37"/>
      <c r="G114" s="26"/>
      <c r="H114" s="37"/>
      <c r="I114" s="62"/>
      <c r="J114" s="20"/>
      <c r="K114" s="26"/>
      <c r="L114" s="37"/>
      <c r="M114" s="62"/>
      <c r="N114" s="20"/>
      <c r="O114" s="26"/>
      <c r="P114" s="37"/>
      <c r="Q114" s="62"/>
      <c r="R114" s="20"/>
      <c r="S114" s="26"/>
      <c r="T114" s="37"/>
      <c r="U114" s="62"/>
      <c r="V114" s="20"/>
      <c r="W114" s="37"/>
      <c r="X114" s="26"/>
      <c r="Y114" s="17"/>
    </row>
    <row r="115" spans="2:25" s="38" customFormat="1" x14ac:dyDescent="0.25">
      <c r="B115" s="20"/>
      <c r="C115" s="52"/>
      <c r="D115" s="22"/>
      <c r="E115" s="2"/>
      <c r="F115" s="37"/>
      <c r="G115" s="26"/>
      <c r="H115" s="37"/>
      <c r="I115" s="62"/>
      <c r="J115" s="20"/>
      <c r="K115" s="26"/>
      <c r="L115" s="37"/>
      <c r="M115" s="62"/>
      <c r="N115" s="20"/>
      <c r="O115" s="26"/>
      <c r="P115" s="37"/>
      <c r="Q115" s="62"/>
      <c r="R115" s="20"/>
      <c r="S115" s="26"/>
      <c r="T115" s="37"/>
      <c r="U115" s="62"/>
      <c r="V115" s="20"/>
      <c r="W115" s="37"/>
      <c r="X115" s="26"/>
      <c r="Y115" s="17"/>
    </row>
    <row r="116" spans="2:25" s="38" customFormat="1" x14ac:dyDescent="0.25">
      <c r="B116" s="20"/>
      <c r="C116" s="52"/>
      <c r="D116" s="22"/>
      <c r="E116" s="2"/>
      <c r="F116" s="37"/>
      <c r="G116" s="26"/>
      <c r="H116" s="37"/>
      <c r="I116" s="62"/>
      <c r="J116" s="20"/>
      <c r="K116" s="26"/>
      <c r="L116" s="37"/>
      <c r="M116" s="62"/>
      <c r="N116" s="20"/>
      <c r="O116" s="26"/>
      <c r="P116" s="37"/>
      <c r="Q116" s="62"/>
      <c r="R116" s="20"/>
      <c r="S116" s="26"/>
      <c r="T116" s="37"/>
      <c r="U116" s="62"/>
      <c r="V116" s="20"/>
      <c r="W116" s="37"/>
      <c r="X116" s="26"/>
      <c r="Y116" s="17"/>
    </row>
    <row r="117" spans="2:25" s="38" customFormat="1" x14ac:dyDescent="0.25">
      <c r="B117" s="20"/>
      <c r="C117" s="52"/>
      <c r="D117" s="22"/>
      <c r="E117" s="2"/>
      <c r="F117" s="37"/>
      <c r="G117" s="26"/>
      <c r="H117" s="37"/>
      <c r="I117" s="62"/>
      <c r="J117" s="20"/>
      <c r="K117" s="26"/>
      <c r="L117" s="37"/>
      <c r="M117" s="62"/>
      <c r="N117" s="20"/>
      <c r="O117" s="26"/>
      <c r="P117" s="37"/>
      <c r="Q117" s="62"/>
      <c r="R117" s="20"/>
      <c r="S117" s="26"/>
      <c r="T117" s="37"/>
      <c r="U117" s="62"/>
      <c r="V117" s="20"/>
      <c r="W117" s="37"/>
      <c r="X117" s="26"/>
      <c r="Y117" s="17"/>
    </row>
    <row r="118" spans="2:25" s="38" customFormat="1" x14ac:dyDescent="0.25">
      <c r="B118" s="20"/>
      <c r="C118" s="52"/>
      <c r="D118" s="22"/>
      <c r="E118" s="2"/>
      <c r="F118" s="37"/>
      <c r="G118" s="26"/>
      <c r="H118" s="37"/>
      <c r="I118" s="62"/>
      <c r="J118" s="20"/>
      <c r="K118" s="26"/>
      <c r="L118" s="37"/>
      <c r="M118" s="62"/>
      <c r="N118" s="20"/>
      <c r="O118" s="26"/>
      <c r="P118" s="37"/>
      <c r="Q118" s="62"/>
      <c r="R118" s="20"/>
      <c r="S118" s="26"/>
      <c r="T118" s="37"/>
      <c r="U118" s="62"/>
      <c r="V118" s="20"/>
      <c r="W118" s="37"/>
      <c r="X118" s="26"/>
      <c r="Y118" s="17"/>
    </row>
    <row r="119" spans="2:25" s="38" customFormat="1" x14ac:dyDescent="0.25">
      <c r="B119" s="20"/>
      <c r="C119" s="52"/>
      <c r="D119" s="22"/>
      <c r="E119" s="2"/>
      <c r="F119" s="37"/>
      <c r="G119" s="26"/>
      <c r="H119" s="37"/>
      <c r="I119" s="62"/>
      <c r="J119" s="20"/>
      <c r="K119" s="26"/>
      <c r="L119" s="37"/>
      <c r="M119" s="62"/>
      <c r="N119" s="20"/>
      <c r="O119" s="26"/>
      <c r="P119" s="37"/>
      <c r="Q119" s="62"/>
      <c r="R119" s="20"/>
      <c r="S119" s="26"/>
      <c r="T119" s="37"/>
      <c r="U119" s="62"/>
      <c r="V119" s="20"/>
      <c r="W119" s="37"/>
      <c r="X119" s="26"/>
      <c r="Y119" s="17"/>
    </row>
    <row r="120" spans="2:25" s="38" customFormat="1" x14ac:dyDescent="0.25">
      <c r="B120" s="20"/>
      <c r="C120" s="52"/>
      <c r="D120" s="22"/>
      <c r="E120" s="2"/>
      <c r="F120" s="37"/>
      <c r="G120" s="26"/>
      <c r="H120" s="37"/>
      <c r="I120" s="62"/>
      <c r="J120" s="20"/>
      <c r="K120" s="26"/>
      <c r="L120" s="37"/>
      <c r="M120" s="62"/>
      <c r="N120" s="20"/>
      <c r="O120" s="26"/>
      <c r="P120" s="37"/>
      <c r="Q120" s="62"/>
      <c r="R120" s="20"/>
      <c r="S120" s="26"/>
      <c r="T120" s="37"/>
      <c r="U120" s="62"/>
      <c r="V120" s="20"/>
      <c r="W120" s="37"/>
      <c r="X120" s="26"/>
      <c r="Y120" s="17"/>
    </row>
    <row r="121" spans="2:25" s="38" customFormat="1" x14ac:dyDescent="0.25">
      <c r="B121" s="20"/>
      <c r="C121" s="52"/>
      <c r="D121" s="22"/>
      <c r="E121" s="2"/>
      <c r="F121" s="37"/>
      <c r="G121" s="26"/>
      <c r="H121" s="37"/>
      <c r="I121" s="62"/>
      <c r="J121" s="20"/>
      <c r="K121" s="26"/>
      <c r="L121" s="37"/>
      <c r="M121" s="62"/>
      <c r="N121" s="20"/>
      <c r="O121" s="26"/>
      <c r="P121" s="37"/>
      <c r="Q121" s="62"/>
      <c r="R121" s="20"/>
      <c r="S121" s="26"/>
      <c r="T121" s="37"/>
      <c r="U121" s="62"/>
      <c r="V121" s="20"/>
      <c r="W121" s="37"/>
      <c r="X121" s="26"/>
      <c r="Y121" s="17"/>
    </row>
    <row r="122" spans="2:25" s="38" customFormat="1" x14ac:dyDescent="0.25">
      <c r="B122" s="20"/>
      <c r="C122" s="52"/>
      <c r="D122" s="22"/>
      <c r="E122" s="2"/>
      <c r="F122" s="37"/>
      <c r="G122" s="26"/>
      <c r="H122" s="37"/>
      <c r="I122" s="62"/>
      <c r="J122" s="20"/>
      <c r="K122" s="26"/>
      <c r="L122" s="37"/>
      <c r="M122" s="62"/>
      <c r="N122" s="20"/>
      <c r="O122" s="26"/>
      <c r="P122" s="37"/>
      <c r="Q122" s="62"/>
      <c r="R122" s="20"/>
      <c r="S122" s="26"/>
      <c r="T122" s="37"/>
      <c r="U122" s="62"/>
      <c r="V122" s="20"/>
      <c r="W122" s="37"/>
      <c r="X122" s="26"/>
      <c r="Y122" s="17"/>
    </row>
    <row r="123" spans="2:25" s="38" customFormat="1" x14ac:dyDescent="0.25">
      <c r="B123" s="20"/>
      <c r="C123" s="52"/>
      <c r="D123" s="22"/>
      <c r="E123" s="2"/>
      <c r="F123" s="37"/>
      <c r="G123" s="26"/>
      <c r="H123" s="37"/>
      <c r="I123" s="62"/>
      <c r="J123" s="20"/>
      <c r="K123" s="26"/>
      <c r="L123" s="37"/>
      <c r="M123" s="62"/>
      <c r="N123" s="20"/>
      <c r="O123" s="26"/>
      <c r="P123" s="37"/>
      <c r="Q123" s="62"/>
      <c r="R123" s="20"/>
      <c r="S123" s="26"/>
      <c r="T123" s="37"/>
      <c r="U123" s="62"/>
      <c r="V123" s="20"/>
      <c r="W123" s="37"/>
      <c r="X123" s="26"/>
      <c r="Y123" s="17"/>
    </row>
    <row r="124" spans="2:25" s="38" customFormat="1" x14ac:dyDescent="0.25">
      <c r="B124" s="20"/>
      <c r="C124" s="52"/>
      <c r="D124" s="22"/>
      <c r="E124" s="2"/>
      <c r="F124" s="37"/>
      <c r="G124" s="26"/>
      <c r="H124" s="37"/>
      <c r="I124" s="62"/>
      <c r="J124" s="20"/>
      <c r="K124" s="26"/>
      <c r="L124" s="37"/>
      <c r="M124" s="62"/>
      <c r="N124" s="20"/>
      <c r="O124" s="26"/>
      <c r="P124" s="37"/>
      <c r="Q124" s="62"/>
      <c r="R124" s="20"/>
      <c r="S124" s="26"/>
      <c r="T124" s="37"/>
      <c r="U124" s="62"/>
      <c r="V124" s="20"/>
      <c r="W124" s="37"/>
      <c r="X124" s="26"/>
      <c r="Y124" s="17"/>
    </row>
    <row r="125" spans="2:25" s="38" customFormat="1" x14ac:dyDescent="0.25">
      <c r="B125" s="20"/>
      <c r="C125" s="52"/>
      <c r="D125" s="22"/>
      <c r="E125" s="2"/>
      <c r="F125" s="37"/>
      <c r="G125" s="26"/>
      <c r="H125" s="37"/>
      <c r="I125" s="62"/>
      <c r="J125" s="20"/>
      <c r="K125" s="26"/>
      <c r="L125" s="37"/>
      <c r="M125" s="62"/>
      <c r="N125" s="20"/>
      <c r="O125" s="26"/>
      <c r="P125" s="37"/>
      <c r="Q125" s="62"/>
      <c r="R125" s="20"/>
      <c r="S125" s="26"/>
      <c r="T125" s="37"/>
      <c r="U125" s="62"/>
      <c r="V125" s="20"/>
      <c r="W125" s="37"/>
      <c r="X125" s="26"/>
      <c r="Y125" s="17"/>
    </row>
    <row r="126" spans="2:25" s="38" customFormat="1" x14ac:dyDescent="0.25">
      <c r="B126" s="20"/>
      <c r="C126" s="52"/>
      <c r="D126" s="22"/>
      <c r="E126" s="2"/>
      <c r="F126" s="37"/>
      <c r="G126" s="26"/>
      <c r="H126" s="37"/>
      <c r="I126" s="62"/>
      <c r="J126" s="20"/>
      <c r="K126" s="26"/>
      <c r="L126" s="37"/>
      <c r="M126" s="62"/>
      <c r="N126" s="20"/>
      <c r="O126" s="26"/>
      <c r="P126" s="37"/>
      <c r="Q126" s="62"/>
      <c r="R126" s="20"/>
      <c r="S126" s="26"/>
      <c r="T126" s="37"/>
      <c r="U126" s="62"/>
      <c r="V126" s="20"/>
      <c r="W126" s="37"/>
      <c r="X126" s="26"/>
      <c r="Y126" s="17"/>
    </row>
    <row r="127" spans="2:25" s="38" customFormat="1" x14ac:dyDescent="0.25">
      <c r="B127" s="20"/>
      <c r="C127" s="52"/>
      <c r="D127" s="22"/>
      <c r="E127" s="2"/>
      <c r="F127" s="37"/>
      <c r="G127" s="26"/>
      <c r="H127" s="37"/>
      <c r="I127" s="62"/>
      <c r="J127" s="20"/>
      <c r="K127" s="26"/>
      <c r="L127" s="37"/>
      <c r="M127" s="62"/>
      <c r="N127" s="20"/>
      <c r="O127" s="26"/>
      <c r="P127" s="37"/>
      <c r="Q127" s="62"/>
      <c r="R127" s="20"/>
      <c r="S127" s="26"/>
      <c r="T127" s="37"/>
      <c r="U127" s="62"/>
      <c r="V127" s="20"/>
      <c r="W127" s="37"/>
      <c r="X127" s="26"/>
      <c r="Y127" s="17"/>
    </row>
    <row r="128" spans="2:25" s="38" customFormat="1" x14ac:dyDescent="0.25">
      <c r="B128" s="20"/>
      <c r="C128" s="52"/>
      <c r="D128" s="22"/>
      <c r="E128" s="2"/>
      <c r="F128" s="37"/>
      <c r="G128" s="26"/>
      <c r="H128" s="37"/>
      <c r="I128" s="62"/>
      <c r="J128" s="20"/>
      <c r="K128" s="26"/>
      <c r="L128" s="37"/>
      <c r="M128" s="62"/>
      <c r="N128" s="20"/>
      <c r="O128" s="26"/>
      <c r="P128" s="37"/>
      <c r="Q128" s="62"/>
      <c r="R128" s="20"/>
      <c r="S128" s="26"/>
      <c r="T128" s="37"/>
      <c r="U128" s="62"/>
      <c r="V128" s="20"/>
      <c r="W128" s="37"/>
      <c r="X128" s="26"/>
      <c r="Y128" s="17"/>
    </row>
    <row r="129" spans="2:25" s="38" customFormat="1" x14ac:dyDescent="0.25">
      <c r="B129" s="20"/>
      <c r="C129" s="52"/>
      <c r="D129" s="22"/>
      <c r="E129" s="2"/>
      <c r="F129" s="37"/>
      <c r="G129" s="26"/>
      <c r="H129" s="37"/>
      <c r="I129" s="62"/>
      <c r="J129" s="20"/>
      <c r="K129" s="26"/>
      <c r="L129" s="37"/>
      <c r="M129" s="62"/>
      <c r="N129" s="20"/>
      <c r="O129" s="26"/>
      <c r="P129" s="37"/>
      <c r="Q129" s="62"/>
      <c r="R129" s="20"/>
      <c r="S129" s="26"/>
      <c r="T129" s="37"/>
      <c r="U129" s="62"/>
      <c r="V129" s="20"/>
      <c r="W129" s="37"/>
      <c r="X129" s="26"/>
      <c r="Y129" s="17"/>
    </row>
    <row r="130" spans="2:25" s="38" customFormat="1" x14ac:dyDescent="0.25">
      <c r="B130" s="20"/>
      <c r="C130" s="52"/>
      <c r="D130" s="22"/>
      <c r="E130" s="2"/>
      <c r="F130" s="37"/>
      <c r="G130" s="26"/>
      <c r="H130" s="37"/>
      <c r="I130" s="62"/>
      <c r="J130" s="20"/>
      <c r="K130" s="26"/>
      <c r="L130" s="37"/>
      <c r="M130" s="62"/>
      <c r="N130" s="20"/>
      <c r="O130" s="26"/>
      <c r="P130" s="37"/>
      <c r="Q130" s="62"/>
      <c r="R130" s="20"/>
      <c r="S130" s="26"/>
      <c r="T130" s="37"/>
      <c r="U130" s="62"/>
      <c r="V130" s="20"/>
      <c r="W130" s="37"/>
      <c r="X130" s="26"/>
      <c r="Y130" s="17"/>
    </row>
    <row r="131" spans="2:25" s="38" customFormat="1" x14ac:dyDescent="0.25">
      <c r="B131" s="20"/>
      <c r="C131" s="52"/>
      <c r="D131" s="22"/>
      <c r="E131" s="2"/>
      <c r="F131" s="37"/>
      <c r="G131" s="26"/>
      <c r="H131" s="37"/>
      <c r="I131" s="62"/>
      <c r="J131" s="20"/>
      <c r="K131" s="26"/>
      <c r="L131" s="37"/>
      <c r="M131" s="62"/>
      <c r="N131" s="20"/>
      <c r="O131" s="26"/>
      <c r="P131" s="37"/>
      <c r="Q131" s="62"/>
      <c r="R131" s="20"/>
      <c r="S131" s="26"/>
      <c r="T131" s="37"/>
      <c r="U131" s="62"/>
      <c r="V131" s="20"/>
      <c r="W131" s="37"/>
      <c r="X131" s="26"/>
      <c r="Y131" s="17"/>
    </row>
    <row r="132" spans="2:25" s="38" customFormat="1" x14ac:dyDescent="0.25">
      <c r="B132" s="20"/>
      <c r="C132" s="52"/>
      <c r="D132" s="22"/>
      <c r="E132" s="2"/>
      <c r="F132" s="37"/>
      <c r="G132" s="26"/>
      <c r="H132" s="37"/>
      <c r="I132" s="62"/>
      <c r="J132" s="20"/>
      <c r="K132" s="26"/>
      <c r="L132" s="37"/>
      <c r="M132" s="62"/>
      <c r="N132" s="20"/>
      <c r="O132" s="26"/>
      <c r="P132" s="37"/>
      <c r="Q132" s="62"/>
      <c r="R132" s="20"/>
      <c r="S132" s="26"/>
      <c r="T132" s="37"/>
      <c r="U132" s="62"/>
      <c r="V132" s="20"/>
      <c r="W132" s="37"/>
      <c r="X132" s="26"/>
      <c r="Y132" s="17"/>
    </row>
    <row r="133" spans="2:25" s="38" customFormat="1" x14ac:dyDescent="0.25">
      <c r="B133" s="20"/>
      <c r="C133" s="52"/>
      <c r="D133" s="22"/>
      <c r="E133" s="2"/>
      <c r="F133" s="37"/>
      <c r="G133" s="26"/>
      <c r="H133" s="37"/>
      <c r="I133" s="62"/>
      <c r="J133" s="20"/>
      <c r="K133" s="26"/>
      <c r="L133" s="37"/>
      <c r="M133" s="62"/>
      <c r="N133" s="20"/>
      <c r="O133" s="26"/>
      <c r="P133" s="37"/>
      <c r="Q133" s="62"/>
      <c r="R133" s="20"/>
      <c r="S133" s="26"/>
      <c r="T133" s="37"/>
      <c r="U133" s="62"/>
      <c r="V133" s="20"/>
      <c r="W133" s="37"/>
      <c r="X133" s="26"/>
      <c r="Y133" s="17"/>
    </row>
    <row r="134" spans="2:25" s="38" customFormat="1" x14ac:dyDescent="0.25">
      <c r="B134" s="20"/>
      <c r="C134" s="52"/>
      <c r="D134" s="22"/>
      <c r="E134" s="2"/>
      <c r="F134" s="37"/>
      <c r="G134" s="26"/>
      <c r="H134" s="37"/>
      <c r="I134" s="62"/>
      <c r="J134" s="20"/>
      <c r="K134" s="26"/>
      <c r="L134" s="37"/>
      <c r="M134" s="62"/>
      <c r="N134" s="20"/>
      <c r="O134" s="26"/>
      <c r="P134" s="37"/>
      <c r="Q134" s="62"/>
      <c r="R134" s="20"/>
      <c r="S134" s="26"/>
      <c r="T134" s="37"/>
      <c r="U134" s="62"/>
      <c r="V134" s="20"/>
      <c r="W134" s="37"/>
      <c r="X134" s="26"/>
      <c r="Y134" s="17"/>
    </row>
    <row r="135" spans="2:25" s="38" customFormat="1" x14ac:dyDescent="0.25">
      <c r="B135" s="20"/>
      <c r="C135" s="52"/>
      <c r="D135" s="22"/>
      <c r="E135" s="2"/>
      <c r="F135" s="37"/>
      <c r="G135" s="26"/>
      <c r="H135" s="37"/>
      <c r="I135" s="62"/>
      <c r="J135" s="20"/>
      <c r="K135" s="26"/>
      <c r="L135" s="37"/>
      <c r="M135" s="62"/>
      <c r="N135" s="20"/>
      <c r="O135" s="26"/>
      <c r="P135" s="37"/>
      <c r="Q135" s="62"/>
      <c r="R135" s="20"/>
      <c r="S135" s="26"/>
      <c r="T135" s="37"/>
      <c r="U135" s="62"/>
      <c r="V135" s="20"/>
      <c r="W135" s="37"/>
      <c r="X135" s="26"/>
      <c r="Y135" s="17"/>
    </row>
    <row r="136" spans="2:25" s="38" customFormat="1" x14ac:dyDescent="0.25">
      <c r="B136" s="20"/>
      <c r="C136" s="52"/>
      <c r="D136" s="22"/>
      <c r="E136" s="2"/>
      <c r="F136" s="37"/>
      <c r="G136" s="26"/>
      <c r="H136" s="37"/>
      <c r="I136" s="62"/>
      <c r="J136" s="20"/>
      <c r="K136" s="26"/>
      <c r="L136" s="37"/>
      <c r="M136" s="62"/>
      <c r="N136" s="20"/>
      <c r="O136" s="26"/>
      <c r="P136" s="37"/>
      <c r="Q136" s="62"/>
      <c r="R136" s="20"/>
      <c r="S136" s="26"/>
      <c r="T136" s="37"/>
      <c r="U136" s="62"/>
      <c r="V136" s="20"/>
      <c r="W136" s="37"/>
      <c r="X136" s="26"/>
      <c r="Y136" s="17"/>
    </row>
    <row r="137" spans="2:25" s="38" customFormat="1" x14ac:dyDescent="0.25">
      <c r="B137" s="20"/>
      <c r="C137" s="52"/>
      <c r="D137" s="22"/>
      <c r="E137" s="2"/>
      <c r="F137" s="37"/>
      <c r="G137" s="26"/>
      <c r="H137" s="37"/>
      <c r="I137" s="62"/>
      <c r="J137" s="20"/>
      <c r="K137" s="26"/>
      <c r="L137" s="37"/>
      <c r="M137" s="62"/>
      <c r="N137" s="20"/>
      <c r="O137" s="26"/>
      <c r="P137" s="37"/>
      <c r="Q137" s="62"/>
      <c r="R137" s="20"/>
      <c r="S137" s="26"/>
      <c r="T137" s="37"/>
      <c r="U137" s="62"/>
      <c r="V137" s="20"/>
      <c r="W137" s="37"/>
      <c r="X137" s="26"/>
      <c r="Y137" s="17"/>
    </row>
    <row r="138" spans="2:25" s="38" customFormat="1" x14ac:dyDescent="0.25">
      <c r="B138" s="20"/>
      <c r="C138" s="52"/>
      <c r="D138" s="22"/>
      <c r="E138" s="2"/>
      <c r="F138" s="37"/>
      <c r="G138" s="26"/>
      <c r="H138" s="37"/>
      <c r="I138" s="62"/>
      <c r="J138" s="20"/>
      <c r="K138" s="26"/>
      <c r="L138" s="37"/>
      <c r="M138" s="62"/>
      <c r="N138" s="20"/>
      <c r="O138" s="26"/>
      <c r="P138" s="37"/>
      <c r="Q138" s="62"/>
      <c r="R138" s="20"/>
      <c r="S138" s="26"/>
      <c r="T138" s="37"/>
      <c r="U138" s="62"/>
      <c r="V138" s="20"/>
      <c r="W138" s="37"/>
      <c r="X138" s="26"/>
      <c r="Y138" s="17"/>
    </row>
    <row r="139" spans="2:25" s="38" customFormat="1" x14ac:dyDescent="0.25">
      <c r="B139" s="20"/>
      <c r="C139" s="52"/>
      <c r="D139" s="22"/>
      <c r="E139" s="2"/>
      <c r="F139" s="37"/>
      <c r="G139" s="26"/>
      <c r="H139" s="37"/>
      <c r="I139" s="62"/>
      <c r="J139" s="20"/>
      <c r="K139" s="26"/>
      <c r="L139" s="37"/>
      <c r="M139" s="62"/>
      <c r="N139" s="20"/>
      <c r="O139" s="26"/>
      <c r="P139" s="37"/>
      <c r="Q139" s="62"/>
      <c r="R139" s="20"/>
      <c r="S139" s="26"/>
      <c r="T139" s="37"/>
      <c r="U139" s="62"/>
      <c r="V139" s="20"/>
      <c r="W139" s="37"/>
      <c r="X139" s="26"/>
      <c r="Y139" s="17"/>
    </row>
    <row r="140" spans="2:25" s="38" customFormat="1" x14ac:dyDescent="0.25">
      <c r="B140" s="20"/>
      <c r="C140" s="52"/>
      <c r="D140" s="22"/>
      <c r="E140" s="2"/>
      <c r="F140" s="37"/>
      <c r="G140" s="26"/>
      <c r="H140" s="37"/>
      <c r="I140" s="62"/>
      <c r="J140" s="20"/>
      <c r="K140" s="26"/>
      <c r="L140" s="37"/>
      <c r="M140" s="62"/>
      <c r="N140" s="20"/>
      <c r="O140" s="26"/>
      <c r="P140" s="37"/>
      <c r="Q140" s="62"/>
      <c r="R140" s="20"/>
      <c r="S140" s="26"/>
      <c r="T140" s="37"/>
      <c r="U140" s="62"/>
      <c r="V140" s="20"/>
      <c r="W140" s="37"/>
      <c r="X140" s="26"/>
      <c r="Y140" s="17"/>
    </row>
    <row r="141" spans="2:25" s="38" customFormat="1" x14ac:dyDescent="0.25">
      <c r="B141" s="20"/>
      <c r="C141" s="52"/>
      <c r="D141" s="22"/>
      <c r="E141" s="2"/>
      <c r="F141" s="37"/>
      <c r="G141" s="26"/>
      <c r="H141" s="37"/>
      <c r="I141" s="62"/>
      <c r="J141" s="20"/>
      <c r="K141" s="26"/>
      <c r="L141" s="37"/>
      <c r="M141" s="62"/>
      <c r="N141" s="20"/>
      <c r="O141" s="26"/>
      <c r="P141" s="37"/>
      <c r="Q141" s="62"/>
      <c r="R141" s="20"/>
      <c r="S141" s="26"/>
      <c r="T141" s="37"/>
      <c r="U141" s="62"/>
      <c r="V141" s="20"/>
      <c r="W141" s="37"/>
      <c r="X141" s="26"/>
      <c r="Y141" s="17"/>
    </row>
    <row r="142" spans="2:25" s="38" customFormat="1" x14ac:dyDescent="0.25">
      <c r="B142" s="20"/>
      <c r="C142" s="52"/>
      <c r="D142" s="22"/>
      <c r="E142" s="2"/>
      <c r="F142" s="37"/>
      <c r="G142" s="26"/>
      <c r="H142" s="37"/>
      <c r="I142" s="62"/>
      <c r="J142" s="20"/>
      <c r="K142" s="26"/>
      <c r="L142" s="37"/>
      <c r="M142" s="62"/>
      <c r="N142" s="20"/>
      <c r="O142" s="26"/>
      <c r="P142" s="37"/>
      <c r="Q142" s="62"/>
      <c r="R142" s="20"/>
      <c r="S142" s="26"/>
      <c r="T142" s="37"/>
      <c r="U142" s="62"/>
      <c r="V142" s="20"/>
      <c r="W142" s="37"/>
      <c r="X142" s="26"/>
      <c r="Y142" s="17"/>
    </row>
    <row r="143" spans="2:25" s="38" customFormat="1" x14ac:dyDescent="0.25">
      <c r="B143" s="20"/>
      <c r="C143" s="52"/>
      <c r="D143" s="22"/>
      <c r="E143" s="2"/>
      <c r="F143" s="37"/>
      <c r="G143" s="26"/>
      <c r="H143" s="37"/>
      <c r="I143" s="62"/>
      <c r="J143" s="20"/>
      <c r="K143" s="26"/>
      <c r="L143" s="37"/>
      <c r="M143" s="62"/>
      <c r="N143" s="20"/>
      <c r="O143" s="26"/>
      <c r="P143" s="37"/>
      <c r="Q143" s="62"/>
      <c r="R143" s="20"/>
      <c r="S143" s="26"/>
      <c r="T143" s="37"/>
      <c r="U143" s="62"/>
      <c r="V143" s="20"/>
      <c r="W143" s="37"/>
      <c r="X143" s="26"/>
      <c r="Y143" s="17"/>
    </row>
    <row r="144" spans="2:25" s="38" customFormat="1" x14ac:dyDescent="0.25">
      <c r="B144" s="20"/>
      <c r="C144" s="52"/>
      <c r="D144" s="22"/>
      <c r="E144" s="2"/>
      <c r="F144" s="37"/>
      <c r="G144" s="26"/>
      <c r="H144" s="37"/>
      <c r="I144" s="62"/>
      <c r="J144" s="20"/>
      <c r="K144" s="26"/>
      <c r="L144" s="37"/>
      <c r="M144" s="62"/>
      <c r="N144" s="20"/>
      <c r="O144" s="26"/>
      <c r="P144" s="37"/>
      <c r="Q144" s="62"/>
      <c r="R144" s="20"/>
      <c r="S144" s="26"/>
      <c r="T144" s="37"/>
      <c r="U144" s="62"/>
      <c r="V144" s="20"/>
      <c r="W144" s="37"/>
      <c r="X144" s="26"/>
      <c r="Y144" s="17"/>
    </row>
    <row r="145" spans="2:25" s="38" customFormat="1" x14ac:dyDescent="0.25">
      <c r="B145" s="20"/>
      <c r="C145" s="52"/>
      <c r="D145" s="22"/>
      <c r="E145" s="2"/>
      <c r="F145" s="37"/>
      <c r="G145" s="26"/>
      <c r="H145" s="37"/>
      <c r="I145" s="62"/>
      <c r="J145" s="20"/>
      <c r="K145" s="26"/>
      <c r="L145" s="37"/>
      <c r="M145" s="62"/>
      <c r="N145" s="20"/>
      <c r="O145" s="26"/>
      <c r="P145" s="37"/>
      <c r="Q145" s="62"/>
      <c r="R145" s="20"/>
      <c r="S145" s="26"/>
      <c r="T145" s="37"/>
      <c r="U145" s="62"/>
      <c r="V145" s="20"/>
      <c r="W145" s="37"/>
      <c r="X145" s="26"/>
      <c r="Y145" s="17"/>
    </row>
    <row r="146" spans="2:25" s="38" customFormat="1" x14ac:dyDescent="0.25">
      <c r="B146" s="20"/>
      <c r="C146" s="52"/>
      <c r="D146" s="22"/>
      <c r="E146" s="2"/>
      <c r="F146" s="37"/>
      <c r="G146" s="26"/>
      <c r="H146" s="37"/>
      <c r="I146" s="62"/>
      <c r="J146" s="20"/>
      <c r="K146" s="26"/>
      <c r="L146" s="37"/>
      <c r="M146" s="62"/>
      <c r="N146" s="20"/>
      <c r="O146" s="26"/>
      <c r="P146" s="37"/>
      <c r="Q146" s="62"/>
      <c r="R146" s="20"/>
      <c r="S146" s="26"/>
      <c r="T146" s="37"/>
      <c r="U146" s="62"/>
      <c r="V146" s="20"/>
      <c r="W146" s="37"/>
      <c r="X146" s="26"/>
      <c r="Y146" s="17"/>
    </row>
    <row r="147" spans="2:25" s="38" customFormat="1" x14ac:dyDescent="0.25">
      <c r="B147" s="20"/>
      <c r="C147" s="52"/>
      <c r="D147" s="22"/>
      <c r="E147" s="2"/>
      <c r="F147" s="37"/>
      <c r="G147" s="26"/>
      <c r="H147" s="37"/>
      <c r="I147" s="62"/>
      <c r="J147" s="20"/>
      <c r="K147" s="26"/>
      <c r="L147" s="37"/>
      <c r="M147" s="62"/>
      <c r="N147" s="20"/>
      <c r="O147" s="26"/>
      <c r="P147" s="37"/>
      <c r="Q147" s="62"/>
      <c r="R147" s="20"/>
      <c r="S147" s="26"/>
      <c r="T147" s="37"/>
      <c r="U147" s="62"/>
      <c r="V147" s="20"/>
      <c r="W147" s="37"/>
      <c r="X147" s="26"/>
      <c r="Y147" s="17"/>
    </row>
    <row r="148" spans="2:25" s="38" customFormat="1" x14ac:dyDescent="0.25">
      <c r="B148" s="20"/>
      <c r="C148" s="52"/>
      <c r="D148" s="22"/>
      <c r="E148" s="2"/>
      <c r="F148" s="37"/>
      <c r="G148" s="26"/>
      <c r="H148" s="37"/>
      <c r="I148" s="62"/>
      <c r="J148" s="20"/>
      <c r="K148" s="26"/>
      <c r="L148" s="37"/>
      <c r="M148" s="62"/>
      <c r="N148" s="20"/>
      <c r="O148" s="26"/>
      <c r="P148" s="37"/>
      <c r="Q148" s="62"/>
      <c r="R148" s="20"/>
      <c r="S148" s="26"/>
      <c r="T148" s="37"/>
      <c r="U148" s="62"/>
      <c r="V148" s="20"/>
      <c r="W148" s="37"/>
      <c r="X148" s="26"/>
      <c r="Y148" s="17"/>
    </row>
    <row r="149" spans="2:25" s="38" customFormat="1" x14ac:dyDescent="0.25">
      <c r="B149" s="20"/>
      <c r="C149" s="52"/>
      <c r="D149" s="22"/>
      <c r="E149" s="2"/>
      <c r="F149" s="37"/>
      <c r="G149" s="26"/>
      <c r="H149" s="37"/>
      <c r="I149" s="62"/>
      <c r="J149" s="20"/>
      <c r="K149" s="26"/>
      <c r="L149" s="37"/>
      <c r="M149" s="62"/>
      <c r="N149" s="20"/>
      <c r="O149" s="26"/>
      <c r="P149" s="37"/>
      <c r="Q149" s="62"/>
      <c r="R149" s="20"/>
      <c r="S149" s="26"/>
      <c r="T149" s="37"/>
      <c r="U149" s="62"/>
      <c r="V149" s="20"/>
      <c r="W149" s="37"/>
      <c r="X149" s="26"/>
      <c r="Y149" s="17"/>
    </row>
    <row r="150" spans="2:25" s="38" customFormat="1" x14ac:dyDescent="0.25">
      <c r="B150" s="20"/>
      <c r="C150" s="52"/>
      <c r="D150" s="22"/>
      <c r="E150" s="2"/>
      <c r="F150" s="37"/>
      <c r="G150" s="26"/>
      <c r="H150" s="37"/>
      <c r="I150" s="62"/>
      <c r="J150" s="20"/>
      <c r="K150" s="26"/>
      <c r="L150" s="37"/>
      <c r="M150" s="62"/>
      <c r="N150" s="20"/>
      <c r="O150" s="26"/>
      <c r="P150" s="37"/>
      <c r="Q150" s="62"/>
      <c r="R150" s="20"/>
      <c r="S150" s="26"/>
      <c r="T150" s="37"/>
      <c r="U150" s="62"/>
      <c r="V150" s="20"/>
      <c r="W150" s="37"/>
      <c r="X150" s="26"/>
      <c r="Y150" s="17"/>
    </row>
    <row r="151" spans="2:25" s="38" customFormat="1" x14ac:dyDescent="0.25">
      <c r="B151" s="20"/>
      <c r="C151" s="52"/>
      <c r="D151" s="22"/>
      <c r="E151" s="2"/>
      <c r="F151" s="37"/>
      <c r="G151" s="26"/>
      <c r="H151" s="37"/>
      <c r="I151" s="62"/>
      <c r="J151" s="20"/>
      <c r="K151" s="26"/>
      <c r="L151" s="37"/>
      <c r="M151" s="62"/>
      <c r="N151" s="20"/>
      <c r="O151" s="26"/>
      <c r="P151" s="37"/>
      <c r="Q151" s="62"/>
      <c r="R151" s="20"/>
      <c r="S151" s="26"/>
      <c r="T151" s="37"/>
      <c r="U151" s="62"/>
      <c r="V151" s="20"/>
      <c r="W151" s="37"/>
      <c r="X151" s="26"/>
      <c r="Y151" s="17"/>
    </row>
    <row r="152" spans="2:25" s="38" customFormat="1" x14ac:dyDescent="0.25">
      <c r="B152" s="20"/>
      <c r="C152" s="52"/>
      <c r="D152" s="22"/>
      <c r="E152" s="2"/>
      <c r="F152" s="37"/>
      <c r="G152" s="26"/>
      <c r="H152" s="37"/>
      <c r="I152" s="62"/>
      <c r="J152" s="20"/>
      <c r="K152" s="26"/>
      <c r="L152" s="37"/>
      <c r="M152" s="62"/>
      <c r="N152" s="20"/>
      <c r="O152" s="26"/>
      <c r="P152" s="37"/>
      <c r="Q152" s="62"/>
      <c r="R152" s="20"/>
      <c r="S152" s="26"/>
      <c r="T152" s="37"/>
      <c r="U152" s="62"/>
      <c r="V152" s="20"/>
      <c r="W152" s="37"/>
      <c r="X152" s="26"/>
      <c r="Y152" s="17"/>
    </row>
    <row r="153" spans="2:25" s="38" customFormat="1" x14ac:dyDescent="0.25">
      <c r="B153" s="20"/>
      <c r="C153" s="52"/>
      <c r="D153" s="22"/>
      <c r="E153" s="2"/>
      <c r="F153" s="37"/>
      <c r="G153" s="26"/>
      <c r="H153" s="37"/>
      <c r="I153" s="62"/>
      <c r="J153" s="20"/>
      <c r="K153" s="26"/>
      <c r="L153" s="37"/>
      <c r="M153" s="62"/>
      <c r="N153" s="20"/>
      <c r="O153" s="26"/>
      <c r="P153" s="37"/>
      <c r="Q153" s="62"/>
      <c r="R153" s="20"/>
      <c r="S153" s="26"/>
      <c r="T153" s="37"/>
      <c r="U153" s="62"/>
      <c r="V153" s="20"/>
      <c r="W153" s="37"/>
      <c r="X153" s="26"/>
      <c r="Y153" s="17"/>
    </row>
    <row r="154" spans="2:25" s="38" customFormat="1" x14ac:dyDescent="0.25">
      <c r="B154" s="20"/>
      <c r="C154" s="52"/>
      <c r="D154" s="22"/>
      <c r="E154" s="2"/>
      <c r="F154" s="37"/>
      <c r="G154" s="26"/>
      <c r="H154" s="37"/>
      <c r="I154" s="62"/>
      <c r="J154" s="20"/>
      <c r="K154" s="26"/>
      <c r="L154" s="37"/>
      <c r="M154" s="62"/>
      <c r="N154" s="20"/>
      <c r="O154" s="26"/>
      <c r="P154" s="37"/>
      <c r="Q154" s="62"/>
      <c r="R154" s="20"/>
      <c r="S154" s="26"/>
      <c r="T154" s="37"/>
      <c r="U154" s="62"/>
      <c r="V154" s="20"/>
      <c r="W154" s="37"/>
      <c r="X154" s="26"/>
      <c r="Y154" s="17"/>
    </row>
    <row r="155" spans="2:25" s="38" customFormat="1" x14ac:dyDescent="0.25">
      <c r="B155" s="20"/>
      <c r="C155" s="52"/>
      <c r="D155" s="22"/>
      <c r="E155" s="2"/>
      <c r="F155" s="37"/>
      <c r="G155" s="26"/>
      <c r="H155" s="37"/>
      <c r="I155" s="62"/>
      <c r="J155" s="20"/>
      <c r="K155" s="26"/>
      <c r="L155" s="37"/>
      <c r="M155" s="62"/>
      <c r="N155" s="20"/>
      <c r="O155" s="26"/>
      <c r="P155" s="37"/>
      <c r="Q155" s="62"/>
      <c r="R155" s="20"/>
      <c r="S155" s="26"/>
      <c r="T155" s="37"/>
      <c r="U155" s="62"/>
      <c r="V155" s="20"/>
      <c r="W155" s="37"/>
      <c r="X155" s="26"/>
      <c r="Y155" s="17"/>
    </row>
    <row r="156" spans="2:25" s="38" customFormat="1" x14ac:dyDescent="0.25">
      <c r="B156" s="20"/>
      <c r="C156" s="52"/>
      <c r="D156" s="22"/>
      <c r="E156" s="2"/>
      <c r="F156" s="37"/>
      <c r="G156" s="26"/>
      <c r="H156" s="37"/>
      <c r="I156" s="62"/>
      <c r="J156" s="20"/>
      <c r="K156" s="26"/>
      <c r="L156" s="37"/>
      <c r="M156" s="62"/>
      <c r="N156" s="20"/>
      <c r="O156" s="26"/>
      <c r="P156" s="37"/>
      <c r="Q156" s="62"/>
      <c r="R156" s="20"/>
      <c r="S156" s="26"/>
      <c r="T156" s="37"/>
      <c r="U156" s="62"/>
      <c r="V156" s="20"/>
      <c r="W156" s="37"/>
      <c r="X156" s="26"/>
      <c r="Y156" s="17"/>
    </row>
    <row r="157" spans="2:25" s="38" customFormat="1" x14ac:dyDescent="0.25">
      <c r="B157" s="20"/>
      <c r="C157" s="52"/>
      <c r="D157" s="22"/>
      <c r="E157" s="2"/>
      <c r="F157" s="37"/>
      <c r="G157" s="26"/>
      <c r="H157" s="37"/>
      <c r="I157" s="62"/>
      <c r="J157" s="20"/>
      <c r="K157" s="26"/>
      <c r="L157" s="37"/>
      <c r="M157" s="62"/>
      <c r="N157" s="20"/>
      <c r="O157" s="26"/>
      <c r="P157" s="37"/>
      <c r="Q157" s="62"/>
      <c r="R157" s="20"/>
      <c r="S157" s="26"/>
      <c r="T157" s="37"/>
      <c r="U157" s="62"/>
      <c r="V157" s="20"/>
      <c r="W157" s="37"/>
      <c r="X157" s="26"/>
      <c r="Y157" s="17"/>
    </row>
    <row r="158" spans="2:25" s="38" customFormat="1" x14ac:dyDescent="0.25">
      <c r="B158" s="20"/>
      <c r="C158" s="52"/>
      <c r="D158" s="22"/>
      <c r="E158" s="2"/>
      <c r="F158" s="37"/>
      <c r="G158" s="26"/>
      <c r="H158" s="37"/>
      <c r="I158" s="62"/>
      <c r="J158" s="20"/>
      <c r="K158" s="26"/>
      <c r="L158" s="37"/>
      <c r="M158" s="62"/>
      <c r="N158" s="20"/>
      <c r="O158" s="26"/>
      <c r="P158" s="37"/>
      <c r="Q158" s="62"/>
      <c r="R158" s="20"/>
      <c r="S158" s="26"/>
      <c r="T158" s="37"/>
      <c r="U158" s="62"/>
      <c r="V158" s="20"/>
      <c r="W158" s="37"/>
      <c r="X158" s="26"/>
      <c r="Y158" s="17"/>
    </row>
    <row r="159" spans="2:25" s="38" customFormat="1" x14ac:dyDescent="0.25">
      <c r="B159" s="20"/>
      <c r="C159" s="52"/>
      <c r="D159" s="22"/>
      <c r="E159" s="2"/>
      <c r="F159" s="37"/>
      <c r="G159" s="26"/>
      <c r="H159" s="37"/>
      <c r="I159" s="62"/>
      <c r="J159" s="20"/>
      <c r="K159" s="26"/>
      <c r="L159" s="37"/>
      <c r="M159" s="62"/>
      <c r="N159" s="20"/>
      <c r="O159" s="26"/>
      <c r="P159" s="37"/>
      <c r="Q159" s="62"/>
      <c r="R159" s="20"/>
      <c r="S159" s="26"/>
      <c r="T159" s="37"/>
      <c r="U159" s="62"/>
      <c r="V159" s="20"/>
      <c r="W159" s="37"/>
      <c r="X159" s="26"/>
      <c r="Y159" s="17"/>
    </row>
    <row r="160" spans="2:25" s="38" customFormat="1" x14ac:dyDescent="0.25">
      <c r="B160" s="20"/>
      <c r="C160" s="52"/>
      <c r="D160" s="22"/>
      <c r="E160" s="2"/>
      <c r="F160" s="37"/>
      <c r="G160" s="26"/>
      <c r="H160" s="37"/>
      <c r="I160" s="62"/>
      <c r="J160" s="20"/>
      <c r="K160" s="26"/>
      <c r="L160" s="37"/>
      <c r="M160" s="62"/>
      <c r="N160" s="20"/>
      <c r="O160" s="26"/>
      <c r="P160" s="37"/>
      <c r="Q160" s="62"/>
      <c r="R160" s="20"/>
      <c r="S160" s="26"/>
      <c r="T160" s="37"/>
      <c r="U160" s="62"/>
      <c r="V160" s="20"/>
      <c r="W160" s="37"/>
      <c r="X160" s="26"/>
      <c r="Y160" s="17"/>
    </row>
    <row r="161" spans="2:25" s="38" customFormat="1" x14ac:dyDescent="0.25">
      <c r="B161" s="20"/>
      <c r="C161" s="52"/>
      <c r="D161" s="22"/>
      <c r="E161" s="2"/>
      <c r="F161" s="37"/>
      <c r="G161" s="26"/>
      <c r="H161" s="37"/>
      <c r="I161" s="62"/>
      <c r="J161" s="20"/>
      <c r="K161" s="26"/>
      <c r="L161" s="37"/>
      <c r="M161" s="62"/>
      <c r="N161" s="20"/>
      <c r="O161" s="26"/>
      <c r="P161" s="37"/>
      <c r="Q161" s="62"/>
      <c r="R161" s="20"/>
      <c r="S161" s="26"/>
      <c r="T161" s="37"/>
      <c r="U161" s="62"/>
      <c r="V161" s="20"/>
      <c r="W161" s="37"/>
      <c r="X161" s="26"/>
      <c r="Y161" s="17"/>
    </row>
    <row r="162" spans="2:25" s="38" customFormat="1" x14ac:dyDescent="0.25">
      <c r="B162" s="20"/>
      <c r="C162" s="52"/>
      <c r="D162" s="22"/>
      <c r="E162" s="2"/>
      <c r="F162" s="37"/>
      <c r="G162" s="26"/>
      <c r="H162" s="37"/>
      <c r="I162" s="62"/>
      <c r="J162" s="20"/>
      <c r="K162" s="26"/>
      <c r="L162" s="37"/>
      <c r="M162" s="62"/>
      <c r="N162" s="20"/>
      <c r="O162" s="26"/>
      <c r="P162" s="37"/>
      <c r="Q162" s="62"/>
      <c r="R162" s="20"/>
      <c r="S162" s="26"/>
      <c r="T162" s="37"/>
      <c r="U162" s="62"/>
      <c r="V162" s="20"/>
      <c r="W162" s="37"/>
      <c r="X162" s="26"/>
      <c r="Y162" s="17"/>
    </row>
    <row r="163" spans="2:25" s="38" customFormat="1" x14ac:dyDescent="0.25">
      <c r="B163" s="20"/>
      <c r="C163" s="52"/>
      <c r="D163" s="22"/>
      <c r="E163" s="2"/>
      <c r="F163" s="37"/>
      <c r="G163" s="26"/>
      <c r="H163" s="37"/>
      <c r="I163" s="62"/>
      <c r="J163" s="20"/>
      <c r="K163" s="26"/>
      <c r="L163" s="37"/>
      <c r="M163" s="62"/>
      <c r="N163" s="20"/>
      <c r="O163" s="26"/>
      <c r="P163" s="37"/>
      <c r="Q163" s="62"/>
      <c r="R163" s="20"/>
      <c r="S163" s="26"/>
      <c r="T163" s="37"/>
      <c r="U163" s="62"/>
      <c r="V163" s="20"/>
      <c r="W163" s="37"/>
      <c r="X163" s="26"/>
      <c r="Y163" s="17"/>
    </row>
    <row r="164" spans="2:25" s="38" customFormat="1" x14ac:dyDescent="0.25">
      <c r="B164" s="20"/>
      <c r="C164" s="52"/>
      <c r="D164" s="22"/>
      <c r="E164" s="2"/>
      <c r="F164" s="37"/>
      <c r="G164" s="26"/>
      <c r="H164" s="37"/>
      <c r="I164" s="62"/>
      <c r="J164" s="20"/>
      <c r="K164" s="26"/>
      <c r="L164" s="37"/>
      <c r="M164" s="62"/>
      <c r="N164" s="20"/>
      <c r="O164" s="26"/>
      <c r="P164" s="37"/>
      <c r="Q164" s="62"/>
      <c r="R164" s="20"/>
      <c r="S164" s="26"/>
      <c r="T164" s="37"/>
      <c r="U164" s="62"/>
      <c r="V164" s="20"/>
      <c r="W164" s="37"/>
      <c r="X164" s="26"/>
      <c r="Y164" s="17"/>
    </row>
    <row r="165" spans="2:25" s="38" customFormat="1" x14ac:dyDescent="0.25">
      <c r="B165" s="20"/>
      <c r="C165" s="52"/>
      <c r="D165" s="22"/>
      <c r="E165" s="2"/>
      <c r="F165" s="37"/>
      <c r="G165" s="26"/>
      <c r="H165" s="37"/>
      <c r="I165" s="62"/>
      <c r="J165" s="20"/>
      <c r="K165" s="26"/>
      <c r="L165" s="37"/>
      <c r="M165" s="62"/>
      <c r="N165" s="20"/>
      <c r="O165" s="26"/>
      <c r="P165" s="37"/>
      <c r="Q165" s="62"/>
      <c r="R165" s="20"/>
      <c r="S165" s="26"/>
      <c r="T165" s="37"/>
      <c r="U165" s="62"/>
      <c r="V165" s="20"/>
      <c r="W165" s="37"/>
      <c r="X165" s="26"/>
      <c r="Y165" s="17"/>
    </row>
    <row r="166" spans="2:25" s="38" customFormat="1" x14ac:dyDescent="0.25">
      <c r="B166" s="20"/>
      <c r="C166" s="52"/>
      <c r="D166" s="22"/>
      <c r="E166" s="2"/>
      <c r="F166" s="37"/>
      <c r="G166" s="26"/>
      <c r="H166" s="37"/>
      <c r="I166" s="62"/>
      <c r="J166" s="20"/>
      <c r="K166" s="26"/>
      <c r="L166" s="37"/>
      <c r="M166" s="62"/>
      <c r="N166" s="20"/>
      <c r="O166" s="26"/>
      <c r="P166" s="37"/>
      <c r="Q166" s="62"/>
      <c r="R166" s="20"/>
      <c r="S166" s="26"/>
      <c r="T166" s="37"/>
      <c r="U166" s="62"/>
      <c r="V166" s="20"/>
      <c r="W166" s="37"/>
      <c r="X166" s="26"/>
      <c r="Y166" s="17"/>
    </row>
    <row r="167" spans="2:25" s="38" customFormat="1" x14ac:dyDescent="0.25">
      <c r="B167" s="20"/>
      <c r="C167" s="52"/>
      <c r="D167" s="22"/>
      <c r="E167" s="2"/>
      <c r="F167" s="37"/>
      <c r="G167" s="26"/>
      <c r="H167" s="37"/>
      <c r="I167" s="62"/>
      <c r="J167" s="20"/>
      <c r="K167" s="26"/>
      <c r="L167" s="37"/>
      <c r="M167" s="62"/>
      <c r="N167" s="20"/>
      <c r="O167" s="26"/>
      <c r="P167" s="37"/>
      <c r="Q167" s="62"/>
      <c r="R167" s="20"/>
      <c r="S167" s="26"/>
      <c r="T167" s="37"/>
      <c r="U167" s="62"/>
      <c r="V167" s="20"/>
      <c r="W167" s="37"/>
      <c r="X167" s="26"/>
      <c r="Y167" s="17"/>
    </row>
    <row r="168" spans="2:25" s="38" customFormat="1" x14ac:dyDescent="0.25">
      <c r="B168" s="20"/>
      <c r="C168" s="52"/>
      <c r="D168" s="22"/>
      <c r="E168" s="2"/>
      <c r="F168" s="37"/>
      <c r="G168" s="26"/>
      <c r="H168" s="37"/>
      <c r="I168" s="62"/>
      <c r="J168" s="20"/>
      <c r="K168" s="26"/>
      <c r="L168" s="37"/>
      <c r="M168" s="62"/>
      <c r="N168" s="20"/>
      <c r="O168" s="26"/>
      <c r="P168" s="37"/>
      <c r="Q168" s="62"/>
      <c r="R168" s="20"/>
      <c r="S168" s="26"/>
      <c r="T168" s="37"/>
      <c r="U168" s="62"/>
      <c r="V168" s="20"/>
      <c r="W168" s="37"/>
      <c r="X168" s="26"/>
      <c r="Y168" s="17"/>
    </row>
    <row r="169" spans="2:25" s="38" customFormat="1" x14ac:dyDescent="0.25">
      <c r="B169" s="20"/>
      <c r="C169" s="52"/>
      <c r="D169" s="22"/>
      <c r="E169" s="2"/>
      <c r="F169" s="37"/>
      <c r="G169" s="26"/>
      <c r="H169" s="37"/>
      <c r="I169" s="62"/>
      <c r="J169" s="20"/>
      <c r="K169" s="26"/>
      <c r="L169" s="37"/>
      <c r="M169" s="62"/>
      <c r="N169" s="20"/>
      <c r="O169" s="26"/>
      <c r="P169" s="37"/>
      <c r="Q169" s="62"/>
      <c r="R169" s="20"/>
      <c r="S169" s="26"/>
      <c r="T169" s="37"/>
      <c r="U169" s="62"/>
      <c r="V169" s="20"/>
      <c r="W169" s="37"/>
      <c r="X169" s="26"/>
      <c r="Y169" s="17"/>
    </row>
    <row r="170" spans="2:25" s="38" customFormat="1" x14ac:dyDescent="0.25">
      <c r="B170" s="20"/>
      <c r="C170" s="52"/>
      <c r="D170" s="22"/>
      <c r="E170" s="2"/>
      <c r="F170" s="37"/>
      <c r="G170" s="26"/>
      <c r="H170" s="37"/>
      <c r="I170" s="62"/>
      <c r="J170" s="20"/>
      <c r="K170" s="26"/>
      <c r="L170" s="37"/>
      <c r="M170" s="62"/>
      <c r="N170" s="20"/>
      <c r="O170" s="26"/>
      <c r="P170" s="37"/>
      <c r="Q170" s="62"/>
      <c r="R170" s="20"/>
      <c r="S170" s="26"/>
      <c r="T170" s="37"/>
      <c r="U170" s="62"/>
      <c r="V170" s="20"/>
      <c r="W170" s="37"/>
      <c r="X170" s="26"/>
      <c r="Y170" s="17"/>
    </row>
    <row r="171" spans="2:25" s="38" customFormat="1" x14ac:dyDescent="0.25">
      <c r="B171" s="20"/>
      <c r="C171" s="52"/>
      <c r="D171" s="22"/>
      <c r="E171" s="2"/>
      <c r="F171" s="37"/>
      <c r="G171" s="26"/>
      <c r="H171" s="37"/>
      <c r="I171" s="62"/>
      <c r="J171" s="20"/>
      <c r="K171" s="26"/>
      <c r="L171" s="37"/>
      <c r="M171" s="62"/>
      <c r="N171" s="20"/>
      <c r="O171" s="26"/>
      <c r="P171" s="37"/>
      <c r="Q171" s="62"/>
      <c r="R171" s="20"/>
      <c r="S171" s="26"/>
      <c r="T171" s="37"/>
      <c r="U171" s="62"/>
      <c r="V171" s="20"/>
      <c r="W171" s="37"/>
      <c r="X171" s="26"/>
      <c r="Y171" s="17"/>
    </row>
    <row r="172" spans="2:25" s="38" customFormat="1" x14ac:dyDescent="0.25">
      <c r="B172" s="20"/>
      <c r="C172" s="52"/>
      <c r="D172" s="22"/>
      <c r="E172" s="2"/>
      <c r="F172" s="37"/>
      <c r="G172" s="26"/>
      <c r="H172" s="37"/>
      <c r="I172" s="62"/>
      <c r="J172" s="20"/>
      <c r="K172" s="26"/>
      <c r="L172" s="37"/>
      <c r="M172" s="62"/>
      <c r="N172" s="20"/>
      <c r="O172" s="26"/>
      <c r="P172" s="37"/>
      <c r="Q172" s="62"/>
      <c r="R172" s="20"/>
      <c r="S172" s="26"/>
      <c r="T172" s="37"/>
      <c r="U172" s="62"/>
      <c r="V172" s="20"/>
      <c r="W172" s="37"/>
      <c r="X172" s="26"/>
      <c r="Y172" s="17"/>
    </row>
    <row r="173" spans="2:25" s="38" customFormat="1" x14ac:dyDescent="0.25">
      <c r="B173" s="20"/>
      <c r="C173" s="52"/>
      <c r="D173" s="22"/>
      <c r="E173" s="2"/>
      <c r="F173" s="37"/>
      <c r="G173" s="26"/>
      <c r="H173" s="37"/>
      <c r="I173" s="62"/>
      <c r="J173" s="20"/>
      <c r="K173" s="26"/>
      <c r="L173" s="37"/>
      <c r="M173" s="62"/>
      <c r="N173" s="20"/>
      <c r="O173" s="26"/>
      <c r="P173" s="37"/>
      <c r="Q173" s="62"/>
      <c r="R173" s="20"/>
      <c r="S173" s="26"/>
      <c r="T173" s="37"/>
      <c r="U173" s="62"/>
      <c r="V173" s="20"/>
      <c r="W173" s="37"/>
      <c r="X173" s="26"/>
      <c r="Y173" s="17"/>
    </row>
    <row r="174" spans="2:25" s="38" customFormat="1" x14ac:dyDescent="0.25">
      <c r="B174" s="20"/>
      <c r="C174" s="52"/>
      <c r="D174" s="22"/>
      <c r="E174" s="2"/>
      <c r="F174" s="37"/>
      <c r="G174" s="26"/>
      <c r="H174" s="37"/>
      <c r="I174" s="62"/>
      <c r="J174" s="20"/>
      <c r="K174" s="26"/>
      <c r="L174" s="37"/>
      <c r="M174" s="62"/>
      <c r="N174" s="20"/>
      <c r="O174" s="26"/>
      <c r="P174" s="37"/>
      <c r="Q174" s="62"/>
      <c r="R174" s="20"/>
      <c r="S174" s="26"/>
      <c r="T174" s="37"/>
      <c r="U174" s="62"/>
      <c r="V174" s="20"/>
      <c r="W174" s="37"/>
      <c r="X174" s="26"/>
      <c r="Y174" s="17"/>
    </row>
    <row r="175" spans="2:25" s="38" customFormat="1" x14ac:dyDescent="0.25">
      <c r="B175" s="20"/>
      <c r="C175" s="52"/>
      <c r="D175" s="22"/>
      <c r="E175" s="2"/>
      <c r="F175" s="37"/>
      <c r="G175" s="26"/>
      <c r="H175" s="37"/>
      <c r="I175" s="62"/>
      <c r="J175" s="20"/>
      <c r="K175" s="26"/>
      <c r="L175" s="37"/>
      <c r="M175" s="62"/>
      <c r="N175" s="20"/>
      <c r="O175" s="26"/>
      <c r="P175" s="37"/>
      <c r="Q175" s="62"/>
      <c r="R175" s="20"/>
      <c r="S175" s="26"/>
      <c r="T175" s="37"/>
      <c r="U175" s="62"/>
      <c r="V175" s="20"/>
      <c r="W175" s="37"/>
      <c r="X175" s="26"/>
      <c r="Y175" s="17"/>
    </row>
    <row r="176" spans="2:25" s="38" customFormat="1" x14ac:dyDescent="0.25">
      <c r="B176" s="20"/>
      <c r="C176" s="52"/>
      <c r="D176" s="22"/>
      <c r="E176" s="2"/>
      <c r="F176" s="37"/>
      <c r="G176" s="26"/>
      <c r="H176" s="37"/>
      <c r="I176" s="62"/>
      <c r="J176" s="20"/>
      <c r="K176" s="26"/>
      <c r="L176" s="37"/>
      <c r="M176" s="62"/>
      <c r="N176" s="20"/>
      <c r="O176" s="26"/>
      <c r="P176" s="37"/>
      <c r="Q176" s="62"/>
      <c r="R176" s="20"/>
      <c r="S176" s="26"/>
      <c r="T176" s="37"/>
      <c r="U176" s="62"/>
      <c r="V176" s="20"/>
      <c r="W176" s="37"/>
      <c r="X176" s="26"/>
      <c r="Y176" s="17"/>
    </row>
    <row r="177" spans="2:25" s="38" customFormat="1" x14ac:dyDescent="0.25">
      <c r="B177" s="20"/>
      <c r="C177" s="52"/>
      <c r="D177" s="22"/>
      <c r="E177" s="2"/>
      <c r="F177" s="37"/>
      <c r="G177" s="26"/>
      <c r="H177" s="37"/>
      <c r="I177" s="62"/>
      <c r="J177" s="20"/>
      <c r="K177" s="26"/>
      <c r="L177" s="37"/>
      <c r="M177" s="62"/>
      <c r="N177" s="20"/>
      <c r="O177" s="26"/>
      <c r="P177" s="37"/>
      <c r="Q177" s="62"/>
      <c r="R177" s="20"/>
      <c r="S177" s="26"/>
      <c r="T177" s="37"/>
      <c r="U177" s="62"/>
      <c r="V177" s="20"/>
      <c r="W177" s="37"/>
      <c r="X177" s="26"/>
      <c r="Y177" s="17"/>
    </row>
    <row r="178" spans="2:25" s="38" customFormat="1" x14ac:dyDescent="0.25">
      <c r="B178" s="20"/>
      <c r="C178" s="52"/>
      <c r="D178" s="22"/>
      <c r="E178" s="2"/>
      <c r="F178" s="37"/>
      <c r="G178" s="26"/>
      <c r="H178" s="37"/>
      <c r="I178" s="62"/>
      <c r="J178" s="20"/>
      <c r="K178" s="26"/>
      <c r="L178" s="37"/>
      <c r="M178" s="62"/>
      <c r="N178" s="20"/>
      <c r="O178" s="26"/>
      <c r="P178" s="37"/>
      <c r="Q178" s="62"/>
      <c r="R178" s="20"/>
      <c r="S178" s="26"/>
      <c r="T178" s="37"/>
      <c r="U178" s="62"/>
      <c r="V178" s="20"/>
      <c r="W178" s="37"/>
      <c r="X178" s="26"/>
      <c r="Y178" s="17"/>
    </row>
    <row r="179" spans="2:25" s="38" customFormat="1" x14ac:dyDescent="0.25">
      <c r="B179" s="20"/>
      <c r="C179" s="52"/>
      <c r="D179" s="22"/>
      <c r="E179" s="2"/>
      <c r="F179" s="37"/>
      <c r="G179" s="26"/>
      <c r="H179" s="37"/>
      <c r="I179" s="62"/>
      <c r="J179" s="20"/>
      <c r="K179" s="26"/>
      <c r="L179" s="37"/>
      <c r="M179" s="62"/>
      <c r="N179" s="20"/>
      <c r="O179" s="26"/>
      <c r="P179" s="37"/>
      <c r="Q179" s="62"/>
      <c r="R179" s="20"/>
      <c r="S179" s="26"/>
      <c r="T179" s="37"/>
      <c r="U179" s="62"/>
      <c r="V179" s="20"/>
      <c r="W179" s="37"/>
      <c r="X179" s="26"/>
      <c r="Y179" s="17"/>
    </row>
    <row r="180" spans="2:25" s="38" customFormat="1" x14ac:dyDescent="0.25">
      <c r="B180" s="20"/>
      <c r="C180" s="52"/>
      <c r="D180" s="22"/>
      <c r="E180" s="2"/>
      <c r="F180" s="37"/>
      <c r="G180" s="26"/>
      <c r="H180" s="37"/>
      <c r="I180" s="62"/>
      <c r="J180" s="20"/>
      <c r="K180" s="26"/>
      <c r="L180" s="37"/>
      <c r="M180" s="62"/>
      <c r="N180" s="20"/>
      <c r="O180" s="26"/>
      <c r="P180" s="37"/>
      <c r="Q180" s="62"/>
      <c r="R180" s="20"/>
      <c r="S180" s="26"/>
      <c r="T180" s="37"/>
      <c r="U180" s="62"/>
      <c r="V180" s="20"/>
      <c r="W180" s="37"/>
      <c r="X180" s="26"/>
      <c r="Y180" s="17"/>
    </row>
    <row r="181" spans="2:25" s="38" customFormat="1" x14ac:dyDescent="0.25">
      <c r="B181" s="20"/>
      <c r="C181" s="52"/>
      <c r="D181" s="22"/>
      <c r="E181" s="2"/>
      <c r="F181" s="37"/>
      <c r="G181" s="26"/>
      <c r="H181" s="37"/>
      <c r="I181" s="62"/>
      <c r="J181" s="20"/>
      <c r="K181" s="26"/>
      <c r="L181" s="37"/>
      <c r="M181" s="62"/>
      <c r="N181" s="20"/>
      <c r="O181" s="26"/>
      <c r="P181" s="37"/>
      <c r="Q181" s="62"/>
      <c r="R181" s="20"/>
      <c r="S181" s="26"/>
      <c r="T181" s="37"/>
      <c r="U181" s="62"/>
      <c r="V181" s="20"/>
      <c r="W181" s="37"/>
      <c r="X181" s="26"/>
      <c r="Y181" s="17"/>
    </row>
    <row r="182" spans="2:25" s="38" customFormat="1" x14ac:dyDescent="0.25">
      <c r="B182" s="20"/>
      <c r="C182" s="52"/>
      <c r="D182" s="22"/>
      <c r="E182" s="2"/>
      <c r="F182" s="37"/>
      <c r="G182" s="26"/>
      <c r="H182" s="37"/>
      <c r="I182" s="62"/>
      <c r="J182" s="20"/>
      <c r="K182" s="26"/>
      <c r="L182" s="37"/>
      <c r="M182" s="62"/>
      <c r="N182" s="20"/>
      <c r="O182" s="26"/>
      <c r="P182" s="37"/>
      <c r="Q182" s="62"/>
      <c r="R182" s="20"/>
      <c r="S182" s="26"/>
      <c r="T182" s="37"/>
      <c r="U182" s="62"/>
      <c r="V182" s="20"/>
      <c r="W182" s="37"/>
      <c r="X182" s="26"/>
      <c r="Y182" s="17"/>
    </row>
    <row r="183" spans="2:25" s="38" customFormat="1" x14ac:dyDescent="0.25">
      <c r="B183" s="20"/>
      <c r="C183" s="52"/>
      <c r="D183" s="22"/>
      <c r="E183" s="2"/>
      <c r="F183" s="37"/>
      <c r="G183" s="26"/>
      <c r="H183" s="37"/>
      <c r="I183" s="62"/>
      <c r="J183" s="20"/>
      <c r="K183" s="26"/>
      <c r="L183" s="37"/>
      <c r="M183" s="62"/>
      <c r="N183" s="20"/>
      <c r="O183" s="26"/>
      <c r="P183" s="37"/>
      <c r="Q183" s="62"/>
      <c r="R183" s="20"/>
      <c r="S183" s="26"/>
      <c r="T183" s="37"/>
      <c r="U183" s="62"/>
      <c r="V183" s="20"/>
      <c r="W183" s="37"/>
      <c r="X183" s="26"/>
      <c r="Y183" s="17"/>
    </row>
    <row r="184" spans="2:25" s="38" customFormat="1" x14ac:dyDescent="0.25">
      <c r="B184" s="20"/>
      <c r="C184" s="52"/>
      <c r="D184" s="22"/>
      <c r="E184" s="2"/>
      <c r="F184" s="37"/>
      <c r="G184" s="26"/>
      <c r="H184" s="37"/>
      <c r="I184" s="62"/>
      <c r="J184" s="20"/>
      <c r="K184" s="26"/>
      <c r="L184" s="37"/>
      <c r="M184" s="62"/>
      <c r="N184" s="20"/>
      <c r="O184" s="26"/>
      <c r="P184" s="37"/>
      <c r="Q184" s="62"/>
      <c r="R184" s="20"/>
      <c r="S184" s="26"/>
      <c r="T184" s="37"/>
      <c r="U184" s="62"/>
      <c r="V184" s="20"/>
      <c r="W184" s="37"/>
      <c r="X184" s="26"/>
      <c r="Y184" s="17"/>
    </row>
    <row r="185" spans="2:25" s="38" customFormat="1" x14ac:dyDescent="0.25">
      <c r="B185" s="20"/>
      <c r="C185" s="52"/>
      <c r="D185" s="22"/>
      <c r="E185" s="2"/>
      <c r="F185" s="37"/>
      <c r="G185" s="26"/>
      <c r="H185" s="37"/>
      <c r="I185" s="62"/>
      <c r="J185" s="20"/>
      <c r="K185" s="26"/>
      <c r="L185" s="37"/>
      <c r="M185" s="62"/>
      <c r="N185" s="20"/>
      <c r="O185" s="26"/>
      <c r="P185" s="37"/>
      <c r="Q185" s="62"/>
      <c r="R185" s="20"/>
      <c r="S185" s="26"/>
      <c r="T185" s="37"/>
      <c r="U185" s="62"/>
      <c r="V185" s="20"/>
      <c r="W185" s="37"/>
      <c r="X185" s="26"/>
      <c r="Y185" s="17"/>
    </row>
    <row r="186" spans="2:25" s="38" customFormat="1" x14ac:dyDescent="0.25">
      <c r="B186" s="20"/>
      <c r="C186" s="52"/>
      <c r="D186" s="22"/>
      <c r="E186" s="2"/>
      <c r="F186" s="37"/>
      <c r="G186" s="26"/>
      <c r="H186" s="37"/>
      <c r="I186" s="62"/>
      <c r="J186" s="20"/>
      <c r="K186" s="26"/>
      <c r="L186" s="37"/>
      <c r="M186" s="62"/>
      <c r="N186" s="20"/>
      <c r="O186" s="26"/>
      <c r="P186" s="37"/>
      <c r="Q186" s="62"/>
      <c r="R186" s="20"/>
      <c r="S186" s="26"/>
      <c r="T186" s="37"/>
      <c r="U186" s="62"/>
      <c r="V186" s="20"/>
      <c r="W186" s="37"/>
      <c r="X186" s="26"/>
      <c r="Y186" s="17"/>
    </row>
    <row r="187" spans="2:25" s="38" customFormat="1" x14ac:dyDescent="0.25">
      <c r="B187" s="20"/>
      <c r="C187" s="52"/>
      <c r="D187" s="22"/>
      <c r="E187" s="2"/>
      <c r="F187" s="37"/>
      <c r="G187" s="26"/>
      <c r="H187" s="37"/>
      <c r="I187" s="62"/>
      <c r="J187" s="20"/>
      <c r="K187" s="26"/>
      <c r="L187" s="37"/>
      <c r="M187" s="62"/>
      <c r="N187" s="20"/>
      <c r="O187" s="26"/>
      <c r="P187" s="37"/>
      <c r="Q187" s="62"/>
      <c r="R187" s="20"/>
      <c r="S187" s="26"/>
      <c r="T187" s="37"/>
      <c r="U187" s="62"/>
      <c r="V187" s="20"/>
      <c r="W187" s="37"/>
      <c r="X187" s="26"/>
      <c r="Y187" s="17"/>
    </row>
    <row r="188" spans="2:25" s="38" customFormat="1" x14ac:dyDescent="0.25">
      <c r="B188" s="20"/>
      <c r="C188" s="52"/>
      <c r="D188" s="22"/>
      <c r="E188" s="2"/>
      <c r="F188" s="37"/>
      <c r="G188" s="26"/>
      <c r="H188" s="37"/>
      <c r="I188" s="62"/>
      <c r="J188" s="20"/>
      <c r="K188" s="26"/>
      <c r="L188" s="37"/>
      <c r="M188" s="62"/>
      <c r="N188" s="20"/>
      <c r="O188" s="26"/>
      <c r="P188" s="37"/>
      <c r="Q188" s="62"/>
      <c r="R188" s="20"/>
      <c r="S188" s="26"/>
      <c r="T188" s="37"/>
      <c r="U188" s="62"/>
      <c r="V188" s="20"/>
      <c r="W188" s="37"/>
      <c r="X188" s="26"/>
      <c r="Y188" s="17"/>
    </row>
    <row r="189" spans="2:25" s="38" customFormat="1" x14ac:dyDescent="0.25">
      <c r="B189" s="20"/>
      <c r="C189" s="52"/>
      <c r="D189" s="22"/>
      <c r="E189" s="2"/>
      <c r="F189" s="37"/>
      <c r="G189" s="26"/>
      <c r="H189" s="37"/>
      <c r="I189" s="62"/>
      <c r="J189" s="20"/>
      <c r="K189" s="26"/>
      <c r="L189" s="37"/>
      <c r="M189" s="62"/>
      <c r="N189" s="20"/>
      <c r="O189" s="26"/>
      <c r="P189" s="37"/>
      <c r="Q189" s="62"/>
      <c r="R189" s="20"/>
      <c r="S189" s="26"/>
      <c r="T189" s="37"/>
      <c r="U189" s="62"/>
      <c r="V189" s="20"/>
      <c r="W189" s="37"/>
      <c r="X189" s="26"/>
      <c r="Y189" s="17"/>
    </row>
    <row r="190" spans="2:25" s="38" customFormat="1" x14ac:dyDescent="0.25">
      <c r="B190" s="20"/>
      <c r="C190" s="52"/>
      <c r="D190" s="22"/>
      <c r="E190" s="2"/>
      <c r="F190" s="37"/>
      <c r="G190" s="26"/>
      <c r="H190" s="37"/>
      <c r="I190" s="62"/>
      <c r="J190" s="20"/>
      <c r="K190" s="26"/>
      <c r="L190" s="37"/>
      <c r="M190" s="62"/>
      <c r="N190" s="20"/>
      <c r="O190" s="26"/>
      <c r="P190" s="37"/>
      <c r="Q190" s="62"/>
      <c r="R190" s="20"/>
      <c r="S190" s="26"/>
      <c r="T190" s="37"/>
      <c r="U190" s="62"/>
      <c r="V190" s="20"/>
      <c r="W190" s="37"/>
      <c r="X190" s="26"/>
      <c r="Y190" s="17"/>
    </row>
    <row r="191" spans="2:25" s="38" customFormat="1" x14ac:dyDescent="0.25">
      <c r="B191" s="20"/>
      <c r="C191" s="52"/>
      <c r="D191" s="22"/>
      <c r="E191" s="2"/>
      <c r="F191" s="37"/>
      <c r="G191" s="26"/>
      <c r="H191" s="37"/>
      <c r="I191" s="62"/>
      <c r="J191" s="20"/>
      <c r="K191" s="26"/>
      <c r="L191" s="37"/>
      <c r="M191" s="62"/>
      <c r="N191" s="20"/>
      <c r="O191" s="26"/>
      <c r="P191" s="37"/>
      <c r="Q191" s="62"/>
      <c r="R191" s="20"/>
      <c r="S191" s="26"/>
      <c r="T191" s="37"/>
      <c r="U191" s="62"/>
      <c r="V191" s="20"/>
      <c r="W191" s="37"/>
      <c r="X191" s="26"/>
      <c r="Y191" s="17"/>
    </row>
    <row r="192" spans="2:25" s="38" customFormat="1" x14ac:dyDescent="0.25">
      <c r="B192" s="20"/>
      <c r="C192" s="52"/>
      <c r="D192" s="22"/>
      <c r="E192" s="2"/>
      <c r="F192" s="37"/>
      <c r="G192" s="26"/>
      <c r="H192" s="37"/>
      <c r="I192" s="62"/>
      <c r="J192" s="20"/>
      <c r="K192" s="26"/>
      <c r="L192" s="37"/>
      <c r="M192" s="62"/>
      <c r="N192" s="20"/>
      <c r="O192" s="26"/>
      <c r="P192" s="37"/>
      <c r="Q192" s="62"/>
      <c r="R192" s="20"/>
      <c r="S192" s="26"/>
      <c r="T192" s="37"/>
      <c r="U192" s="62"/>
      <c r="V192" s="20"/>
      <c r="W192" s="37"/>
      <c r="X192" s="26"/>
      <c r="Y192" s="17"/>
    </row>
    <row r="193" spans="2:25" s="38" customFormat="1" x14ac:dyDescent="0.25">
      <c r="B193" s="20"/>
      <c r="C193" s="52"/>
      <c r="D193" s="22"/>
      <c r="E193" s="2"/>
      <c r="F193" s="37"/>
      <c r="G193" s="26"/>
      <c r="H193" s="37"/>
      <c r="I193" s="62"/>
      <c r="J193" s="20"/>
      <c r="K193" s="26"/>
      <c r="L193" s="37"/>
      <c r="M193" s="62"/>
      <c r="N193" s="20"/>
      <c r="O193" s="26"/>
      <c r="P193" s="37"/>
      <c r="Q193" s="62"/>
      <c r="R193" s="20"/>
      <c r="S193" s="26"/>
      <c r="T193" s="37"/>
      <c r="U193" s="62"/>
      <c r="V193" s="20"/>
      <c r="W193" s="37"/>
      <c r="X193" s="26"/>
      <c r="Y193" s="17"/>
    </row>
    <row r="194" spans="2:25" s="38" customFormat="1" x14ac:dyDescent="0.25">
      <c r="B194" s="20"/>
      <c r="C194" s="52"/>
      <c r="D194" s="22"/>
      <c r="E194" s="2"/>
      <c r="F194" s="37"/>
      <c r="G194" s="26"/>
      <c r="H194" s="37"/>
      <c r="I194" s="62"/>
      <c r="J194" s="20"/>
      <c r="K194" s="26"/>
      <c r="L194" s="37"/>
      <c r="M194" s="62"/>
      <c r="N194" s="20"/>
      <c r="O194" s="26"/>
      <c r="P194" s="37"/>
      <c r="Q194" s="62"/>
      <c r="R194" s="20"/>
      <c r="S194" s="26"/>
      <c r="T194" s="37"/>
      <c r="U194" s="62"/>
      <c r="V194" s="20"/>
      <c r="W194" s="37"/>
      <c r="X194" s="26"/>
      <c r="Y194" s="17"/>
    </row>
    <row r="195" spans="2:25" s="38" customFormat="1" x14ac:dyDescent="0.25">
      <c r="B195" s="20"/>
      <c r="C195" s="52"/>
      <c r="D195" s="22"/>
      <c r="E195" s="2"/>
      <c r="F195" s="37"/>
      <c r="G195" s="26"/>
      <c r="H195" s="37"/>
      <c r="I195" s="62"/>
      <c r="J195" s="20"/>
      <c r="K195" s="26"/>
      <c r="L195" s="37"/>
      <c r="M195" s="62"/>
      <c r="N195" s="20"/>
      <c r="O195" s="26"/>
      <c r="P195" s="37"/>
      <c r="Q195" s="62"/>
      <c r="R195" s="20"/>
      <c r="S195" s="26"/>
      <c r="T195" s="37"/>
      <c r="U195" s="62"/>
      <c r="V195" s="20"/>
      <c r="W195" s="37"/>
      <c r="X195" s="26"/>
      <c r="Y195" s="17"/>
    </row>
    <row r="196" spans="2:25" s="38" customFormat="1" x14ac:dyDescent="0.25">
      <c r="B196" s="20"/>
      <c r="C196" s="52"/>
      <c r="D196" s="22"/>
      <c r="E196" s="2"/>
      <c r="F196" s="37"/>
      <c r="G196" s="26"/>
      <c r="H196" s="37"/>
      <c r="I196" s="62"/>
      <c r="J196" s="20"/>
      <c r="K196" s="26"/>
      <c r="L196" s="37"/>
      <c r="M196" s="62"/>
      <c r="N196" s="20"/>
      <c r="O196" s="26"/>
      <c r="P196" s="37"/>
      <c r="Q196" s="62"/>
      <c r="R196" s="20"/>
      <c r="S196" s="26"/>
      <c r="T196" s="37"/>
      <c r="U196" s="62"/>
      <c r="V196" s="20"/>
      <c r="W196" s="37"/>
      <c r="X196" s="26"/>
      <c r="Y196" s="17"/>
    </row>
    <row r="197" spans="2:25" s="38" customFormat="1" x14ac:dyDescent="0.25">
      <c r="B197" s="20"/>
      <c r="C197" s="52"/>
      <c r="D197" s="22"/>
      <c r="E197" s="2"/>
      <c r="F197" s="37"/>
      <c r="G197" s="26"/>
      <c r="H197" s="37"/>
      <c r="I197" s="62"/>
      <c r="J197" s="20"/>
      <c r="K197" s="26"/>
      <c r="L197" s="37"/>
      <c r="M197" s="62"/>
      <c r="N197" s="20"/>
      <c r="O197" s="26"/>
      <c r="P197" s="37"/>
      <c r="Q197" s="62"/>
      <c r="R197" s="20"/>
      <c r="S197" s="26"/>
      <c r="T197" s="37"/>
      <c r="U197" s="62"/>
      <c r="V197" s="20"/>
      <c r="W197" s="37"/>
      <c r="X197" s="26"/>
      <c r="Y197" s="17"/>
    </row>
    <row r="198" spans="2:25" s="38" customFormat="1" x14ac:dyDescent="0.25">
      <c r="B198" s="20"/>
      <c r="C198" s="52"/>
      <c r="D198" s="22"/>
      <c r="E198" s="2"/>
      <c r="F198" s="37"/>
      <c r="G198" s="26"/>
      <c r="H198" s="37"/>
      <c r="I198" s="62"/>
      <c r="J198" s="20"/>
      <c r="K198" s="26"/>
      <c r="L198" s="37"/>
      <c r="M198" s="62"/>
      <c r="N198" s="20"/>
      <c r="O198" s="26"/>
      <c r="P198" s="37"/>
      <c r="Q198" s="62"/>
      <c r="R198" s="20"/>
      <c r="S198" s="26"/>
      <c r="T198" s="37"/>
      <c r="U198" s="62"/>
      <c r="V198" s="20"/>
      <c r="W198" s="37"/>
      <c r="X198" s="26"/>
      <c r="Y198" s="17"/>
    </row>
    <row r="199" spans="2:25" s="38" customFormat="1" x14ac:dyDescent="0.25">
      <c r="B199" s="20"/>
      <c r="C199" s="52"/>
      <c r="D199" s="22"/>
      <c r="E199" s="2"/>
      <c r="F199" s="37"/>
      <c r="G199" s="26"/>
      <c r="H199" s="37"/>
      <c r="I199" s="62"/>
      <c r="J199" s="20"/>
      <c r="K199" s="26"/>
      <c r="L199" s="37"/>
      <c r="M199" s="62"/>
      <c r="N199" s="20"/>
      <c r="O199" s="26"/>
      <c r="P199" s="37"/>
      <c r="Q199" s="62"/>
      <c r="R199" s="20"/>
      <c r="S199" s="26"/>
      <c r="T199" s="37"/>
      <c r="U199" s="62"/>
      <c r="V199" s="20"/>
      <c r="W199" s="37"/>
      <c r="X199" s="26"/>
      <c r="Y199" s="17"/>
    </row>
    <row r="200" spans="2:25" s="38" customFormat="1" x14ac:dyDescent="0.25">
      <c r="B200" s="20"/>
      <c r="C200" s="52"/>
      <c r="D200" s="22"/>
      <c r="E200" s="2"/>
      <c r="F200" s="37"/>
      <c r="G200" s="26"/>
      <c r="H200" s="37"/>
      <c r="I200" s="62"/>
      <c r="J200" s="20"/>
      <c r="K200" s="26"/>
      <c r="L200" s="37"/>
      <c r="M200" s="62"/>
      <c r="N200" s="20"/>
      <c r="O200" s="26"/>
      <c r="P200" s="37"/>
      <c r="Q200" s="62"/>
      <c r="R200" s="20"/>
      <c r="S200" s="26"/>
      <c r="T200" s="37"/>
      <c r="U200" s="62"/>
      <c r="V200" s="20"/>
      <c r="W200" s="37"/>
      <c r="X200" s="26"/>
      <c r="Y200" s="17"/>
    </row>
    <row r="201" spans="2:25" s="38" customFormat="1" x14ac:dyDescent="0.25">
      <c r="B201" s="20"/>
      <c r="C201" s="52"/>
      <c r="D201" s="22"/>
      <c r="E201" s="2"/>
      <c r="F201" s="37"/>
      <c r="G201" s="26"/>
      <c r="H201" s="37"/>
      <c r="I201" s="62"/>
      <c r="J201" s="20"/>
      <c r="K201" s="26"/>
      <c r="L201" s="37"/>
      <c r="M201" s="62"/>
      <c r="N201" s="20"/>
      <c r="O201" s="26"/>
      <c r="P201" s="37"/>
      <c r="Q201" s="62"/>
      <c r="R201" s="20"/>
      <c r="S201" s="26"/>
      <c r="T201" s="37"/>
      <c r="U201" s="62"/>
      <c r="V201" s="20"/>
      <c r="W201" s="37"/>
      <c r="X201" s="26"/>
      <c r="Y201" s="17"/>
    </row>
    <row r="202" spans="2:25" s="38" customFormat="1" x14ac:dyDescent="0.25">
      <c r="B202" s="20"/>
      <c r="C202" s="52"/>
      <c r="D202" s="22"/>
      <c r="E202" s="2"/>
      <c r="F202" s="37"/>
      <c r="G202" s="26"/>
      <c r="H202" s="37"/>
      <c r="I202" s="62"/>
      <c r="J202" s="20"/>
      <c r="K202" s="26"/>
      <c r="L202" s="37"/>
      <c r="M202" s="62"/>
      <c r="N202" s="20"/>
      <c r="O202" s="26"/>
      <c r="P202" s="37"/>
      <c r="Q202" s="62"/>
      <c r="R202" s="20"/>
      <c r="S202" s="26"/>
      <c r="T202" s="37"/>
      <c r="U202" s="62"/>
      <c r="V202" s="20"/>
      <c r="W202" s="37"/>
      <c r="X202" s="26"/>
      <c r="Y202" s="17"/>
    </row>
    <row r="203" spans="2:25" s="38" customFormat="1" x14ac:dyDescent="0.25">
      <c r="B203" s="20"/>
      <c r="C203" s="52"/>
      <c r="D203" s="22"/>
      <c r="E203" s="2"/>
      <c r="F203" s="37"/>
      <c r="G203" s="26"/>
      <c r="H203" s="37"/>
      <c r="I203" s="62"/>
      <c r="J203" s="20"/>
      <c r="K203" s="26"/>
      <c r="L203" s="37"/>
      <c r="M203" s="62"/>
      <c r="N203" s="20"/>
      <c r="O203" s="26"/>
      <c r="P203" s="37"/>
      <c r="Q203" s="62"/>
      <c r="R203" s="20"/>
      <c r="S203" s="26"/>
      <c r="T203" s="37"/>
      <c r="U203" s="62"/>
      <c r="V203" s="20"/>
      <c r="W203" s="37"/>
      <c r="X203" s="26"/>
      <c r="Y203" s="17"/>
    </row>
    <row r="204" spans="2:25" s="38" customFormat="1" x14ac:dyDescent="0.25">
      <c r="B204" s="20"/>
      <c r="C204" s="52"/>
      <c r="D204" s="22"/>
      <c r="E204" s="2"/>
      <c r="F204" s="37"/>
      <c r="G204" s="26"/>
      <c r="H204" s="37"/>
      <c r="I204" s="62"/>
      <c r="J204" s="20"/>
      <c r="K204" s="26"/>
      <c r="L204" s="37"/>
      <c r="M204" s="62"/>
      <c r="N204" s="20"/>
      <c r="O204" s="26"/>
      <c r="P204" s="37"/>
      <c r="Q204" s="62"/>
      <c r="R204" s="20"/>
      <c r="S204" s="26"/>
      <c r="T204" s="37"/>
      <c r="U204" s="62"/>
      <c r="V204" s="20"/>
      <c r="W204" s="37"/>
      <c r="X204" s="26"/>
      <c r="Y204" s="17"/>
    </row>
    <row r="205" spans="2:25" s="38" customFormat="1" x14ac:dyDescent="0.25">
      <c r="B205" s="20"/>
      <c r="C205" s="52"/>
      <c r="D205" s="22"/>
      <c r="E205" s="2"/>
      <c r="F205" s="37"/>
      <c r="G205" s="26"/>
      <c r="H205" s="37"/>
      <c r="I205" s="62"/>
      <c r="J205" s="20"/>
      <c r="K205" s="26"/>
      <c r="L205" s="37"/>
      <c r="M205" s="62"/>
      <c r="N205" s="20"/>
      <c r="O205" s="26"/>
      <c r="P205" s="37"/>
      <c r="Q205" s="62"/>
      <c r="R205" s="20"/>
      <c r="S205" s="26"/>
      <c r="T205" s="37"/>
      <c r="U205" s="62"/>
      <c r="V205" s="20"/>
      <c r="W205" s="37"/>
      <c r="X205" s="26"/>
      <c r="Y205" s="17"/>
    </row>
    <row r="206" spans="2:25" s="38" customFormat="1" x14ac:dyDescent="0.25">
      <c r="B206" s="20"/>
      <c r="C206" s="52"/>
      <c r="D206" s="22"/>
      <c r="E206" s="2"/>
      <c r="F206" s="37"/>
      <c r="G206" s="26"/>
      <c r="H206" s="37"/>
      <c r="I206" s="62"/>
      <c r="J206" s="20"/>
      <c r="K206" s="26"/>
      <c r="L206" s="37"/>
      <c r="M206" s="62"/>
      <c r="N206" s="20"/>
      <c r="O206" s="26"/>
      <c r="P206" s="37"/>
      <c r="Q206" s="62"/>
      <c r="R206" s="20"/>
      <c r="S206" s="26"/>
      <c r="T206" s="37"/>
      <c r="U206" s="62"/>
      <c r="V206" s="20"/>
      <c r="W206" s="37"/>
      <c r="X206" s="26"/>
      <c r="Y206" s="17"/>
    </row>
    <row r="207" spans="2:25" s="38" customFormat="1" x14ac:dyDescent="0.25">
      <c r="B207" s="20"/>
      <c r="C207" s="52"/>
      <c r="D207" s="22"/>
      <c r="E207" s="2"/>
      <c r="F207" s="37"/>
      <c r="G207" s="26"/>
      <c r="H207" s="37"/>
      <c r="I207" s="62"/>
      <c r="J207" s="20"/>
      <c r="K207" s="26"/>
      <c r="L207" s="37"/>
      <c r="M207" s="62"/>
      <c r="N207" s="20"/>
      <c r="O207" s="26"/>
      <c r="P207" s="37"/>
      <c r="Q207" s="62"/>
      <c r="R207" s="20"/>
      <c r="S207" s="26"/>
      <c r="T207" s="37"/>
      <c r="U207" s="62"/>
      <c r="V207" s="20"/>
      <c r="W207" s="37"/>
      <c r="X207" s="26"/>
      <c r="Y207" s="17"/>
    </row>
    <row r="208" spans="2:25" s="38" customFormat="1" x14ac:dyDescent="0.25">
      <c r="B208" s="20"/>
      <c r="C208" s="52"/>
      <c r="D208" s="22"/>
      <c r="E208" s="2"/>
      <c r="F208" s="37"/>
      <c r="G208" s="26"/>
      <c r="H208" s="37"/>
      <c r="I208" s="62"/>
      <c r="J208" s="20"/>
      <c r="K208" s="26"/>
      <c r="L208" s="37"/>
      <c r="M208" s="62"/>
      <c r="N208" s="20"/>
      <c r="O208" s="26"/>
      <c r="P208" s="37"/>
      <c r="Q208" s="62"/>
      <c r="R208" s="20"/>
      <c r="S208" s="26"/>
      <c r="T208" s="37"/>
      <c r="U208" s="62"/>
      <c r="V208" s="20"/>
      <c r="W208" s="37"/>
      <c r="X208" s="26"/>
      <c r="Y208" s="17"/>
    </row>
    <row r="209" spans="2:25" s="38" customFormat="1" x14ac:dyDescent="0.25">
      <c r="B209" s="20"/>
      <c r="C209" s="52"/>
      <c r="D209" s="22"/>
      <c r="E209" s="2"/>
      <c r="F209" s="37"/>
      <c r="G209" s="26"/>
      <c r="H209" s="37"/>
      <c r="I209" s="62"/>
      <c r="J209" s="20"/>
      <c r="K209" s="26"/>
      <c r="L209" s="37"/>
      <c r="M209" s="62"/>
      <c r="N209" s="20"/>
      <c r="O209" s="26"/>
      <c r="P209" s="37"/>
      <c r="Q209" s="62"/>
      <c r="R209" s="20"/>
      <c r="S209" s="26"/>
      <c r="T209" s="37"/>
      <c r="U209" s="62"/>
      <c r="V209" s="20"/>
      <c r="W209" s="37"/>
      <c r="X209" s="26"/>
      <c r="Y209" s="17"/>
    </row>
    <row r="210" spans="2:25" s="38" customFormat="1" x14ac:dyDescent="0.25">
      <c r="B210" s="49"/>
      <c r="C210" s="70"/>
      <c r="D210" s="42"/>
      <c r="F210" s="33"/>
      <c r="G210" s="47"/>
      <c r="H210" s="33"/>
      <c r="I210" s="60"/>
      <c r="J210" s="27"/>
      <c r="K210" s="47"/>
      <c r="L210" s="33"/>
      <c r="M210" s="60"/>
      <c r="N210" s="27"/>
      <c r="O210" s="47"/>
      <c r="P210" s="33"/>
      <c r="Q210" s="60"/>
      <c r="R210" s="27"/>
      <c r="S210" s="47"/>
      <c r="T210" s="33"/>
      <c r="U210" s="60"/>
      <c r="V210" s="27"/>
      <c r="W210" s="33"/>
      <c r="X210" s="47"/>
      <c r="Y210" s="48"/>
    </row>
    <row r="211" spans="2:25" s="38" customFormat="1" x14ac:dyDescent="0.25">
      <c r="B211" s="49"/>
      <c r="C211" s="70"/>
      <c r="D211" s="42"/>
      <c r="F211" s="33"/>
      <c r="G211" s="47"/>
      <c r="H211" s="33"/>
      <c r="I211" s="60"/>
      <c r="J211" s="27"/>
      <c r="K211" s="47"/>
      <c r="L211" s="33"/>
      <c r="M211" s="60"/>
      <c r="N211" s="27"/>
      <c r="O211" s="47"/>
      <c r="P211" s="33"/>
      <c r="Q211" s="60"/>
      <c r="R211" s="27"/>
      <c r="S211" s="47"/>
      <c r="T211" s="33"/>
      <c r="U211" s="60"/>
      <c r="V211" s="27"/>
      <c r="W211" s="33"/>
      <c r="X211" s="47"/>
      <c r="Y211" s="48"/>
    </row>
    <row r="212" spans="2:25" s="38" customFormat="1" x14ac:dyDescent="0.25">
      <c r="B212" s="49"/>
      <c r="C212" s="70"/>
      <c r="D212" s="42"/>
      <c r="F212" s="33"/>
      <c r="G212" s="47"/>
      <c r="H212" s="33"/>
      <c r="I212" s="60"/>
      <c r="J212" s="27"/>
      <c r="K212" s="47"/>
      <c r="L212" s="33"/>
      <c r="M212" s="60"/>
      <c r="N212" s="27"/>
      <c r="O212" s="47"/>
      <c r="P212" s="33"/>
      <c r="Q212" s="60"/>
      <c r="R212" s="27"/>
      <c r="S212" s="47"/>
      <c r="T212" s="33"/>
      <c r="U212" s="60"/>
      <c r="V212" s="27"/>
      <c r="W212" s="33"/>
      <c r="X212" s="47"/>
      <c r="Y212" s="48"/>
    </row>
    <row r="213" spans="2:25" s="38" customFormat="1" x14ac:dyDescent="0.25">
      <c r="B213" s="49"/>
      <c r="C213" s="70"/>
      <c r="D213" s="42"/>
      <c r="F213" s="33"/>
      <c r="G213" s="47"/>
      <c r="H213" s="33"/>
      <c r="I213" s="60"/>
      <c r="J213" s="27"/>
      <c r="K213" s="47"/>
      <c r="L213" s="33"/>
      <c r="M213" s="60"/>
      <c r="N213" s="27"/>
      <c r="O213" s="47"/>
      <c r="P213" s="33"/>
      <c r="Q213" s="60"/>
      <c r="R213" s="27"/>
      <c r="S213" s="47"/>
      <c r="T213" s="33"/>
      <c r="U213" s="60"/>
      <c r="V213" s="27"/>
      <c r="W213" s="33"/>
      <c r="X213" s="47"/>
      <c r="Y213" s="48"/>
    </row>
    <row r="214" spans="2:25" s="38" customFormat="1" x14ac:dyDescent="0.25">
      <c r="B214" s="49"/>
      <c r="C214" s="70"/>
      <c r="D214" s="42"/>
      <c r="F214" s="33"/>
      <c r="G214" s="47"/>
      <c r="H214" s="33"/>
      <c r="I214" s="60"/>
      <c r="J214" s="27"/>
      <c r="K214" s="47"/>
      <c r="L214" s="33"/>
      <c r="M214" s="60"/>
      <c r="N214" s="27"/>
      <c r="O214" s="47"/>
      <c r="P214" s="33"/>
      <c r="Q214" s="60"/>
      <c r="R214" s="27"/>
      <c r="S214" s="47"/>
      <c r="T214" s="33"/>
      <c r="U214" s="60"/>
      <c r="V214" s="27"/>
      <c r="W214" s="33"/>
      <c r="X214" s="47"/>
      <c r="Y214" s="48"/>
    </row>
    <row r="215" spans="2:25" s="38" customFormat="1" x14ac:dyDescent="0.25">
      <c r="B215" s="49"/>
      <c r="C215" s="70"/>
      <c r="D215" s="42"/>
      <c r="F215" s="33"/>
      <c r="G215" s="47"/>
      <c r="H215" s="33"/>
      <c r="I215" s="60"/>
      <c r="J215" s="27"/>
      <c r="K215" s="47"/>
      <c r="L215" s="33"/>
      <c r="M215" s="60"/>
      <c r="N215" s="27"/>
      <c r="O215" s="47"/>
      <c r="P215" s="33"/>
      <c r="Q215" s="60"/>
      <c r="R215" s="27"/>
      <c r="S215" s="47"/>
      <c r="T215" s="33"/>
      <c r="U215" s="60"/>
      <c r="V215" s="27"/>
      <c r="W215" s="33"/>
      <c r="X215" s="47"/>
      <c r="Y215" s="48"/>
    </row>
    <row r="216" spans="2:25" s="38" customFormat="1" x14ac:dyDescent="0.25">
      <c r="B216" s="49"/>
      <c r="C216" s="70"/>
      <c r="D216" s="42"/>
      <c r="F216" s="33"/>
      <c r="G216" s="47"/>
      <c r="H216" s="33"/>
      <c r="I216" s="60"/>
      <c r="J216" s="27"/>
      <c r="K216" s="47"/>
      <c r="L216" s="33"/>
      <c r="M216" s="60"/>
      <c r="N216" s="27"/>
      <c r="O216" s="47"/>
      <c r="P216" s="33"/>
      <c r="Q216" s="60"/>
      <c r="R216" s="27"/>
      <c r="S216" s="47"/>
      <c r="T216" s="33"/>
      <c r="U216" s="60"/>
      <c r="V216" s="27"/>
      <c r="W216" s="33"/>
      <c r="X216" s="47"/>
      <c r="Y216" s="48"/>
    </row>
    <row r="217" spans="2:25" s="38" customFormat="1" x14ac:dyDescent="0.25">
      <c r="B217" s="49"/>
      <c r="C217" s="70"/>
      <c r="D217" s="42"/>
      <c r="F217" s="33"/>
      <c r="G217" s="47"/>
      <c r="H217" s="33"/>
      <c r="I217" s="60"/>
      <c r="J217" s="27"/>
      <c r="K217" s="47"/>
      <c r="L217" s="33"/>
      <c r="M217" s="60"/>
      <c r="N217" s="27"/>
      <c r="O217" s="47"/>
      <c r="P217" s="33"/>
      <c r="Q217" s="60"/>
      <c r="R217" s="27"/>
      <c r="S217" s="47"/>
      <c r="T217" s="33"/>
      <c r="U217" s="60"/>
      <c r="V217" s="27"/>
      <c r="W217" s="33"/>
      <c r="X217" s="47"/>
      <c r="Y217" s="48"/>
    </row>
    <row r="218" spans="2:25" s="38" customFormat="1" x14ac:dyDescent="0.25">
      <c r="B218" s="49"/>
      <c r="C218" s="70"/>
      <c r="D218" s="42"/>
      <c r="F218" s="33"/>
      <c r="G218" s="47"/>
      <c r="H218" s="33"/>
      <c r="I218" s="60"/>
      <c r="J218" s="27"/>
      <c r="K218" s="47"/>
      <c r="L218" s="33"/>
      <c r="M218" s="60"/>
      <c r="N218" s="27"/>
      <c r="O218" s="47"/>
      <c r="P218" s="33"/>
      <c r="Q218" s="60"/>
      <c r="R218" s="27"/>
      <c r="S218" s="47"/>
      <c r="T218" s="33"/>
      <c r="U218" s="60"/>
      <c r="V218" s="27"/>
      <c r="W218" s="33"/>
      <c r="X218" s="47"/>
      <c r="Y218" s="48"/>
    </row>
    <row r="219" spans="2:25" s="38" customFormat="1" x14ac:dyDescent="0.25">
      <c r="B219" s="49"/>
      <c r="C219" s="70"/>
      <c r="D219" s="42"/>
      <c r="F219" s="33"/>
      <c r="G219" s="47"/>
      <c r="H219" s="33"/>
      <c r="I219" s="60"/>
      <c r="J219" s="27"/>
      <c r="K219" s="47"/>
      <c r="L219" s="33"/>
      <c r="M219" s="60"/>
      <c r="N219" s="27"/>
      <c r="O219" s="47"/>
      <c r="P219" s="33"/>
      <c r="Q219" s="60"/>
      <c r="R219" s="27"/>
      <c r="S219" s="47"/>
      <c r="T219" s="33"/>
      <c r="U219" s="60"/>
      <c r="V219" s="27"/>
      <c r="W219" s="33"/>
      <c r="X219" s="47"/>
      <c r="Y219" s="48"/>
    </row>
    <row r="220" spans="2:25" s="38" customFormat="1" x14ac:dyDescent="0.25">
      <c r="B220" s="49"/>
      <c r="C220" s="70"/>
      <c r="D220" s="42"/>
      <c r="F220" s="33"/>
      <c r="G220" s="47"/>
      <c r="H220" s="33"/>
      <c r="I220" s="60"/>
      <c r="J220" s="27"/>
      <c r="K220" s="47"/>
      <c r="L220" s="33"/>
      <c r="M220" s="60"/>
      <c r="N220" s="27"/>
      <c r="O220" s="47"/>
      <c r="P220" s="33"/>
      <c r="Q220" s="60"/>
      <c r="R220" s="27"/>
      <c r="S220" s="47"/>
      <c r="T220" s="33"/>
      <c r="U220" s="60"/>
      <c r="V220" s="27"/>
      <c r="W220" s="33"/>
      <c r="X220" s="47"/>
      <c r="Y220" s="48"/>
    </row>
    <row r="221" spans="2:25" s="38" customFormat="1" x14ac:dyDescent="0.25">
      <c r="B221" s="49"/>
      <c r="C221" s="70"/>
      <c r="D221" s="42"/>
      <c r="F221" s="33"/>
      <c r="G221" s="47"/>
      <c r="H221" s="33"/>
      <c r="I221" s="60"/>
      <c r="J221" s="27"/>
      <c r="K221" s="47"/>
      <c r="L221" s="33"/>
      <c r="M221" s="60"/>
      <c r="N221" s="27"/>
      <c r="O221" s="47"/>
      <c r="P221" s="33"/>
      <c r="Q221" s="60"/>
      <c r="R221" s="27"/>
      <c r="S221" s="47"/>
      <c r="T221" s="33"/>
      <c r="U221" s="60"/>
      <c r="V221" s="27"/>
      <c r="W221" s="33"/>
      <c r="X221" s="47"/>
      <c r="Y221" s="48"/>
    </row>
    <row r="222" spans="2:25" s="38" customFormat="1" x14ac:dyDescent="0.25">
      <c r="B222" s="49"/>
      <c r="C222" s="70"/>
      <c r="D222" s="42"/>
      <c r="F222" s="33"/>
      <c r="G222" s="47"/>
      <c r="H222" s="33"/>
      <c r="I222" s="60"/>
      <c r="J222" s="27"/>
      <c r="K222" s="47"/>
      <c r="L222" s="33"/>
      <c r="M222" s="60"/>
      <c r="N222" s="27"/>
      <c r="O222" s="47"/>
      <c r="P222" s="33"/>
      <c r="Q222" s="60"/>
      <c r="R222" s="27"/>
      <c r="S222" s="47"/>
      <c r="T222" s="33"/>
      <c r="U222" s="60"/>
      <c r="V222" s="27"/>
      <c r="W222" s="33"/>
      <c r="X222" s="47"/>
      <c r="Y222" s="48"/>
    </row>
    <row r="223" spans="2:25" s="38" customFormat="1" x14ac:dyDescent="0.25">
      <c r="B223" s="49"/>
      <c r="C223" s="70"/>
      <c r="D223" s="42"/>
      <c r="F223" s="33"/>
      <c r="G223" s="47"/>
      <c r="H223" s="33"/>
      <c r="I223" s="60"/>
      <c r="J223" s="27"/>
      <c r="K223" s="47"/>
      <c r="L223" s="33"/>
      <c r="M223" s="60"/>
      <c r="N223" s="27"/>
      <c r="O223" s="47"/>
      <c r="P223" s="33"/>
      <c r="Q223" s="60"/>
      <c r="R223" s="27"/>
      <c r="S223" s="47"/>
      <c r="T223" s="33"/>
      <c r="U223" s="60"/>
      <c r="V223" s="27"/>
      <c r="W223" s="33"/>
      <c r="X223" s="47"/>
      <c r="Y223" s="48"/>
    </row>
    <row r="224" spans="2:25" s="38" customFormat="1" x14ac:dyDescent="0.25">
      <c r="B224" s="49"/>
      <c r="C224" s="70"/>
      <c r="D224" s="42"/>
      <c r="F224" s="33"/>
      <c r="G224" s="47"/>
      <c r="H224" s="33"/>
      <c r="I224" s="60"/>
      <c r="J224" s="27"/>
      <c r="K224" s="47"/>
      <c r="L224" s="33"/>
      <c r="M224" s="60"/>
      <c r="N224" s="27"/>
      <c r="O224" s="47"/>
      <c r="P224" s="33"/>
      <c r="Q224" s="60"/>
      <c r="R224" s="27"/>
      <c r="S224" s="47"/>
      <c r="T224" s="33"/>
      <c r="U224" s="60"/>
      <c r="V224" s="27"/>
      <c r="W224" s="33"/>
      <c r="X224" s="47"/>
      <c r="Y224" s="48"/>
    </row>
    <row r="225" spans="2:25" s="38" customFormat="1" x14ac:dyDescent="0.25">
      <c r="B225" s="49"/>
      <c r="C225" s="70"/>
      <c r="D225" s="42"/>
      <c r="F225" s="33"/>
      <c r="G225" s="47"/>
      <c r="H225" s="33"/>
      <c r="I225" s="60"/>
      <c r="J225" s="27"/>
      <c r="K225" s="47"/>
      <c r="L225" s="33"/>
      <c r="M225" s="60"/>
      <c r="N225" s="27"/>
      <c r="O225" s="47"/>
      <c r="P225" s="33"/>
      <c r="Q225" s="60"/>
      <c r="R225" s="27"/>
      <c r="S225" s="47"/>
      <c r="T225" s="33"/>
      <c r="U225" s="60"/>
      <c r="V225" s="27"/>
      <c r="W225" s="33"/>
      <c r="X225" s="47"/>
      <c r="Y225" s="48"/>
    </row>
    <row r="226" spans="2:25" s="38" customFormat="1" x14ac:dyDescent="0.25">
      <c r="B226" s="49"/>
      <c r="C226" s="70"/>
      <c r="D226" s="42"/>
      <c r="F226" s="33"/>
      <c r="G226" s="47"/>
      <c r="H226" s="33"/>
      <c r="I226" s="60"/>
      <c r="J226" s="27"/>
      <c r="K226" s="47"/>
      <c r="L226" s="33"/>
      <c r="M226" s="60"/>
      <c r="N226" s="27"/>
      <c r="O226" s="47"/>
      <c r="P226" s="33"/>
      <c r="Q226" s="60"/>
      <c r="R226" s="27"/>
      <c r="S226" s="47"/>
      <c r="T226" s="33"/>
      <c r="U226" s="60"/>
      <c r="V226" s="27"/>
      <c r="W226" s="33"/>
      <c r="X226" s="47"/>
      <c r="Y226" s="48"/>
    </row>
    <row r="227" spans="2:25" s="38" customFormat="1" x14ac:dyDescent="0.25">
      <c r="B227" s="49"/>
      <c r="C227" s="70"/>
      <c r="D227" s="42"/>
      <c r="F227" s="33"/>
      <c r="G227" s="47"/>
      <c r="H227" s="33"/>
      <c r="I227" s="60"/>
      <c r="J227" s="27"/>
      <c r="K227" s="47"/>
      <c r="L227" s="33"/>
      <c r="M227" s="60"/>
      <c r="N227" s="27"/>
      <c r="O227" s="47"/>
      <c r="P227" s="33"/>
      <c r="Q227" s="60"/>
      <c r="R227" s="27"/>
      <c r="S227" s="47"/>
      <c r="T227" s="33"/>
      <c r="U227" s="60"/>
      <c r="V227" s="27"/>
      <c r="W227" s="33"/>
      <c r="X227" s="47"/>
      <c r="Y227" s="48"/>
    </row>
    <row r="228" spans="2:25" s="38" customFormat="1" x14ac:dyDescent="0.25">
      <c r="B228" s="49"/>
      <c r="C228" s="70"/>
      <c r="D228" s="42"/>
      <c r="F228" s="33"/>
      <c r="G228" s="47"/>
      <c r="H228" s="33"/>
      <c r="I228" s="60"/>
      <c r="J228" s="27"/>
      <c r="K228" s="47"/>
      <c r="L228" s="33"/>
      <c r="M228" s="60"/>
      <c r="N228" s="27"/>
      <c r="O228" s="47"/>
      <c r="P228" s="33"/>
      <c r="Q228" s="60"/>
      <c r="R228" s="27"/>
      <c r="S228" s="47"/>
      <c r="T228" s="33"/>
      <c r="U228" s="60"/>
      <c r="V228" s="27"/>
      <c r="W228" s="33"/>
      <c r="X228" s="47"/>
      <c r="Y228" s="48"/>
    </row>
    <row r="229" spans="2:25" s="38" customFormat="1" x14ac:dyDescent="0.25">
      <c r="B229" s="49"/>
      <c r="C229" s="70"/>
      <c r="D229" s="42"/>
      <c r="F229" s="33"/>
      <c r="G229" s="47"/>
      <c r="H229" s="33"/>
      <c r="I229" s="60"/>
      <c r="J229" s="27"/>
      <c r="K229" s="47"/>
      <c r="L229" s="33"/>
      <c r="M229" s="60"/>
      <c r="N229" s="27"/>
      <c r="O229" s="47"/>
      <c r="P229" s="33"/>
      <c r="Q229" s="60"/>
      <c r="R229" s="27"/>
      <c r="S229" s="47"/>
      <c r="T229" s="33"/>
      <c r="U229" s="60"/>
      <c r="V229" s="27"/>
      <c r="W229" s="33"/>
      <c r="X229" s="47"/>
      <c r="Y229" s="48"/>
    </row>
    <row r="230" spans="2:25" s="38" customFormat="1" x14ac:dyDescent="0.25">
      <c r="B230" s="49"/>
      <c r="C230" s="70"/>
      <c r="D230" s="42"/>
      <c r="F230" s="33"/>
      <c r="G230" s="47"/>
      <c r="H230" s="33"/>
      <c r="I230" s="60"/>
      <c r="J230" s="27"/>
      <c r="K230" s="47"/>
      <c r="L230" s="33"/>
      <c r="M230" s="60"/>
      <c r="N230" s="27"/>
      <c r="O230" s="47"/>
      <c r="P230" s="33"/>
      <c r="Q230" s="60"/>
      <c r="R230" s="27"/>
      <c r="S230" s="47"/>
      <c r="T230" s="33"/>
      <c r="U230" s="60"/>
      <c r="V230" s="27"/>
      <c r="W230" s="33"/>
      <c r="X230" s="47"/>
      <c r="Y230" s="48"/>
    </row>
    <row r="231" spans="2:25" s="38" customFormat="1" x14ac:dyDescent="0.25">
      <c r="B231" s="49"/>
      <c r="C231" s="70"/>
      <c r="D231" s="42"/>
      <c r="F231" s="33"/>
      <c r="G231" s="47"/>
      <c r="H231" s="33"/>
      <c r="I231" s="60"/>
      <c r="J231" s="27"/>
      <c r="K231" s="47"/>
      <c r="L231" s="33"/>
      <c r="M231" s="60"/>
      <c r="N231" s="27"/>
      <c r="O231" s="47"/>
      <c r="P231" s="33"/>
      <c r="Q231" s="60"/>
      <c r="R231" s="27"/>
      <c r="S231" s="47"/>
      <c r="T231" s="33"/>
      <c r="U231" s="60"/>
      <c r="V231" s="27"/>
      <c r="W231" s="33"/>
      <c r="X231" s="47"/>
      <c r="Y231" s="48"/>
    </row>
    <row r="232" spans="2:25" s="38" customFormat="1" x14ac:dyDescent="0.25">
      <c r="B232" s="49"/>
      <c r="C232" s="70"/>
      <c r="D232" s="42"/>
      <c r="F232" s="33"/>
      <c r="G232" s="47"/>
      <c r="H232" s="33"/>
      <c r="I232" s="60"/>
      <c r="J232" s="27"/>
      <c r="K232" s="47"/>
      <c r="L232" s="33"/>
      <c r="M232" s="60"/>
      <c r="N232" s="27"/>
      <c r="O232" s="47"/>
      <c r="P232" s="33"/>
      <c r="Q232" s="60"/>
      <c r="R232" s="27"/>
      <c r="S232" s="47"/>
      <c r="T232" s="33"/>
      <c r="U232" s="60"/>
      <c r="V232" s="27"/>
      <c r="W232" s="33"/>
      <c r="X232" s="47"/>
      <c r="Y232" s="48"/>
    </row>
    <row r="233" spans="2:25" s="38" customFormat="1" x14ac:dyDescent="0.25">
      <c r="B233" s="49"/>
      <c r="C233" s="70"/>
      <c r="D233" s="42"/>
      <c r="F233" s="33"/>
      <c r="G233" s="47"/>
      <c r="H233" s="33"/>
      <c r="I233" s="60"/>
      <c r="J233" s="27"/>
      <c r="K233" s="47"/>
      <c r="L233" s="33"/>
      <c r="M233" s="60"/>
      <c r="N233" s="27"/>
      <c r="O233" s="47"/>
      <c r="P233" s="33"/>
      <c r="Q233" s="60"/>
      <c r="R233" s="27"/>
      <c r="S233" s="47"/>
      <c r="T233" s="33"/>
      <c r="U233" s="60"/>
      <c r="V233" s="27"/>
      <c r="W233" s="33"/>
      <c r="X233" s="47"/>
      <c r="Y233" s="48"/>
    </row>
    <row r="234" spans="2:25" s="38" customFormat="1" x14ac:dyDescent="0.25">
      <c r="B234" s="49"/>
      <c r="C234" s="70"/>
      <c r="D234" s="42"/>
      <c r="F234" s="33"/>
      <c r="G234" s="47"/>
      <c r="H234" s="33"/>
      <c r="I234" s="60"/>
      <c r="J234" s="27"/>
      <c r="K234" s="47"/>
      <c r="L234" s="33"/>
      <c r="M234" s="60"/>
      <c r="N234" s="27"/>
      <c r="O234" s="47"/>
      <c r="P234" s="33"/>
      <c r="Q234" s="60"/>
      <c r="R234" s="27"/>
      <c r="S234" s="47"/>
      <c r="T234" s="33"/>
      <c r="U234" s="60"/>
      <c r="V234" s="27"/>
      <c r="W234" s="33"/>
      <c r="X234" s="47"/>
      <c r="Y234" s="48"/>
    </row>
    <row r="235" spans="2:25" s="38" customFormat="1" x14ac:dyDescent="0.25">
      <c r="B235" s="49"/>
      <c r="C235" s="70"/>
      <c r="D235" s="42"/>
      <c r="F235" s="33"/>
      <c r="G235" s="47"/>
      <c r="H235" s="33"/>
      <c r="I235" s="60"/>
      <c r="J235" s="27"/>
      <c r="K235" s="47"/>
      <c r="L235" s="33"/>
      <c r="M235" s="60"/>
      <c r="N235" s="27"/>
      <c r="O235" s="47"/>
      <c r="P235" s="33"/>
      <c r="Q235" s="60"/>
      <c r="R235" s="27"/>
      <c r="S235" s="47"/>
      <c r="T235" s="33"/>
      <c r="U235" s="60"/>
      <c r="V235" s="27"/>
      <c r="W235" s="33"/>
      <c r="X235" s="47"/>
      <c r="Y235" s="48"/>
    </row>
    <row r="236" spans="2:25" s="38" customFormat="1" x14ac:dyDescent="0.25">
      <c r="B236" s="49"/>
      <c r="C236" s="70"/>
      <c r="D236" s="42"/>
      <c r="F236" s="33"/>
      <c r="G236" s="47"/>
      <c r="H236" s="33"/>
      <c r="I236" s="60"/>
      <c r="J236" s="27"/>
      <c r="K236" s="47"/>
      <c r="L236" s="33"/>
      <c r="M236" s="60"/>
      <c r="N236" s="27"/>
      <c r="O236" s="47"/>
      <c r="P236" s="33"/>
      <c r="Q236" s="60"/>
      <c r="R236" s="27"/>
      <c r="S236" s="47"/>
      <c r="T236" s="33"/>
      <c r="U236" s="60"/>
      <c r="V236" s="27"/>
      <c r="W236" s="33"/>
      <c r="X236" s="47"/>
      <c r="Y236" s="48"/>
    </row>
    <row r="237" spans="2:25" s="38" customFormat="1" x14ac:dyDescent="0.25">
      <c r="B237" s="49"/>
      <c r="C237" s="70"/>
      <c r="D237" s="42"/>
      <c r="F237" s="33"/>
      <c r="G237" s="47"/>
      <c r="H237" s="33"/>
      <c r="I237" s="60"/>
      <c r="J237" s="27"/>
      <c r="K237" s="47"/>
      <c r="L237" s="33"/>
      <c r="M237" s="60"/>
      <c r="N237" s="27"/>
      <c r="O237" s="47"/>
      <c r="P237" s="33"/>
      <c r="Q237" s="60"/>
      <c r="R237" s="27"/>
      <c r="S237" s="47"/>
      <c r="T237" s="33"/>
      <c r="U237" s="60"/>
      <c r="V237" s="27"/>
      <c r="W237" s="33"/>
      <c r="X237" s="47"/>
      <c r="Y237" s="48"/>
    </row>
    <row r="238" spans="2:25" s="38" customFormat="1" x14ac:dyDescent="0.25">
      <c r="B238" s="49"/>
      <c r="C238" s="70"/>
      <c r="D238" s="42"/>
      <c r="F238" s="33"/>
      <c r="G238" s="47"/>
      <c r="H238" s="33"/>
      <c r="I238" s="60"/>
      <c r="J238" s="27"/>
      <c r="K238" s="47"/>
      <c r="L238" s="33"/>
      <c r="M238" s="60"/>
      <c r="N238" s="27"/>
      <c r="O238" s="47"/>
      <c r="P238" s="33"/>
      <c r="Q238" s="60"/>
      <c r="R238" s="27"/>
      <c r="S238" s="47"/>
      <c r="T238" s="33"/>
      <c r="U238" s="60"/>
      <c r="V238" s="27"/>
      <c r="W238" s="33"/>
      <c r="X238" s="47"/>
      <c r="Y238" s="48"/>
    </row>
    <row r="239" spans="2:25" s="38" customFormat="1" x14ac:dyDescent="0.25">
      <c r="B239" s="49"/>
      <c r="C239" s="70"/>
      <c r="D239" s="42"/>
      <c r="F239" s="33"/>
      <c r="G239" s="47"/>
      <c r="H239" s="33"/>
      <c r="I239" s="60"/>
      <c r="J239" s="27"/>
      <c r="K239" s="47"/>
      <c r="L239" s="33"/>
      <c r="M239" s="60"/>
      <c r="N239" s="27"/>
      <c r="O239" s="47"/>
      <c r="P239" s="33"/>
      <c r="Q239" s="60"/>
      <c r="R239" s="27"/>
      <c r="S239" s="47"/>
      <c r="T239" s="33"/>
      <c r="U239" s="60"/>
      <c r="V239" s="27"/>
      <c r="W239" s="33"/>
      <c r="X239" s="47"/>
      <c r="Y239" s="48"/>
    </row>
    <row r="240" spans="2:25" s="38" customFormat="1" x14ac:dyDescent="0.25">
      <c r="B240" s="49"/>
      <c r="C240" s="70"/>
      <c r="D240" s="42"/>
      <c r="F240" s="33"/>
      <c r="G240" s="47"/>
      <c r="H240" s="33"/>
      <c r="I240" s="60"/>
      <c r="J240" s="27"/>
      <c r="K240" s="47"/>
      <c r="L240" s="33"/>
      <c r="M240" s="60"/>
      <c r="N240" s="27"/>
      <c r="O240" s="47"/>
      <c r="P240" s="33"/>
      <c r="Q240" s="60"/>
      <c r="R240" s="27"/>
      <c r="S240" s="47"/>
      <c r="T240" s="33"/>
      <c r="U240" s="60"/>
      <c r="V240" s="27"/>
      <c r="W240" s="33"/>
      <c r="X240" s="47"/>
      <c r="Y240" s="48"/>
    </row>
    <row r="241" spans="2:25" s="38" customFormat="1" x14ac:dyDescent="0.25">
      <c r="B241" s="49"/>
      <c r="C241" s="70"/>
      <c r="D241" s="42"/>
      <c r="F241" s="33"/>
      <c r="G241" s="47"/>
      <c r="H241" s="33"/>
      <c r="I241" s="60"/>
      <c r="J241" s="27"/>
      <c r="K241" s="47"/>
      <c r="L241" s="33"/>
      <c r="M241" s="60"/>
      <c r="N241" s="27"/>
      <c r="O241" s="47"/>
      <c r="P241" s="33"/>
      <c r="Q241" s="60"/>
      <c r="R241" s="27"/>
      <c r="S241" s="47"/>
      <c r="T241" s="33"/>
      <c r="U241" s="60"/>
      <c r="V241" s="27"/>
      <c r="W241" s="33"/>
      <c r="X241" s="47"/>
      <c r="Y241" s="48"/>
    </row>
    <row r="242" spans="2:25" s="38" customFormat="1" x14ac:dyDescent="0.25">
      <c r="B242" s="49"/>
      <c r="C242" s="70"/>
      <c r="D242" s="42"/>
      <c r="F242" s="33"/>
      <c r="G242" s="47"/>
      <c r="H242" s="33"/>
      <c r="I242" s="60"/>
      <c r="J242" s="27"/>
      <c r="K242" s="47"/>
      <c r="L242" s="33"/>
      <c r="M242" s="60"/>
      <c r="N242" s="27"/>
      <c r="O242" s="47"/>
      <c r="P242" s="33"/>
      <c r="Q242" s="60"/>
      <c r="R242" s="27"/>
      <c r="S242" s="47"/>
      <c r="T242" s="33"/>
      <c r="U242" s="60"/>
      <c r="V242" s="27"/>
      <c r="W242" s="33"/>
      <c r="X242" s="47"/>
      <c r="Y242" s="48"/>
    </row>
    <row r="243" spans="2:25" s="38" customFormat="1" x14ac:dyDescent="0.25">
      <c r="B243" s="49"/>
      <c r="C243" s="70"/>
      <c r="D243" s="42"/>
      <c r="F243" s="33"/>
      <c r="G243" s="47"/>
      <c r="H243" s="33"/>
      <c r="I243" s="60"/>
      <c r="J243" s="27"/>
      <c r="K243" s="47"/>
      <c r="L243" s="33"/>
      <c r="M243" s="60"/>
      <c r="N243" s="27"/>
      <c r="O243" s="47"/>
      <c r="P243" s="33"/>
      <c r="Q243" s="60"/>
      <c r="R243" s="27"/>
      <c r="S243" s="47"/>
      <c r="T243" s="33"/>
      <c r="U243" s="60"/>
      <c r="V243" s="27"/>
      <c r="W243" s="33"/>
      <c r="X243" s="47"/>
      <c r="Y243" s="48"/>
    </row>
    <row r="244" spans="2:25" s="38" customFormat="1" x14ac:dyDescent="0.25">
      <c r="B244" s="49"/>
      <c r="C244" s="70"/>
      <c r="D244" s="42"/>
      <c r="F244" s="33"/>
      <c r="G244" s="47"/>
      <c r="H244" s="33"/>
      <c r="I244" s="60"/>
      <c r="J244" s="27"/>
      <c r="K244" s="47"/>
      <c r="L244" s="33"/>
      <c r="M244" s="60"/>
      <c r="N244" s="27"/>
      <c r="O244" s="47"/>
      <c r="P244" s="33"/>
      <c r="Q244" s="60"/>
      <c r="R244" s="27"/>
      <c r="S244" s="47"/>
      <c r="T244" s="33"/>
      <c r="U244" s="60"/>
      <c r="V244" s="27"/>
      <c r="W244" s="33"/>
      <c r="X244" s="47"/>
      <c r="Y244" s="48"/>
    </row>
    <row r="245" spans="2:25" s="38" customFormat="1" x14ac:dyDescent="0.25">
      <c r="B245" s="49"/>
      <c r="C245" s="70"/>
      <c r="D245" s="42"/>
      <c r="F245" s="33"/>
      <c r="G245" s="47"/>
      <c r="H245" s="33"/>
      <c r="I245" s="60"/>
      <c r="J245" s="27"/>
      <c r="K245" s="47"/>
      <c r="L245" s="33"/>
      <c r="M245" s="60"/>
      <c r="N245" s="27"/>
      <c r="O245" s="47"/>
      <c r="P245" s="33"/>
      <c r="Q245" s="60"/>
      <c r="R245" s="27"/>
      <c r="S245" s="47"/>
      <c r="T245" s="33"/>
      <c r="U245" s="60"/>
      <c r="V245" s="27"/>
      <c r="W245" s="33"/>
      <c r="X245" s="47"/>
      <c r="Y245" s="48"/>
    </row>
    <row r="246" spans="2:25" s="38" customFormat="1" x14ac:dyDescent="0.25">
      <c r="B246" s="49"/>
      <c r="C246" s="70"/>
      <c r="D246" s="42"/>
      <c r="F246" s="33"/>
      <c r="G246" s="47"/>
      <c r="H246" s="33"/>
      <c r="I246" s="60"/>
      <c r="J246" s="27"/>
      <c r="K246" s="47"/>
      <c r="L246" s="33"/>
      <c r="M246" s="60"/>
      <c r="N246" s="27"/>
      <c r="O246" s="47"/>
      <c r="P246" s="33"/>
      <c r="Q246" s="60"/>
      <c r="R246" s="27"/>
      <c r="S246" s="47"/>
      <c r="T246" s="33"/>
      <c r="U246" s="60"/>
      <c r="V246" s="27"/>
      <c r="W246" s="33"/>
      <c r="X246" s="47"/>
      <c r="Y246" s="48"/>
    </row>
    <row r="247" spans="2:25" s="38" customFormat="1" x14ac:dyDescent="0.25">
      <c r="B247" s="49"/>
      <c r="C247" s="70"/>
      <c r="D247" s="42"/>
      <c r="F247" s="33"/>
      <c r="G247" s="47"/>
      <c r="H247" s="33"/>
      <c r="I247" s="60"/>
      <c r="J247" s="27"/>
      <c r="K247" s="47"/>
      <c r="L247" s="33"/>
      <c r="M247" s="60"/>
      <c r="N247" s="27"/>
      <c r="O247" s="47"/>
      <c r="P247" s="33"/>
      <c r="Q247" s="60"/>
      <c r="R247" s="27"/>
      <c r="S247" s="47"/>
      <c r="T247" s="33"/>
      <c r="U247" s="60"/>
      <c r="V247" s="27"/>
      <c r="W247" s="33"/>
      <c r="X247" s="47"/>
      <c r="Y247" s="48"/>
    </row>
    <row r="248" spans="2:25" s="38" customFormat="1" x14ac:dyDescent="0.25">
      <c r="B248" s="49"/>
      <c r="C248" s="70"/>
      <c r="D248" s="42"/>
      <c r="F248" s="33"/>
      <c r="G248" s="47"/>
      <c r="H248" s="33"/>
      <c r="I248" s="60"/>
      <c r="J248" s="27"/>
      <c r="K248" s="47"/>
      <c r="L248" s="33"/>
      <c r="M248" s="60"/>
      <c r="N248" s="27"/>
      <c r="O248" s="47"/>
      <c r="P248" s="33"/>
      <c r="Q248" s="60"/>
      <c r="R248" s="27"/>
      <c r="S248" s="47"/>
      <c r="T248" s="33"/>
      <c r="U248" s="60"/>
      <c r="V248" s="27"/>
      <c r="W248" s="33"/>
      <c r="X248" s="47"/>
      <c r="Y248" s="48"/>
    </row>
    <row r="249" spans="2:25" s="38" customFormat="1" x14ac:dyDescent="0.25">
      <c r="B249" s="49"/>
      <c r="C249" s="70"/>
      <c r="D249" s="42"/>
      <c r="F249" s="33"/>
      <c r="G249" s="47"/>
      <c r="H249" s="33"/>
      <c r="I249" s="60"/>
      <c r="J249" s="27"/>
      <c r="K249" s="47"/>
      <c r="L249" s="33"/>
      <c r="M249" s="60"/>
      <c r="N249" s="27"/>
      <c r="O249" s="47"/>
      <c r="P249" s="33"/>
      <c r="Q249" s="60"/>
      <c r="R249" s="27"/>
      <c r="S249" s="47"/>
      <c r="T249" s="33"/>
      <c r="U249" s="60"/>
      <c r="V249" s="27"/>
      <c r="W249" s="33"/>
      <c r="X249" s="47"/>
      <c r="Y249" s="48"/>
    </row>
    <row r="250" spans="2:25" s="38" customFormat="1" x14ac:dyDescent="0.25">
      <c r="B250" s="49"/>
      <c r="C250" s="70"/>
      <c r="D250" s="42"/>
      <c r="F250" s="33"/>
      <c r="G250" s="47"/>
      <c r="H250" s="33"/>
      <c r="I250" s="60"/>
      <c r="J250" s="27"/>
      <c r="K250" s="47"/>
      <c r="L250" s="33"/>
      <c r="M250" s="60"/>
      <c r="N250" s="27"/>
      <c r="O250" s="47"/>
      <c r="P250" s="33"/>
      <c r="Q250" s="60"/>
      <c r="R250" s="27"/>
      <c r="S250" s="47"/>
      <c r="T250" s="33"/>
      <c r="U250" s="60"/>
      <c r="V250" s="27"/>
      <c r="W250" s="33"/>
      <c r="X250" s="47"/>
      <c r="Y250" s="48"/>
    </row>
    <row r="251" spans="2:25" s="38" customFormat="1" x14ac:dyDescent="0.25">
      <c r="B251" s="49"/>
      <c r="C251" s="70"/>
      <c r="D251" s="42"/>
      <c r="F251" s="33"/>
      <c r="G251" s="47"/>
      <c r="H251" s="33"/>
      <c r="I251" s="60"/>
      <c r="J251" s="27"/>
      <c r="K251" s="47"/>
      <c r="L251" s="33"/>
      <c r="M251" s="60"/>
      <c r="N251" s="27"/>
      <c r="O251" s="47"/>
      <c r="P251" s="33"/>
      <c r="Q251" s="60"/>
      <c r="R251" s="27"/>
      <c r="S251" s="47"/>
      <c r="T251" s="33"/>
      <c r="U251" s="60"/>
      <c r="V251" s="27"/>
      <c r="W251" s="33"/>
      <c r="X251" s="47"/>
      <c r="Y251" s="48"/>
    </row>
    <row r="252" spans="2:25" s="38" customFormat="1" x14ac:dyDescent="0.25">
      <c r="B252" s="49"/>
      <c r="C252" s="70"/>
      <c r="D252" s="42"/>
      <c r="F252" s="33"/>
      <c r="G252" s="47"/>
      <c r="H252" s="33"/>
      <c r="I252" s="60"/>
      <c r="J252" s="27"/>
      <c r="K252" s="47"/>
      <c r="L252" s="33"/>
      <c r="M252" s="60"/>
      <c r="N252" s="27"/>
      <c r="O252" s="47"/>
      <c r="P252" s="33"/>
      <c r="Q252" s="60"/>
      <c r="R252" s="27"/>
      <c r="S252" s="47"/>
      <c r="T252" s="33"/>
      <c r="U252" s="60"/>
      <c r="V252" s="27"/>
      <c r="W252" s="33"/>
      <c r="X252" s="47"/>
      <c r="Y252" s="48"/>
    </row>
    <row r="253" spans="2:25" s="38" customFormat="1" x14ac:dyDescent="0.25">
      <c r="B253" s="49"/>
      <c r="C253" s="70"/>
      <c r="D253" s="42"/>
      <c r="F253" s="33"/>
      <c r="G253" s="47"/>
      <c r="H253" s="33"/>
      <c r="I253" s="60"/>
      <c r="J253" s="27"/>
      <c r="K253" s="47"/>
      <c r="L253" s="33"/>
      <c r="M253" s="60"/>
      <c r="N253" s="27"/>
      <c r="O253" s="47"/>
      <c r="P253" s="33"/>
      <c r="Q253" s="60"/>
      <c r="R253" s="27"/>
      <c r="S253" s="47"/>
      <c r="T253" s="33"/>
      <c r="U253" s="60"/>
      <c r="V253" s="27"/>
      <c r="W253" s="33"/>
      <c r="X253" s="47"/>
      <c r="Y253" s="48"/>
    </row>
    <row r="254" spans="2:25" s="38" customFormat="1" x14ac:dyDescent="0.25">
      <c r="B254" s="49"/>
      <c r="C254" s="70"/>
      <c r="D254" s="42"/>
      <c r="F254" s="33"/>
      <c r="G254" s="47"/>
      <c r="H254" s="33"/>
      <c r="I254" s="60"/>
      <c r="J254" s="27"/>
      <c r="K254" s="47"/>
      <c r="L254" s="33"/>
      <c r="M254" s="60"/>
      <c r="N254" s="27"/>
      <c r="O254" s="47"/>
      <c r="P254" s="33"/>
      <c r="Q254" s="60"/>
      <c r="R254" s="27"/>
      <c r="S254" s="47"/>
      <c r="T254" s="33"/>
      <c r="U254" s="60"/>
      <c r="V254" s="27"/>
      <c r="W254" s="33"/>
      <c r="X254" s="47"/>
      <c r="Y254" s="48"/>
    </row>
    <row r="255" spans="2:25" s="38" customFormat="1" x14ac:dyDescent="0.25">
      <c r="B255" s="49"/>
      <c r="C255" s="70"/>
      <c r="D255" s="42"/>
      <c r="F255" s="33"/>
      <c r="G255" s="47"/>
      <c r="H255" s="33"/>
      <c r="I255" s="60"/>
      <c r="J255" s="27"/>
      <c r="K255" s="47"/>
      <c r="L255" s="33"/>
      <c r="M255" s="60"/>
      <c r="N255" s="27"/>
      <c r="O255" s="47"/>
      <c r="P255" s="33"/>
      <c r="Q255" s="60"/>
      <c r="R255" s="27"/>
      <c r="S255" s="47"/>
      <c r="T255" s="33"/>
      <c r="U255" s="60"/>
      <c r="V255" s="27"/>
      <c r="W255" s="33"/>
      <c r="X255" s="47"/>
      <c r="Y255" s="48"/>
    </row>
    <row r="256" spans="2:25" s="38" customFormat="1" x14ac:dyDescent="0.25">
      <c r="B256" s="49"/>
      <c r="C256" s="70"/>
      <c r="D256" s="42"/>
      <c r="F256" s="33"/>
      <c r="G256" s="47"/>
      <c r="H256" s="33"/>
      <c r="I256" s="60"/>
      <c r="J256" s="27"/>
      <c r="K256" s="47"/>
      <c r="L256" s="33"/>
      <c r="M256" s="60"/>
      <c r="N256" s="27"/>
      <c r="O256" s="47"/>
      <c r="P256" s="33"/>
      <c r="Q256" s="60"/>
      <c r="R256" s="27"/>
      <c r="S256" s="47"/>
      <c r="T256" s="33"/>
      <c r="U256" s="60"/>
      <c r="V256" s="27"/>
      <c r="W256" s="33"/>
      <c r="X256" s="47"/>
      <c r="Y256" s="48"/>
    </row>
    <row r="257" spans="2:25" s="38" customFormat="1" x14ac:dyDescent="0.25">
      <c r="B257" s="49"/>
      <c r="C257" s="70"/>
      <c r="D257" s="42"/>
      <c r="F257" s="33"/>
      <c r="G257" s="47"/>
      <c r="H257" s="33"/>
      <c r="I257" s="60"/>
      <c r="J257" s="27"/>
      <c r="K257" s="47"/>
      <c r="L257" s="33"/>
      <c r="M257" s="60"/>
      <c r="N257" s="27"/>
      <c r="O257" s="47"/>
      <c r="P257" s="33"/>
      <c r="Q257" s="60"/>
      <c r="R257" s="27"/>
      <c r="S257" s="47"/>
      <c r="T257" s="33"/>
      <c r="U257" s="60"/>
      <c r="V257" s="27"/>
      <c r="W257" s="33"/>
      <c r="X257" s="47"/>
      <c r="Y257" s="48"/>
    </row>
    <row r="258" spans="2:25" s="38" customFormat="1" x14ac:dyDescent="0.25">
      <c r="B258" s="49"/>
      <c r="C258" s="70"/>
      <c r="D258" s="42"/>
      <c r="F258" s="33"/>
      <c r="G258" s="47"/>
      <c r="H258" s="33"/>
      <c r="I258" s="60"/>
      <c r="J258" s="27"/>
      <c r="K258" s="47"/>
      <c r="L258" s="33"/>
      <c r="M258" s="60"/>
      <c r="N258" s="27"/>
      <c r="O258" s="47"/>
      <c r="P258" s="33"/>
      <c r="Q258" s="60"/>
      <c r="R258" s="27"/>
      <c r="S258" s="47"/>
      <c r="T258" s="33"/>
      <c r="U258" s="60"/>
      <c r="V258" s="27"/>
      <c r="W258" s="33"/>
      <c r="X258" s="47"/>
      <c r="Y258" s="48"/>
    </row>
    <row r="259" spans="2:25" s="38" customFormat="1" x14ac:dyDescent="0.25">
      <c r="B259" s="49"/>
      <c r="C259" s="70"/>
      <c r="D259" s="42"/>
      <c r="F259" s="33"/>
      <c r="G259" s="47"/>
      <c r="H259" s="33"/>
      <c r="I259" s="60"/>
      <c r="J259" s="27"/>
      <c r="K259" s="47"/>
      <c r="L259" s="33"/>
      <c r="M259" s="60"/>
      <c r="N259" s="27"/>
      <c r="O259" s="47"/>
      <c r="P259" s="33"/>
      <c r="Q259" s="60"/>
      <c r="R259" s="27"/>
      <c r="S259" s="47"/>
      <c r="T259" s="33"/>
      <c r="U259" s="60"/>
      <c r="V259" s="27"/>
      <c r="W259" s="33"/>
      <c r="X259" s="47"/>
      <c r="Y259" s="48"/>
    </row>
    <row r="260" spans="2:25" s="38" customFormat="1" x14ac:dyDescent="0.25">
      <c r="B260" s="49"/>
      <c r="C260" s="70"/>
      <c r="D260" s="42"/>
      <c r="F260" s="33"/>
      <c r="G260" s="47"/>
      <c r="H260" s="33"/>
      <c r="I260" s="60"/>
      <c r="J260" s="27"/>
      <c r="K260" s="47"/>
      <c r="L260" s="33"/>
      <c r="M260" s="60"/>
      <c r="N260" s="27"/>
      <c r="O260" s="47"/>
      <c r="P260" s="33"/>
      <c r="Q260" s="60"/>
      <c r="R260" s="27"/>
      <c r="S260" s="47"/>
      <c r="T260" s="33"/>
      <c r="U260" s="60"/>
      <c r="V260" s="27"/>
      <c r="W260" s="33"/>
      <c r="X260" s="47"/>
      <c r="Y260" s="48"/>
    </row>
    <row r="261" spans="2:25" s="38" customFormat="1" x14ac:dyDescent="0.25">
      <c r="B261" s="49"/>
      <c r="C261" s="70"/>
      <c r="D261" s="42"/>
      <c r="F261" s="33"/>
      <c r="G261" s="47"/>
      <c r="H261" s="33"/>
      <c r="I261" s="60"/>
      <c r="J261" s="27"/>
      <c r="K261" s="47"/>
      <c r="L261" s="33"/>
      <c r="M261" s="60"/>
      <c r="N261" s="27"/>
      <c r="O261" s="47"/>
      <c r="P261" s="33"/>
      <c r="Q261" s="60"/>
      <c r="R261" s="27"/>
      <c r="S261" s="47"/>
      <c r="T261" s="33"/>
      <c r="U261" s="60"/>
      <c r="V261" s="27"/>
      <c r="W261" s="33"/>
      <c r="X261" s="47"/>
      <c r="Y261" s="48"/>
    </row>
    <row r="262" spans="2:25" s="38" customFormat="1" x14ac:dyDescent="0.25">
      <c r="B262" s="49"/>
      <c r="C262" s="70"/>
      <c r="D262" s="42"/>
      <c r="F262" s="33"/>
      <c r="G262" s="47"/>
      <c r="H262" s="33"/>
      <c r="I262" s="60"/>
      <c r="J262" s="27"/>
      <c r="K262" s="47"/>
      <c r="L262" s="33"/>
      <c r="M262" s="60"/>
      <c r="N262" s="27"/>
      <c r="O262" s="47"/>
      <c r="P262" s="33"/>
      <c r="Q262" s="60"/>
      <c r="R262" s="27"/>
      <c r="S262" s="47"/>
      <c r="T262" s="33"/>
      <c r="U262" s="60"/>
      <c r="V262" s="27"/>
      <c r="W262" s="33"/>
      <c r="X262" s="47"/>
      <c r="Y262" s="48"/>
    </row>
    <row r="263" spans="2:25" s="38" customFormat="1" x14ac:dyDescent="0.25">
      <c r="B263" s="49"/>
      <c r="C263" s="70"/>
      <c r="D263" s="42"/>
      <c r="F263" s="33"/>
      <c r="G263" s="47"/>
      <c r="H263" s="33"/>
      <c r="I263" s="60"/>
      <c r="J263" s="27"/>
      <c r="K263" s="47"/>
      <c r="L263" s="33"/>
      <c r="M263" s="60"/>
      <c r="N263" s="27"/>
      <c r="O263" s="47"/>
      <c r="P263" s="33"/>
      <c r="Q263" s="60"/>
      <c r="R263" s="27"/>
      <c r="S263" s="47"/>
      <c r="T263" s="33"/>
      <c r="U263" s="60"/>
      <c r="V263" s="27"/>
      <c r="W263" s="33"/>
      <c r="X263" s="47"/>
      <c r="Y263" s="48"/>
    </row>
    <row r="264" spans="2:25" s="38" customFormat="1" x14ac:dyDescent="0.25">
      <c r="B264" s="49"/>
      <c r="C264" s="70"/>
      <c r="D264" s="42"/>
      <c r="F264" s="33"/>
      <c r="G264" s="47"/>
      <c r="H264" s="33"/>
      <c r="I264" s="60"/>
      <c r="J264" s="27"/>
      <c r="K264" s="47"/>
      <c r="L264" s="33"/>
      <c r="M264" s="60"/>
      <c r="N264" s="27"/>
      <c r="O264" s="47"/>
      <c r="P264" s="33"/>
      <c r="Q264" s="60"/>
      <c r="R264" s="27"/>
      <c r="S264" s="47"/>
      <c r="T264" s="33"/>
      <c r="U264" s="60"/>
      <c r="V264" s="27"/>
      <c r="W264" s="33"/>
      <c r="X264" s="47"/>
      <c r="Y264" s="48"/>
    </row>
    <row r="265" spans="2:25" s="38" customFormat="1" x14ac:dyDescent="0.25">
      <c r="B265" s="49"/>
      <c r="C265" s="70"/>
      <c r="D265" s="42"/>
      <c r="F265" s="33"/>
      <c r="G265" s="47"/>
      <c r="H265" s="33"/>
      <c r="I265" s="60"/>
      <c r="J265" s="27"/>
      <c r="K265" s="47"/>
      <c r="L265" s="33"/>
      <c r="M265" s="60"/>
      <c r="N265" s="27"/>
      <c r="O265" s="47"/>
      <c r="P265" s="33"/>
      <c r="Q265" s="60"/>
      <c r="R265" s="27"/>
      <c r="S265" s="47"/>
      <c r="T265" s="33"/>
      <c r="U265" s="60"/>
      <c r="V265" s="27"/>
      <c r="W265" s="33"/>
      <c r="X265" s="47"/>
      <c r="Y265" s="48"/>
    </row>
    <row r="266" spans="2:25" s="38" customFormat="1" x14ac:dyDescent="0.25">
      <c r="B266" s="49"/>
      <c r="C266" s="70"/>
      <c r="D266" s="42"/>
      <c r="F266" s="33"/>
      <c r="G266" s="47"/>
      <c r="H266" s="33"/>
      <c r="I266" s="60"/>
      <c r="J266" s="27"/>
      <c r="K266" s="47"/>
      <c r="L266" s="33"/>
      <c r="M266" s="60"/>
      <c r="N266" s="27"/>
      <c r="O266" s="47"/>
      <c r="P266" s="33"/>
      <c r="Q266" s="60"/>
      <c r="R266" s="27"/>
      <c r="S266" s="47"/>
      <c r="T266" s="33"/>
      <c r="U266" s="60"/>
      <c r="V266" s="27"/>
      <c r="W266" s="33"/>
      <c r="X266" s="47"/>
      <c r="Y266" s="48"/>
    </row>
    <row r="267" spans="2:25" s="38" customFormat="1" x14ac:dyDescent="0.25">
      <c r="B267" s="49"/>
      <c r="C267" s="70"/>
      <c r="D267" s="42"/>
      <c r="F267" s="33"/>
      <c r="G267" s="47"/>
      <c r="H267" s="33"/>
      <c r="I267" s="60"/>
      <c r="J267" s="27"/>
      <c r="K267" s="47"/>
      <c r="L267" s="33"/>
      <c r="M267" s="60"/>
      <c r="N267" s="27"/>
      <c r="O267" s="47"/>
      <c r="P267" s="33"/>
      <c r="Q267" s="60"/>
      <c r="R267" s="27"/>
      <c r="S267" s="47"/>
      <c r="T267" s="33"/>
      <c r="U267" s="60"/>
      <c r="V267" s="27"/>
      <c r="W267" s="33"/>
      <c r="X267" s="47"/>
      <c r="Y267" s="48"/>
    </row>
    <row r="268" spans="2:25" s="38" customFormat="1" x14ac:dyDescent="0.25">
      <c r="B268" s="49"/>
      <c r="C268" s="70"/>
      <c r="D268" s="42"/>
      <c r="F268" s="33"/>
      <c r="G268" s="47"/>
      <c r="H268" s="33"/>
      <c r="I268" s="60"/>
      <c r="J268" s="27"/>
      <c r="K268" s="47"/>
      <c r="L268" s="33"/>
      <c r="M268" s="60"/>
      <c r="N268" s="27"/>
      <c r="O268" s="47"/>
      <c r="P268" s="33"/>
      <c r="Q268" s="60"/>
      <c r="R268" s="27"/>
      <c r="S268" s="47"/>
      <c r="T268" s="33"/>
      <c r="U268" s="60"/>
      <c r="V268" s="27"/>
      <c r="W268" s="33"/>
      <c r="X268" s="47"/>
      <c r="Y268" s="48"/>
    </row>
    <row r="269" spans="2:25" s="38" customFormat="1" x14ac:dyDescent="0.25">
      <c r="B269" s="49"/>
      <c r="C269" s="70"/>
      <c r="D269" s="42"/>
      <c r="F269" s="33"/>
      <c r="G269" s="47"/>
      <c r="H269" s="33"/>
      <c r="I269" s="60"/>
      <c r="J269" s="27"/>
      <c r="K269" s="47"/>
      <c r="L269" s="33"/>
      <c r="M269" s="60"/>
      <c r="N269" s="27"/>
      <c r="O269" s="47"/>
      <c r="P269" s="33"/>
      <c r="Q269" s="60"/>
      <c r="R269" s="27"/>
      <c r="S269" s="47"/>
      <c r="T269" s="33"/>
      <c r="U269" s="60"/>
      <c r="V269" s="27"/>
      <c r="W269" s="33"/>
      <c r="X269" s="47"/>
      <c r="Y269" s="48"/>
    </row>
    <row r="270" spans="2:25" s="38" customFormat="1" x14ac:dyDescent="0.25">
      <c r="B270" s="49"/>
      <c r="C270" s="70"/>
      <c r="D270" s="42"/>
      <c r="F270" s="33"/>
      <c r="G270" s="47"/>
      <c r="H270" s="33"/>
      <c r="I270" s="60"/>
      <c r="J270" s="27"/>
      <c r="K270" s="47"/>
      <c r="L270" s="33"/>
      <c r="M270" s="60"/>
      <c r="N270" s="27"/>
      <c r="O270" s="47"/>
      <c r="P270" s="33"/>
      <c r="Q270" s="60"/>
      <c r="R270" s="27"/>
      <c r="S270" s="47"/>
      <c r="T270" s="33"/>
      <c r="U270" s="60"/>
      <c r="V270" s="27"/>
      <c r="W270" s="33"/>
      <c r="X270" s="47"/>
      <c r="Y270" s="48"/>
    </row>
    <row r="271" spans="2:25" s="38" customFormat="1" x14ac:dyDescent="0.25">
      <c r="B271" s="49"/>
      <c r="C271" s="70"/>
      <c r="D271" s="42"/>
      <c r="F271" s="33"/>
      <c r="G271" s="47"/>
      <c r="H271" s="33"/>
      <c r="I271" s="60"/>
      <c r="J271" s="27"/>
      <c r="K271" s="47"/>
      <c r="L271" s="33"/>
      <c r="M271" s="60"/>
      <c r="N271" s="27"/>
      <c r="O271" s="47"/>
      <c r="P271" s="33"/>
      <c r="Q271" s="60"/>
      <c r="R271" s="27"/>
      <c r="S271" s="47"/>
      <c r="T271" s="33"/>
      <c r="U271" s="60"/>
      <c r="V271" s="27"/>
      <c r="W271" s="33"/>
      <c r="X271" s="47"/>
      <c r="Y271" s="48"/>
    </row>
    <row r="272" spans="2:25" s="38" customFormat="1" x14ac:dyDescent="0.25">
      <c r="B272" s="49"/>
      <c r="C272" s="70"/>
      <c r="D272" s="42"/>
      <c r="F272" s="33"/>
      <c r="G272" s="47"/>
      <c r="H272" s="33"/>
      <c r="I272" s="60"/>
      <c r="J272" s="27"/>
      <c r="K272" s="47"/>
      <c r="L272" s="33"/>
      <c r="M272" s="60"/>
      <c r="N272" s="27"/>
      <c r="O272" s="47"/>
      <c r="P272" s="33"/>
      <c r="Q272" s="60"/>
      <c r="R272" s="27"/>
      <c r="S272" s="47"/>
      <c r="T272" s="33"/>
      <c r="U272" s="60"/>
      <c r="V272" s="27"/>
      <c r="W272" s="33"/>
      <c r="X272" s="47"/>
      <c r="Y272" s="48"/>
    </row>
    <row r="273" spans="2:25" s="38" customFormat="1" x14ac:dyDescent="0.25">
      <c r="B273" s="49"/>
      <c r="C273" s="70"/>
      <c r="D273" s="42"/>
      <c r="F273" s="33"/>
      <c r="G273" s="47"/>
      <c r="H273" s="33"/>
      <c r="I273" s="60"/>
      <c r="J273" s="27"/>
      <c r="K273" s="47"/>
      <c r="L273" s="33"/>
      <c r="M273" s="60"/>
      <c r="N273" s="27"/>
      <c r="O273" s="47"/>
      <c r="P273" s="33"/>
      <c r="Q273" s="60"/>
      <c r="R273" s="27"/>
      <c r="S273" s="47"/>
      <c r="T273" s="33"/>
      <c r="U273" s="60"/>
      <c r="V273" s="27"/>
      <c r="W273" s="33"/>
      <c r="X273" s="47"/>
      <c r="Y273" s="48"/>
    </row>
    <row r="274" spans="2:25" s="38" customFormat="1" x14ac:dyDescent="0.25">
      <c r="B274" s="49"/>
      <c r="C274" s="70"/>
      <c r="D274" s="42"/>
      <c r="F274" s="33"/>
      <c r="G274" s="47"/>
      <c r="H274" s="33"/>
      <c r="I274" s="60"/>
      <c r="J274" s="27"/>
      <c r="K274" s="47"/>
      <c r="L274" s="33"/>
      <c r="M274" s="60"/>
      <c r="N274" s="27"/>
      <c r="O274" s="47"/>
      <c r="P274" s="33"/>
      <c r="Q274" s="60"/>
      <c r="R274" s="27"/>
      <c r="S274" s="47"/>
      <c r="T274" s="33"/>
      <c r="U274" s="60"/>
      <c r="V274" s="27"/>
      <c r="W274" s="33"/>
      <c r="X274" s="47"/>
      <c r="Y274" s="48"/>
    </row>
    <row r="275" spans="2:25" s="38" customFormat="1" x14ac:dyDescent="0.25">
      <c r="B275" s="49"/>
      <c r="C275" s="70"/>
      <c r="D275" s="42"/>
      <c r="F275" s="33"/>
      <c r="G275" s="47"/>
      <c r="H275" s="33"/>
      <c r="I275" s="60"/>
      <c r="J275" s="27"/>
      <c r="K275" s="47"/>
      <c r="L275" s="33"/>
      <c r="M275" s="60"/>
      <c r="N275" s="27"/>
      <c r="O275" s="47"/>
      <c r="P275" s="33"/>
      <c r="Q275" s="60"/>
      <c r="R275" s="27"/>
      <c r="S275" s="47"/>
      <c r="T275" s="33"/>
      <c r="U275" s="60"/>
      <c r="V275" s="27"/>
      <c r="W275" s="33"/>
      <c r="X275" s="47"/>
      <c r="Y275" s="48"/>
    </row>
    <row r="276" spans="2:25" s="38" customFormat="1" x14ac:dyDescent="0.25">
      <c r="B276" s="49"/>
      <c r="C276" s="70"/>
      <c r="D276" s="42"/>
      <c r="F276" s="33"/>
      <c r="G276" s="47"/>
      <c r="H276" s="33"/>
      <c r="I276" s="60"/>
      <c r="J276" s="27"/>
      <c r="K276" s="47"/>
      <c r="L276" s="33"/>
      <c r="M276" s="60"/>
      <c r="N276" s="27"/>
      <c r="O276" s="47"/>
      <c r="P276" s="33"/>
      <c r="Q276" s="60"/>
      <c r="R276" s="27"/>
      <c r="S276" s="47"/>
      <c r="T276" s="33"/>
      <c r="U276" s="60"/>
      <c r="V276" s="27"/>
      <c r="W276" s="33"/>
      <c r="X276" s="47"/>
      <c r="Y276" s="48"/>
    </row>
    <row r="277" spans="2:25" s="38" customFormat="1" x14ac:dyDescent="0.25">
      <c r="B277" s="49"/>
      <c r="C277" s="70"/>
      <c r="D277" s="42"/>
      <c r="F277" s="33"/>
      <c r="G277" s="47"/>
      <c r="H277" s="33"/>
      <c r="I277" s="60"/>
      <c r="J277" s="27"/>
      <c r="K277" s="47"/>
      <c r="L277" s="33"/>
      <c r="M277" s="60"/>
      <c r="N277" s="27"/>
      <c r="O277" s="47"/>
      <c r="P277" s="33"/>
      <c r="Q277" s="60"/>
      <c r="R277" s="27"/>
      <c r="S277" s="47"/>
      <c r="T277" s="33"/>
      <c r="U277" s="60"/>
      <c r="V277" s="27"/>
      <c r="W277" s="33"/>
      <c r="X277" s="47"/>
      <c r="Y277" s="48"/>
    </row>
    <row r="278" spans="2:25" s="38" customFormat="1" x14ac:dyDescent="0.25">
      <c r="B278" s="49"/>
      <c r="C278" s="70"/>
      <c r="D278" s="42"/>
      <c r="F278" s="33"/>
      <c r="G278" s="47"/>
      <c r="H278" s="33"/>
      <c r="I278" s="60"/>
      <c r="J278" s="27"/>
      <c r="K278" s="47"/>
      <c r="L278" s="33"/>
      <c r="M278" s="60"/>
      <c r="N278" s="27"/>
      <c r="O278" s="47"/>
      <c r="P278" s="33"/>
      <c r="Q278" s="60"/>
      <c r="R278" s="27"/>
      <c r="S278" s="47"/>
      <c r="T278" s="33"/>
      <c r="U278" s="60"/>
      <c r="V278" s="27"/>
      <c r="W278" s="33"/>
      <c r="X278" s="47"/>
      <c r="Y278" s="48"/>
    </row>
    <row r="279" spans="2:25" s="38" customFormat="1" x14ac:dyDescent="0.25">
      <c r="B279" s="49"/>
      <c r="C279" s="70"/>
      <c r="D279" s="42"/>
      <c r="F279" s="33"/>
      <c r="G279" s="47"/>
      <c r="H279" s="33"/>
      <c r="I279" s="60"/>
      <c r="J279" s="27"/>
      <c r="K279" s="47"/>
      <c r="L279" s="33"/>
      <c r="M279" s="60"/>
      <c r="N279" s="27"/>
      <c r="O279" s="47"/>
      <c r="P279" s="33"/>
      <c r="Q279" s="60"/>
      <c r="R279" s="27"/>
      <c r="S279" s="47"/>
      <c r="T279" s="33"/>
      <c r="U279" s="60"/>
      <c r="V279" s="27"/>
      <c r="W279" s="33"/>
      <c r="X279" s="47"/>
      <c r="Y279" s="48"/>
    </row>
    <row r="280" spans="2:25" s="38" customFormat="1" x14ac:dyDescent="0.25">
      <c r="B280" s="49"/>
      <c r="C280" s="70"/>
      <c r="D280" s="42"/>
      <c r="F280" s="33"/>
      <c r="G280" s="47"/>
      <c r="H280" s="33"/>
      <c r="I280" s="60"/>
      <c r="J280" s="27"/>
      <c r="K280" s="47"/>
      <c r="L280" s="33"/>
      <c r="M280" s="60"/>
      <c r="N280" s="27"/>
      <c r="O280" s="47"/>
      <c r="P280" s="33"/>
      <c r="Q280" s="60"/>
      <c r="R280" s="27"/>
      <c r="S280" s="47"/>
      <c r="T280" s="33"/>
      <c r="U280" s="60"/>
      <c r="V280" s="27"/>
      <c r="W280" s="33"/>
      <c r="X280" s="47"/>
      <c r="Y280" s="48"/>
    </row>
    <row r="281" spans="2:25" s="38" customFormat="1" x14ac:dyDescent="0.25">
      <c r="B281" s="49"/>
      <c r="C281" s="70"/>
      <c r="D281" s="42"/>
      <c r="F281" s="33"/>
      <c r="G281" s="47"/>
      <c r="H281" s="33"/>
      <c r="I281" s="60"/>
      <c r="J281" s="27"/>
      <c r="K281" s="47"/>
      <c r="L281" s="33"/>
      <c r="M281" s="60"/>
      <c r="N281" s="27"/>
      <c r="O281" s="47"/>
      <c r="P281" s="33"/>
      <c r="Q281" s="60"/>
      <c r="R281" s="27"/>
      <c r="S281" s="47"/>
      <c r="T281" s="33"/>
      <c r="U281" s="60"/>
      <c r="V281" s="27"/>
      <c r="W281" s="33"/>
      <c r="X281" s="47"/>
      <c r="Y281" s="48"/>
    </row>
    <row r="282" spans="2:25" s="38" customFormat="1" x14ac:dyDescent="0.25">
      <c r="B282" s="49"/>
      <c r="C282" s="70"/>
      <c r="D282" s="42"/>
      <c r="F282" s="33"/>
      <c r="G282" s="47"/>
      <c r="H282" s="33"/>
      <c r="I282" s="60"/>
      <c r="J282" s="27"/>
      <c r="K282" s="47"/>
      <c r="L282" s="33"/>
      <c r="M282" s="60"/>
      <c r="N282" s="27"/>
      <c r="O282" s="47"/>
      <c r="P282" s="33"/>
      <c r="Q282" s="60"/>
      <c r="R282" s="27"/>
      <c r="S282" s="47"/>
      <c r="T282" s="33"/>
      <c r="U282" s="60"/>
      <c r="V282" s="27"/>
      <c r="W282" s="33"/>
      <c r="X282" s="47"/>
      <c r="Y282" s="48"/>
    </row>
    <row r="283" spans="2:25" s="38" customFormat="1" x14ac:dyDescent="0.25">
      <c r="B283" s="49"/>
      <c r="C283" s="70"/>
      <c r="D283" s="42"/>
      <c r="F283" s="33"/>
      <c r="G283" s="47"/>
      <c r="H283" s="33"/>
      <c r="I283" s="60"/>
      <c r="J283" s="27"/>
      <c r="K283" s="47"/>
      <c r="L283" s="33"/>
      <c r="M283" s="60"/>
      <c r="N283" s="27"/>
      <c r="O283" s="47"/>
      <c r="P283" s="33"/>
      <c r="Q283" s="60"/>
      <c r="R283" s="27"/>
      <c r="S283" s="47"/>
      <c r="T283" s="33"/>
      <c r="U283" s="60"/>
      <c r="V283" s="27"/>
      <c r="W283" s="33"/>
      <c r="X283" s="47"/>
      <c r="Y283" s="48"/>
    </row>
    <row r="284" spans="2:25" s="38" customFormat="1" x14ac:dyDescent="0.25">
      <c r="B284" s="49"/>
      <c r="C284" s="70"/>
      <c r="D284" s="42"/>
      <c r="F284" s="33"/>
      <c r="G284" s="47"/>
      <c r="H284" s="33"/>
      <c r="I284" s="60"/>
      <c r="J284" s="27"/>
      <c r="K284" s="47"/>
      <c r="L284" s="33"/>
      <c r="M284" s="60"/>
      <c r="N284" s="27"/>
      <c r="O284" s="47"/>
      <c r="P284" s="33"/>
      <c r="Q284" s="60"/>
      <c r="R284" s="27"/>
      <c r="S284" s="47"/>
      <c r="T284" s="33"/>
      <c r="U284" s="60"/>
      <c r="V284" s="27"/>
      <c r="W284" s="33"/>
      <c r="X284" s="47"/>
      <c r="Y284" s="48"/>
    </row>
    <row r="285" spans="2:25" s="38" customFormat="1" x14ac:dyDescent="0.25">
      <c r="B285" s="49"/>
      <c r="C285" s="70"/>
      <c r="D285" s="42"/>
      <c r="F285" s="33"/>
      <c r="G285" s="47"/>
      <c r="H285" s="33"/>
      <c r="I285" s="60"/>
      <c r="J285" s="27"/>
      <c r="K285" s="47"/>
      <c r="L285" s="33"/>
      <c r="M285" s="60"/>
      <c r="N285" s="27"/>
      <c r="O285" s="47"/>
      <c r="P285" s="33"/>
      <c r="Q285" s="60"/>
      <c r="R285" s="27"/>
      <c r="S285" s="47"/>
      <c r="T285" s="33"/>
      <c r="U285" s="60"/>
      <c r="V285" s="27"/>
      <c r="W285" s="33"/>
      <c r="X285" s="47"/>
      <c r="Y285" s="48"/>
    </row>
    <row r="286" spans="2:25" s="38" customFormat="1" x14ac:dyDescent="0.25">
      <c r="B286" s="49"/>
      <c r="C286" s="70"/>
      <c r="D286" s="42"/>
      <c r="F286" s="33"/>
      <c r="G286" s="47"/>
      <c r="H286" s="33"/>
      <c r="I286" s="60"/>
      <c r="J286" s="27"/>
      <c r="K286" s="47"/>
      <c r="L286" s="33"/>
      <c r="M286" s="60"/>
      <c r="N286" s="27"/>
      <c r="O286" s="47"/>
      <c r="P286" s="33"/>
      <c r="Q286" s="60"/>
      <c r="R286" s="27"/>
      <c r="S286" s="47"/>
      <c r="T286" s="33"/>
      <c r="U286" s="60"/>
      <c r="V286" s="27"/>
      <c r="W286" s="33"/>
      <c r="X286" s="47"/>
      <c r="Y286" s="48"/>
    </row>
    <row r="287" spans="2:25" s="38" customFormat="1" x14ac:dyDescent="0.25">
      <c r="B287" s="49"/>
      <c r="C287" s="70"/>
      <c r="D287" s="42"/>
      <c r="F287" s="33"/>
      <c r="G287" s="47"/>
      <c r="H287" s="33"/>
      <c r="I287" s="60"/>
      <c r="J287" s="27"/>
      <c r="K287" s="47"/>
      <c r="L287" s="33"/>
      <c r="M287" s="60"/>
      <c r="N287" s="27"/>
      <c r="O287" s="47"/>
      <c r="P287" s="33"/>
      <c r="Q287" s="60"/>
      <c r="R287" s="27"/>
      <c r="S287" s="47"/>
      <c r="T287" s="33"/>
      <c r="U287" s="60"/>
      <c r="V287" s="27"/>
      <c r="W287" s="33"/>
      <c r="X287" s="47"/>
      <c r="Y287" s="48"/>
    </row>
    <row r="288" spans="2:25" s="38" customFormat="1" x14ac:dyDescent="0.25">
      <c r="B288" s="49"/>
      <c r="C288" s="70"/>
      <c r="D288" s="42"/>
      <c r="F288" s="33"/>
      <c r="G288" s="47"/>
      <c r="H288" s="33"/>
      <c r="I288" s="60"/>
      <c r="J288" s="27"/>
      <c r="K288" s="47"/>
      <c r="L288" s="33"/>
      <c r="M288" s="60"/>
      <c r="N288" s="27"/>
      <c r="O288" s="47"/>
      <c r="P288" s="33"/>
      <c r="Q288" s="60"/>
      <c r="R288" s="27"/>
      <c r="S288" s="47"/>
      <c r="T288" s="33"/>
      <c r="U288" s="60"/>
      <c r="V288" s="27"/>
      <c r="W288" s="33"/>
      <c r="X288" s="47"/>
      <c r="Y288" s="48"/>
    </row>
    <row r="289" spans="2:25" s="38" customFormat="1" x14ac:dyDescent="0.25">
      <c r="B289" s="49"/>
      <c r="C289" s="70"/>
      <c r="D289" s="42"/>
      <c r="F289" s="33"/>
      <c r="G289" s="47"/>
      <c r="H289" s="33"/>
      <c r="I289" s="60"/>
      <c r="J289" s="27"/>
      <c r="K289" s="47"/>
      <c r="L289" s="33"/>
      <c r="M289" s="60"/>
      <c r="N289" s="27"/>
      <c r="O289" s="47"/>
      <c r="P289" s="33"/>
      <c r="Q289" s="60"/>
      <c r="R289" s="27"/>
      <c r="S289" s="47"/>
      <c r="T289" s="33"/>
      <c r="U289" s="60"/>
      <c r="V289" s="27"/>
      <c r="W289" s="33"/>
      <c r="X289" s="47"/>
      <c r="Y289" s="48"/>
    </row>
    <row r="290" spans="2:25" s="38" customFormat="1" x14ac:dyDescent="0.25">
      <c r="B290" s="49"/>
      <c r="C290" s="70"/>
      <c r="D290" s="42"/>
      <c r="F290" s="33"/>
      <c r="G290" s="47"/>
      <c r="H290" s="33"/>
      <c r="I290" s="60"/>
      <c r="J290" s="27"/>
      <c r="K290" s="47"/>
      <c r="L290" s="33"/>
      <c r="M290" s="60"/>
      <c r="N290" s="27"/>
      <c r="O290" s="47"/>
      <c r="P290" s="33"/>
      <c r="Q290" s="60"/>
      <c r="R290" s="27"/>
      <c r="S290" s="47"/>
      <c r="T290" s="33"/>
      <c r="U290" s="60"/>
      <c r="V290" s="27"/>
      <c r="W290" s="33"/>
      <c r="X290" s="47"/>
      <c r="Y290" s="48"/>
    </row>
    <row r="291" spans="2:25" s="38" customFormat="1" x14ac:dyDescent="0.25">
      <c r="B291" s="49"/>
      <c r="C291" s="70"/>
      <c r="D291" s="42"/>
      <c r="F291" s="33"/>
      <c r="G291" s="47"/>
      <c r="H291" s="33"/>
      <c r="I291" s="60"/>
      <c r="J291" s="27"/>
      <c r="K291" s="47"/>
      <c r="L291" s="33"/>
      <c r="M291" s="60"/>
      <c r="N291" s="27"/>
      <c r="O291" s="47"/>
      <c r="P291" s="33"/>
      <c r="Q291" s="60"/>
      <c r="R291" s="27"/>
      <c r="S291" s="47"/>
      <c r="T291" s="33"/>
      <c r="U291" s="60"/>
      <c r="V291" s="27"/>
      <c r="W291" s="33"/>
      <c r="X291" s="47"/>
      <c r="Y291" s="48"/>
    </row>
    <row r="292" spans="2:25" s="38" customFormat="1" x14ac:dyDescent="0.25">
      <c r="B292" s="49"/>
      <c r="C292" s="70"/>
      <c r="D292" s="42"/>
      <c r="F292" s="33"/>
      <c r="G292" s="47"/>
      <c r="H292" s="33"/>
      <c r="I292" s="60"/>
      <c r="J292" s="27"/>
      <c r="K292" s="47"/>
      <c r="L292" s="33"/>
      <c r="M292" s="60"/>
      <c r="N292" s="27"/>
      <c r="O292" s="47"/>
      <c r="P292" s="33"/>
      <c r="Q292" s="60"/>
      <c r="R292" s="27"/>
      <c r="S292" s="47"/>
      <c r="T292" s="33"/>
      <c r="U292" s="60"/>
      <c r="V292" s="27"/>
      <c r="W292" s="33"/>
      <c r="X292" s="47"/>
      <c r="Y292" s="48"/>
    </row>
    <row r="293" spans="2:25" s="38" customFormat="1" x14ac:dyDescent="0.25">
      <c r="B293" s="49"/>
      <c r="C293" s="70"/>
      <c r="D293" s="42"/>
      <c r="F293" s="33"/>
      <c r="G293" s="47"/>
      <c r="H293" s="33"/>
      <c r="I293" s="60"/>
      <c r="J293" s="27"/>
      <c r="K293" s="47"/>
      <c r="L293" s="33"/>
      <c r="M293" s="60"/>
      <c r="N293" s="27"/>
      <c r="O293" s="47"/>
      <c r="P293" s="33"/>
      <c r="Q293" s="60"/>
      <c r="R293" s="27"/>
      <c r="S293" s="47"/>
      <c r="T293" s="33"/>
      <c r="U293" s="60"/>
      <c r="V293" s="27"/>
      <c r="W293" s="33"/>
      <c r="X293" s="47"/>
      <c r="Y293" s="48"/>
    </row>
    <row r="294" spans="2:25" s="38" customFormat="1" x14ac:dyDescent="0.25">
      <c r="B294" s="49"/>
      <c r="C294" s="70"/>
      <c r="D294" s="42"/>
      <c r="F294" s="33"/>
      <c r="G294" s="47"/>
      <c r="H294" s="33"/>
      <c r="I294" s="60"/>
      <c r="J294" s="27"/>
      <c r="K294" s="47"/>
      <c r="L294" s="33"/>
      <c r="M294" s="60"/>
      <c r="N294" s="27"/>
      <c r="O294" s="47"/>
      <c r="P294" s="33"/>
      <c r="Q294" s="60"/>
      <c r="R294" s="27"/>
      <c r="S294" s="47"/>
      <c r="T294" s="33"/>
      <c r="U294" s="60"/>
      <c r="V294" s="27"/>
      <c r="W294" s="33"/>
      <c r="X294" s="47"/>
      <c r="Y294" s="48"/>
    </row>
    <row r="295" spans="2:25" s="38" customFormat="1" x14ac:dyDescent="0.25">
      <c r="B295" s="49"/>
      <c r="C295" s="70"/>
      <c r="D295" s="42"/>
      <c r="F295" s="33"/>
      <c r="G295" s="47"/>
      <c r="H295" s="33"/>
      <c r="I295" s="60"/>
      <c r="J295" s="27"/>
      <c r="K295" s="47"/>
      <c r="L295" s="33"/>
      <c r="M295" s="60"/>
      <c r="N295" s="27"/>
      <c r="O295" s="47"/>
      <c r="P295" s="33"/>
      <c r="Q295" s="60"/>
      <c r="R295" s="27"/>
      <c r="S295" s="47"/>
      <c r="T295" s="33"/>
      <c r="U295" s="60"/>
      <c r="V295" s="27"/>
      <c r="W295" s="33"/>
      <c r="X295" s="47"/>
      <c r="Y295" s="48"/>
    </row>
    <row r="296" spans="2:25" s="38" customFormat="1" x14ac:dyDescent="0.25">
      <c r="B296" s="49"/>
      <c r="C296" s="70"/>
      <c r="D296" s="42"/>
      <c r="F296" s="33"/>
      <c r="G296" s="47"/>
      <c r="H296" s="33"/>
      <c r="I296" s="60"/>
      <c r="J296" s="27"/>
      <c r="K296" s="47"/>
      <c r="L296" s="33"/>
      <c r="M296" s="60"/>
      <c r="N296" s="27"/>
      <c r="O296" s="47"/>
      <c r="P296" s="33"/>
      <c r="Q296" s="60"/>
      <c r="R296" s="27"/>
      <c r="S296" s="47"/>
      <c r="T296" s="33"/>
      <c r="U296" s="60"/>
      <c r="V296" s="27"/>
      <c r="W296" s="33"/>
      <c r="X296" s="47"/>
      <c r="Y296" s="48"/>
    </row>
    <row r="297" spans="2:25" s="38" customFormat="1" x14ac:dyDescent="0.25">
      <c r="B297" s="49"/>
      <c r="C297" s="70"/>
      <c r="D297" s="42"/>
      <c r="F297" s="33"/>
      <c r="G297" s="47"/>
      <c r="H297" s="33"/>
      <c r="I297" s="60"/>
      <c r="J297" s="27"/>
      <c r="K297" s="47"/>
      <c r="L297" s="33"/>
      <c r="M297" s="60"/>
      <c r="N297" s="27"/>
      <c r="O297" s="47"/>
      <c r="P297" s="33"/>
      <c r="Q297" s="60"/>
      <c r="R297" s="27"/>
      <c r="S297" s="47"/>
      <c r="T297" s="33"/>
      <c r="U297" s="60"/>
      <c r="V297" s="27"/>
      <c r="W297" s="33"/>
      <c r="X297" s="47"/>
      <c r="Y297" s="48"/>
    </row>
    <row r="298" spans="2:25" s="38" customFormat="1" x14ac:dyDescent="0.25">
      <c r="B298" s="49"/>
      <c r="C298" s="70"/>
      <c r="D298" s="42"/>
      <c r="F298" s="33"/>
      <c r="G298" s="47"/>
      <c r="H298" s="33"/>
      <c r="I298" s="60"/>
      <c r="J298" s="27"/>
      <c r="K298" s="47"/>
      <c r="L298" s="33"/>
      <c r="M298" s="60"/>
      <c r="N298" s="27"/>
      <c r="O298" s="47"/>
      <c r="P298" s="33"/>
      <c r="Q298" s="60"/>
      <c r="R298" s="27"/>
      <c r="S298" s="47"/>
      <c r="T298" s="33"/>
      <c r="U298" s="60"/>
      <c r="V298" s="27"/>
      <c r="W298" s="33"/>
      <c r="X298" s="47"/>
      <c r="Y298" s="48"/>
    </row>
    <row r="299" spans="2:25" s="38" customFormat="1" x14ac:dyDescent="0.25">
      <c r="B299" s="49"/>
      <c r="C299" s="70"/>
      <c r="D299" s="42"/>
      <c r="F299" s="33"/>
      <c r="G299" s="47"/>
      <c r="H299" s="33"/>
      <c r="I299" s="60"/>
      <c r="J299" s="27"/>
      <c r="K299" s="47"/>
      <c r="L299" s="33"/>
      <c r="M299" s="60"/>
      <c r="N299" s="27"/>
      <c r="O299" s="47"/>
      <c r="P299" s="33"/>
      <c r="Q299" s="60"/>
      <c r="R299" s="27"/>
      <c r="S299" s="47"/>
      <c r="T299" s="33"/>
      <c r="U299" s="60"/>
      <c r="V299" s="27"/>
      <c r="W299" s="33"/>
      <c r="X299" s="47"/>
      <c r="Y299" s="48"/>
    </row>
    <row r="300" spans="2:25" s="38" customFormat="1" x14ac:dyDescent="0.25">
      <c r="B300" s="49"/>
      <c r="C300" s="70"/>
      <c r="D300" s="42"/>
      <c r="F300" s="33"/>
      <c r="G300" s="47"/>
      <c r="H300" s="33"/>
      <c r="I300" s="60"/>
      <c r="J300" s="27"/>
      <c r="K300" s="47"/>
      <c r="L300" s="33"/>
      <c r="M300" s="60"/>
      <c r="N300" s="27"/>
      <c r="O300" s="47"/>
      <c r="P300" s="33"/>
      <c r="Q300" s="60"/>
      <c r="R300" s="27"/>
      <c r="S300" s="47"/>
      <c r="T300" s="33"/>
      <c r="U300" s="60"/>
      <c r="V300" s="27"/>
      <c r="W300" s="33"/>
      <c r="X300" s="47"/>
      <c r="Y300" s="48"/>
    </row>
    <row r="301" spans="2:25" s="38" customFormat="1" x14ac:dyDescent="0.25">
      <c r="B301" s="49"/>
      <c r="C301" s="70"/>
      <c r="D301" s="42"/>
      <c r="F301" s="33"/>
      <c r="G301" s="47"/>
      <c r="H301" s="33"/>
      <c r="I301" s="60"/>
      <c r="J301" s="27"/>
      <c r="K301" s="47"/>
      <c r="L301" s="33"/>
      <c r="M301" s="60"/>
      <c r="N301" s="27"/>
      <c r="O301" s="47"/>
      <c r="P301" s="33"/>
      <c r="Q301" s="60"/>
      <c r="R301" s="27"/>
      <c r="S301" s="47"/>
      <c r="T301" s="33"/>
      <c r="U301" s="60"/>
      <c r="V301" s="27"/>
      <c r="W301" s="33"/>
      <c r="X301" s="47"/>
      <c r="Y301" s="48"/>
    </row>
    <row r="302" spans="2:25" s="38" customFormat="1" x14ac:dyDescent="0.25">
      <c r="B302" s="49"/>
      <c r="C302" s="70"/>
      <c r="D302" s="42"/>
      <c r="F302" s="33"/>
      <c r="G302" s="47"/>
      <c r="H302" s="33"/>
      <c r="I302" s="60"/>
      <c r="J302" s="27"/>
      <c r="K302" s="47"/>
      <c r="L302" s="33"/>
      <c r="M302" s="60"/>
      <c r="N302" s="27"/>
      <c r="O302" s="47"/>
      <c r="P302" s="33"/>
      <c r="Q302" s="60"/>
      <c r="R302" s="27"/>
      <c r="S302" s="47"/>
      <c r="T302" s="33"/>
      <c r="U302" s="60"/>
      <c r="V302" s="27"/>
      <c r="W302" s="33"/>
      <c r="X302" s="47"/>
      <c r="Y302" s="48"/>
    </row>
    <row r="303" spans="2:25" s="38" customFormat="1" x14ac:dyDescent="0.25">
      <c r="B303" s="49"/>
      <c r="C303" s="70"/>
      <c r="D303" s="42"/>
      <c r="F303" s="33"/>
      <c r="G303" s="47"/>
      <c r="H303" s="33"/>
      <c r="I303" s="60"/>
      <c r="J303" s="27"/>
      <c r="K303" s="47"/>
      <c r="L303" s="33"/>
      <c r="M303" s="60"/>
      <c r="N303" s="27"/>
      <c r="O303" s="47"/>
      <c r="P303" s="33"/>
      <c r="Q303" s="60"/>
      <c r="R303" s="27"/>
      <c r="S303" s="47"/>
      <c r="T303" s="33"/>
      <c r="U303" s="60"/>
      <c r="V303" s="27"/>
      <c r="W303" s="33"/>
      <c r="X303" s="47"/>
      <c r="Y303" s="48"/>
    </row>
    <row r="304" spans="2:25" s="38" customFormat="1" x14ac:dyDescent="0.25">
      <c r="B304" s="49"/>
      <c r="C304" s="70"/>
      <c r="D304" s="42"/>
      <c r="F304" s="33"/>
      <c r="G304" s="47"/>
      <c r="H304" s="33"/>
      <c r="I304" s="60"/>
      <c r="J304" s="27"/>
      <c r="K304" s="47"/>
      <c r="L304" s="33"/>
      <c r="M304" s="60"/>
      <c r="N304" s="27"/>
      <c r="O304" s="47"/>
      <c r="P304" s="33"/>
      <c r="Q304" s="60"/>
      <c r="R304" s="27"/>
      <c r="S304" s="47"/>
      <c r="T304" s="33"/>
      <c r="U304" s="60"/>
      <c r="V304" s="27"/>
      <c r="W304" s="33"/>
      <c r="X304" s="47"/>
      <c r="Y304" s="48"/>
    </row>
    <row r="305" spans="2:25" s="38" customFormat="1" x14ac:dyDescent="0.25">
      <c r="B305" s="49"/>
      <c r="C305" s="70"/>
      <c r="D305" s="42"/>
      <c r="F305" s="33"/>
      <c r="G305" s="47"/>
      <c r="H305" s="33"/>
      <c r="I305" s="60"/>
      <c r="J305" s="27"/>
      <c r="K305" s="47"/>
      <c r="L305" s="33"/>
      <c r="M305" s="60"/>
      <c r="N305" s="27"/>
      <c r="O305" s="47"/>
      <c r="P305" s="33"/>
      <c r="Q305" s="60"/>
      <c r="R305" s="27"/>
      <c r="S305" s="47"/>
      <c r="T305" s="33"/>
      <c r="U305" s="60"/>
      <c r="V305" s="27"/>
      <c r="W305" s="33"/>
      <c r="X305" s="47"/>
      <c r="Y305" s="48"/>
    </row>
    <row r="306" spans="2:25" s="38" customFormat="1" x14ac:dyDescent="0.25">
      <c r="B306" s="49"/>
      <c r="C306" s="70"/>
      <c r="D306" s="42"/>
      <c r="F306" s="33"/>
      <c r="G306" s="47"/>
      <c r="H306" s="33"/>
      <c r="I306" s="60"/>
      <c r="J306" s="27"/>
      <c r="K306" s="47"/>
      <c r="L306" s="33"/>
      <c r="M306" s="60"/>
      <c r="N306" s="27"/>
      <c r="O306" s="47"/>
      <c r="P306" s="33"/>
      <c r="Q306" s="60"/>
      <c r="R306" s="27"/>
      <c r="S306" s="47"/>
      <c r="T306" s="33"/>
      <c r="U306" s="60"/>
      <c r="V306" s="27"/>
      <c r="W306" s="33"/>
      <c r="X306" s="47"/>
      <c r="Y306" s="48"/>
    </row>
    <row r="307" spans="2:25" s="38" customFormat="1" x14ac:dyDescent="0.25">
      <c r="B307" s="49"/>
      <c r="C307" s="70"/>
      <c r="D307" s="42"/>
      <c r="F307" s="33"/>
      <c r="G307" s="47"/>
      <c r="H307" s="33"/>
      <c r="I307" s="60"/>
      <c r="J307" s="27"/>
      <c r="K307" s="47"/>
      <c r="L307" s="33"/>
      <c r="M307" s="60"/>
      <c r="N307" s="27"/>
      <c r="O307" s="47"/>
      <c r="P307" s="33"/>
      <c r="Q307" s="60"/>
      <c r="R307" s="27"/>
      <c r="S307" s="47"/>
      <c r="T307" s="33"/>
      <c r="U307" s="60"/>
      <c r="V307" s="27"/>
      <c r="W307" s="33"/>
      <c r="X307" s="47"/>
      <c r="Y307" s="48"/>
    </row>
    <row r="308" spans="2:25" s="38" customFormat="1" x14ac:dyDescent="0.25">
      <c r="B308" s="49"/>
      <c r="C308" s="70"/>
      <c r="D308" s="42"/>
      <c r="F308" s="33"/>
      <c r="G308" s="47"/>
      <c r="H308" s="33"/>
      <c r="I308" s="60"/>
      <c r="J308" s="27"/>
      <c r="K308" s="47"/>
      <c r="L308" s="33"/>
      <c r="M308" s="60"/>
      <c r="N308" s="27"/>
      <c r="O308" s="47"/>
      <c r="P308" s="33"/>
      <c r="Q308" s="60"/>
      <c r="R308" s="27"/>
      <c r="S308" s="47"/>
      <c r="T308" s="33"/>
      <c r="U308" s="60"/>
      <c r="V308" s="27"/>
      <c r="W308" s="33"/>
      <c r="X308" s="47"/>
      <c r="Y308" s="48"/>
    </row>
    <row r="309" spans="2:25" s="38" customFormat="1" x14ac:dyDescent="0.25">
      <c r="B309" s="49"/>
      <c r="C309" s="70"/>
      <c r="D309" s="42"/>
      <c r="F309" s="33"/>
      <c r="G309" s="47"/>
      <c r="H309" s="33"/>
      <c r="I309" s="60"/>
      <c r="J309" s="27"/>
      <c r="K309" s="47"/>
      <c r="L309" s="33"/>
      <c r="M309" s="60"/>
      <c r="N309" s="27"/>
      <c r="O309" s="47"/>
      <c r="P309" s="33"/>
      <c r="Q309" s="60"/>
      <c r="R309" s="27"/>
      <c r="S309" s="47"/>
      <c r="T309" s="33"/>
      <c r="U309" s="60"/>
      <c r="V309" s="27"/>
      <c r="W309" s="33"/>
      <c r="X309" s="47"/>
      <c r="Y309" s="48"/>
    </row>
    <row r="310" spans="2:25" s="38" customFormat="1" x14ac:dyDescent="0.25">
      <c r="B310" s="49"/>
      <c r="C310" s="70"/>
      <c r="D310" s="42"/>
      <c r="F310" s="33"/>
      <c r="G310" s="47"/>
      <c r="H310" s="33"/>
      <c r="I310" s="60"/>
      <c r="J310" s="27"/>
      <c r="K310" s="47"/>
      <c r="L310" s="33"/>
      <c r="M310" s="60"/>
      <c r="N310" s="27"/>
      <c r="O310" s="47"/>
      <c r="P310" s="33"/>
      <c r="Q310" s="60"/>
      <c r="R310" s="27"/>
      <c r="S310" s="47"/>
      <c r="T310" s="33"/>
      <c r="U310" s="60"/>
      <c r="V310" s="27"/>
      <c r="W310" s="33"/>
      <c r="X310" s="47"/>
      <c r="Y310" s="48"/>
    </row>
    <row r="311" spans="2:25" s="38" customFormat="1" x14ac:dyDescent="0.25">
      <c r="B311" s="49"/>
      <c r="C311" s="70"/>
      <c r="D311" s="42"/>
      <c r="F311" s="33"/>
      <c r="G311" s="47"/>
      <c r="H311" s="33"/>
      <c r="I311" s="60"/>
      <c r="J311" s="27"/>
      <c r="K311" s="47"/>
      <c r="L311" s="33"/>
      <c r="M311" s="60"/>
      <c r="N311" s="27"/>
      <c r="O311" s="47"/>
      <c r="P311" s="33"/>
      <c r="Q311" s="60"/>
      <c r="R311" s="27"/>
      <c r="S311" s="47"/>
      <c r="T311" s="33"/>
      <c r="U311" s="60"/>
      <c r="V311" s="27"/>
      <c r="W311" s="33"/>
      <c r="X311" s="47"/>
      <c r="Y311" s="48"/>
    </row>
    <row r="312" spans="2:25" s="38" customFormat="1" x14ac:dyDescent="0.25">
      <c r="B312" s="49"/>
      <c r="C312" s="70"/>
      <c r="D312" s="42"/>
      <c r="F312" s="33"/>
      <c r="G312" s="47"/>
      <c r="H312" s="33"/>
      <c r="I312" s="60"/>
      <c r="J312" s="27"/>
      <c r="K312" s="47"/>
      <c r="L312" s="33"/>
      <c r="M312" s="60"/>
      <c r="N312" s="27"/>
      <c r="O312" s="47"/>
      <c r="P312" s="33"/>
      <c r="Q312" s="60"/>
      <c r="R312" s="27"/>
      <c r="S312" s="47"/>
      <c r="T312" s="33"/>
      <c r="U312" s="60"/>
      <c r="V312" s="27"/>
      <c r="W312" s="33"/>
      <c r="X312" s="47"/>
      <c r="Y312" s="48"/>
    </row>
    <row r="313" spans="2:25" s="38" customFormat="1" x14ac:dyDescent="0.25">
      <c r="B313" s="49"/>
      <c r="C313" s="70"/>
      <c r="D313" s="42"/>
      <c r="F313" s="33"/>
      <c r="G313" s="47"/>
      <c r="H313" s="33"/>
      <c r="I313" s="60"/>
      <c r="J313" s="27"/>
      <c r="K313" s="47"/>
      <c r="L313" s="33"/>
      <c r="M313" s="60"/>
      <c r="N313" s="27"/>
      <c r="O313" s="47"/>
      <c r="P313" s="33"/>
      <c r="Q313" s="60"/>
      <c r="R313" s="27"/>
      <c r="S313" s="47"/>
      <c r="T313" s="33"/>
      <c r="U313" s="60"/>
      <c r="V313" s="27"/>
      <c r="W313" s="33"/>
      <c r="X313" s="47"/>
      <c r="Y313" s="48"/>
    </row>
    <row r="314" spans="2:25" s="38" customFormat="1" x14ac:dyDescent="0.25">
      <c r="B314" s="49"/>
      <c r="C314" s="70"/>
      <c r="D314" s="42"/>
      <c r="F314" s="33"/>
      <c r="G314" s="47"/>
      <c r="H314" s="33"/>
      <c r="I314" s="60"/>
      <c r="J314" s="27"/>
      <c r="K314" s="47"/>
      <c r="L314" s="33"/>
      <c r="M314" s="60"/>
      <c r="N314" s="27"/>
      <c r="O314" s="47"/>
      <c r="P314" s="33"/>
      <c r="Q314" s="60"/>
      <c r="R314" s="27"/>
      <c r="S314" s="47"/>
      <c r="T314" s="33"/>
      <c r="U314" s="60"/>
      <c r="V314" s="27"/>
      <c r="W314" s="33"/>
      <c r="X314" s="47"/>
      <c r="Y314" s="48"/>
    </row>
    <row r="315" spans="2:25" s="38" customFormat="1" x14ac:dyDescent="0.25">
      <c r="B315" s="49"/>
      <c r="C315" s="70"/>
      <c r="D315" s="42"/>
      <c r="F315" s="33"/>
      <c r="G315" s="47"/>
      <c r="H315" s="33"/>
      <c r="I315" s="60"/>
      <c r="J315" s="27"/>
      <c r="K315" s="47"/>
      <c r="L315" s="33"/>
      <c r="M315" s="60"/>
      <c r="N315" s="27"/>
      <c r="O315" s="47"/>
      <c r="P315" s="33"/>
      <c r="Q315" s="60"/>
      <c r="R315" s="27"/>
      <c r="S315" s="47"/>
      <c r="T315" s="33"/>
      <c r="U315" s="60"/>
      <c r="V315" s="27"/>
      <c r="W315" s="33"/>
      <c r="X315" s="47"/>
      <c r="Y315" s="48"/>
    </row>
    <row r="316" spans="2:25" s="38" customFormat="1" x14ac:dyDescent="0.25">
      <c r="B316" s="49"/>
      <c r="C316" s="70"/>
      <c r="D316" s="42"/>
      <c r="F316" s="33"/>
      <c r="G316" s="47"/>
      <c r="H316" s="33"/>
      <c r="I316" s="60"/>
      <c r="J316" s="27"/>
      <c r="K316" s="47"/>
      <c r="L316" s="33"/>
      <c r="M316" s="60"/>
      <c r="N316" s="27"/>
      <c r="O316" s="47"/>
      <c r="P316" s="33"/>
      <c r="Q316" s="60"/>
      <c r="R316" s="27"/>
      <c r="S316" s="47"/>
      <c r="T316" s="33"/>
      <c r="U316" s="60"/>
      <c r="V316" s="27"/>
      <c r="W316" s="33"/>
      <c r="X316" s="47"/>
      <c r="Y316" s="48"/>
    </row>
    <row r="317" spans="2:25" s="38" customFormat="1" x14ac:dyDescent="0.25">
      <c r="B317" s="49"/>
      <c r="C317" s="70"/>
      <c r="D317" s="42"/>
      <c r="F317" s="33"/>
      <c r="G317" s="47"/>
      <c r="H317" s="33"/>
      <c r="I317" s="60"/>
      <c r="J317" s="27"/>
      <c r="K317" s="47"/>
      <c r="L317" s="33"/>
      <c r="M317" s="60"/>
      <c r="N317" s="27"/>
      <c r="O317" s="47"/>
      <c r="P317" s="33"/>
      <c r="Q317" s="60"/>
      <c r="R317" s="27"/>
      <c r="S317" s="47"/>
      <c r="T317" s="33"/>
      <c r="U317" s="60"/>
      <c r="V317" s="27"/>
      <c r="W317" s="33"/>
      <c r="X317" s="47"/>
      <c r="Y317" s="48"/>
    </row>
    <row r="318" spans="2:25" s="38" customFormat="1" x14ac:dyDescent="0.25">
      <c r="B318" s="49"/>
      <c r="C318" s="70"/>
      <c r="D318" s="42"/>
      <c r="F318" s="33"/>
      <c r="G318" s="47"/>
      <c r="H318" s="33"/>
      <c r="I318" s="60"/>
      <c r="J318" s="27"/>
      <c r="K318" s="47"/>
      <c r="L318" s="33"/>
      <c r="M318" s="60"/>
      <c r="N318" s="27"/>
      <c r="O318" s="47"/>
      <c r="P318" s="33"/>
      <c r="Q318" s="60"/>
      <c r="R318" s="27"/>
      <c r="S318" s="47"/>
      <c r="T318" s="33"/>
      <c r="U318" s="60"/>
      <c r="V318" s="27"/>
      <c r="W318" s="33"/>
      <c r="X318" s="47"/>
      <c r="Y318" s="48"/>
    </row>
    <row r="319" spans="2:25" s="38" customFormat="1" x14ac:dyDescent="0.25">
      <c r="B319" s="49"/>
      <c r="C319" s="70"/>
      <c r="D319" s="42"/>
      <c r="F319" s="33"/>
      <c r="G319" s="47"/>
      <c r="H319" s="33"/>
      <c r="I319" s="60"/>
      <c r="J319" s="27"/>
      <c r="K319" s="47"/>
      <c r="L319" s="33"/>
      <c r="M319" s="60"/>
      <c r="N319" s="27"/>
      <c r="O319" s="47"/>
      <c r="P319" s="33"/>
      <c r="Q319" s="60"/>
      <c r="R319" s="27"/>
      <c r="S319" s="47"/>
      <c r="T319" s="33"/>
      <c r="U319" s="60"/>
      <c r="V319" s="27"/>
      <c r="W319" s="33"/>
      <c r="X319" s="47"/>
      <c r="Y319" s="48"/>
    </row>
    <row r="320" spans="2:25" s="38" customFormat="1" x14ac:dyDescent="0.25">
      <c r="B320" s="49"/>
      <c r="C320" s="70"/>
      <c r="D320" s="42"/>
      <c r="F320" s="33"/>
      <c r="G320" s="47"/>
      <c r="H320" s="33"/>
      <c r="I320" s="60"/>
      <c r="J320" s="27"/>
      <c r="K320" s="47"/>
      <c r="L320" s="33"/>
      <c r="M320" s="60"/>
      <c r="N320" s="27"/>
      <c r="O320" s="47"/>
      <c r="P320" s="33"/>
      <c r="Q320" s="60"/>
      <c r="R320" s="27"/>
      <c r="S320" s="47"/>
      <c r="T320" s="33"/>
      <c r="U320" s="60"/>
      <c r="V320" s="27"/>
      <c r="W320" s="33"/>
      <c r="X320" s="47"/>
      <c r="Y320" s="48"/>
    </row>
    <row r="321" spans="2:25" s="38" customFormat="1" x14ac:dyDescent="0.25">
      <c r="B321" s="49"/>
      <c r="C321" s="70"/>
      <c r="D321" s="42"/>
      <c r="F321" s="33"/>
      <c r="G321" s="47"/>
      <c r="H321" s="33"/>
      <c r="I321" s="60"/>
      <c r="J321" s="27"/>
      <c r="K321" s="47"/>
      <c r="L321" s="33"/>
      <c r="M321" s="60"/>
      <c r="N321" s="27"/>
      <c r="O321" s="47"/>
      <c r="P321" s="33"/>
      <c r="Q321" s="60"/>
      <c r="R321" s="27"/>
      <c r="S321" s="47"/>
      <c r="T321" s="33"/>
      <c r="U321" s="60"/>
      <c r="V321" s="27"/>
      <c r="W321" s="33"/>
      <c r="X321" s="47"/>
      <c r="Y321" s="48"/>
    </row>
    <row r="322" spans="2:25" s="38" customFormat="1" x14ac:dyDescent="0.25">
      <c r="B322" s="49"/>
      <c r="C322" s="70"/>
      <c r="D322" s="42"/>
      <c r="F322" s="33"/>
      <c r="G322" s="47"/>
      <c r="H322" s="33"/>
      <c r="I322" s="60"/>
      <c r="J322" s="27"/>
      <c r="K322" s="47"/>
      <c r="L322" s="33"/>
      <c r="M322" s="60"/>
      <c r="N322" s="27"/>
      <c r="O322" s="47"/>
      <c r="P322" s="33"/>
      <c r="Q322" s="60"/>
      <c r="R322" s="27"/>
      <c r="S322" s="47"/>
      <c r="T322" s="33"/>
      <c r="U322" s="60"/>
      <c r="V322" s="27"/>
      <c r="W322" s="33"/>
      <c r="X322" s="47"/>
      <c r="Y322" s="48"/>
    </row>
    <row r="323" spans="2:25" s="38" customFormat="1" x14ac:dyDescent="0.25">
      <c r="B323" s="49"/>
      <c r="C323" s="70"/>
      <c r="D323" s="42"/>
      <c r="F323" s="33"/>
      <c r="G323" s="47"/>
      <c r="H323" s="33"/>
      <c r="I323" s="60"/>
      <c r="J323" s="27"/>
      <c r="K323" s="47"/>
      <c r="L323" s="33"/>
      <c r="M323" s="60"/>
      <c r="N323" s="27"/>
      <c r="O323" s="47"/>
      <c r="P323" s="33"/>
      <c r="Q323" s="60"/>
      <c r="R323" s="27"/>
      <c r="S323" s="47"/>
      <c r="T323" s="33"/>
      <c r="U323" s="60"/>
      <c r="V323" s="27"/>
      <c r="W323" s="33"/>
      <c r="X323" s="47"/>
      <c r="Y323" s="48"/>
    </row>
    <row r="324" spans="2:25" s="38" customFormat="1" x14ac:dyDescent="0.25">
      <c r="B324" s="49"/>
      <c r="C324" s="70"/>
      <c r="D324" s="42"/>
      <c r="F324" s="33"/>
      <c r="G324" s="47"/>
      <c r="H324" s="33"/>
      <c r="I324" s="60"/>
      <c r="J324" s="27"/>
      <c r="K324" s="47"/>
      <c r="L324" s="33"/>
      <c r="M324" s="60"/>
      <c r="N324" s="27"/>
      <c r="O324" s="47"/>
      <c r="P324" s="33"/>
      <c r="Q324" s="60"/>
      <c r="R324" s="27"/>
      <c r="S324" s="47"/>
      <c r="T324" s="33"/>
      <c r="U324" s="60"/>
      <c r="V324" s="27"/>
      <c r="W324" s="33"/>
      <c r="X324" s="47"/>
      <c r="Y324" s="48"/>
    </row>
    <row r="325" spans="2:25" s="38" customFormat="1" x14ac:dyDescent="0.25">
      <c r="B325" s="49"/>
      <c r="C325" s="70"/>
      <c r="D325" s="42"/>
      <c r="F325" s="33"/>
      <c r="G325" s="47"/>
      <c r="H325" s="33"/>
      <c r="I325" s="60"/>
      <c r="J325" s="27"/>
      <c r="K325" s="47"/>
      <c r="L325" s="33"/>
      <c r="M325" s="60"/>
      <c r="N325" s="27"/>
      <c r="O325" s="47"/>
      <c r="P325" s="33"/>
      <c r="Q325" s="60"/>
      <c r="R325" s="27"/>
      <c r="S325" s="47"/>
      <c r="T325" s="33"/>
      <c r="U325" s="60"/>
      <c r="V325" s="27"/>
      <c r="W325" s="33"/>
      <c r="X325" s="47"/>
      <c r="Y325" s="48"/>
    </row>
    <row r="326" spans="2:25" s="38" customFormat="1" x14ac:dyDescent="0.25">
      <c r="B326" s="49"/>
      <c r="C326" s="70"/>
      <c r="D326" s="42"/>
      <c r="F326" s="33"/>
      <c r="G326" s="47"/>
      <c r="H326" s="33"/>
      <c r="I326" s="60"/>
      <c r="J326" s="27"/>
      <c r="K326" s="47"/>
      <c r="L326" s="33"/>
      <c r="M326" s="60"/>
      <c r="N326" s="27"/>
      <c r="O326" s="47"/>
      <c r="P326" s="33"/>
      <c r="Q326" s="60"/>
      <c r="R326" s="27"/>
      <c r="S326" s="47"/>
      <c r="T326" s="33"/>
      <c r="U326" s="60"/>
      <c r="V326" s="27"/>
      <c r="W326" s="33"/>
      <c r="X326" s="47"/>
      <c r="Y326" s="48"/>
    </row>
    <row r="327" spans="2:25" s="38" customFormat="1" x14ac:dyDescent="0.25">
      <c r="B327" s="49"/>
      <c r="C327" s="70"/>
      <c r="D327" s="42"/>
      <c r="F327" s="33"/>
      <c r="G327" s="47"/>
      <c r="H327" s="33"/>
      <c r="I327" s="60"/>
      <c r="J327" s="27"/>
      <c r="K327" s="47"/>
      <c r="L327" s="33"/>
      <c r="M327" s="60"/>
      <c r="N327" s="27"/>
      <c r="O327" s="47"/>
      <c r="P327" s="33"/>
      <c r="Q327" s="60"/>
      <c r="R327" s="27"/>
      <c r="S327" s="47"/>
      <c r="T327" s="33"/>
      <c r="U327" s="60"/>
      <c r="V327" s="27"/>
      <c r="W327" s="33"/>
      <c r="X327" s="47"/>
      <c r="Y327" s="48"/>
    </row>
    <row r="328" spans="2:25" s="38" customFormat="1" x14ac:dyDescent="0.25">
      <c r="B328" s="49"/>
      <c r="C328" s="70"/>
      <c r="D328" s="42"/>
      <c r="F328" s="33"/>
      <c r="G328" s="47"/>
      <c r="H328" s="33"/>
      <c r="I328" s="60"/>
      <c r="J328" s="27"/>
      <c r="K328" s="47"/>
      <c r="L328" s="33"/>
      <c r="M328" s="60"/>
      <c r="N328" s="27"/>
      <c r="O328" s="47"/>
      <c r="P328" s="33"/>
      <c r="Q328" s="60"/>
      <c r="R328" s="27"/>
      <c r="S328" s="47"/>
      <c r="T328" s="33"/>
      <c r="U328" s="60"/>
      <c r="V328" s="27"/>
      <c r="W328" s="33"/>
      <c r="X328" s="47"/>
      <c r="Y328" s="48"/>
    </row>
    <row r="329" spans="2:25" s="38" customFormat="1" x14ac:dyDescent="0.25">
      <c r="B329" s="49"/>
      <c r="C329" s="70"/>
      <c r="D329" s="42"/>
      <c r="F329" s="33"/>
      <c r="G329" s="47"/>
      <c r="H329" s="33"/>
      <c r="I329" s="60"/>
      <c r="J329" s="27"/>
      <c r="K329" s="47"/>
      <c r="L329" s="33"/>
      <c r="M329" s="60"/>
      <c r="N329" s="27"/>
      <c r="O329" s="47"/>
      <c r="P329" s="33"/>
      <c r="Q329" s="60"/>
      <c r="R329" s="27"/>
      <c r="S329" s="47"/>
      <c r="T329" s="33"/>
      <c r="U329" s="60"/>
      <c r="V329" s="27"/>
      <c r="W329" s="33"/>
      <c r="X329" s="47"/>
      <c r="Y329" s="48"/>
    </row>
    <row r="330" spans="2:25" s="38" customFormat="1" x14ac:dyDescent="0.25">
      <c r="B330" s="49"/>
      <c r="C330" s="70"/>
      <c r="D330" s="42"/>
      <c r="F330" s="33"/>
      <c r="G330" s="47"/>
      <c r="H330" s="33"/>
      <c r="I330" s="60"/>
      <c r="J330" s="27"/>
      <c r="K330" s="47"/>
      <c r="L330" s="33"/>
      <c r="M330" s="60"/>
      <c r="N330" s="27"/>
      <c r="O330" s="47"/>
      <c r="P330" s="33"/>
      <c r="Q330" s="60"/>
      <c r="R330" s="27"/>
      <c r="S330" s="47"/>
      <c r="T330" s="33"/>
      <c r="U330" s="60"/>
      <c r="V330" s="27"/>
      <c r="W330" s="33"/>
      <c r="X330" s="47"/>
      <c r="Y330" s="48"/>
    </row>
    <row r="331" spans="2:25" s="38" customFormat="1" x14ac:dyDescent="0.25">
      <c r="B331" s="49"/>
      <c r="C331" s="70"/>
      <c r="D331" s="42"/>
      <c r="F331" s="33"/>
      <c r="G331" s="47"/>
      <c r="H331" s="33"/>
      <c r="I331" s="60"/>
      <c r="J331" s="27"/>
      <c r="K331" s="47"/>
      <c r="L331" s="33"/>
      <c r="M331" s="60"/>
      <c r="N331" s="27"/>
      <c r="O331" s="47"/>
      <c r="P331" s="33"/>
      <c r="Q331" s="60"/>
      <c r="R331" s="27"/>
      <c r="S331" s="47"/>
      <c r="T331" s="33"/>
      <c r="U331" s="60"/>
      <c r="V331" s="27"/>
      <c r="W331" s="33"/>
      <c r="X331" s="47"/>
      <c r="Y331" s="48"/>
    </row>
    <row r="332" spans="2:25" s="38" customFormat="1" x14ac:dyDescent="0.25">
      <c r="B332" s="49"/>
      <c r="C332" s="70"/>
      <c r="D332" s="42"/>
      <c r="F332" s="33"/>
      <c r="G332" s="47"/>
      <c r="H332" s="33"/>
      <c r="I332" s="60"/>
      <c r="J332" s="27"/>
      <c r="K332" s="47"/>
      <c r="L332" s="33"/>
      <c r="M332" s="60"/>
      <c r="N332" s="27"/>
      <c r="O332" s="47"/>
      <c r="P332" s="33"/>
      <c r="Q332" s="60"/>
      <c r="R332" s="27"/>
      <c r="S332" s="47"/>
      <c r="T332" s="33"/>
      <c r="U332" s="60"/>
      <c r="V332" s="27"/>
      <c r="W332" s="33"/>
      <c r="X332" s="47"/>
      <c r="Y332" s="48"/>
    </row>
    <row r="333" spans="2:25" s="38" customFormat="1" x14ac:dyDescent="0.25">
      <c r="B333" s="49"/>
      <c r="C333" s="70"/>
      <c r="D333" s="42"/>
      <c r="F333" s="33"/>
      <c r="G333" s="47"/>
      <c r="H333" s="33"/>
      <c r="I333" s="60"/>
      <c r="J333" s="27"/>
      <c r="K333" s="47"/>
      <c r="L333" s="33"/>
      <c r="M333" s="60"/>
      <c r="N333" s="27"/>
      <c r="O333" s="47"/>
      <c r="P333" s="33"/>
      <c r="Q333" s="60"/>
      <c r="R333" s="27"/>
      <c r="S333" s="47"/>
      <c r="T333" s="33"/>
      <c r="U333" s="60"/>
      <c r="V333" s="27"/>
      <c r="W333" s="33"/>
      <c r="X333" s="47"/>
      <c r="Y333" s="48"/>
    </row>
    <row r="334" spans="2:25" s="38" customFormat="1" x14ac:dyDescent="0.25">
      <c r="B334" s="49"/>
      <c r="C334" s="70"/>
      <c r="D334" s="42"/>
      <c r="F334" s="33"/>
      <c r="G334" s="47"/>
      <c r="H334" s="33"/>
      <c r="I334" s="60"/>
      <c r="J334" s="27"/>
      <c r="K334" s="47"/>
      <c r="L334" s="33"/>
      <c r="M334" s="60"/>
      <c r="N334" s="27"/>
      <c r="O334" s="47"/>
      <c r="P334" s="33"/>
      <c r="Q334" s="60"/>
      <c r="R334" s="27"/>
      <c r="S334" s="47"/>
      <c r="T334" s="33"/>
      <c r="U334" s="60"/>
      <c r="V334" s="27"/>
      <c r="W334" s="33"/>
      <c r="X334" s="47"/>
      <c r="Y334" s="48"/>
    </row>
    <row r="335" spans="2:25" s="38" customFormat="1" x14ac:dyDescent="0.25">
      <c r="B335" s="49"/>
      <c r="C335" s="70"/>
      <c r="D335" s="42"/>
      <c r="F335" s="33"/>
      <c r="G335" s="47"/>
      <c r="H335" s="33"/>
      <c r="I335" s="60"/>
      <c r="J335" s="27"/>
      <c r="K335" s="47"/>
      <c r="L335" s="33"/>
      <c r="M335" s="60"/>
      <c r="N335" s="27"/>
      <c r="O335" s="47"/>
      <c r="P335" s="33"/>
      <c r="Q335" s="60"/>
      <c r="R335" s="27"/>
      <c r="S335" s="47"/>
      <c r="T335" s="33"/>
      <c r="U335" s="60"/>
      <c r="V335" s="27"/>
      <c r="W335" s="33"/>
      <c r="X335" s="47"/>
      <c r="Y335" s="48"/>
    </row>
    <row r="336" spans="2:25" s="38" customFormat="1" x14ac:dyDescent="0.25">
      <c r="B336" s="49"/>
      <c r="C336" s="70"/>
      <c r="D336" s="42"/>
      <c r="F336" s="33"/>
      <c r="G336" s="47"/>
      <c r="H336" s="33"/>
      <c r="I336" s="60"/>
      <c r="J336" s="27"/>
      <c r="K336" s="47"/>
      <c r="L336" s="33"/>
      <c r="M336" s="60"/>
      <c r="N336" s="27"/>
      <c r="O336" s="47"/>
      <c r="P336" s="33"/>
      <c r="Q336" s="60"/>
      <c r="R336" s="27"/>
      <c r="S336" s="47"/>
      <c r="T336" s="33"/>
      <c r="U336" s="60"/>
      <c r="V336" s="27"/>
      <c r="W336" s="33"/>
      <c r="X336" s="47"/>
      <c r="Y336" s="48"/>
    </row>
    <row r="337" spans="2:25" s="38" customFormat="1" x14ac:dyDescent="0.25">
      <c r="B337" s="49"/>
      <c r="C337" s="70"/>
      <c r="D337" s="42"/>
      <c r="F337" s="33"/>
      <c r="G337" s="47"/>
      <c r="H337" s="33"/>
      <c r="I337" s="60"/>
      <c r="J337" s="27"/>
      <c r="K337" s="47"/>
      <c r="L337" s="33"/>
      <c r="M337" s="60"/>
      <c r="N337" s="27"/>
      <c r="O337" s="47"/>
      <c r="P337" s="33"/>
      <c r="Q337" s="60"/>
      <c r="R337" s="27"/>
      <c r="S337" s="47"/>
      <c r="T337" s="33"/>
      <c r="U337" s="60"/>
      <c r="V337" s="27"/>
      <c r="W337" s="33"/>
      <c r="X337" s="47"/>
      <c r="Y337" s="48"/>
    </row>
    <row r="338" spans="2:25" s="38" customFormat="1" x14ac:dyDescent="0.25">
      <c r="B338" s="49"/>
      <c r="C338" s="70"/>
      <c r="D338" s="42"/>
      <c r="F338" s="33"/>
      <c r="G338" s="47"/>
      <c r="H338" s="33"/>
      <c r="I338" s="60"/>
      <c r="J338" s="27"/>
      <c r="K338" s="47"/>
      <c r="L338" s="33"/>
      <c r="M338" s="60"/>
      <c r="N338" s="27"/>
      <c r="O338" s="47"/>
      <c r="P338" s="33"/>
      <c r="Q338" s="60"/>
      <c r="R338" s="27"/>
      <c r="S338" s="47"/>
      <c r="T338" s="33"/>
      <c r="U338" s="60"/>
      <c r="V338" s="27"/>
      <c r="W338" s="33"/>
      <c r="X338" s="47"/>
      <c r="Y338" s="48"/>
    </row>
    <row r="339" spans="2:25" s="38" customFormat="1" x14ac:dyDescent="0.25">
      <c r="B339" s="49"/>
      <c r="C339" s="70"/>
      <c r="D339" s="42"/>
      <c r="F339" s="33"/>
      <c r="G339" s="47"/>
      <c r="H339" s="33"/>
      <c r="I339" s="60"/>
      <c r="J339" s="27"/>
      <c r="K339" s="47"/>
      <c r="L339" s="33"/>
      <c r="M339" s="60"/>
      <c r="N339" s="27"/>
      <c r="O339" s="47"/>
      <c r="P339" s="33"/>
      <c r="Q339" s="60"/>
      <c r="R339" s="27"/>
      <c r="S339" s="47"/>
      <c r="T339" s="33"/>
      <c r="U339" s="60"/>
      <c r="V339" s="27"/>
      <c r="W339" s="33"/>
      <c r="X339" s="47"/>
      <c r="Y339" s="48"/>
    </row>
    <row r="340" spans="2:25" s="38" customFormat="1" x14ac:dyDescent="0.25">
      <c r="B340" s="49"/>
      <c r="C340" s="70"/>
      <c r="D340" s="42"/>
      <c r="F340" s="33"/>
      <c r="G340" s="47"/>
      <c r="H340" s="33"/>
      <c r="I340" s="60"/>
      <c r="J340" s="27"/>
      <c r="K340" s="47"/>
      <c r="L340" s="33"/>
      <c r="M340" s="60"/>
      <c r="N340" s="27"/>
      <c r="O340" s="47"/>
      <c r="P340" s="33"/>
      <c r="Q340" s="60"/>
      <c r="R340" s="27"/>
      <c r="S340" s="47"/>
      <c r="T340" s="33"/>
      <c r="U340" s="60"/>
      <c r="V340" s="27"/>
      <c r="W340" s="33"/>
      <c r="X340" s="47"/>
      <c r="Y340" s="48"/>
    </row>
    <row r="341" spans="2:25" s="38" customFormat="1" x14ac:dyDescent="0.25">
      <c r="B341" s="49"/>
      <c r="C341" s="70"/>
      <c r="D341" s="42"/>
      <c r="F341" s="33"/>
      <c r="G341" s="47"/>
      <c r="H341" s="33"/>
      <c r="I341" s="60"/>
      <c r="J341" s="27"/>
      <c r="K341" s="47"/>
      <c r="L341" s="33"/>
      <c r="M341" s="60"/>
      <c r="N341" s="27"/>
      <c r="O341" s="47"/>
      <c r="P341" s="33"/>
      <c r="Q341" s="60"/>
      <c r="R341" s="27"/>
      <c r="S341" s="47"/>
      <c r="T341" s="33"/>
      <c r="U341" s="60"/>
      <c r="V341" s="27"/>
      <c r="W341" s="33"/>
      <c r="X341" s="47"/>
      <c r="Y341" s="48"/>
    </row>
    <row r="342" spans="2:25" s="38" customFormat="1" x14ac:dyDescent="0.25">
      <c r="B342" s="49"/>
      <c r="C342" s="70"/>
      <c r="D342" s="42"/>
      <c r="F342" s="33"/>
      <c r="G342" s="47"/>
      <c r="H342" s="33"/>
      <c r="I342" s="60"/>
      <c r="J342" s="27"/>
      <c r="K342" s="47"/>
      <c r="L342" s="33"/>
      <c r="M342" s="60"/>
      <c r="N342" s="27"/>
      <c r="O342" s="47"/>
      <c r="P342" s="33"/>
      <c r="Q342" s="60"/>
      <c r="R342" s="27"/>
      <c r="S342" s="47"/>
      <c r="T342" s="33"/>
      <c r="U342" s="60"/>
      <c r="V342" s="27"/>
      <c r="W342" s="33"/>
      <c r="X342" s="47"/>
      <c r="Y342" s="48"/>
    </row>
    <row r="343" spans="2:25" s="38" customFormat="1" x14ac:dyDescent="0.25">
      <c r="B343" s="49"/>
      <c r="C343" s="70"/>
      <c r="D343" s="42"/>
      <c r="F343" s="33"/>
      <c r="G343" s="47"/>
      <c r="H343" s="33"/>
      <c r="I343" s="60"/>
      <c r="J343" s="27"/>
      <c r="K343" s="47"/>
      <c r="L343" s="33"/>
      <c r="M343" s="60"/>
      <c r="N343" s="27"/>
      <c r="O343" s="47"/>
      <c r="P343" s="33"/>
      <c r="Q343" s="60"/>
      <c r="R343" s="27"/>
      <c r="S343" s="47"/>
      <c r="T343" s="33"/>
      <c r="U343" s="60"/>
      <c r="V343" s="27"/>
      <c r="W343" s="33"/>
      <c r="X343" s="47"/>
      <c r="Y343" s="48"/>
    </row>
    <row r="344" spans="2:25" s="38" customFormat="1" x14ac:dyDescent="0.25">
      <c r="B344" s="49"/>
      <c r="C344" s="70"/>
      <c r="D344" s="42"/>
      <c r="F344" s="33"/>
      <c r="G344" s="47"/>
      <c r="H344" s="33"/>
      <c r="I344" s="60"/>
      <c r="J344" s="27"/>
      <c r="K344" s="47"/>
      <c r="L344" s="33"/>
      <c r="M344" s="60"/>
      <c r="N344" s="27"/>
      <c r="O344" s="47"/>
      <c r="P344" s="33"/>
      <c r="Q344" s="60"/>
      <c r="R344" s="27"/>
      <c r="S344" s="47"/>
      <c r="T344" s="33"/>
      <c r="U344" s="60"/>
      <c r="V344" s="27"/>
      <c r="W344" s="33"/>
      <c r="X344" s="47"/>
      <c r="Y344" s="48"/>
    </row>
    <row r="345" spans="2:25" s="38" customFormat="1" x14ac:dyDescent="0.25">
      <c r="B345" s="49"/>
      <c r="C345" s="70"/>
      <c r="D345" s="42"/>
      <c r="F345" s="33"/>
      <c r="G345" s="47"/>
      <c r="H345" s="33"/>
      <c r="I345" s="60"/>
      <c r="J345" s="27"/>
      <c r="K345" s="47"/>
      <c r="L345" s="33"/>
      <c r="M345" s="60"/>
      <c r="N345" s="27"/>
      <c r="O345" s="47"/>
      <c r="P345" s="33"/>
      <c r="Q345" s="60"/>
      <c r="R345" s="27"/>
      <c r="S345" s="47"/>
      <c r="T345" s="33"/>
      <c r="U345" s="60"/>
      <c r="V345" s="27"/>
      <c r="W345" s="33"/>
      <c r="X345" s="47"/>
      <c r="Y345" s="48"/>
    </row>
    <row r="346" spans="2:25" s="38" customFormat="1" x14ac:dyDescent="0.25">
      <c r="B346" s="49"/>
      <c r="C346" s="70"/>
      <c r="D346" s="42"/>
      <c r="F346" s="33"/>
      <c r="G346" s="47"/>
      <c r="H346" s="33"/>
      <c r="I346" s="60"/>
      <c r="J346" s="27"/>
      <c r="K346" s="47"/>
      <c r="L346" s="33"/>
      <c r="M346" s="60"/>
      <c r="N346" s="27"/>
      <c r="O346" s="47"/>
      <c r="P346" s="33"/>
      <c r="Q346" s="60"/>
      <c r="R346" s="27"/>
      <c r="S346" s="47"/>
      <c r="T346" s="33"/>
      <c r="U346" s="60"/>
      <c r="V346" s="27"/>
      <c r="W346" s="33"/>
      <c r="X346" s="47"/>
      <c r="Y346" s="48"/>
    </row>
    <row r="347" spans="2:25" s="38" customFormat="1" x14ac:dyDescent="0.25">
      <c r="B347" s="49"/>
      <c r="C347" s="70"/>
      <c r="D347" s="42"/>
      <c r="F347" s="33"/>
      <c r="G347" s="47"/>
      <c r="H347" s="33"/>
      <c r="I347" s="60"/>
      <c r="J347" s="27"/>
      <c r="K347" s="47"/>
      <c r="L347" s="33"/>
      <c r="M347" s="60"/>
      <c r="N347" s="27"/>
      <c r="O347" s="47"/>
      <c r="P347" s="33"/>
      <c r="Q347" s="60"/>
      <c r="R347" s="27"/>
      <c r="S347" s="47"/>
      <c r="T347" s="33"/>
      <c r="U347" s="60"/>
      <c r="V347" s="27"/>
      <c r="W347" s="33"/>
      <c r="X347" s="47"/>
      <c r="Y347" s="48"/>
    </row>
    <row r="348" spans="2:25" s="38" customFormat="1" x14ac:dyDescent="0.25">
      <c r="B348" s="49"/>
      <c r="C348" s="70"/>
      <c r="D348" s="42"/>
      <c r="F348" s="33"/>
      <c r="G348" s="47"/>
      <c r="H348" s="33"/>
      <c r="I348" s="60"/>
      <c r="J348" s="27"/>
      <c r="K348" s="47"/>
      <c r="L348" s="33"/>
      <c r="M348" s="60"/>
      <c r="N348" s="27"/>
      <c r="O348" s="47"/>
      <c r="P348" s="33"/>
      <c r="Q348" s="60"/>
      <c r="R348" s="27"/>
      <c r="S348" s="47"/>
      <c r="T348" s="33"/>
      <c r="U348" s="60"/>
      <c r="V348" s="27"/>
      <c r="W348" s="33"/>
      <c r="X348" s="47"/>
      <c r="Y348" s="48"/>
    </row>
    <row r="349" spans="2:25" s="38" customFormat="1" x14ac:dyDescent="0.25">
      <c r="B349" s="49"/>
      <c r="C349" s="70"/>
      <c r="D349" s="42"/>
      <c r="F349" s="33"/>
      <c r="G349" s="47"/>
      <c r="H349" s="33"/>
      <c r="I349" s="60"/>
      <c r="J349" s="27"/>
      <c r="K349" s="47"/>
      <c r="L349" s="33"/>
      <c r="M349" s="60"/>
      <c r="N349" s="27"/>
      <c r="O349" s="47"/>
      <c r="P349" s="33"/>
      <c r="Q349" s="60"/>
      <c r="R349" s="27"/>
      <c r="S349" s="47"/>
      <c r="T349" s="33"/>
      <c r="U349" s="60"/>
      <c r="V349" s="27"/>
      <c r="W349" s="33"/>
      <c r="X349" s="47"/>
      <c r="Y349" s="48"/>
    </row>
    <row r="350" spans="2:25" s="38" customFormat="1" x14ac:dyDescent="0.25">
      <c r="B350" s="49"/>
      <c r="C350" s="70"/>
      <c r="D350" s="42"/>
      <c r="F350" s="33"/>
      <c r="G350" s="47"/>
      <c r="H350" s="33"/>
      <c r="I350" s="60"/>
      <c r="J350" s="27"/>
      <c r="K350" s="47"/>
      <c r="L350" s="33"/>
      <c r="M350" s="60"/>
      <c r="N350" s="27"/>
      <c r="O350" s="47"/>
      <c r="P350" s="33"/>
      <c r="Q350" s="60"/>
      <c r="R350" s="27"/>
      <c r="S350" s="47"/>
      <c r="T350" s="33"/>
      <c r="U350" s="60"/>
      <c r="V350" s="27"/>
      <c r="W350" s="33"/>
      <c r="X350" s="47"/>
      <c r="Y350" s="48"/>
    </row>
    <row r="351" spans="2:25" s="38" customFormat="1" x14ac:dyDescent="0.25">
      <c r="B351" s="49"/>
      <c r="C351" s="70"/>
      <c r="D351" s="42"/>
      <c r="F351" s="33"/>
      <c r="G351" s="47"/>
      <c r="H351" s="33"/>
      <c r="I351" s="60"/>
      <c r="J351" s="27"/>
      <c r="K351" s="47"/>
      <c r="L351" s="33"/>
      <c r="M351" s="60"/>
      <c r="N351" s="27"/>
      <c r="O351" s="47"/>
      <c r="P351" s="33"/>
      <c r="Q351" s="60"/>
      <c r="R351" s="27"/>
      <c r="S351" s="47"/>
      <c r="T351" s="33"/>
      <c r="U351" s="60"/>
      <c r="V351" s="27"/>
      <c r="W351" s="33"/>
      <c r="X351" s="47"/>
      <c r="Y351" s="48"/>
    </row>
    <row r="352" spans="2:25" s="38" customFormat="1" x14ac:dyDescent="0.25">
      <c r="B352" s="49"/>
      <c r="C352" s="70"/>
      <c r="D352" s="42"/>
      <c r="F352" s="33"/>
      <c r="G352" s="47"/>
      <c r="H352" s="33"/>
      <c r="I352" s="60"/>
      <c r="J352" s="27"/>
      <c r="K352" s="47"/>
      <c r="L352" s="33"/>
      <c r="M352" s="60"/>
      <c r="N352" s="27"/>
      <c r="O352" s="47"/>
      <c r="P352" s="33"/>
      <c r="Q352" s="60"/>
      <c r="R352" s="27"/>
      <c r="S352" s="47"/>
      <c r="T352" s="33"/>
      <c r="U352" s="60"/>
      <c r="V352" s="27"/>
      <c r="W352" s="33"/>
      <c r="X352" s="47"/>
      <c r="Y352" s="48"/>
    </row>
    <row r="353" spans="2:25" s="38" customFormat="1" x14ac:dyDescent="0.25">
      <c r="B353" s="49"/>
      <c r="C353" s="70"/>
      <c r="D353" s="42"/>
      <c r="F353" s="33"/>
      <c r="G353" s="47"/>
      <c r="H353" s="33"/>
      <c r="I353" s="60"/>
      <c r="J353" s="27"/>
      <c r="K353" s="47"/>
      <c r="L353" s="33"/>
      <c r="M353" s="60"/>
      <c r="N353" s="27"/>
      <c r="O353" s="47"/>
      <c r="P353" s="33"/>
      <c r="Q353" s="60"/>
      <c r="R353" s="27"/>
      <c r="S353" s="47"/>
      <c r="T353" s="33"/>
      <c r="U353" s="60"/>
      <c r="V353" s="27"/>
      <c r="W353" s="33"/>
      <c r="X353" s="47"/>
      <c r="Y353" s="48"/>
    </row>
    <row r="354" spans="2:25" s="38" customFormat="1" x14ac:dyDescent="0.25">
      <c r="B354" s="49"/>
      <c r="C354" s="70"/>
      <c r="D354" s="42"/>
      <c r="F354" s="33"/>
      <c r="G354" s="47"/>
      <c r="H354" s="33"/>
      <c r="I354" s="60"/>
      <c r="J354" s="27"/>
      <c r="K354" s="47"/>
      <c r="L354" s="33"/>
      <c r="M354" s="60"/>
      <c r="N354" s="27"/>
      <c r="O354" s="47"/>
      <c r="P354" s="33"/>
      <c r="Q354" s="60"/>
      <c r="R354" s="27"/>
      <c r="S354" s="47"/>
      <c r="T354" s="33"/>
      <c r="U354" s="60"/>
      <c r="V354" s="27"/>
      <c r="W354" s="33"/>
      <c r="X354" s="47"/>
      <c r="Y354" s="48"/>
    </row>
    <row r="355" spans="2:25" s="38" customFormat="1" x14ac:dyDescent="0.25">
      <c r="B355" s="49"/>
      <c r="C355" s="70"/>
      <c r="D355" s="42"/>
      <c r="F355" s="33"/>
      <c r="G355" s="47"/>
      <c r="H355" s="33"/>
      <c r="I355" s="60"/>
      <c r="J355" s="27"/>
      <c r="K355" s="47"/>
      <c r="L355" s="33"/>
      <c r="M355" s="60"/>
      <c r="N355" s="27"/>
      <c r="O355" s="47"/>
      <c r="P355" s="33"/>
      <c r="Q355" s="60"/>
      <c r="R355" s="27"/>
      <c r="S355" s="47"/>
      <c r="T355" s="33"/>
      <c r="U355" s="60"/>
      <c r="V355" s="27"/>
      <c r="W355" s="33"/>
      <c r="X355" s="47"/>
      <c r="Y355" s="48"/>
    </row>
    <row r="356" spans="2:25" s="38" customFormat="1" x14ac:dyDescent="0.25">
      <c r="B356" s="49"/>
      <c r="C356" s="70"/>
      <c r="D356" s="42"/>
      <c r="F356" s="33"/>
      <c r="G356" s="47"/>
      <c r="H356" s="33"/>
      <c r="I356" s="60"/>
      <c r="J356" s="27"/>
      <c r="K356" s="47"/>
      <c r="L356" s="33"/>
      <c r="M356" s="60"/>
      <c r="N356" s="27"/>
      <c r="O356" s="47"/>
      <c r="P356" s="33"/>
      <c r="Q356" s="60"/>
      <c r="R356" s="27"/>
      <c r="S356" s="47"/>
      <c r="T356" s="33"/>
      <c r="U356" s="60"/>
      <c r="V356" s="27"/>
      <c r="W356" s="33"/>
      <c r="X356" s="47"/>
      <c r="Y356" s="48"/>
    </row>
    <row r="357" spans="2:25" s="38" customFormat="1" x14ac:dyDescent="0.25">
      <c r="B357" s="49"/>
      <c r="C357" s="70"/>
      <c r="D357" s="42"/>
      <c r="F357" s="33"/>
      <c r="G357" s="47"/>
      <c r="H357" s="33"/>
      <c r="I357" s="60"/>
      <c r="J357" s="27"/>
      <c r="K357" s="47"/>
      <c r="L357" s="33"/>
      <c r="M357" s="60"/>
      <c r="N357" s="27"/>
      <c r="O357" s="47"/>
      <c r="P357" s="33"/>
      <c r="Q357" s="60"/>
      <c r="R357" s="27"/>
      <c r="S357" s="47"/>
      <c r="T357" s="33"/>
      <c r="U357" s="60"/>
      <c r="V357" s="27"/>
      <c r="W357" s="33"/>
      <c r="X357" s="47"/>
      <c r="Y357" s="48"/>
    </row>
    <row r="358" spans="2:25" s="38" customFormat="1" x14ac:dyDescent="0.25">
      <c r="B358" s="49"/>
      <c r="C358" s="70"/>
      <c r="D358" s="42"/>
      <c r="F358" s="33"/>
      <c r="G358" s="47"/>
      <c r="H358" s="33"/>
      <c r="I358" s="60"/>
      <c r="J358" s="27"/>
      <c r="K358" s="47"/>
      <c r="L358" s="33"/>
      <c r="M358" s="60"/>
      <c r="N358" s="27"/>
      <c r="O358" s="47"/>
      <c r="P358" s="33"/>
      <c r="Q358" s="60"/>
      <c r="R358" s="27"/>
      <c r="S358" s="47"/>
      <c r="T358" s="33"/>
      <c r="U358" s="60"/>
      <c r="V358" s="27"/>
      <c r="W358" s="33"/>
      <c r="X358" s="47"/>
      <c r="Y358" s="48"/>
    </row>
    <row r="359" spans="2:25" s="38" customFormat="1" x14ac:dyDescent="0.25">
      <c r="B359" s="49"/>
      <c r="C359" s="70"/>
      <c r="D359" s="42"/>
      <c r="F359" s="33"/>
      <c r="G359" s="47"/>
      <c r="H359" s="33"/>
      <c r="I359" s="60"/>
      <c r="J359" s="27"/>
      <c r="K359" s="47"/>
      <c r="L359" s="33"/>
      <c r="M359" s="60"/>
      <c r="N359" s="27"/>
      <c r="O359" s="47"/>
      <c r="P359" s="33"/>
      <c r="Q359" s="60"/>
      <c r="R359" s="27"/>
      <c r="S359" s="47"/>
      <c r="T359" s="33"/>
      <c r="U359" s="60"/>
      <c r="V359" s="27"/>
      <c r="W359" s="33"/>
      <c r="X359" s="47"/>
      <c r="Y359" s="48"/>
    </row>
    <row r="360" spans="2:25" s="38" customFormat="1" x14ac:dyDescent="0.25">
      <c r="B360" s="49"/>
      <c r="C360" s="70"/>
      <c r="D360" s="42"/>
      <c r="F360" s="33"/>
      <c r="G360" s="47"/>
      <c r="H360" s="33"/>
      <c r="I360" s="60"/>
      <c r="J360" s="27"/>
      <c r="K360" s="47"/>
      <c r="L360" s="33"/>
      <c r="M360" s="60"/>
      <c r="N360" s="27"/>
      <c r="O360" s="47"/>
      <c r="P360" s="33"/>
      <c r="Q360" s="60"/>
      <c r="R360" s="27"/>
      <c r="S360" s="47"/>
      <c r="T360" s="33"/>
      <c r="U360" s="60"/>
      <c r="V360" s="27"/>
      <c r="W360" s="33"/>
      <c r="X360" s="47"/>
      <c r="Y360" s="48"/>
    </row>
    <row r="361" spans="2:25" s="38" customFormat="1" x14ac:dyDescent="0.25">
      <c r="B361" s="49"/>
      <c r="C361" s="70"/>
      <c r="D361" s="42"/>
      <c r="F361" s="33"/>
      <c r="G361" s="47"/>
      <c r="H361" s="33"/>
      <c r="I361" s="60"/>
      <c r="J361" s="27"/>
      <c r="K361" s="47"/>
      <c r="L361" s="33"/>
      <c r="M361" s="60"/>
      <c r="N361" s="27"/>
      <c r="O361" s="47"/>
      <c r="P361" s="33"/>
      <c r="Q361" s="60"/>
      <c r="R361" s="27"/>
      <c r="S361" s="47"/>
      <c r="T361" s="33"/>
      <c r="U361" s="60"/>
      <c r="V361" s="27"/>
      <c r="W361" s="33"/>
      <c r="X361" s="47"/>
      <c r="Y361" s="48"/>
    </row>
    <row r="362" spans="2:25" s="38" customFormat="1" x14ac:dyDescent="0.25">
      <c r="B362" s="49"/>
      <c r="C362" s="70"/>
      <c r="D362" s="42"/>
      <c r="F362" s="33"/>
      <c r="G362" s="47"/>
      <c r="H362" s="33"/>
      <c r="I362" s="60"/>
      <c r="J362" s="27"/>
      <c r="K362" s="47"/>
      <c r="L362" s="33"/>
      <c r="M362" s="60"/>
      <c r="N362" s="27"/>
      <c r="O362" s="47"/>
      <c r="P362" s="33"/>
      <c r="Q362" s="60"/>
      <c r="R362" s="27"/>
      <c r="S362" s="47"/>
      <c r="T362" s="33"/>
      <c r="U362" s="60"/>
      <c r="V362" s="27"/>
      <c r="W362" s="33"/>
      <c r="X362" s="47"/>
      <c r="Y362" s="48"/>
    </row>
    <row r="363" spans="2:25" s="38" customFormat="1" x14ac:dyDescent="0.25">
      <c r="B363" s="49"/>
      <c r="C363" s="70"/>
      <c r="D363" s="42"/>
      <c r="F363" s="33"/>
      <c r="G363" s="47"/>
      <c r="H363" s="33"/>
      <c r="I363" s="60"/>
      <c r="J363" s="27"/>
      <c r="K363" s="47"/>
      <c r="L363" s="33"/>
      <c r="M363" s="60"/>
      <c r="N363" s="27"/>
      <c r="O363" s="47"/>
      <c r="P363" s="33"/>
      <c r="Q363" s="60"/>
      <c r="R363" s="27"/>
      <c r="S363" s="47"/>
      <c r="T363" s="33"/>
      <c r="U363" s="60"/>
      <c r="V363" s="27"/>
      <c r="W363" s="33"/>
      <c r="X363" s="47"/>
      <c r="Y363" s="48"/>
    </row>
    <row r="364" spans="2:25" s="38" customFormat="1" x14ac:dyDescent="0.25">
      <c r="B364" s="49"/>
      <c r="C364" s="70"/>
      <c r="D364" s="42"/>
      <c r="F364" s="33"/>
      <c r="G364" s="47"/>
      <c r="H364" s="33"/>
      <c r="I364" s="60"/>
      <c r="J364" s="27"/>
      <c r="K364" s="47"/>
      <c r="L364" s="33"/>
      <c r="M364" s="60"/>
      <c r="N364" s="27"/>
      <c r="O364" s="47"/>
      <c r="P364" s="33"/>
      <c r="Q364" s="60"/>
      <c r="R364" s="27"/>
      <c r="S364" s="47"/>
      <c r="T364" s="33"/>
      <c r="U364" s="60"/>
      <c r="V364" s="27"/>
      <c r="W364" s="33"/>
      <c r="X364" s="47"/>
      <c r="Y364" s="48"/>
    </row>
    <row r="365" spans="2:25" s="38" customFormat="1" x14ac:dyDescent="0.25">
      <c r="B365" s="49"/>
      <c r="C365" s="70"/>
      <c r="D365" s="42"/>
      <c r="F365" s="33"/>
      <c r="G365" s="47"/>
      <c r="H365" s="33"/>
      <c r="I365" s="60"/>
      <c r="J365" s="27"/>
      <c r="K365" s="47"/>
      <c r="L365" s="33"/>
      <c r="M365" s="60"/>
      <c r="N365" s="27"/>
      <c r="O365" s="47"/>
      <c r="P365" s="33"/>
      <c r="Q365" s="60"/>
      <c r="R365" s="27"/>
      <c r="S365" s="47"/>
      <c r="T365" s="33"/>
      <c r="U365" s="60"/>
      <c r="V365" s="27"/>
      <c r="W365" s="33"/>
      <c r="X365" s="47"/>
      <c r="Y365" s="48"/>
    </row>
    <row r="366" spans="2:25" s="38" customFormat="1" x14ac:dyDescent="0.25">
      <c r="B366" s="49"/>
      <c r="C366" s="70"/>
      <c r="D366" s="42"/>
      <c r="F366" s="33"/>
      <c r="G366" s="47"/>
      <c r="H366" s="33"/>
      <c r="I366" s="60"/>
      <c r="J366" s="27"/>
      <c r="K366" s="47"/>
      <c r="L366" s="33"/>
      <c r="M366" s="60"/>
      <c r="N366" s="27"/>
      <c r="O366" s="47"/>
      <c r="P366" s="33"/>
      <c r="Q366" s="60"/>
      <c r="R366" s="27"/>
      <c r="S366" s="47"/>
      <c r="T366" s="33"/>
      <c r="U366" s="60"/>
      <c r="V366" s="27"/>
      <c r="W366" s="33"/>
      <c r="X366" s="47"/>
      <c r="Y366" s="48"/>
    </row>
    <row r="367" spans="2:25" s="38" customFormat="1" x14ac:dyDescent="0.25">
      <c r="B367" s="49"/>
      <c r="C367" s="70"/>
      <c r="D367" s="42"/>
      <c r="F367" s="33"/>
      <c r="G367" s="47"/>
      <c r="H367" s="33"/>
      <c r="I367" s="60"/>
      <c r="J367" s="27"/>
      <c r="K367" s="47"/>
      <c r="L367" s="33"/>
      <c r="M367" s="60"/>
      <c r="N367" s="27"/>
      <c r="O367" s="47"/>
      <c r="P367" s="33"/>
      <c r="Q367" s="60"/>
      <c r="R367" s="27"/>
      <c r="S367" s="47"/>
      <c r="T367" s="33"/>
      <c r="U367" s="60"/>
      <c r="V367" s="27"/>
      <c r="W367" s="33"/>
      <c r="X367" s="47"/>
      <c r="Y367" s="48"/>
    </row>
    <row r="368" spans="2:25" s="38" customFormat="1" x14ac:dyDescent="0.25">
      <c r="B368" s="49"/>
      <c r="C368" s="70"/>
      <c r="D368" s="42"/>
      <c r="F368" s="33"/>
      <c r="G368" s="47"/>
      <c r="H368" s="33"/>
      <c r="I368" s="60"/>
      <c r="J368" s="27"/>
      <c r="K368" s="47"/>
      <c r="L368" s="33"/>
      <c r="M368" s="60"/>
      <c r="N368" s="27"/>
      <c r="O368" s="47"/>
      <c r="P368" s="33"/>
      <c r="Q368" s="60"/>
      <c r="R368" s="27"/>
      <c r="S368" s="47"/>
      <c r="T368" s="33"/>
      <c r="U368" s="60"/>
      <c r="V368" s="27"/>
      <c r="W368" s="33"/>
      <c r="X368" s="47"/>
      <c r="Y368" s="48"/>
    </row>
    <row r="369" spans="2:25" s="38" customFormat="1" x14ac:dyDescent="0.25">
      <c r="B369" s="49"/>
      <c r="C369" s="70"/>
      <c r="D369" s="42"/>
      <c r="F369" s="33"/>
      <c r="G369" s="47"/>
      <c r="H369" s="33"/>
      <c r="I369" s="60"/>
      <c r="J369" s="27"/>
      <c r="K369" s="47"/>
      <c r="L369" s="33"/>
      <c r="M369" s="60"/>
      <c r="N369" s="27"/>
      <c r="O369" s="47"/>
      <c r="P369" s="33"/>
      <c r="Q369" s="60"/>
      <c r="R369" s="27"/>
      <c r="S369" s="47"/>
      <c r="T369" s="33"/>
      <c r="U369" s="60"/>
      <c r="V369" s="27"/>
      <c r="W369" s="33"/>
      <c r="X369" s="47"/>
      <c r="Y369" s="48"/>
    </row>
    <row r="370" spans="2:25" s="38" customFormat="1" x14ac:dyDescent="0.25">
      <c r="B370" s="49"/>
      <c r="C370" s="70"/>
      <c r="D370" s="42"/>
      <c r="F370" s="33"/>
      <c r="G370" s="47"/>
      <c r="H370" s="33"/>
      <c r="I370" s="60"/>
      <c r="J370" s="27"/>
      <c r="K370" s="47"/>
      <c r="L370" s="33"/>
      <c r="M370" s="60"/>
      <c r="N370" s="27"/>
      <c r="O370" s="47"/>
      <c r="P370" s="33"/>
      <c r="Q370" s="60"/>
      <c r="R370" s="27"/>
      <c r="S370" s="47"/>
      <c r="T370" s="33"/>
      <c r="U370" s="60"/>
      <c r="V370" s="27"/>
      <c r="W370" s="33"/>
      <c r="X370" s="47"/>
      <c r="Y370" s="48"/>
    </row>
    <row r="371" spans="2:25" s="38" customFormat="1" x14ac:dyDescent="0.25">
      <c r="B371" s="49"/>
      <c r="C371" s="70"/>
      <c r="D371" s="42"/>
      <c r="F371" s="33"/>
      <c r="G371" s="47"/>
      <c r="H371" s="33"/>
      <c r="I371" s="60"/>
      <c r="J371" s="27"/>
      <c r="K371" s="47"/>
      <c r="L371" s="33"/>
      <c r="M371" s="60"/>
      <c r="N371" s="27"/>
      <c r="O371" s="47"/>
      <c r="P371" s="33"/>
      <c r="Q371" s="60"/>
      <c r="R371" s="27"/>
      <c r="S371" s="47"/>
      <c r="T371" s="33"/>
      <c r="U371" s="60"/>
      <c r="V371" s="27"/>
      <c r="W371" s="33"/>
      <c r="X371" s="47"/>
      <c r="Y371" s="48"/>
    </row>
    <row r="372" spans="2:25" s="38" customFormat="1" x14ac:dyDescent="0.25">
      <c r="B372" s="49"/>
      <c r="C372" s="70"/>
      <c r="D372" s="42"/>
      <c r="F372" s="33"/>
      <c r="G372" s="47"/>
      <c r="H372" s="33"/>
      <c r="I372" s="60"/>
      <c r="J372" s="27"/>
      <c r="K372" s="47"/>
      <c r="L372" s="33"/>
      <c r="M372" s="60"/>
      <c r="N372" s="27"/>
      <c r="O372" s="47"/>
      <c r="P372" s="33"/>
      <c r="Q372" s="60"/>
      <c r="R372" s="27"/>
      <c r="S372" s="47"/>
      <c r="T372" s="33"/>
      <c r="U372" s="60"/>
      <c r="V372" s="27"/>
      <c r="W372" s="33"/>
      <c r="X372" s="47"/>
      <c r="Y372" s="48"/>
    </row>
    <row r="373" spans="2:25" s="38" customFormat="1" x14ac:dyDescent="0.25">
      <c r="B373" s="49"/>
      <c r="C373" s="70"/>
      <c r="D373" s="42"/>
      <c r="F373" s="33"/>
      <c r="G373" s="47"/>
      <c r="H373" s="33"/>
      <c r="I373" s="60"/>
      <c r="J373" s="27"/>
      <c r="K373" s="47"/>
      <c r="L373" s="33"/>
      <c r="M373" s="60"/>
      <c r="N373" s="27"/>
      <c r="O373" s="47"/>
      <c r="P373" s="33"/>
      <c r="Q373" s="60"/>
      <c r="R373" s="27"/>
      <c r="S373" s="47"/>
      <c r="T373" s="33"/>
      <c r="U373" s="60"/>
      <c r="V373" s="27"/>
      <c r="W373" s="33"/>
      <c r="X373" s="47"/>
      <c r="Y373" s="48"/>
    </row>
    <row r="374" spans="2:25" s="38" customFormat="1" x14ac:dyDescent="0.25">
      <c r="B374" s="49"/>
      <c r="C374" s="70"/>
      <c r="D374" s="42"/>
      <c r="F374" s="33"/>
      <c r="G374" s="47"/>
      <c r="H374" s="33"/>
      <c r="I374" s="60"/>
      <c r="J374" s="27"/>
      <c r="K374" s="47"/>
      <c r="L374" s="33"/>
      <c r="M374" s="60"/>
      <c r="N374" s="27"/>
      <c r="O374" s="47"/>
      <c r="P374" s="33"/>
      <c r="Q374" s="60"/>
      <c r="R374" s="27"/>
      <c r="S374" s="47"/>
      <c r="T374" s="33"/>
      <c r="U374" s="60"/>
      <c r="V374" s="27"/>
      <c r="W374" s="33"/>
      <c r="X374" s="47"/>
      <c r="Y374" s="48"/>
    </row>
    <row r="375" spans="2:25" s="38" customFormat="1" x14ac:dyDescent="0.25">
      <c r="B375" s="49"/>
      <c r="C375" s="70"/>
      <c r="D375" s="42"/>
      <c r="F375" s="33"/>
      <c r="G375" s="47"/>
      <c r="H375" s="33"/>
      <c r="I375" s="60"/>
      <c r="J375" s="27"/>
      <c r="K375" s="47"/>
      <c r="L375" s="33"/>
      <c r="M375" s="60"/>
      <c r="N375" s="27"/>
      <c r="O375" s="47"/>
      <c r="P375" s="33"/>
      <c r="Q375" s="60"/>
      <c r="R375" s="27"/>
      <c r="S375" s="47"/>
      <c r="T375" s="33"/>
      <c r="U375" s="60"/>
      <c r="V375" s="27"/>
      <c r="W375" s="33"/>
      <c r="X375" s="47"/>
      <c r="Y375" s="48"/>
    </row>
    <row r="376" spans="2:25" s="38" customFormat="1" x14ac:dyDescent="0.25">
      <c r="B376" s="49"/>
      <c r="C376" s="70"/>
      <c r="D376" s="42"/>
      <c r="F376" s="33"/>
      <c r="G376" s="47"/>
      <c r="H376" s="33"/>
      <c r="I376" s="60"/>
      <c r="J376" s="27"/>
      <c r="K376" s="47"/>
      <c r="L376" s="33"/>
      <c r="M376" s="60"/>
      <c r="N376" s="27"/>
      <c r="O376" s="47"/>
      <c r="P376" s="33"/>
      <c r="Q376" s="60"/>
      <c r="R376" s="27"/>
      <c r="S376" s="47"/>
      <c r="T376" s="33"/>
      <c r="U376" s="60"/>
      <c r="V376" s="27"/>
      <c r="W376" s="33"/>
      <c r="X376" s="47"/>
      <c r="Y376" s="48"/>
    </row>
    <row r="377" spans="2:25" s="38" customFormat="1" x14ac:dyDescent="0.25">
      <c r="B377" s="49"/>
      <c r="C377" s="70"/>
      <c r="D377" s="42"/>
      <c r="F377" s="33"/>
      <c r="G377" s="47"/>
      <c r="H377" s="33"/>
      <c r="I377" s="60"/>
      <c r="J377" s="27"/>
      <c r="K377" s="47"/>
      <c r="L377" s="33"/>
      <c r="M377" s="60"/>
      <c r="N377" s="27"/>
      <c r="O377" s="47"/>
      <c r="P377" s="33"/>
      <c r="Q377" s="60"/>
      <c r="R377" s="27"/>
      <c r="S377" s="47"/>
      <c r="T377" s="33"/>
      <c r="U377" s="60"/>
      <c r="V377" s="27"/>
      <c r="W377" s="33"/>
      <c r="X377" s="47"/>
      <c r="Y377" s="48"/>
    </row>
    <row r="378" spans="2:25" s="38" customFormat="1" x14ac:dyDescent="0.25">
      <c r="B378" s="49"/>
      <c r="C378" s="70"/>
      <c r="D378" s="42"/>
      <c r="F378" s="33"/>
      <c r="G378" s="47"/>
      <c r="H378" s="33"/>
      <c r="I378" s="60"/>
      <c r="J378" s="27"/>
      <c r="K378" s="47"/>
      <c r="L378" s="33"/>
      <c r="M378" s="60"/>
      <c r="N378" s="27"/>
      <c r="O378" s="47"/>
      <c r="P378" s="33"/>
      <c r="Q378" s="60"/>
      <c r="R378" s="27"/>
      <c r="S378" s="47"/>
      <c r="T378" s="33"/>
      <c r="U378" s="60"/>
      <c r="V378" s="27"/>
      <c r="W378" s="33"/>
      <c r="X378" s="47"/>
      <c r="Y378" s="48"/>
    </row>
    <row r="379" spans="2:25" s="38" customFormat="1" x14ac:dyDescent="0.25">
      <c r="B379" s="49"/>
      <c r="C379" s="70"/>
      <c r="D379" s="42"/>
      <c r="F379" s="33"/>
      <c r="G379" s="47"/>
      <c r="H379" s="33"/>
      <c r="I379" s="60"/>
      <c r="J379" s="27"/>
      <c r="K379" s="47"/>
      <c r="L379" s="33"/>
      <c r="M379" s="60"/>
      <c r="N379" s="27"/>
      <c r="O379" s="47"/>
      <c r="P379" s="33"/>
      <c r="Q379" s="60"/>
      <c r="R379" s="27"/>
      <c r="S379" s="47"/>
      <c r="T379" s="33"/>
      <c r="U379" s="60"/>
      <c r="V379" s="27"/>
      <c r="W379" s="33"/>
      <c r="X379" s="47"/>
      <c r="Y379" s="48"/>
    </row>
    <row r="380" spans="2:25" s="38" customFormat="1" x14ac:dyDescent="0.25">
      <c r="B380" s="49"/>
      <c r="C380" s="70"/>
      <c r="D380" s="42"/>
      <c r="F380" s="33"/>
      <c r="G380" s="47"/>
      <c r="H380" s="33"/>
      <c r="I380" s="60"/>
      <c r="J380" s="27"/>
      <c r="K380" s="47"/>
      <c r="L380" s="33"/>
      <c r="M380" s="60"/>
      <c r="N380" s="27"/>
      <c r="O380" s="47"/>
      <c r="P380" s="33"/>
      <c r="Q380" s="60"/>
      <c r="R380" s="27"/>
      <c r="S380" s="47"/>
      <c r="T380" s="33"/>
      <c r="U380" s="60"/>
      <c r="V380" s="27"/>
      <c r="W380" s="33"/>
      <c r="X380" s="47"/>
      <c r="Y380" s="48"/>
    </row>
    <row r="381" spans="2:25" s="38" customFormat="1" x14ac:dyDescent="0.25">
      <c r="B381" s="49"/>
      <c r="C381" s="70"/>
      <c r="D381" s="42"/>
      <c r="F381" s="33"/>
      <c r="G381" s="47"/>
      <c r="H381" s="33"/>
      <c r="I381" s="60"/>
      <c r="J381" s="27"/>
      <c r="K381" s="47"/>
      <c r="L381" s="33"/>
      <c r="M381" s="60"/>
      <c r="N381" s="27"/>
      <c r="O381" s="47"/>
      <c r="P381" s="33"/>
      <c r="Q381" s="60"/>
      <c r="R381" s="27"/>
      <c r="S381" s="47"/>
      <c r="T381" s="33"/>
      <c r="U381" s="60"/>
      <c r="V381" s="27"/>
      <c r="W381" s="33"/>
      <c r="X381" s="47"/>
      <c r="Y381" s="48"/>
    </row>
    <row r="382" spans="2:25" s="38" customFormat="1" x14ac:dyDescent="0.25">
      <c r="B382" s="49"/>
      <c r="C382" s="70"/>
      <c r="D382" s="42"/>
      <c r="F382" s="33"/>
      <c r="G382" s="47"/>
      <c r="H382" s="33"/>
      <c r="I382" s="60"/>
      <c r="J382" s="27"/>
      <c r="K382" s="47"/>
      <c r="L382" s="33"/>
      <c r="M382" s="60"/>
      <c r="N382" s="27"/>
      <c r="O382" s="47"/>
      <c r="P382" s="33"/>
      <c r="Q382" s="60"/>
      <c r="R382" s="27"/>
      <c r="S382" s="47"/>
      <c r="T382" s="33"/>
      <c r="U382" s="60"/>
      <c r="V382" s="27"/>
      <c r="W382" s="33"/>
      <c r="X382" s="47"/>
      <c r="Y382" s="48"/>
    </row>
    <row r="383" spans="2:25" s="38" customFormat="1" x14ac:dyDescent="0.25">
      <c r="B383" s="49"/>
      <c r="C383" s="70"/>
      <c r="D383" s="42"/>
      <c r="F383" s="33"/>
      <c r="G383" s="47"/>
      <c r="H383" s="33"/>
      <c r="I383" s="60"/>
      <c r="J383" s="27"/>
      <c r="K383" s="47"/>
      <c r="L383" s="33"/>
      <c r="M383" s="60"/>
      <c r="N383" s="27"/>
      <c r="O383" s="47"/>
      <c r="P383" s="33"/>
      <c r="Q383" s="60"/>
      <c r="R383" s="27"/>
      <c r="S383" s="47"/>
      <c r="T383" s="33"/>
      <c r="U383" s="60"/>
      <c r="V383" s="27"/>
      <c r="W383" s="33"/>
      <c r="X383" s="47"/>
      <c r="Y383" s="48"/>
    </row>
    <row r="384" spans="2:25" s="38" customFormat="1" x14ac:dyDescent="0.25">
      <c r="B384" s="49"/>
      <c r="C384" s="70"/>
      <c r="D384" s="42"/>
      <c r="F384" s="33"/>
      <c r="G384" s="47"/>
      <c r="H384" s="33"/>
      <c r="I384" s="60"/>
      <c r="J384" s="27"/>
      <c r="K384" s="47"/>
      <c r="L384" s="33"/>
      <c r="M384" s="60"/>
      <c r="N384" s="27"/>
      <c r="O384" s="47"/>
      <c r="P384" s="33"/>
      <c r="Q384" s="60"/>
      <c r="R384" s="27"/>
      <c r="S384" s="47"/>
      <c r="T384" s="33"/>
      <c r="U384" s="60"/>
      <c r="V384" s="27"/>
      <c r="W384" s="33"/>
      <c r="X384" s="47"/>
      <c r="Y384" s="48"/>
    </row>
    <row r="385" spans="2:25" s="38" customFormat="1" x14ac:dyDescent="0.25">
      <c r="B385" s="49"/>
      <c r="C385" s="70"/>
      <c r="D385" s="42"/>
      <c r="F385" s="33"/>
      <c r="G385" s="47"/>
      <c r="H385" s="33"/>
      <c r="I385" s="60"/>
      <c r="J385" s="27"/>
      <c r="K385" s="47"/>
      <c r="L385" s="33"/>
      <c r="M385" s="60"/>
      <c r="N385" s="27"/>
      <c r="O385" s="47"/>
      <c r="P385" s="33"/>
      <c r="Q385" s="60"/>
      <c r="R385" s="27"/>
      <c r="S385" s="47"/>
      <c r="T385" s="33"/>
      <c r="U385" s="60"/>
      <c r="V385" s="27"/>
      <c r="W385" s="33"/>
      <c r="X385" s="47"/>
      <c r="Y385" s="48"/>
    </row>
    <row r="386" spans="2:25" s="38" customFormat="1" x14ac:dyDescent="0.25">
      <c r="B386" s="49"/>
      <c r="C386" s="70"/>
      <c r="D386" s="42"/>
      <c r="F386" s="33"/>
      <c r="G386" s="47"/>
      <c r="H386" s="33"/>
      <c r="I386" s="60"/>
      <c r="J386" s="27"/>
      <c r="K386" s="47"/>
      <c r="L386" s="33"/>
      <c r="M386" s="60"/>
      <c r="N386" s="27"/>
      <c r="O386" s="47"/>
      <c r="P386" s="33"/>
      <c r="Q386" s="60"/>
      <c r="R386" s="27"/>
      <c r="S386" s="47"/>
      <c r="T386" s="33"/>
      <c r="U386" s="60"/>
      <c r="V386" s="27"/>
      <c r="W386" s="33"/>
      <c r="X386" s="47"/>
      <c r="Y386" s="48"/>
    </row>
    <row r="387" spans="2:25" s="38" customFormat="1" x14ac:dyDescent="0.25">
      <c r="B387" s="49"/>
      <c r="C387" s="70"/>
      <c r="D387" s="42"/>
      <c r="F387" s="33"/>
      <c r="G387" s="47"/>
      <c r="H387" s="33"/>
      <c r="I387" s="60"/>
      <c r="J387" s="27"/>
      <c r="K387" s="47"/>
      <c r="L387" s="33"/>
      <c r="M387" s="60"/>
      <c r="N387" s="27"/>
      <c r="O387" s="47"/>
      <c r="P387" s="33"/>
      <c r="Q387" s="60"/>
      <c r="R387" s="27"/>
      <c r="S387" s="47"/>
      <c r="T387" s="33"/>
      <c r="U387" s="60"/>
      <c r="V387" s="27"/>
      <c r="W387" s="33"/>
      <c r="X387" s="47"/>
      <c r="Y387" s="48"/>
    </row>
    <row r="388" spans="2:25" s="38" customFormat="1" x14ac:dyDescent="0.25">
      <c r="B388" s="49"/>
      <c r="C388" s="70"/>
      <c r="D388" s="42"/>
      <c r="F388" s="33"/>
      <c r="G388" s="47"/>
      <c r="H388" s="33"/>
      <c r="I388" s="60"/>
      <c r="J388" s="27"/>
      <c r="K388" s="47"/>
      <c r="L388" s="33"/>
      <c r="M388" s="60"/>
      <c r="N388" s="27"/>
      <c r="O388" s="47"/>
      <c r="P388" s="33"/>
      <c r="Q388" s="60"/>
      <c r="R388" s="27"/>
      <c r="S388" s="47"/>
      <c r="T388" s="33"/>
      <c r="U388" s="60"/>
      <c r="V388" s="27"/>
      <c r="W388" s="33"/>
      <c r="X388" s="47"/>
      <c r="Y388" s="48"/>
    </row>
    <row r="389" spans="2:25" s="38" customFormat="1" x14ac:dyDescent="0.25">
      <c r="B389" s="49"/>
      <c r="C389" s="70"/>
      <c r="D389" s="42"/>
      <c r="F389" s="33"/>
      <c r="G389" s="47"/>
      <c r="H389" s="33"/>
      <c r="I389" s="60"/>
      <c r="J389" s="27"/>
      <c r="K389" s="47"/>
      <c r="L389" s="33"/>
      <c r="M389" s="60"/>
      <c r="N389" s="27"/>
      <c r="O389" s="47"/>
      <c r="P389" s="33"/>
      <c r="Q389" s="60"/>
      <c r="R389" s="27"/>
      <c r="S389" s="47"/>
      <c r="T389" s="33"/>
      <c r="U389" s="60"/>
      <c r="V389" s="27"/>
      <c r="W389" s="33"/>
      <c r="X389" s="47"/>
      <c r="Y389" s="48"/>
    </row>
    <row r="390" spans="2:25" s="38" customFormat="1" x14ac:dyDescent="0.25">
      <c r="B390" s="49"/>
      <c r="C390" s="70"/>
      <c r="D390" s="42"/>
      <c r="F390" s="33"/>
      <c r="G390" s="47"/>
      <c r="H390" s="33"/>
      <c r="I390" s="60"/>
      <c r="J390" s="27"/>
      <c r="K390" s="47"/>
      <c r="L390" s="33"/>
      <c r="M390" s="60"/>
      <c r="N390" s="27"/>
      <c r="O390" s="47"/>
      <c r="P390" s="33"/>
      <c r="Q390" s="60"/>
      <c r="R390" s="27"/>
      <c r="S390" s="47"/>
      <c r="T390" s="33"/>
      <c r="U390" s="60"/>
      <c r="V390" s="27"/>
      <c r="W390" s="33"/>
      <c r="X390" s="47"/>
      <c r="Y390" s="48"/>
    </row>
    <row r="391" spans="2:25" s="38" customFormat="1" x14ac:dyDescent="0.25">
      <c r="B391" s="49"/>
      <c r="C391" s="70"/>
      <c r="D391" s="42"/>
      <c r="F391" s="33"/>
      <c r="G391" s="47"/>
      <c r="H391" s="33"/>
      <c r="I391" s="60"/>
      <c r="J391" s="27"/>
      <c r="K391" s="47"/>
      <c r="L391" s="33"/>
      <c r="M391" s="60"/>
      <c r="N391" s="27"/>
      <c r="O391" s="47"/>
      <c r="P391" s="33"/>
      <c r="Q391" s="60"/>
      <c r="R391" s="27"/>
      <c r="S391" s="47"/>
      <c r="T391" s="33"/>
      <c r="U391" s="60"/>
      <c r="V391" s="27"/>
      <c r="W391" s="33"/>
      <c r="X391" s="47"/>
      <c r="Y391" s="48"/>
    </row>
    <row r="392" spans="2:25" s="38" customFormat="1" x14ac:dyDescent="0.25">
      <c r="B392" s="49"/>
      <c r="C392" s="70"/>
      <c r="D392" s="42"/>
      <c r="F392" s="33"/>
      <c r="G392" s="47"/>
      <c r="H392" s="33"/>
      <c r="I392" s="60"/>
      <c r="J392" s="27"/>
      <c r="K392" s="47"/>
      <c r="L392" s="33"/>
      <c r="M392" s="60"/>
      <c r="N392" s="27"/>
      <c r="O392" s="47"/>
      <c r="P392" s="33"/>
      <c r="Q392" s="60"/>
      <c r="R392" s="27"/>
      <c r="S392" s="47"/>
      <c r="T392" s="33"/>
      <c r="U392" s="60"/>
      <c r="V392" s="27"/>
      <c r="W392" s="33"/>
      <c r="X392" s="47"/>
      <c r="Y392" s="48"/>
    </row>
    <row r="393" spans="2:25" s="38" customFormat="1" x14ac:dyDescent="0.25">
      <c r="B393" s="49"/>
      <c r="C393" s="70"/>
      <c r="D393" s="42"/>
      <c r="F393" s="33"/>
      <c r="G393" s="47"/>
      <c r="H393" s="33"/>
      <c r="I393" s="60"/>
      <c r="J393" s="27"/>
      <c r="K393" s="47"/>
      <c r="L393" s="33"/>
      <c r="M393" s="60"/>
      <c r="N393" s="27"/>
      <c r="O393" s="47"/>
      <c r="P393" s="33"/>
      <c r="Q393" s="60"/>
      <c r="R393" s="27"/>
      <c r="S393" s="47"/>
      <c r="T393" s="33"/>
      <c r="U393" s="60"/>
      <c r="V393" s="27"/>
      <c r="W393" s="33"/>
      <c r="X393" s="47"/>
      <c r="Y393" s="48"/>
    </row>
    <row r="394" spans="2:25" s="38" customFormat="1" x14ac:dyDescent="0.25">
      <c r="B394" s="49"/>
      <c r="C394" s="70"/>
      <c r="D394" s="42"/>
      <c r="F394" s="33"/>
      <c r="G394" s="47"/>
      <c r="H394" s="33"/>
      <c r="I394" s="60"/>
      <c r="J394" s="27"/>
      <c r="K394" s="47"/>
      <c r="L394" s="33"/>
      <c r="M394" s="60"/>
      <c r="N394" s="27"/>
      <c r="O394" s="47"/>
      <c r="P394" s="33"/>
      <c r="Q394" s="60"/>
      <c r="R394" s="27"/>
      <c r="S394" s="47"/>
      <c r="T394" s="33"/>
      <c r="U394" s="60"/>
      <c r="V394" s="27"/>
      <c r="W394" s="33"/>
      <c r="X394" s="47"/>
      <c r="Y394" s="48"/>
    </row>
    <row r="395" spans="2:25" s="38" customFormat="1" x14ac:dyDescent="0.25">
      <c r="B395" s="49"/>
      <c r="C395" s="70"/>
      <c r="D395" s="42"/>
      <c r="F395" s="33"/>
      <c r="G395" s="47"/>
      <c r="H395" s="33"/>
      <c r="I395" s="60"/>
      <c r="J395" s="27"/>
      <c r="K395" s="47"/>
      <c r="L395" s="33"/>
      <c r="M395" s="60"/>
      <c r="N395" s="27"/>
      <c r="O395" s="47"/>
      <c r="P395" s="33"/>
      <c r="Q395" s="60"/>
      <c r="R395" s="27"/>
      <c r="S395" s="47"/>
      <c r="T395" s="33"/>
      <c r="U395" s="60"/>
      <c r="V395" s="27"/>
      <c r="W395" s="33"/>
      <c r="X395" s="47"/>
      <c r="Y395" s="48"/>
    </row>
    <row r="396" spans="2:25" s="38" customFormat="1" x14ac:dyDescent="0.25">
      <c r="B396" s="49"/>
      <c r="C396" s="70"/>
      <c r="D396" s="42"/>
      <c r="F396" s="33"/>
      <c r="G396" s="47"/>
      <c r="H396" s="33"/>
      <c r="I396" s="60"/>
      <c r="J396" s="27"/>
      <c r="K396" s="47"/>
      <c r="L396" s="33"/>
      <c r="M396" s="60"/>
      <c r="N396" s="27"/>
      <c r="O396" s="47"/>
      <c r="P396" s="33"/>
      <c r="Q396" s="60"/>
      <c r="R396" s="27"/>
      <c r="S396" s="47"/>
      <c r="T396" s="33"/>
      <c r="U396" s="60"/>
      <c r="V396" s="27"/>
      <c r="W396" s="33"/>
      <c r="X396" s="47"/>
      <c r="Y396" s="48"/>
    </row>
    <row r="397" spans="2:25" s="38" customFormat="1" x14ac:dyDescent="0.25">
      <c r="B397" s="49"/>
      <c r="C397" s="70"/>
      <c r="D397" s="42"/>
      <c r="F397" s="33"/>
      <c r="G397" s="47"/>
      <c r="H397" s="33"/>
      <c r="I397" s="60"/>
      <c r="J397" s="27"/>
      <c r="K397" s="47"/>
      <c r="L397" s="33"/>
      <c r="M397" s="60"/>
      <c r="N397" s="27"/>
      <c r="O397" s="47"/>
      <c r="P397" s="33"/>
      <c r="Q397" s="60"/>
      <c r="R397" s="27"/>
      <c r="S397" s="47"/>
      <c r="T397" s="33"/>
      <c r="U397" s="60"/>
      <c r="V397" s="27"/>
      <c r="W397" s="33"/>
      <c r="X397" s="47"/>
      <c r="Y397" s="48"/>
    </row>
    <row r="398" spans="2:25" s="38" customFormat="1" x14ac:dyDescent="0.25">
      <c r="B398" s="49"/>
      <c r="C398" s="70"/>
      <c r="D398" s="42"/>
      <c r="F398" s="33"/>
      <c r="G398" s="47"/>
      <c r="H398" s="33"/>
      <c r="I398" s="60"/>
      <c r="J398" s="27"/>
      <c r="K398" s="47"/>
      <c r="L398" s="33"/>
      <c r="M398" s="60"/>
      <c r="N398" s="27"/>
      <c r="O398" s="47"/>
      <c r="P398" s="33"/>
      <c r="Q398" s="60"/>
      <c r="R398" s="27"/>
      <c r="S398" s="47"/>
      <c r="T398" s="33"/>
      <c r="U398" s="60"/>
      <c r="V398" s="27"/>
      <c r="W398" s="33"/>
      <c r="X398" s="47"/>
      <c r="Y398" s="48"/>
    </row>
    <row r="399" spans="2:25" s="38" customFormat="1" x14ac:dyDescent="0.25">
      <c r="B399" s="49"/>
      <c r="C399" s="70"/>
      <c r="D399" s="42"/>
      <c r="F399" s="33"/>
      <c r="G399" s="47"/>
      <c r="H399" s="33"/>
      <c r="I399" s="60"/>
      <c r="J399" s="27"/>
      <c r="K399" s="47"/>
      <c r="L399" s="33"/>
      <c r="M399" s="60"/>
      <c r="N399" s="27"/>
      <c r="O399" s="47"/>
      <c r="P399" s="33"/>
      <c r="Q399" s="60"/>
      <c r="R399" s="27"/>
      <c r="S399" s="47"/>
      <c r="T399" s="33"/>
      <c r="U399" s="60"/>
      <c r="V399" s="27"/>
      <c r="W399" s="33"/>
      <c r="X399" s="47"/>
      <c r="Y399" s="48"/>
    </row>
    <row r="400" spans="2:25" s="38" customFormat="1" x14ac:dyDescent="0.25">
      <c r="B400" s="49"/>
      <c r="C400" s="70"/>
      <c r="D400" s="42"/>
      <c r="F400" s="33"/>
      <c r="G400" s="47"/>
      <c r="H400" s="33"/>
      <c r="I400" s="60"/>
      <c r="J400" s="27"/>
      <c r="K400" s="47"/>
      <c r="L400" s="33"/>
      <c r="M400" s="60"/>
      <c r="N400" s="27"/>
      <c r="O400" s="47"/>
      <c r="P400" s="33"/>
      <c r="Q400" s="60"/>
      <c r="R400" s="27"/>
      <c r="S400" s="47"/>
      <c r="T400" s="33"/>
      <c r="U400" s="60"/>
      <c r="V400" s="27"/>
      <c r="W400" s="33"/>
      <c r="X400" s="47"/>
      <c r="Y400" s="48"/>
    </row>
    <row r="401" spans="2:25" s="38" customFormat="1" x14ac:dyDescent="0.25">
      <c r="B401" s="49"/>
      <c r="C401" s="70"/>
      <c r="D401" s="42"/>
      <c r="F401" s="33"/>
      <c r="G401" s="47"/>
      <c r="H401" s="33"/>
      <c r="I401" s="60"/>
      <c r="J401" s="27"/>
      <c r="K401" s="47"/>
      <c r="L401" s="33"/>
      <c r="M401" s="60"/>
      <c r="N401" s="27"/>
      <c r="O401" s="47"/>
      <c r="P401" s="33"/>
      <c r="Q401" s="60"/>
      <c r="R401" s="27"/>
      <c r="S401" s="47"/>
      <c r="T401" s="33"/>
      <c r="U401" s="60"/>
      <c r="V401" s="27"/>
      <c r="W401" s="33"/>
      <c r="X401" s="47"/>
      <c r="Y401" s="48"/>
    </row>
    <row r="402" spans="2:25" s="38" customFormat="1" x14ac:dyDescent="0.25">
      <c r="B402" s="49"/>
      <c r="C402" s="70"/>
      <c r="D402" s="42"/>
      <c r="F402" s="33"/>
      <c r="G402" s="47"/>
      <c r="H402" s="33"/>
      <c r="I402" s="60"/>
      <c r="J402" s="27"/>
      <c r="K402" s="47"/>
      <c r="L402" s="33"/>
      <c r="M402" s="60"/>
      <c r="N402" s="27"/>
      <c r="O402" s="47"/>
      <c r="P402" s="33"/>
      <c r="Q402" s="60"/>
      <c r="R402" s="27"/>
      <c r="S402" s="47"/>
      <c r="T402" s="33"/>
      <c r="U402" s="60"/>
      <c r="V402" s="27"/>
      <c r="W402" s="33"/>
      <c r="X402" s="47"/>
      <c r="Y402" s="48"/>
    </row>
    <row r="403" spans="2:25" s="38" customFormat="1" x14ac:dyDescent="0.25">
      <c r="B403" s="49"/>
      <c r="C403" s="70"/>
      <c r="D403" s="42"/>
      <c r="F403" s="33"/>
      <c r="G403" s="47"/>
      <c r="H403" s="33"/>
      <c r="I403" s="60"/>
      <c r="J403" s="27"/>
      <c r="K403" s="47"/>
      <c r="L403" s="33"/>
      <c r="M403" s="60"/>
      <c r="N403" s="27"/>
      <c r="O403" s="47"/>
      <c r="P403" s="33"/>
      <c r="Q403" s="60"/>
      <c r="R403" s="27"/>
      <c r="S403" s="47"/>
      <c r="T403" s="33"/>
      <c r="U403" s="60"/>
      <c r="V403" s="27"/>
      <c r="W403" s="33"/>
      <c r="X403" s="47"/>
      <c r="Y403" s="48"/>
    </row>
    <row r="404" spans="2:25" s="38" customFormat="1" x14ac:dyDescent="0.25">
      <c r="B404" s="49"/>
      <c r="C404" s="70"/>
      <c r="D404" s="42"/>
      <c r="F404" s="33"/>
      <c r="G404" s="47"/>
      <c r="H404" s="33"/>
      <c r="I404" s="60"/>
      <c r="J404" s="27"/>
      <c r="K404" s="47"/>
      <c r="L404" s="33"/>
      <c r="M404" s="60"/>
      <c r="N404" s="27"/>
      <c r="O404" s="47"/>
      <c r="P404" s="33"/>
      <c r="Q404" s="60"/>
      <c r="R404" s="27"/>
      <c r="S404" s="47"/>
      <c r="T404" s="33"/>
      <c r="U404" s="60"/>
      <c r="V404" s="27"/>
      <c r="W404" s="33"/>
      <c r="X404" s="47"/>
      <c r="Y404" s="48"/>
    </row>
    <row r="405" spans="2:25" s="38" customFormat="1" x14ac:dyDescent="0.25">
      <c r="B405" s="49"/>
      <c r="C405" s="70"/>
      <c r="D405" s="42"/>
      <c r="F405" s="33"/>
      <c r="G405" s="47"/>
      <c r="H405" s="33"/>
      <c r="I405" s="60"/>
      <c r="J405" s="27"/>
      <c r="K405" s="47"/>
      <c r="L405" s="33"/>
      <c r="M405" s="60"/>
      <c r="N405" s="27"/>
      <c r="O405" s="47"/>
      <c r="P405" s="33"/>
      <c r="Q405" s="60"/>
      <c r="R405" s="27"/>
      <c r="S405" s="47"/>
      <c r="T405" s="33"/>
      <c r="U405" s="60"/>
      <c r="V405" s="27"/>
      <c r="W405" s="33"/>
      <c r="X405" s="47"/>
      <c r="Y405" s="48"/>
    </row>
    <row r="406" spans="2:25" s="38" customFormat="1" x14ac:dyDescent="0.25">
      <c r="B406" s="49"/>
      <c r="C406" s="70"/>
      <c r="D406" s="42"/>
      <c r="F406" s="33"/>
      <c r="G406" s="47"/>
      <c r="H406" s="33"/>
      <c r="I406" s="60"/>
      <c r="J406" s="27"/>
      <c r="K406" s="47"/>
      <c r="L406" s="33"/>
      <c r="M406" s="60"/>
      <c r="N406" s="27"/>
      <c r="O406" s="47"/>
      <c r="P406" s="33"/>
      <c r="Q406" s="60"/>
      <c r="R406" s="27"/>
      <c r="S406" s="47"/>
      <c r="T406" s="33"/>
      <c r="U406" s="60"/>
      <c r="V406" s="27"/>
      <c r="W406" s="33"/>
      <c r="X406" s="47"/>
      <c r="Y406" s="48"/>
    </row>
    <row r="407" spans="2:25" s="38" customFormat="1" x14ac:dyDescent="0.25">
      <c r="B407" s="49"/>
      <c r="C407" s="70"/>
      <c r="D407" s="42"/>
      <c r="F407" s="33"/>
      <c r="G407" s="47"/>
      <c r="H407" s="33"/>
      <c r="I407" s="60"/>
      <c r="J407" s="27"/>
      <c r="K407" s="47"/>
      <c r="L407" s="33"/>
      <c r="M407" s="60"/>
      <c r="N407" s="27"/>
      <c r="O407" s="47"/>
      <c r="P407" s="33"/>
      <c r="Q407" s="60"/>
      <c r="R407" s="27"/>
      <c r="S407" s="47"/>
      <c r="T407" s="33"/>
      <c r="U407" s="60"/>
      <c r="V407" s="27"/>
      <c r="W407" s="33"/>
      <c r="X407" s="47"/>
      <c r="Y407" s="48"/>
    </row>
    <row r="408" spans="2:25" s="38" customFormat="1" x14ac:dyDescent="0.25">
      <c r="B408" s="49"/>
      <c r="C408" s="70"/>
      <c r="D408" s="42"/>
      <c r="F408" s="33"/>
      <c r="G408" s="47"/>
      <c r="H408" s="33"/>
      <c r="I408" s="60"/>
      <c r="J408" s="27"/>
      <c r="K408" s="47"/>
      <c r="L408" s="33"/>
      <c r="M408" s="60"/>
      <c r="N408" s="27"/>
      <c r="O408" s="47"/>
      <c r="P408" s="33"/>
      <c r="Q408" s="60"/>
      <c r="R408" s="27"/>
      <c r="S408" s="47"/>
      <c r="T408" s="33"/>
      <c r="U408" s="60"/>
      <c r="V408" s="27"/>
      <c r="W408" s="33"/>
      <c r="X408" s="47"/>
      <c r="Y408" s="48"/>
    </row>
    <row r="409" spans="2:25" s="38" customFormat="1" x14ac:dyDescent="0.25">
      <c r="B409" s="49"/>
      <c r="C409" s="70"/>
      <c r="D409" s="42"/>
      <c r="F409" s="33"/>
      <c r="G409" s="47"/>
      <c r="H409" s="33"/>
      <c r="I409" s="60"/>
      <c r="J409" s="27"/>
      <c r="K409" s="47"/>
      <c r="L409" s="33"/>
      <c r="M409" s="60"/>
      <c r="N409" s="27"/>
      <c r="O409" s="47"/>
      <c r="P409" s="33"/>
      <c r="Q409" s="60"/>
      <c r="R409" s="27"/>
      <c r="S409" s="47"/>
      <c r="T409" s="33"/>
      <c r="U409" s="60"/>
      <c r="V409" s="27"/>
      <c r="W409" s="33"/>
      <c r="X409" s="47"/>
      <c r="Y409" s="48"/>
    </row>
    <row r="410" spans="2:25" s="38" customFormat="1" x14ac:dyDescent="0.25">
      <c r="B410" s="49"/>
      <c r="C410" s="70"/>
      <c r="D410" s="42"/>
      <c r="F410" s="33"/>
      <c r="G410" s="47"/>
      <c r="H410" s="33"/>
      <c r="I410" s="60"/>
      <c r="J410" s="27"/>
      <c r="K410" s="47"/>
      <c r="L410" s="33"/>
      <c r="M410" s="60"/>
      <c r="N410" s="27"/>
      <c r="O410" s="47"/>
      <c r="P410" s="33"/>
      <c r="Q410" s="60"/>
      <c r="R410" s="27"/>
      <c r="S410" s="47"/>
      <c r="T410" s="33"/>
      <c r="U410" s="60"/>
      <c r="V410" s="27"/>
      <c r="W410" s="33"/>
      <c r="X410" s="47"/>
      <c r="Y410" s="48"/>
    </row>
    <row r="411" spans="2:25" s="38" customFormat="1" x14ac:dyDescent="0.25">
      <c r="B411" s="49"/>
      <c r="C411" s="70"/>
      <c r="D411" s="42"/>
      <c r="F411" s="33"/>
      <c r="G411" s="47"/>
      <c r="H411" s="33"/>
      <c r="I411" s="60"/>
      <c r="J411" s="27"/>
      <c r="K411" s="47"/>
      <c r="L411" s="33"/>
      <c r="M411" s="60"/>
      <c r="N411" s="27"/>
      <c r="O411" s="47"/>
      <c r="P411" s="33"/>
      <c r="Q411" s="60"/>
      <c r="R411" s="27"/>
      <c r="S411" s="47"/>
      <c r="T411" s="33"/>
      <c r="U411" s="60"/>
      <c r="V411" s="27"/>
      <c r="W411" s="33"/>
      <c r="X411" s="47"/>
      <c r="Y411" s="48"/>
    </row>
    <row r="412" spans="2:25" s="38" customFormat="1" x14ac:dyDescent="0.25">
      <c r="B412" s="49"/>
      <c r="C412" s="70"/>
      <c r="D412" s="42"/>
      <c r="F412" s="33"/>
      <c r="G412" s="47"/>
      <c r="H412" s="33"/>
      <c r="I412" s="60"/>
      <c r="J412" s="27"/>
      <c r="K412" s="47"/>
      <c r="L412" s="33"/>
      <c r="M412" s="60"/>
      <c r="N412" s="27"/>
      <c r="O412" s="47"/>
      <c r="P412" s="33"/>
      <c r="Q412" s="60"/>
      <c r="R412" s="27"/>
      <c r="S412" s="47"/>
      <c r="T412" s="33"/>
      <c r="U412" s="60"/>
      <c r="V412" s="27"/>
      <c r="W412" s="33"/>
      <c r="X412" s="47"/>
      <c r="Y412" s="48"/>
    </row>
    <row r="413" spans="2:25" s="38" customFormat="1" x14ac:dyDescent="0.25">
      <c r="B413" s="49"/>
      <c r="C413" s="70"/>
      <c r="D413" s="42"/>
      <c r="F413" s="33"/>
      <c r="G413" s="47"/>
      <c r="H413" s="33"/>
      <c r="I413" s="60"/>
      <c r="J413" s="27"/>
      <c r="K413" s="47"/>
      <c r="L413" s="33"/>
      <c r="M413" s="60"/>
      <c r="N413" s="27"/>
      <c r="O413" s="47"/>
      <c r="P413" s="33"/>
      <c r="Q413" s="60"/>
      <c r="R413" s="27"/>
      <c r="S413" s="47"/>
      <c r="T413" s="33"/>
      <c r="U413" s="60"/>
      <c r="V413" s="27"/>
      <c r="W413" s="33"/>
      <c r="X413" s="47"/>
      <c r="Y413" s="48"/>
    </row>
    <row r="414" spans="2:25" s="38" customFormat="1" x14ac:dyDescent="0.25">
      <c r="B414" s="49"/>
      <c r="C414" s="70"/>
      <c r="D414" s="42"/>
      <c r="F414" s="33"/>
      <c r="G414" s="47"/>
      <c r="H414" s="33"/>
      <c r="I414" s="60"/>
      <c r="J414" s="27"/>
      <c r="K414" s="47"/>
      <c r="L414" s="33"/>
      <c r="M414" s="60"/>
      <c r="N414" s="27"/>
      <c r="O414" s="47"/>
      <c r="P414" s="33"/>
      <c r="Q414" s="60"/>
      <c r="R414" s="27"/>
      <c r="S414" s="47"/>
      <c r="T414" s="33"/>
      <c r="U414" s="60"/>
      <c r="V414" s="27"/>
      <c r="W414" s="33"/>
      <c r="X414" s="47"/>
      <c r="Y414" s="48"/>
    </row>
    <row r="415" spans="2:25" s="38" customFormat="1" x14ac:dyDescent="0.25">
      <c r="B415" s="49"/>
      <c r="C415" s="70"/>
      <c r="D415" s="42"/>
      <c r="F415" s="33"/>
      <c r="G415" s="47"/>
      <c r="H415" s="33"/>
      <c r="I415" s="60"/>
      <c r="J415" s="27"/>
      <c r="K415" s="47"/>
      <c r="L415" s="33"/>
      <c r="M415" s="60"/>
      <c r="N415" s="27"/>
      <c r="O415" s="47"/>
      <c r="P415" s="33"/>
      <c r="Q415" s="60"/>
      <c r="R415" s="27"/>
      <c r="S415" s="47"/>
      <c r="T415" s="33"/>
      <c r="U415" s="60"/>
      <c r="V415" s="27"/>
      <c r="W415" s="33"/>
      <c r="X415" s="47"/>
      <c r="Y415" s="48"/>
    </row>
    <row r="416" spans="2:25" s="38" customFormat="1" x14ac:dyDescent="0.25">
      <c r="B416" s="49"/>
      <c r="C416" s="70"/>
      <c r="D416" s="42"/>
      <c r="F416" s="33"/>
      <c r="G416" s="47"/>
      <c r="H416" s="33"/>
      <c r="I416" s="60"/>
      <c r="J416" s="27"/>
      <c r="K416" s="47"/>
      <c r="L416" s="33"/>
      <c r="M416" s="60"/>
      <c r="N416" s="27"/>
      <c r="O416" s="47"/>
      <c r="P416" s="33"/>
      <c r="Q416" s="60"/>
      <c r="R416" s="27"/>
      <c r="S416" s="47"/>
      <c r="T416" s="33"/>
      <c r="U416" s="60"/>
      <c r="V416" s="27"/>
      <c r="W416" s="33"/>
      <c r="X416" s="47"/>
      <c r="Y416" s="48"/>
    </row>
    <row r="417" spans="2:25" s="38" customFormat="1" x14ac:dyDescent="0.25">
      <c r="B417" s="49"/>
      <c r="C417" s="70"/>
      <c r="D417" s="42"/>
      <c r="F417" s="33"/>
      <c r="G417" s="47"/>
      <c r="H417" s="33"/>
      <c r="I417" s="60"/>
      <c r="J417" s="27"/>
      <c r="K417" s="47"/>
      <c r="L417" s="33"/>
      <c r="M417" s="60"/>
      <c r="N417" s="27"/>
      <c r="O417" s="47"/>
      <c r="P417" s="33"/>
      <c r="Q417" s="60"/>
      <c r="R417" s="27"/>
      <c r="S417" s="47"/>
      <c r="T417" s="33"/>
      <c r="U417" s="60"/>
      <c r="V417" s="27"/>
      <c r="W417" s="33"/>
      <c r="X417" s="47"/>
      <c r="Y417" s="48"/>
    </row>
    <row r="418" spans="2:25" s="38" customFormat="1" x14ac:dyDescent="0.25">
      <c r="B418" s="49"/>
      <c r="C418" s="70"/>
      <c r="D418" s="42"/>
      <c r="F418" s="33"/>
      <c r="G418" s="47"/>
      <c r="H418" s="33"/>
      <c r="I418" s="60"/>
      <c r="J418" s="27"/>
      <c r="K418" s="47"/>
      <c r="L418" s="33"/>
      <c r="M418" s="60"/>
      <c r="N418" s="27"/>
      <c r="O418" s="47"/>
      <c r="P418" s="33"/>
      <c r="Q418" s="60"/>
      <c r="R418" s="27"/>
      <c r="S418" s="47"/>
      <c r="T418" s="33"/>
      <c r="U418" s="60"/>
      <c r="V418" s="27"/>
      <c r="W418" s="33"/>
      <c r="X418" s="47"/>
      <c r="Y418" s="48"/>
    </row>
    <row r="419" spans="2:25" s="38" customFormat="1" x14ac:dyDescent="0.25">
      <c r="B419" s="49"/>
      <c r="C419" s="70"/>
      <c r="D419" s="42"/>
      <c r="F419" s="33"/>
      <c r="G419" s="47"/>
      <c r="H419" s="33"/>
      <c r="I419" s="60"/>
      <c r="J419" s="27"/>
      <c r="K419" s="47"/>
      <c r="L419" s="33"/>
      <c r="M419" s="60"/>
      <c r="N419" s="27"/>
      <c r="O419" s="47"/>
      <c r="P419" s="33"/>
      <c r="Q419" s="60"/>
      <c r="R419" s="27"/>
      <c r="S419" s="47"/>
      <c r="T419" s="33"/>
      <c r="U419" s="60"/>
      <c r="V419" s="27"/>
      <c r="W419" s="33"/>
      <c r="X419" s="47"/>
      <c r="Y419" s="48"/>
    </row>
    <row r="420" spans="2:25" s="38" customFormat="1" x14ac:dyDescent="0.25">
      <c r="B420" s="49"/>
      <c r="C420" s="70"/>
      <c r="D420" s="42"/>
      <c r="F420" s="33"/>
      <c r="G420" s="47"/>
      <c r="H420" s="33"/>
      <c r="I420" s="60"/>
      <c r="J420" s="27"/>
      <c r="K420" s="47"/>
      <c r="L420" s="33"/>
      <c r="M420" s="60"/>
      <c r="N420" s="27"/>
      <c r="O420" s="47"/>
      <c r="P420" s="33"/>
      <c r="Q420" s="60"/>
      <c r="R420" s="27"/>
      <c r="S420" s="47"/>
      <c r="T420" s="33"/>
      <c r="U420" s="60"/>
      <c r="V420" s="27"/>
      <c r="W420" s="33"/>
      <c r="X420" s="47"/>
      <c r="Y420" s="48"/>
    </row>
    <row r="421" spans="2:25" s="38" customFormat="1" x14ac:dyDescent="0.25">
      <c r="B421" s="49"/>
      <c r="C421" s="70"/>
      <c r="D421" s="42"/>
      <c r="F421" s="33"/>
      <c r="G421" s="47"/>
      <c r="H421" s="33"/>
      <c r="I421" s="60"/>
      <c r="J421" s="27"/>
      <c r="K421" s="47"/>
      <c r="L421" s="33"/>
      <c r="M421" s="60"/>
      <c r="N421" s="27"/>
      <c r="O421" s="47"/>
      <c r="P421" s="33"/>
      <c r="Q421" s="60"/>
      <c r="R421" s="27"/>
      <c r="S421" s="47"/>
      <c r="T421" s="33"/>
      <c r="U421" s="60"/>
      <c r="V421" s="27"/>
      <c r="W421" s="33"/>
      <c r="X421" s="47"/>
      <c r="Y421" s="48"/>
    </row>
    <row r="422" spans="2:25" s="38" customFormat="1" x14ac:dyDescent="0.25">
      <c r="B422" s="49"/>
      <c r="C422" s="70"/>
      <c r="D422" s="42"/>
      <c r="F422" s="33"/>
      <c r="G422" s="47"/>
      <c r="H422" s="33"/>
      <c r="I422" s="60"/>
      <c r="J422" s="27"/>
      <c r="K422" s="47"/>
      <c r="L422" s="33"/>
      <c r="M422" s="60"/>
      <c r="N422" s="27"/>
      <c r="O422" s="47"/>
      <c r="P422" s="33"/>
      <c r="Q422" s="60"/>
      <c r="R422" s="27"/>
      <c r="S422" s="47"/>
      <c r="T422" s="33"/>
      <c r="U422" s="60"/>
      <c r="V422" s="27"/>
      <c r="W422" s="33"/>
      <c r="X422" s="47"/>
      <c r="Y422" s="48"/>
    </row>
    <row r="423" spans="2:25" s="38" customFormat="1" x14ac:dyDescent="0.25">
      <c r="B423" s="49"/>
      <c r="C423" s="70"/>
      <c r="D423" s="42"/>
      <c r="F423" s="33"/>
      <c r="G423" s="47"/>
      <c r="H423" s="33"/>
      <c r="I423" s="60"/>
      <c r="J423" s="27"/>
      <c r="K423" s="47"/>
      <c r="L423" s="33"/>
      <c r="M423" s="60"/>
      <c r="N423" s="27"/>
      <c r="O423" s="47"/>
      <c r="P423" s="33"/>
      <c r="Q423" s="60"/>
      <c r="R423" s="27"/>
      <c r="S423" s="47"/>
      <c r="T423" s="33"/>
      <c r="U423" s="60"/>
      <c r="V423" s="27"/>
      <c r="W423" s="33"/>
      <c r="X423" s="47"/>
      <c r="Y423" s="48"/>
    </row>
    <row r="424" spans="2:25" s="38" customFormat="1" x14ac:dyDescent="0.25">
      <c r="B424" s="49"/>
      <c r="C424" s="70"/>
      <c r="D424" s="42"/>
      <c r="F424" s="33"/>
      <c r="G424" s="47"/>
      <c r="H424" s="33"/>
      <c r="I424" s="60"/>
      <c r="J424" s="27"/>
      <c r="K424" s="47"/>
      <c r="L424" s="33"/>
      <c r="M424" s="60"/>
      <c r="N424" s="27"/>
      <c r="O424" s="47"/>
      <c r="P424" s="33"/>
      <c r="Q424" s="60"/>
      <c r="R424" s="27"/>
      <c r="S424" s="47"/>
      <c r="T424" s="33"/>
      <c r="U424" s="60"/>
      <c r="V424" s="27"/>
      <c r="W424" s="33"/>
      <c r="X424" s="47"/>
      <c r="Y424" s="48"/>
    </row>
    <row r="425" spans="2:25" s="38" customFormat="1" x14ac:dyDescent="0.25">
      <c r="B425" s="49"/>
      <c r="C425" s="70"/>
      <c r="D425" s="42"/>
      <c r="F425" s="33"/>
      <c r="G425" s="47"/>
      <c r="H425" s="33"/>
      <c r="I425" s="60"/>
      <c r="J425" s="27"/>
      <c r="K425" s="47"/>
      <c r="L425" s="33"/>
      <c r="M425" s="60"/>
      <c r="N425" s="27"/>
      <c r="O425" s="47"/>
      <c r="P425" s="33"/>
      <c r="Q425" s="60"/>
      <c r="R425" s="27"/>
      <c r="S425" s="47"/>
      <c r="T425" s="33"/>
      <c r="U425" s="60"/>
      <c r="V425" s="27"/>
      <c r="W425" s="33"/>
      <c r="X425" s="47"/>
      <c r="Y425" s="48"/>
    </row>
    <row r="426" spans="2:25" s="38" customFormat="1" x14ac:dyDescent="0.25">
      <c r="B426" s="49"/>
      <c r="C426" s="70"/>
      <c r="D426" s="42"/>
      <c r="F426" s="33"/>
      <c r="G426" s="47"/>
      <c r="H426" s="33"/>
      <c r="I426" s="60"/>
      <c r="J426" s="27"/>
      <c r="K426" s="47"/>
      <c r="L426" s="33"/>
      <c r="M426" s="60"/>
      <c r="N426" s="27"/>
      <c r="O426" s="47"/>
      <c r="P426" s="33"/>
      <c r="Q426" s="60"/>
      <c r="R426" s="27"/>
      <c r="S426" s="47"/>
      <c r="T426" s="33"/>
      <c r="U426" s="60"/>
      <c r="V426" s="27"/>
      <c r="W426" s="33"/>
      <c r="X426" s="47"/>
      <c r="Y426" s="48"/>
    </row>
    <row r="427" spans="2:25" s="38" customFormat="1" x14ac:dyDescent="0.25">
      <c r="B427" s="49"/>
      <c r="C427" s="70"/>
      <c r="D427" s="42"/>
      <c r="F427" s="33"/>
      <c r="G427" s="47"/>
      <c r="H427" s="33"/>
      <c r="I427" s="60"/>
      <c r="J427" s="27"/>
      <c r="K427" s="47"/>
      <c r="L427" s="33"/>
      <c r="M427" s="60"/>
      <c r="N427" s="27"/>
      <c r="O427" s="47"/>
      <c r="P427" s="33"/>
      <c r="Q427" s="60"/>
      <c r="R427" s="27"/>
      <c r="S427" s="47"/>
      <c r="T427" s="33"/>
      <c r="U427" s="60"/>
      <c r="V427" s="27"/>
      <c r="W427" s="33"/>
      <c r="X427" s="47"/>
      <c r="Y427" s="48"/>
    </row>
    <row r="428" spans="2:25" s="38" customFormat="1" x14ac:dyDescent="0.25">
      <c r="B428" s="49"/>
      <c r="C428" s="70"/>
      <c r="D428" s="42"/>
      <c r="F428" s="33"/>
      <c r="G428" s="47"/>
      <c r="H428" s="33"/>
      <c r="I428" s="60"/>
      <c r="J428" s="27"/>
      <c r="K428" s="47"/>
      <c r="L428" s="33"/>
      <c r="M428" s="60"/>
      <c r="N428" s="27"/>
      <c r="O428" s="47"/>
      <c r="P428" s="33"/>
      <c r="Q428" s="60"/>
      <c r="R428" s="27"/>
      <c r="S428" s="47"/>
      <c r="T428" s="33"/>
      <c r="U428" s="60"/>
      <c r="V428" s="27"/>
      <c r="W428" s="33"/>
      <c r="X428" s="47"/>
      <c r="Y428" s="48"/>
    </row>
    <row r="429" spans="2:25" s="38" customFormat="1" x14ac:dyDescent="0.25">
      <c r="B429" s="49"/>
      <c r="C429" s="70"/>
      <c r="D429" s="42"/>
      <c r="F429" s="33"/>
      <c r="G429" s="47"/>
      <c r="H429" s="33"/>
      <c r="I429" s="60"/>
      <c r="J429" s="27"/>
      <c r="K429" s="47"/>
      <c r="L429" s="33"/>
      <c r="M429" s="60"/>
      <c r="N429" s="27"/>
      <c r="O429" s="47"/>
      <c r="P429" s="33"/>
      <c r="Q429" s="60"/>
      <c r="R429" s="27"/>
      <c r="S429" s="47"/>
      <c r="T429" s="33"/>
      <c r="U429" s="60"/>
      <c r="V429" s="27"/>
      <c r="W429" s="33"/>
      <c r="X429" s="47"/>
      <c r="Y429" s="48"/>
    </row>
    <row r="430" spans="2:25" s="38" customFormat="1" x14ac:dyDescent="0.25">
      <c r="B430" s="49"/>
      <c r="C430" s="70"/>
      <c r="D430" s="42"/>
      <c r="F430" s="33"/>
      <c r="G430" s="47"/>
      <c r="H430" s="33"/>
      <c r="I430" s="60"/>
      <c r="J430" s="27"/>
      <c r="K430" s="47"/>
      <c r="L430" s="33"/>
      <c r="M430" s="60"/>
      <c r="N430" s="27"/>
      <c r="O430" s="47"/>
      <c r="P430" s="33"/>
      <c r="Q430" s="60"/>
      <c r="R430" s="27"/>
      <c r="S430" s="47"/>
      <c r="T430" s="33"/>
      <c r="U430" s="60"/>
      <c r="V430" s="27"/>
      <c r="W430" s="33"/>
      <c r="X430" s="47"/>
      <c r="Y430" s="48"/>
    </row>
    <row r="431" spans="2:25" s="38" customFormat="1" x14ac:dyDescent="0.25">
      <c r="B431" s="49"/>
      <c r="C431" s="70"/>
      <c r="D431" s="42"/>
      <c r="F431" s="33"/>
      <c r="G431" s="47"/>
      <c r="H431" s="33"/>
      <c r="I431" s="60"/>
      <c r="J431" s="27"/>
      <c r="K431" s="47"/>
      <c r="L431" s="33"/>
      <c r="M431" s="60"/>
      <c r="N431" s="27"/>
      <c r="O431" s="47"/>
      <c r="P431" s="33"/>
      <c r="Q431" s="60"/>
      <c r="R431" s="27"/>
      <c r="S431" s="47"/>
      <c r="T431" s="33"/>
      <c r="U431" s="60"/>
      <c r="V431" s="27"/>
      <c r="W431" s="33"/>
      <c r="X431" s="47"/>
      <c r="Y431" s="48"/>
    </row>
    <row r="432" spans="2:25" s="38" customFormat="1" x14ac:dyDescent="0.25">
      <c r="B432" s="49"/>
      <c r="C432" s="70"/>
      <c r="D432" s="42"/>
      <c r="F432" s="33"/>
      <c r="G432" s="47"/>
      <c r="H432" s="33"/>
      <c r="I432" s="60"/>
      <c r="J432" s="27"/>
      <c r="K432" s="47"/>
      <c r="L432" s="33"/>
      <c r="M432" s="60"/>
      <c r="N432" s="27"/>
      <c r="O432" s="47"/>
      <c r="P432" s="33"/>
      <c r="Q432" s="60"/>
      <c r="R432" s="27"/>
      <c r="S432" s="47"/>
      <c r="T432" s="33"/>
      <c r="U432" s="60"/>
      <c r="V432" s="27"/>
      <c r="W432" s="33"/>
      <c r="X432" s="47"/>
      <c r="Y432" s="48"/>
    </row>
    <row r="433" spans="2:25" s="38" customFormat="1" x14ac:dyDescent="0.25">
      <c r="B433" s="49"/>
      <c r="C433" s="70"/>
      <c r="D433" s="42"/>
      <c r="F433" s="33"/>
      <c r="G433" s="47"/>
      <c r="H433" s="33"/>
      <c r="I433" s="60"/>
      <c r="J433" s="27"/>
      <c r="K433" s="47"/>
      <c r="L433" s="33"/>
      <c r="M433" s="60"/>
      <c r="N433" s="27"/>
      <c r="O433" s="47"/>
      <c r="P433" s="33"/>
      <c r="Q433" s="60"/>
      <c r="R433" s="27"/>
      <c r="S433" s="47"/>
      <c r="T433" s="33"/>
      <c r="U433" s="60"/>
      <c r="V433" s="27"/>
      <c r="W433" s="33"/>
      <c r="X433" s="47"/>
      <c r="Y433" s="48"/>
    </row>
    <row r="434" spans="2:25" s="38" customFormat="1" x14ac:dyDescent="0.25">
      <c r="B434" s="49"/>
      <c r="C434" s="70"/>
      <c r="D434" s="42"/>
      <c r="F434" s="33"/>
      <c r="G434" s="47"/>
      <c r="H434" s="33"/>
      <c r="I434" s="60"/>
      <c r="J434" s="27"/>
      <c r="K434" s="47"/>
      <c r="L434" s="33"/>
      <c r="M434" s="60"/>
      <c r="N434" s="27"/>
      <c r="O434" s="47"/>
      <c r="P434" s="33"/>
      <c r="Q434" s="60"/>
      <c r="R434" s="27"/>
      <c r="S434" s="47"/>
      <c r="T434" s="33"/>
      <c r="U434" s="60"/>
      <c r="V434" s="27"/>
      <c r="W434" s="33"/>
      <c r="X434" s="47"/>
      <c r="Y434" s="48"/>
    </row>
    <row r="435" spans="2:25" s="38" customFormat="1" x14ac:dyDescent="0.25">
      <c r="B435" s="49"/>
      <c r="C435" s="70"/>
      <c r="D435" s="42"/>
      <c r="F435" s="33"/>
      <c r="G435" s="47"/>
      <c r="H435" s="33"/>
      <c r="I435" s="60"/>
      <c r="J435" s="27"/>
      <c r="K435" s="47"/>
      <c r="L435" s="33"/>
      <c r="M435" s="60"/>
      <c r="N435" s="27"/>
      <c r="O435" s="47"/>
      <c r="P435" s="33"/>
      <c r="Q435" s="60"/>
      <c r="R435" s="27"/>
      <c r="S435" s="47"/>
      <c r="T435" s="33"/>
      <c r="U435" s="60"/>
      <c r="V435" s="27"/>
      <c r="W435" s="33"/>
      <c r="X435" s="47"/>
      <c r="Y435" s="48"/>
    </row>
    <row r="436" spans="2:25" s="38" customFormat="1" x14ac:dyDescent="0.25">
      <c r="B436" s="49"/>
      <c r="C436" s="70"/>
      <c r="D436" s="42"/>
      <c r="F436" s="33"/>
      <c r="G436" s="47"/>
      <c r="H436" s="33"/>
      <c r="I436" s="60"/>
      <c r="J436" s="27"/>
      <c r="K436" s="47"/>
      <c r="L436" s="33"/>
      <c r="M436" s="60"/>
      <c r="N436" s="27"/>
      <c r="O436" s="47"/>
      <c r="P436" s="33"/>
      <c r="Q436" s="60"/>
      <c r="R436" s="27"/>
      <c r="S436" s="47"/>
      <c r="T436" s="33"/>
      <c r="U436" s="60"/>
      <c r="V436" s="27"/>
      <c r="W436" s="33"/>
      <c r="X436" s="47"/>
      <c r="Y436" s="48"/>
    </row>
    <row r="437" spans="2:25" s="38" customFormat="1" x14ac:dyDescent="0.25">
      <c r="B437" s="49"/>
      <c r="C437" s="70"/>
      <c r="D437" s="42"/>
      <c r="F437" s="33"/>
      <c r="G437" s="47"/>
      <c r="H437" s="33"/>
      <c r="I437" s="60"/>
      <c r="J437" s="27"/>
      <c r="K437" s="47"/>
      <c r="L437" s="33"/>
      <c r="M437" s="60"/>
      <c r="N437" s="27"/>
      <c r="O437" s="47"/>
      <c r="P437" s="33"/>
      <c r="Q437" s="60"/>
      <c r="R437" s="27"/>
      <c r="S437" s="47"/>
      <c r="T437" s="33"/>
      <c r="U437" s="60"/>
      <c r="V437" s="27"/>
      <c r="W437" s="33"/>
      <c r="X437" s="47"/>
      <c r="Y437" s="48"/>
    </row>
    <row r="438" spans="2:25" s="38" customFormat="1" x14ac:dyDescent="0.25">
      <c r="B438" s="49"/>
      <c r="C438" s="70"/>
      <c r="D438" s="42"/>
      <c r="F438" s="33"/>
      <c r="G438" s="47"/>
      <c r="H438" s="33"/>
      <c r="I438" s="60"/>
      <c r="J438" s="27"/>
      <c r="K438" s="47"/>
      <c r="L438" s="33"/>
      <c r="M438" s="60"/>
      <c r="N438" s="27"/>
      <c r="O438" s="47"/>
      <c r="P438" s="33"/>
      <c r="Q438" s="60"/>
      <c r="R438" s="27"/>
      <c r="S438" s="47"/>
      <c r="T438" s="33"/>
      <c r="U438" s="60"/>
      <c r="V438" s="27"/>
      <c r="W438" s="33"/>
      <c r="X438" s="47"/>
      <c r="Y438" s="48"/>
    </row>
    <row r="439" spans="2:25" s="38" customFormat="1" x14ac:dyDescent="0.25">
      <c r="B439" s="49"/>
      <c r="C439" s="70"/>
      <c r="D439" s="42"/>
      <c r="F439" s="33"/>
      <c r="G439" s="47"/>
      <c r="H439" s="33"/>
      <c r="I439" s="60"/>
      <c r="J439" s="27"/>
      <c r="K439" s="47"/>
      <c r="L439" s="33"/>
      <c r="M439" s="60"/>
      <c r="N439" s="27"/>
      <c r="O439" s="47"/>
      <c r="P439" s="33"/>
      <c r="Q439" s="60"/>
      <c r="R439" s="27"/>
      <c r="S439" s="47"/>
      <c r="T439" s="33"/>
      <c r="U439" s="60"/>
      <c r="V439" s="27"/>
      <c r="W439" s="33"/>
      <c r="X439" s="47"/>
      <c r="Y439" s="48"/>
    </row>
    <row r="440" spans="2:25" s="38" customFormat="1" x14ac:dyDescent="0.25">
      <c r="B440" s="49"/>
      <c r="C440" s="70"/>
      <c r="D440" s="42"/>
      <c r="F440" s="33"/>
      <c r="G440" s="47"/>
      <c r="H440" s="33"/>
      <c r="I440" s="60"/>
      <c r="J440" s="27"/>
      <c r="K440" s="47"/>
      <c r="L440" s="33"/>
      <c r="M440" s="60"/>
      <c r="N440" s="27"/>
      <c r="O440" s="47"/>
      <c r="P440" s="33"/>
      <c r="Q440" s="60"/>
      <c r="R440" s="27"/>
      <c r="S440" s="47"/>
      <c r="T440" s="33"/>
      <c r="U440" s="60"/>
      <c r="V440" s="27"/>
      <c r="W440" s="33"/>
      <c r="X440" s="47"/>
      <c r="Y440" s="48"/>
    </row>
    <row r="441" spans="2:25" s="38" customFormat="1" x14ac:dyDescent="0.25">
      <c r="B441" s="49"/>
      <c r="C441" s="70"/>
      <c r="D441" s="42"/>
      <c r="F441" s="33"/>
      <c r="G441" s="47"/>
      <c r="H441" s="33"/>
      <c r="I441" s="60"/>
      <c r="J441" s="27"/>
      <c r="K441" s="47"/>
      <c r="L441" s="33"/>
      <c r="M441" s="60"/>
      <c r="N441" s="27"/>
      <c r="O441" s="47"/>
      <c r="P441" s="33"/>
      <c r="Q441" s="60"/>
      <c r="R441" s="27"/>
      <c r="S441" s="47"/>
      <c r="T441" s="33"/>
      <c r="U441" s="60"/>
      <c r="V441" s="27"/>
      <c r="W441" s="33"/>
      <c r="X441" s="47"/>
      <c r="Y441" s="48"/>
    </row>
    <row r="442" spans="2:25" s="38" customFormat="1" x14ac:dyDescent="0.25">
      <c r="B442" s="49"/>
      <c r="C442" s="70"/>
      <c r="D442" s="42"/>
      <c r="F442" s="33"/>
      <c r="G442" s="47"/>
      <c r="H442" s="33"/>
      <c r="I442" s="60"/>
      <c r="J442" s="27"/>
      <c r="K442" s="47"/>
      <c r="L442" s="33"/>
      <c r="M442" s="60"/>
      <c r="N442" s="27"/>
      <c r="O442" s="47"/>
      <c r="P442" s="33"/>
      <c r="Q442" s="60"/>
      <c r="R442" s="27"/>
      <c r="S442" s="47"/>
      <c r="T442" s="33"/>
      <c r="U442" s="60"/>
      <c r="V442" s="27"/>
      <c r="W442" s="33"/>
      <c r="X442" s="47"/>
      <c r="Y442" s="48"/>
    </row>
    <row r="443" spans="2:25" s="38" customFormat="1" x14ac:dyDescent="0.25">
      <c r="B443" s="49"/>
      <c r="C443" s="70"/>
      <c r="D443" s="42"/>
      <c r="F443" s="33"/>
      <c r="G443" s="47"/>
      <c r="H443" s="33"/>
      <c r="I443" s="60"/>
      <c r="J443" s="27"/>
      <c r="K443" s="47"/>
      <c r="L443" s="33"/>
      <c r="M443" s="60"/>
      <c r="N443" s="27"/>
      <c r="O443" s="47"/>
      <c r="P443" s="33"/>
      <c r="Q443" s="60"/>
      <c r="R443" s="27"/>
      <c r="S443" s="47"/>
      <c r="T443" s="33"/>
      <c r="U443" s="60"/>
      <c r="V443" s="27"/>
      <c r="W443" s="33"/>
      <c r="X443" s="47"/>
      <c r="Y443" s="48"/>
    </row>
    <row r="444" spans="2:25" s="38" customFormat="1" x14ac:dyDescent="0.25">
      <c r="B444" s="49"/>
      <c r="C444" s="70"/>
      <c r="D444" s="42"/>
      <c r="F444" s="33"/>
      <c r="G444" s="47"/>
      <c r="H444" s="33"/>
      <c r="I444" s="60"/>
      <c r="J444" s="27"/>
      <c r="K444" s="47"/>
      <c r="L444" s="33"/>
      <c r="M444" s="60"/>
      <c r="N444" s="27"/>
      <c r="O444" s="47"/>
      <c r="P444" s="33"/>
      <c r="Q444" s="60"/>
      <c r="R444" s="27"/>
      <c r="S444" s="47"/>
      <c r="T444" s="33"/>
      <c r="U444" s="60"/>
      <c r="V444" s="27"/>
      <c r="W444" s="33"/>
      <c r="X444" s="47"/>
      <c r="Y444" s="48"/>
    </row>
    <row r="445" spans="2:25" s="38" customFormat="1" x14ac:dyDescent="0.25">
      <c r="B445" s="49"/>
      <c r="C445" s="70"/>
      <c r="D445" s="42"/>
      <c r="F445" s="33"/>
      <c r="G445" s="47"/>
      <c r="H445" s="33"/>
      <c r="I445" s="60"/>
      <c r="J445" s="27"/>
      <c r="K445" s="47"/>
      <c r="L445" s="33"/>
      <c r="M445" s="60"/>
      <c r="N445" s="27"/>
      <c r="O445" s="47"/>
      <c r="P445" s="33"/>
      <c r="Q445" s="60"/>
      <c r="R445" s="27"/>
      <c r="S445" s="47"/>
      <c r="T445" s="33"/>
      <c r="U445" s="60"/>
      <c r="V445" s="27"/>
      <c r="W445" s="33"/>
      <c r="X445" s="47"/>
      <c r="Y445" s="48"/>
    </row>
    <row r="446" spans="2:25" s="38" customFormat="1" x14ac:dyDescent="0.25">
      <c r="B446" s="49"/>
      <c r="C446" s="70"/>
      <c r="D446" s="42"/>
      <c r="F446" s="33"/>
      <c r="G446" s="47"/>
      <c r="H446" s="33"/>
      <c r="I446" s="60"/>
      <c r="J446" s="27"/>
      <c r="K446" s="47"/>
      <c r="L446" s="33"/>
      <c r="M446" s="60"/>
      <c r="N446" s="27"/>
      <c r="O446" s="47"/>
      <c r="P446" s="33"/>
      <c r="Q446" s="60"/>
      <c r="R446" s="27"/>
      <c r="S446" s="47"/>
      <c r="T446" s="33"/>
      <c r="U446" s="60"/>
      <c r="V446" s="27"/>
      <c r="W446" s="33"/>
      <c r="X446" s="47"/>
      <c r="Y446" s="48"/>
    </row>
    <row r="447" spans="2:25" s="38" customFormat="1" x14ac:dyDescent="0.25">
      <c r="B447" s="49"/>
      <c r="C447" s="70"/>
      <c r="D447" s="42"/>
      <c r="F447" s="33"/>
      <c r="G447" s="47"/>
      <c r="H447" s="33"/>
      <c r="I447" s="60"/>
      <c r="J447" s="27"/>
      <c r="K447" s="47"/>
      <c r="L447" s="33"/>
      <c r="M447" s="60"/>
      <c r="N447" s="27"/>
      <c r="O447" s="47"/>
      <c r="P447" s="33"/>
      <c r="Q447" s="60"/>
      <c r="R447" s="27"/>
      <c r="S447" s="47"/>
      <c r="T447" s="33"/>
      <c r="U447" s="60"/>
      <c r="V447" s="27"/>
      <c r="W447" s="33"/>
      <c r="X447" s="47"/>
      <c r="Y447" s="48"/>
    </row>
    <row r="448" spans="2:25" s="38" customFormat="1" x14ac:dyDescent="0.25">
      <c r="B448" s="49"/>
      <c r="C448" s="70"/>
      <c r="D448" s="42"/>
      <c r="F448" s="33"/>
      <c r="G448" s="47"/>
      <c r="H448" s="33"/>
      <c r="I448" s="60"/>
      <c r="J448" s="27"/>
      <c r="K448" s="47"/>
      <c r="L448" s="33"/>
      <c r="M448" s="60"/>
      <c r="N448" s="27"/>
      <c r="O448" s="47"/>
      <c r="P448" s="33"/>
      <c r="Q448" s="60"/>
      <c r="R448" s="27"/>
      <c r="S448" s="47"/>
      <c r="T448" s="33"/>
      <c r="U448" s="60"/>
      <c r="V448" s="27"/>
      <c r="W448" s="33"/>
      <c r="X448" s="47"/>
      <c r="Y448" s="48"/>
    </row>
    <row r="449" spans="2:25" s="38" customFormat="1" x14ac:dyDescent="0.25">
      <c r="B449" s="49"/>
      <c r="C449" s="70"/>
      <c r="D449" s="42"/>
      <c r="F449" s="33"/>
      <c r="G449" s="47"/>
      <c r="H449" s="33"/>
      <c r="I449" s="60"/>
      <c r="J449" s="27"/>
      <c r="K449" s="47"/>
      <c r="L449" s="33"/>
      <c r="M449" s="60"/>
      <c r="N449" s="27"/>
      <c r="O449" s="47"/>
      <c r="P449" s="33"/>
      <c r="Q449" s="60"/>
      <c r="R449" s="27"/>
      <c r="S449" s="47"/>
      <c r="T449" s="33"/>
      <c r="U449" s="60"/>
      <c r="V449" s="27"/>
      <c r="W449" s="33"/>
      <c r="X449" s="47"/>
      <c r="Y449" s="48"/>
    </row>
    <row r="450" spans="2:25" s="38" customFormat="1" x14ac:dyDescent="0.25">
      <c r="B450" s="49"/>
      <c r="C450" s="70"/>
      <c r="D450" s="42"/>
      <c r="F450" s="33"/>
      <c r="G450" s="47"/>
      <c r="H450" s="33"/>
      <c r="I450" s="60"/>
      <c r="J450" s="27"/>
      <c r="K450" s="47"/>
      <c r="L450" s="33"/>
      <c r="M450" s="60"/>
      <c r="N450" s="27"/>
      <c r="O450" s="47"/>
      <c r="P450" s="33"/>
      <c r="Q450" s="60"/>
      <c r="R450" s="27"/>
      <c r="S450" s="47"/>
      <c r="T450" s="33"/>
      <c r="U450" s="60"/>
      <c r="V450" s="27"/>
      <c r="W450" s="33"/>
      <c r="X450" s="47"/>
      <c r="Y450" s="48"/>
    </row>
    <row r="451" spans="2:25" s="38" customFormat="1" x14ac:dyDescent="0.25">
      <c r="B451" s="49"/>
      <c r="C451" s="70"/>
      <c r="D451" s="42"/>
      <c r="F451" s="33"/>
      <c r="G451" s="47"/>
      <c r="H451" s="33"/>
      <c r="I451" s="60"/>
      <c r="J451" s="27"/>
      <c r="K451" s="47"/>
      <c r="L451" s="33"/>
      <c r="M451" s="60"/>
      <c r="N451" s="27"/>
      <c r="O451" s="47"/>
      <c r="P451" s="33"/>
      <c r="Q451" s="60"/>
      <c r="R451" s="27"/>
      <c r="S451" s="47"/>
      <c r="T451" s="33"/>
      <c r="U451" s="60"/>
      <c r="V451" s="27"/>
      <c r="W451" s="33"/>
      <c r="X451" s="47"/>
      <c r="Y451" s="48"/>
    </row>
    <row r="452" spans="2:25" s="38" customFormat="1" x14ac:dyDescent="0.25">
      <c r="B452" s="49"/>
      <c r="C452" s="70"/>
      <c r="D452" s="42"/>
      <c r="F452" s="33"/>
      <c r="G452" s="47"/>
      <c r="H452" s="33"/>
      <c r="I452" s="60"/>
      <c r="J452" s="27"/>
      <c r="K452" s="47"/>
      <c r="L452" s="33"/>
      <c r="M452" s="60"/>
      <c r="N452" s="27"/>
      <c r="O452" s="47"/>
      <c r="P452" s="33"/>
      <c r="Q452" s="60"/>
      <c r="R452" s="27"/>
      <c r="S452" s="47"/>
      <c r="T452" s="33"/>
      <c r="U452" s="60"/>
      <c r="V452" s="27"/>
      <c r="W452" s="33"/>
      <c r="X452" s="47"/>
      <c r="Y452" s="48"/>
    </row>
    <row r="453" spans="2:25" s="38" customFormat="1" x14ac:dyDescent="0.25">
      <c r="B453" s="49"/>
      <c r="C453" s="70"/>
      <c r="D453" s="42"/>
      <c r="F453" s="33"/>
      <c r="G453" s="47"/>
      <c r="H453" s="33"/>
      <c r="I453" s="60"/>
      <c r="J453" s="27"/>
      <c r="K453" s="47"/>
      <c r="L453" s="33"/>
      <c r="M453" s="60"/>
      <c r="N453" s="27"/>
      <c r="O453" s="47"/>
      <c r="P453" s="33"/>
      <c r="Q453" s="60"/>
      <c r="R453" s="27"/>
      <c r="S453" s="47"/>
      <c r="T453" s="33"/>
      <c r="U453" s="60"/>
      <c r="V453" s="27"/>
      <c r="W453" s="33"/>
      <c r="X453" s="47"/>
      <c r="Y453" s="48"/>
    </row>
    <row r="454" spans="2:25" s="38" customFormat="1" x14ac:dyDescent="0.25">
      <c r="B454" s="49"/>
      <c r="C454" s="70"/>
      <c r="D454" s="42"/>
      <c r="F454" s="33"/>
      <c r="G454" s="47"/>
      <c r="H454" s="33"/>
      <c r="I454" s="60"/>
      <c r="J454" s="27"/>
      <c r="K454" s="47"/>
      <c r="L454" s="33"/>
      <c r="M454" s="60"/>
      <c r="N454" s="27"/>
      <c r="O454" s="47"/>
      <c r="P454" s="33"/>
      <c r="Q454" s="60"/>
      <c r="R454" s="27"/>
      <c r="S454" s="47"/>
      <c r="T454" s="33"/>
      <c r="U454" s="60"/>
      <c r="V454" s="27"/>
      <c r="W454" s="33"/>
      <c r="X454" s="47"/>
      <c r="Y454" s="48"/>
    </row>
    <row r="455" spans="2:25" s="38" customFormat="1" x14ac:dyDescent="0.25">
      <c r="B455" s="49"/>
      <c r="C455" s="70"/>
      <c r="D455" s="42"/>
      <c r="F455" s="33"/>
      <c r="G455" s="47"/>
      <c r="H455" s="33"/>
      <c r="I455" s="60"/>
      <c r="J455" s="27"/>
      <c r="K455" s="47"/>
      <c r="L455" s="33"/>
      <c r="M455" s="60"/>
      <c r="N455" s="27"/>
      <c r="O455" s="47"/>
      <c r="P455" s="33"/>
      <c r="Q455" s="60"/>
      <c r="R455" s="27"/>
      <c r="S455" s="47"/>
      <c r="T455" s="33"/>
      <c r="U455" s="60"/>
      <c r="V455" s="27"/>
      <c r="W455" s="33"/>
      <c r="X455" s="47"/>
      <c r="Y455" s="48"/>
    </row>
    <row r="456" spans="2:25" s="38" customFormat="1" x14ac:dyDescent="0.25">
      <c r="B456" s="49"/>
      <c r="C456" s="70"/>
      <c r="D456" s="42"/>
      <c r="F456" s="33"/>
      <c r="G456" s="47"/>
      <c r="H456" s="33"/>
      <c r="I456" s="60"/>
      <c r="J456" s="27"/>
      <c r="K456" s="47"/>
      <c r="L456" s="33"/>
      <c r="M456" s="60"/>
      <c r="N456" s="27"/>
      <c r="O456" s="47"/>
      <c r="P456" s="33"/>
      <c r="Q456" s="60"/>
      <c r="R456" s="27"/>
      <c r="S456" s="47"/>
      <c r="T456" s="33"/>
      <c r="U456" s="60"/>
      <c r="V456" s="27"/>
      <c r="W456" s="33"/>
      <c r="X456" s="47"/>
      <c r="Y456" s="48"/>
    </row>
    <row r="457" spans="2:25" s="38" customFormat="1" x14ac:dyDescent="0.25">
      <c r="B457" s="49"/>
      <c r="C457" s="70"/>
      <c r="D457" s="42"/>
      <c r="F457" s="33"/>
      <c r="G457" s="47"/>
      <c r="H457" s="33"/>
      <c r="I457" s="60"/>
      <c r="J457" s="27"/>
      <c r="K457" s="47"/>
      <c r="L457" s="33"/>
      <c r="M457" s="60"/>
      <c r="N457" s="27"/>
      <c r="O457" s="47"/>
      <c r="P457" s="33"/>
      <c r="Q457" s="60"/>
      <c r="R457" s="27"/>
      <c r="S457" s="47"/>
      <c r="T457" s="33"/>
      <c r="U457" s="60"/>
      <c r="V457" s="27"/>
      <c r="W457" s="33"/>
      <c r="X457" s="47"/>
      <c r="Y457" s="48"/>
    </row>
    <row r="458" spans="2:25" s="38" customFormat="1" x14ac:dyDescent="0.25">
      <c r="B458" s="49"/>
      <c r="C458" s="70"/>
      <c r="D458" s="42"/>
      <c r="F458" s="33"/>
      <c r="G458" s="47"/>
      <c r="H458" s="33"/>
      <c r="I458" s="60"/>
      <c r="J458" s="27"/>
      <c r="K458" s="47"/>
      <c r="L458" s="33"/>
      <c r="M458" s="60"/>
      <c r="N458" s="27"/>
      <c r="O458" s="47"/>
      <c r="P458" s="33"/>
      <c r="Q458" s="60"/>
      <c r="R458" s="27"/>
      <c r="S458" s="47"/>
      <c r="T458" s="33"/>
      <c r="U458" s="60"/>
      <c r="V458" s="27"/>
      <c r="W458" s="33"/>
      <c r="X458" s="47"/>
      <c r="Y458" s="48"/>
    </row>
    <row r="459" spans="2:25" s="38" customFormat="1" x14ac:dyDescent="0.25">
      <c r="B459" s="49"/>
      <c r="C459" s="70"/>
      <c r="D459" s="42"/>
      <c r="F459" s="33"/>
      <c r="G459" s="47"/>
      <c r="H459" s="33"/>
      <c r="I459" s="60"/>
      <c r="J459" s="27"/>
      <c r="K459" s="47"/>
      <c r="L459" s="33"/>
      <c r="M459" s="60"/>
      <c r="N459" s="27"/>
      <c r="O459" s="47"/>
      <c r="P459" s="33"/>
      <c r="Q459" s="60"/>
      <c r="R459" s="27"/>
      <c r="S459" s="47"/>
      <c r="T459" s="33"/>
      <c r="U459" s="60"/>
      <c r="V459" s="27"/>
      <c r="W459" s="33"/>
      <c r="X459" s="47"/>
      <c r="Y459" s="48"/>
    </row>
    <row r="460" spans="2:25" s="38" customFormat="1" x14ac:dyDescent="0.25">
      <c r="B460" s="49"/>
      <c r="C460" s="70"/>
      <c r="D460" s="42"/>
      <c r="F460" s="33"/>
      <c r="G460" s="47"/>
      <c r="H460" s="33"/>
      <c r="I460" s="60"/>
      <c r="J460" s="27"/>
      <c r="K460" s="47"/>
      <c r="L460" s="33"/>
      <c r="M460" s="60"/>
      <c r="N460" s="27"/>
      <c r="O460" s="47"/>
      <c r="P460" s="33"/>
      <c r="Q460" s="60"/>
      <c r="R460" s="27"/>
      <c r="S460" s="47"/>
      <c r="T460" s="33"/>
      <c r="U460" s="60"/>
      <c r="V460" s="27"/>
      <c r="W460" s="33"/>
      <c r="X460" s="47"/>
      <c r="Y460" s="48"/>
    </row>
    <row r="461" spans="2:25" s="38" customFormat="1" x14ac:dyDescent="0.25">
      <c r="B461" s="49"/>
      <c r="C461" s="70"/>
      <c r="D461" s="42"/>
      <c r="F461" s="33"/>
      <c r="G461" s="47"/>
      <c r="H461" s="33"/>
      <c r="I461" s="60"/>
      <c r="J461" s="27"/>
      <c r="K461" s="47"/>
      <c r="L461" s="33"/>
      <c r="M461" s="60"/>
      <c r="N461" s="27"/>
      <c r="O461" s="47"/>
      <c r="P461" s="33"/>
      <c r="Q461" s="60"/>
      <c r="R461" s="27"/>
      <c r="S461" s="47"/>
      <c r="T461" s="33"/>
      <c r="U461" s="60"/>
      <c r="V461" s="27"/>
      <c r="W461" s="33"/>
      <c r="X461" s="47"/>
      <c r="Y461" s="48"/>
    </row>
    <row r="462" spans="2:25" s="38" customFormat="1" x14ac:dyDescent="0.25">
      <c r="B462" s="49"/>
      <c r="C462" s="70"/>
      <c r="D462" s="42"/>
      <c r="F462" s="33"/>
      <c r="G462" s="47"/>
      <c r="H462" s="33"/>
      <c r="I462" s="60"/>
      <c r="J462" s="27"/>
      <c r="K462" s="47"/>
      <c r="L462" s="33"/>
      <c r="M462" s="60"/>
      <c r="N462" s="27"/>
      <c r="O462" s="47"/>
      <c r="P462" s="33"/>
      <c r="Q462" s="60"/>
      <c r="R462" s="27"/>
      <c r="S462" s="47"/>
      <c r="T462" s="33"/>
      <c r="U462" s="60"/>
      <c r="V462" s="27"/>
      <c r="W462" s="33"/>
      <c r="X462" s="47"/>
      <c r="Y462" s="48"/>
    </row>
    <row r="463" spans="2:25" s="38" customFormat="1" x14ac:dyDescent="0.25">
      <c r="B463" s="49"/>
      <c r="C463" s="70"/>
      <c r="D463" s="42"/>
      <c r="F463" s="33"/>
      <c r="G463" s="47"/>
      <c r="H463" s="33"/>
      <c r="I463" s="60"/>
      <c r="J463" s="27"/>
      <c r="K463" s="47"/>
      <c r="L463" s="33"/>
      <c r="M463" s="60"/>
      <c r="N463" s="27"/>
      <c r="O463" s="47"/>
      <c r="P463" s="33"/>
      <c r="Q463" s="60"/>
      <c r="R463" s="27"/>
      <c r="S463" s="47"/>
      <c r="T463" s="33"/>
      <c r="U463" s="60"/>
      <c r="V463" s="27"/>
      <c r="W463" s="33"/>
      <c r="X463" s="47"/>
      <c r="Y463" s="48"/>
    </row>
    <row r="464" spans="2:25" s="38" customFormat="1" x14ac:dyDescent="0.25">
      <c r="B464" s="49"/>
      <c r="C464" s="70"/>
      <c r="D464" s="42"/>
      <c r="F464" s="33"/>
      <c r="G464" s="47"/>
      <c r="H464" s="33"/>
      <c r="I464" s="60"/>
      <c r="J464" s="27"/>
      <c r="K464" s="47"/>
      <c r="L464" s="33"/>
      <c r="M464" s="60"/>
      <c r="N464" s="27"/>
      <c r="O464" s="47"/>
      <c r="P464" s="33"/>
      <c r="Q464" s="60"/>
      <c r="R464" s="27"/>
      <c r="S464" s="47"/>
      <c r="T464" s="33"/>
      <c r="U464" s="60"/>
      <c r="V464" s="27"/>
      <c r="W464" s="33"/>
      <c r="X464" s="47"/>
      <c r="Y464" s="48"/>
    </row>
    <row r="465" spans="2:25" s="38" customFormat="1" x14ac:dyDescent="0.25">
      <c r="B465" s="49"/>
      <c r="C465" s="70"/>
      <c r="D465" s="42"/>
      <c r="F465" s="33"/>
      <c r="G465" s="47"/>
      <c r="H465" s="33"/>
      <c r="I465" s="60"/>
      <c r="J465" s="27"/>
      <c r="K465" s="47"/>
      <c r="L465" s="33"/>
      <c r="M465" s="60"/>
      <c r="N465" s="27"/>
      <c r="O465" s="47"/>
      <c r="P465" s="33"/>
      <c r="Q465" s="60"/>
      <c r="R465" s="27"/>
      <c r="S465" s="47"/>
      <c r="T465" s="33"/>
      <c r="U465" s="60"/>
      <c r="V465" s="27"/>
      <c r="W465" s="33"/>
      <c r="X465" s="47"/>
      <c r="Y465" s="48"/>
    </row>
    <row r="466" spans="2:25" s="38" customFormat="1" x14ac:dyDescent="0.25">
      <c r="B466" s="49"/>
      <c r="C466" s="70"/>
      <c r="D466" s="42"/>
      <c r="F466" s="33"/>
      <c r="G466" s="47"/>
      <c r="H466" s="33"/>
      <c r="I466" s="60"/>
      <c r="J466" s="27"/>
      <c r="K466" s="47"/>
      <c r="L466" s="33"/>
      <c r="M466" s="60"/>
      <c r="N466" s="27"/>
      <c r="O466" s="47"/>
      <c r="P466" s="33"/>
      <c r="Q466" s="60"/>
      <c r="R466" s="27"/>
      <c r="S466" s="47"/>
      <c r="T466" s="33"/>
      <c r="U466" s="60"/>
      <c r="V466" s="27"/>
      <c r="W466" s="33"/>
      <c r="X466" s="47"/>
      <c r="Y466" s="48"/>
    </row>
    <row r="467" spans="2:25" s="38" customFormat="1" x14ac:dyDescent="0.25">
      <c r="B467" s="49"/>
      <c r="C467" s="70"/>
      <c r="D467" s="42"/>
      <c r="F467" s="33"/>
      <c r="G467" s="47"/>
      <c r="H467" s="33"/>
      <c r="I467" s="60"/>
      <c r="J467" s="27"/>
      <c r="K467" s="47"/>
      <c r="L467" s="33"/>
      <c r="M467" s="60"/>
      <c r="N467" s="27"/>
      <c r="O467" s="47"/>
      <c r="P467" s="33"/>
      <c r="Q467" s="60"/>
      <c r="R467" s="27"/>
      <c r="S467" s="47"/>
      <c r="T467" s="33"/>
      <c r="U467" s="60"/>
      <c r="V467" s="27"/>
      <c r="W467" s="33"/>
      <c r="X467" s="47"/>
      <c r="Y467" s="48"/>
    </row>
    <row r="468" spans="2:25" s="38" customFormat="1" x14ac:dyDescent="0.25">
      <c r="B468" s="49"/>
      <c r="C468" s="70"/>
      <c r="D468" s="42"/>
      <c r="F468" s="33"/>
      <c r="G468" s="47"/>
      <c r="H468" s="33"/>
      <c r="I468" s="60"/>
      <c r="J468" s="27"/>
      <c r="K468" s="47"/>
      <c r="L468" s="33"/>
      <c r="M468" s="60"/>
      <c r="N468" s="27"/>
      <c r="O468" s="47"/>
      <c r="P468" s="33"/>
      <c r="Q468" s="60"/>
      <c r="R468" s="27"/>
      <c r="S468" s="47"/>
      <c r="T468" s="33"/>
      <c r="U468" s="60"/>
      <c r="V468" s="27"/>
      <c r="W468" s="33"/>
      <c r="X468" s="47"/>
      <c r="Y468" s="48"/>
    </row>
    <row r="469" spans="2:25" s="38" customFormat="1" x14ac:dyDescent="0.25">
      <c r="B469" s="49"/>
      <c r="C469" s="70"/>
      <c r="D469" s="42"/>
      <c r="F469" s="33"/>
      <c r="G469" s="47"/>
      <c r="H469" s="33"/>
      <c r="I469" s="60"/>
      <c r="J469" s="27"/>
      <c r="K469" s="47"/>
      <c r="L469" s="33"/>
      <c r="M469" s="60"/>
      <c r="N469" s="27"/>
      <c r="O469" s="47"/>
      <c r="P469" s="33"/>
      <c r="Q469" s="60"/>
      <c r="R469" s="27"/>
      <c r="S469" s="47"/>
      <c r="T469" s="33"/>
      <c r="U469" s="60"/>
      <c r="V469" s="27"/>
      <c r="W469" s="33"/>
      <c r="X469" s="47"/>
      <c r="Y469" s="48"/>
    </row>
    <row r="470" spans="2:25" s="38" customFormat="1" x14ac:dyDescent="0.25">
      <c r="B470" s="49"/>
      <c r="C470" s="70"/>
      <c r="D470" s="42"/>
      <c r="F470" s="33"/>
      <c r="G470" s="47"/>
      <c r="H470" s="33"/>
      <c r="I470" s="60"/>
      <c r="J470" s="27"/>
      <c r="K470" s="47"/>
      <c r="L470" s="33"/>
      <c r="M470" s="60"/>
      <c r="N470" s="27"/>
      <c r="O470" s="47"/>
      <c r="P470" s="33"/>
      <c r="Q470" s="60"/>
      <c r="R470" s="27"/>
      <c r="S470" s="47"/>
      <c r="T470" s="33"/>
      <c r="U470" s="60"/>
      <c r="V470" s="27"/>
      <c r="W470" s="33"/>
      <c r="X470" s="47"/>
      <c r="Y470" s="48"/>
    </row>
    <row r="471" spans="2:25" s="38" customFormat="1" x14ac:dyDescent="0.25">
      <c r="B471" s="49"/>
      <c r="C471" s="70"/>
      <c r="D471" s="42"/>
      <c r="F471" s="33"/>
      <c r="G471" s="47"/>
      <c r="H471" s="33"/>
      <c r="I471" s="60"/>
      <c r="J471" s="27"/>
      <c r="K471" s="47"/>
      <c r="L471" s="33"/>
      <c r="M471" s="60"/>
      <c r="N471" s="27"/>
      <c r="O471" s="47"/>
      <c r="P471" s="33"/>
      <c r="Q471" s="60"/>
      <c r="R471" s="27"/>
      <c r="S471" s="47"/>
      <c r="T471" s="33"/>
      <c r="U471" s="60"/>
      <c r="V471" s="27"/>
      <c r="W471" s="33"/>
      <c r="X471" s="47"/>
      <c r="Y471" s="48"/>
    </row>
    <row r="472" spans="2:25" s="38" customFormat="1" x14ac:dyDescent="0.25">
      <c r="B472" s="49"/>
      <c r="C472" s="70"/>
      <c r="D472" s="42"/>
      <c r="F472" s="33"/>
      <c r="G472" s="47"/>
      <c r="H472" s="33"/>
      <c r="I472" s="60"/>
      <c r="J472" s="27"/>
      <c r="K472" s="47"/>
      <c r="L472" s="33"/>
      <c r="M472" s="60"/>
      <c r="N472" s="27"/>
      <c r="O472" s="47"/>
      <c r="P472" s="33"/>
      <c r="Q472" s="60"/>
      <c r="R472" s="27"/>
      <c r="S472" s="47"/>
      <c r="T472" s="33"/>
      <c r="U472" s="60"/>
      <c r="V472" s="27"/>
      <c r="W472" s="33"/>
      <c r="X472" s="47"/>
      <c r="Y472" s="48"/>
    </row>
    <row r="473" spans="2:25" s="38" customFormat="1" x14ac:dyDescent="0.25">
      <c r="B473" s="49"/>
      <c r="C473" s="70"/>
      <c r="D473" s="42"/>
      <c r="F473" s="33"/>
      <c r="G473" s="47"/>
      <c r="H473" s="33"/>
      <c r="I473" s="60"/>
      <c r="J473" s="27"/>
      <c r="K473" s="47"/>
      <c r="L473" s="33"/>
      <c r="M473" s="60"/>
      <c r="N473" s="27"/>
      <c r="O473" s="47"/>
      <c r="P473" s="33"/>
      <c r="Q473" s="60"/>
      <c r="R473" s="27"/>
      <c r="S473" s="47"/>
      <c r="T473" s="33"/>
      <c r="U473" s="60"/>
      <c r="V473" s="27"/>
      <c r="W473" s="33"/>
      <c r="X473" s="47"/>
      <c r="Y473" s="48"/>
    </row>
    <row r="474" spans="2:25" s="38" customFormat="1" x14ac:dyDescent="0.25">
      <c r="B474" s="49"/>
      <c r="C474" s="70"/>
      <c r="D474" s="42"/>
      <c r="F474" s="33"/>
      <c r="G474" s="47"/>
      <c r="H474" s="33"/>
      <c r="I474" s="60"/>
      <c r="J474" s="27"/>
      <c r="K474" s="47"/>
      <c r="L474" s="33"/>
      <c r="M474" s="60"/>
      <c r="N474" s="27"/>
      <c r="O474" s="47"/>
      <c r="P474" s="33"/>
      <c r="Q474" s="60"/>
      <c r="R474" s="27"/>
      <c r="S474" s="47"/>
      <c r="T474" s="33"/>
      <c r="U474" s="60"/>
      <c r="V474" s="27"/>
      <c r="W474" s="33"/>
      <c r="X474" s="47"/>
      <c r="Y474" s="48"/>
    </row>
    <row r="475" spans="2:25" s="38" customFormat="1" x14ac:dyDescent="0.25">
      <c r="B475" s="49"/>
      <c r="C475" s="70"/>
      <c r="D475" s="42"/>
      <c r="F475" s="33"/>
      <c r="G475" s="47"/>
      <c r="H475" s="33"/>
      <c r="I475" s="60"/>
      <c r="J475" s="27"/>
      <c r="K475" s="47"/>
      <c r="L475" s="33"/>
      <c r="M475" s="60"/>
      <c r="N475" s="27"/>
      <c r="O475" s="47"/>
      <c r="P475" s="33"/>
      <c r="Q475" s="60"/>
      <c r="R475" s="27"/>
      <c r="S475" s="47"/>
      <c r="T475" s="33"/>
      <c r="U475" s="60"/>
      <c r="V475" s="27"/>
      <c r="W475" s="33"/>
      <c r="X475" s="47"/>
      <c r="Y475" s="48"/>
    </row>
    <row r="476" spans="2:25" s="38" customFormat="1" x14ac:dyDescent="0.25">
      <c r="B476" s="49"/>
      <c r="C476" s="70"/>
      <c r="D476" s="42"/>
      <c r="F476" s="33"/>
      <c r="G476" s="47"/>
      <c r="H476" s="33"/>
      <c r="I476" s="60"/>
      <c r="J476" s="27"/>
      <c r="K476" s="47"/>
      <c r="L476" s="33"/>
      <c r="M476" s="60"/>
      <c r="N476" s="27"/>
      <c r="O476" s="47"/>
      <c r="P476" s="33"/>
      <c r="Q476" s="60"/>
      <c r="R476" s="27"/>
      <c r="S476" s="47"/>
      <c r="T476" s="33"/>
      <c r="U476" s="60"/>
      <c r="V476" s="27"/>
      <c r="W476" s="33"/>
      <c r="X476" s="47"/>
      <c r="Y476" s="48"/>
    </row>
    <row r="477" spans="2:25" s="38" customFormat="1" x14ac:dyDescent="0.25">
      <c r="B477" s="49"/>
      <c r="C477" s="70"/>
      <c r="D477" s="42"/>
      <c r="F477" s="33"/>
      <c r="G477" s="47"/>
      <c r="H477" s="33"/>
      <c r="I477" s="60"/>
      <c r="J477" s="27"/>
      <c r="K477" s="47"/>
      <c r="L477" s="33"/>
      <c r="M477" s="60"/>
      <c r="N477" s="27"/>
      <c r="O477" s="47"/>
      <c r="P477" s="33"/>
      <c r="Q477" s="60"/>
      <c r="R477" s="27"/>
      <c r="S477" s="47"/>
      <c r="T477" s="33"/>
      <c r="U477" s="60"/>
      <c r="V477" s="27"/>
      <c r="W477" s="33"/>
      <c r="X477" s="47"/>
      <c r="Y477" s="48"/>
    </row>
    <row r="478" spans="2:25" s="38" customFormat="1" x14ac:dyDescent="0.25">
      <c r="B478" s="49"/>
      <c r="C478" s="70"/>
      <c r="D478" s="42"/>
      <c r="F478" s="33"/>
      <c r="G478" s="47"/>
      <c r="H478" s="33"/>
      <c r="I478" s="60"/>
      <c r="J478" s="27"/>
      <c r="K478" s="47"/>
      <c r="L478" s="33"/>
      <c r="M478" s="60"/>
      <c r="N478" s="27"/>
      <c r="O478" s="47"/>
      <c r="P478" s="33"/>
      <c r="Q478" s="60"/>
      <c r="R478" s="27"/>
      <c r="S478" s="47"/>
      <c r="T478" s="33"/>
      <c r="U478" s="60"/>
      <c r="V478" s="27"/>
      <c r="W478" s="33"/>
      <c r="X478" s="47"/>
      <c r="Y478" s="48"/>
    </row>
    <row r="479" spans="2:25" s="38" customFormat="1" x14ac:dyDescent="0.25">
      <c r="B479" s="49"/>
      <c r="C479" s="70"/>
      <c r="D479" s="42"/>
      <c r="F479" s="33"/>
      <c r="G479" s="47"/>
      <c r="H479" s="33"/>
      <c r="I479" s="60"/>
      <c r="J479" s="27"/>
      <c r="K479" s="47"/>
      <c r="L479" s="33"/>
      <c r="M479" s="60"/>
      <c r="N479" s="27"/>
      <c r="O479" s="47"/>
      <c r="P479" s="33"/>
      <c r="Q479" s="60"/>
      <c r="R479" s="27"/>
      <c r="S479" s="47"/>
      <c r="T479" s="33"/>
      <c r="U479" s="60"/>
      <c r="V479" s="27"/>
      <c r="W479" s="33"/>
      <c r="X479" s="47"/>
      <c r="Y479" s="48"/>
    </row>
    <row r="480" spans="2:25" s="38" customFormat="1" x14ac:dyDescent="0.25">
      <c r="B480" s="49"/>
      <c r="C480" s="70"/>
      <c r="D480" s="42"/>
      <c r="F480" s="33"/>
      <c r="G480" s="47"/>
      <c r="H480" s="33"/>
      <c r="I480" s="60"/>
      <c r="J480" s="27"/>
      <c r="K480" s="47"/>
      <c r="L480" s="33"/>
      <c r="M480" s="60"/>
      <c r="N480" s="27"/>
      <c r="O480" s="47"/>
      <c r="P480" s="33"/>
      <c r="Q480" s="60"/>
      <c r="R480" s="27"/>
      <c r="S480" s="47"/>
      <c r="T480" s="33"/>
      <c r="U480" s="60"/>
      <c r="V480" s="27"/>
      <c r="W480" s="33"/>
      <c r="X480" s="47"/>
      <c r="Y480" s="48"/>
    </row>
    <row r="481" spans="2:25" s="38" customFormat="1" x14ac:dyDescent="0.25">
      <c r="B481" s="49"/>
      <c r="C481" s="70"/>
      <c r="D481" s="42"/>
      <c r="F481" s="33"/>
      <c r="G481" s="47"/>
      <c r="H481" s="33"/>
      <c r="I481" s="60"/>
      <c r="J481" s="27"/>
      <c r="K481" s="47"/>
      <c r="L481" s="33"/>
      <c r="M481" s="60"/>
      <c r="N481" s="27"/>
      <c r="O481" s="47"/>
      <c r="P481" s="33"/>
      <c r="Q481" s="60"/>
      <c r="R481" s="27"/>
      <c r="S481" s="47"/>
      <c r="T481" s="33"/>
      <c r="U481" s="60"/>
      <c r="V481" s="27"/>
      <c r="W481" s="33"/>
      <c r="X481" s="47"/>
      <c r="Y481" s="48"/>
    </row>
    <row r="482" spans="2:25" s="38" customFormat="1" x14ac:dyDescent="0.25">
      <c r="B482" s="49"/>
      <c r="C482" s="70"/>
      <c r="D482" s="42"/>
      <c r="F482" s="33"/>
      <c r="G482" s="47"/>
      <c r="H482" s="33"/>
      <c r="I482" s="60"/>
      <c r="J482" s="27"/>
      <c r="K482" s="47"/>
      <c r="L482" s="33"/>
      <c r="M482" s="60"/>
      <c r="N482" s="27"/>
      <c r="O482" s="47"/>
      <c r="P482" s="33"/>
      <c r="Q482" s="60"/>
      <c r="R482" s="27"/>
      <c r="S482" s="47"/>
      <c r="T482" s="33"/>
      <c r="U482" s="60"/>
      <c r="V482" s="27"/>
      <c r="W482" s="33"/>
      <c r="X482" s="47"/>
      <c r="Y482" s="48"/>
    </row>
    <row r="483" spans="2:25" s="38" customFormat="1" x14ac:dyDescent="0.25">
      <c r="B483" s="49"/>
      <c r="C483" s="70"/>
      <c r="D483" s="42"/>
      <c r="F483" s="33"/>
      <c r="G483" s="47"/>
      <c r="H483" s="33"/>
      <c r="I483" s="60"/>
      <c r="J483" s="27"/>
      <c r="K483" s="47"/>
      <c r="L483" s="33"/>
      <c r="M483" s="60"/>
      <c r="N483" s="27"/>
      <c r="O483" s="47"/>
      <c r="P483" s="33"/>
      <c r="Q483" s="60"/>
      <c r="R483" s="27"/>
      <c r="S483" s="47"/>
      <c r="T483" s="33"/>
      <c r="U483" s="60"/>
      <c r="V483" s="27"/>
      <c r="W483" s="33"/>
      <c r="X483" s="47"/>
      <c r="Y483" s="48"/>
    </row>
    <row r="484" spans="2:25" s="38" customFormat="1" x14ac:dyDescent="0.25">
      <c r="B484" s="49"/>
      <c r="C484" s="70"/>
      <c r="D484" s="42"/>
      <c r="F484" s="33"/>
      <c r="G484" s="47"/>
      <c r="H484" s="33"/>
      <c r="I484" s="60"/>
      <c r="J484" s="27"/>
      <c r="K484" s="47"/>
      <c r="L484" s="33"/>
      <c r="M484" s="60"/>
      <c r="N484" s="27"/>
      <c r="O484" s="47"/>
      <c r="P484" s="33"/>
      <c r="Q484" s="60"/>
      <c r="R484" s="27"/>
      <c r="S484" s="47"/>
      <c r="T484" s="33"/>
      <c r="U484" s="60"/>
      <c r="V484" s="27"/>
      <c r="W484" s="33"/>
      <c r="X484" s="47"/>
      <c r="Y484" s="48"/>
    </row>
    <row r="485" spans="2:25" s="38" customFormat="1" x14ac:dyDescent="0.25">
      <c r="B485" s="49"/>
      <c r="C485" s="70"/>
      <c r="D485" s="42"/>
      <c r="F485" s="33"/>
      <c r="G485" s="47"/>
      <c r="H485" s="33"/>
      <c r="I485" s="60"/>
      <c r="J485" s="27"/>
      <c r="K485" s="47"/>
      <c r="L485" s="33"/>
      <c r="M485" s="60"/>
      <c r="N485" s="27"/>
      <c r="O485" s="47"/>
      <c r="P485" s="33"/>
      <c r="Q485" s="60"/>
      <c r="R485" s="27"/>
      <c r="S485" s="47"/>
      <c r="T485" s="33"/>
      <c r="U485" s="60"/>
      <c r="V485" s="27"/>
      <c r="W485" s="33"/>
      <c r="X485" s="47"/>
      <c r="Y485" s="48"/>
    </row>
    <row r="486" spans="2:25" s="38" customFormat="1" x14ac:dyDescent="0.25">
      <c r="B486" s="49"/>
      <c r="C486" s="70"/>
      <c r="D486" s="42"/>
      <c r="F486" s="33"/>
      <c r="G486" s="47"/>
      <c r="H486" s="33"/>
      <c r="I486" s="60"/>
      <c r="J486" s="27"/>
      <c r="K486" s="47"/>
      <c r="L486" s="33"/>
      <c r="M486" s="60"/>
      <c r="N486" s="27"/>
      <c r="O486" s="47"/>
      <c r="P486" s="33"/>
      <c r="Q486" s="60"/>
      <c r="R486" s="27"/>
      <c r="S486" s="47"/>
      <c r="T486" s="33"/>
      <c r="U486" s="60"/>
      <c r="V486" s="27"/>
      <c r="W486" s="33"/>
      <c r="X486" s="47"/>
      <c r="Y486" s="48"/>
    </row>
    <row r="487" spans="2:25" s="38" customFormat="1" x14ac:dyDescent="0.25">
      <c r="B487" s="49"/>
      <c r="C487" s="70"/>
      <c r="D487" s="42"/>
      <c r="F487" s="33"/>
      <c r="G487" s="47"/>
      <c r="H487" s="33"/>
      <c r="I487" s="60"/>
      <c r="J487" s="27"/>
      <c r="K487" s="47"/>
      <c r="L487" s="33"/>
      <c r="M487" s="60"/>
      <c r="N487" s="27"/>
      <c r="O487" s="47"/>
      <c r="P487" s="33"/>
      <c r="Q487" s="60"/>
      <c r="R487" s="27"/>
      <c r="S487" s="47"/>
      <c r="T487" s="33"/>
      <c r="U487" s="60"/>
      <c r="V487" s="27"/>
      <c r="W487" s="33"/>
      <c r="X487" s="47"/>
      <c r="Y487" s="48"/>
    </row>
    <row r="488" spans="2:25" s="38" customFormat="1" x14ac:dyDescent="0.25">
      <c r="B488" s="49"/>
      <c r="C488" s="70"/>
      <c r="D488" s="42"/>
      <c r="F488" s="33"/>
      <c r="G488" s="47"/>
      <c r="H488" s="33"/>
      <c r="I488" s="60"/>
      <c r="J488" s="27"/>
      <c r="K488" s="47"/>
      <c r="L488" s="33"/>
      <c r="M488" s="60"/>
      <c r="N488" s="27"/>
      <c r="O488" s="47"/>
      <c r="P488" s="33"/>
      <c r="Q488" s="60"/>
      <c r="R488" s="27"/>
      <c r="S488" s="47"/>
      <c r="T488" s="33"/>
      <c r="U488" s="60"/>
      <c r="V488" s="27"/>
      <c r="W488" s="33"/>
      <c r="X488" s="47"/>
      <c r="Y488" s="48"/>
    </row>
    <row r="489" spans="2:25" s="38" customFormat="1" x14ac:dyDescent="0.25">
      <c r="B489" s="49"/>
      <c r="C489" s="70"/>
      <c r="D489" s="42"/>
      <c r="F489" s="33"/>
      <c r="G489" s="47"/>
      <c r="H489" s="33"/>
      <c r="I489" s="60"/>
      <c r="J489" s="27"/>
      <c r="K489" s="47"/>
      <c r="L489" s="33"/>
      <c r="M489" s="60"/>
      <c r="N489" s="27"/>
      <c r="O489" s="47"/>
      <c r="P489" s="33"/>
      <c r="Q489" s="60"/>
      <c r="R489" s="27"/>
      <c r="S489" s="47"/>
      <c r="T489" s="33"/>
      <c r="U489" s="60"/>
      <c r="V489" s="27"/>
      <c r="W489" s="33"/>
      <c r="X489" s="47"/>
      <c r="Y489" s="48"/>
    </row>
    <row r="490" spans="2:25" s="38" customFormat="1" x14ac:dyDescent="0.25">
      <c r="B490" s="49"/>
      <c r="C490" s="70"/>
      <c r="D490" s="42"/>
      <c r="F490" s="33"/>
      <c r="G490" s="47"/>
      <c r="H490" s="33"/>
      <c r="I490" s="60"/>
      <c r="J490" s="27"/>
      <c r="K490" s="47"/>
      <c r="L490" s="33"/>
      <c r="M490" s="60"/>
      <c r="N490" s="27"/>
      <c r="O490" s="47"/>
      <c r="P490" s="33"/>
      <c r="Q490" s="60"/>
      <c r="R490" s="27"/>
      <c r="S490" s="47"/>
      <c r="T490" s="33"/>
      <c r="U490" s="60"/>
      <c r="V490" s="27"/>
      <c r="W490" s="33"/>
      <c r="X490" s="47"/>
      <c r="Y490" s="48"/>
    </row>
    <row r="491" spans="2:25" s="38" customFormat="1" x14ac:dyDescent="0.25">
      <c r="B491" s="49"/>
      <c r="C491" s="70"/>
      <c r="D491" s="42"/>
      <c r="F491" s="33"/>
      <c r="G491" s="47"/>
      <c r="H491" s="33"/>
      <c r="I491" s="60"/>
      <c r="J491" s="27"/>
      <c r="K491" s="47"/>
      <c r="L491" s="33"/>
      <c r="M491" s="60"/>
      <c r="N491" s="27"/>
      <c r="O491" s="47"/>
      <c r="P491" s="33"/>
      <c r="Q491" s="60"/>
      <c r="R491" s="27"/>
      <c r="S491" s="47"/>
      <c r="T491" s="33"/>
      <c r="U491" s="60"/>
      <c r="V491" s="27"/>
      <c r="W491" s="33"/>
      <c r="X491" s="47"/>
      <c r="Y491" s="48"/>
    </row>
    <row r="492" spans="2:25" s="38" customFormat="1" x14ac:dyDescent="0.25">
      <c r="B492" s="49"/>
      <c r="C492" s="70"/>
      <c r="D492" s="42"/>
      <c r="F492" s="33"/>
      <c r="G492" s="47"/>
      <c r="H492" s="33"/>
      <c r="I492" s="60"/>
      <c r="J492" s="27"/>
      <c r="K492" s="47"/>
      <c r="L492" s="33"/>
      <c r="M492" s="60"/>
      <c r="N492" s="27"/>
      <c r="O492" s="47"/>
      <c r="P492" s="33"/>
      <c r="Q492" s="60"/>
      <c r="R492" s="27"/>
      <c r="S492" s="47"/>
      <c r="T492" s="33"/>
      <c r="U492" s="60"/>
      <c r="V492" s="27"/>
      <c r="W492" s="33"/>
      <c r="X492" s="47"/>
      <c r="Y492" s="48"/>
    </row>
    <row r="493" spans="2:25" s="38" customFormat="1" x14ac:dyDescent="0.25">
      <c r="B493" s="49"/>
      <c r="C493" s="70"/>
      <c r="D493" s="42"/>
      <c r="F493" s="33"/>
      <c r="G493" s="47"/>
      <c r="H493" s="33"/>
      <c r="I493" s="60"/>
      <c r="J493" s="27"/>
      <c r="K493" s="47"/>
      <c r="L493" s="33"/>
      <c r="M493" s="60"/>
      <c r="N493" s="27"/>
      <c r="O493" s="47"/>
      <c r="P493" s="33"/>
      <c r="Q493" s="60"/>
      <c r="R493" s="27"/>
      <c r="S493" s="47"/>
      <c r="T493" s="33"/>
      <c r="U493" s="60"/>
      <c r="V493" s="27"/>
      <c r="W493" s="33"/>
      <c r="X493" s="47"/>
      <c r="Y493" s="48"/>
    </row>
    <row r="494" spans="2:25" s="38" customFormat="1" x14ac:dyDescent="0.25">
      <c r="B494" s="49"/>
      <c r="C494" s="70"/>
      <c r="D494" s="42"/>
      <c r="F494" s="33"/>
      <c r="G494" s="47"/>
      <c r="H494" s="33"/>
      <c r="I494" s="60"/>
      <c r="J494" s="27"/>
      <c r="K494" s="47"/>
      <c r="L494" s="33"/>
      <c r="M494" s="60"/>
      <c r="N494" s="27"/>
      <c r="O494" s="47"/>
      <c r="P494" s="33"/>
      <c r="Q494" s="60"/>
      <c r="R494" s="27"/>
      <c r="S494" s="47"/>
      <c r="T494" s="33"/>
      <c r="U494" s="60"/>
      <c r="V494" s="27"/>
      <c r="W494" s="33"/>
      <c r="X494" s="47"/>
      <c r="Y494" s="48"/>
    </row>
    <row r="495" spans="2:25" s="38" customFormat="1" x14ac:dyDescent="0.25">
      <c r="B495" s="49"/>
      <c r="C495" s="70"/>
      <c r="D495" s="42"/>
      <c r="F495" s="33"/>
      <c r="G495" s="47"/>
      <c r="H495" s="33"/>
      <c r="I495" s="60"/>
      <c r="J495" s="27"/>
      <c r="K495" s="47"/>
      <c r="L495" s="33"/>
      <c r="M495" s="60"/>
      <c r="N495" s="27"/>
      <c r="O495" s="47"/>
      <c r="P495" s="33"/>
      <c r="Q495" s="60"/>
      <c r="R495" s="27"/>
      <c r="S495" s="47"/>
      <c r="T495" s="33"/>
      <c r="U495" s="60"/>
      <c r="V495" s="27"/>
      <c r="W495" s="33"/>
      <c r="X495" s="47"/>
      <c r="Y495" s="48"/>
    </row>
    <row r="496" spans="2:25" s="38" customFormat="1" x14ac:dyDescent="0.25">
      <c r="B496" s="49"/>
      <c r="C496" s="70"/>
      <c r="D496" s="42"/>
      <c r="F496" s="33"/>
      <c r="G496" s="47"/>
      <c r="H496" s="33"/>
      <c r="I496" s="60"/>
      <c r="J496" s="27"/>
      <c r="K496" s="47"/>
      <c r="L496" s="33"/>
      <c r="M496" s="60"/>
      <c r="N496" s="27"/>
      <c r="O496" s="47"/>
      <c r="P496" s="33"/>
      <c r="Q496" s="60"/>
      <c r="R496" s="27"/>
      <c r="S496" s="47"/>
      <c r="T496" s="33"/>
      <c r="U496" s="60"/>
      <c r="V496" s="27"/>
      <c r="W496" s="33"/>
      <c r="X496" s="47"/>
      <c r="Y496" s="48"/>
    </row>
    <row r="497" spans="2:25" s="38" customFormat="1" x14ac:dyDescent="0.25">
      <c r="B497" s="49"/>
      <c r="C497" s="70"/>
      <c r="D497" s="42"/>
      <c r="F497" s="33"/>
      <c r="G497" s="47"/>
      <c r="H497" s="33"/>
      <c r="I497" s="60"/>
      <c r="J497" s="27"/>
      <c r="K497" s="47"/>
      <c r="L497" s="33"/>
      <c r="M497" s="60"/>
      <c r="N497" s="27"/>
      <c r="O497" s="47"/>
      <c r="P497" s="33"/>
      <c r="Q497" s="60"/>
      <c r="R497" s="27"/>
      <c r="S497" s="47"/>
      <c r="T497" s="33"/>
      <c r="U497" s="60"/>
      <c r="V497" s="27"/>
      <c r="W497" s="33"/>
      <c r="X497" s="47"/>
      <c r="Y497" s="48"/>
    </row>
    <row r="498" spans="2:25" s="38" customFormat="1" x14ac:dyDescent="0.25">
      <c r="B498" s="49"/>
      <c r="C498" s="70"/>
      <c r="D498" s="42"/>
      <c r="F498" s="33"/>
      <c r="G498" s="47"/>
      <c r="H498" s="33"/>
      <c r="I498" s="60"/>
      <c r="J498" s="27"/>
      <c r="K498" s="47"/>
      <c r="L498" s="33"/>
      <c r="M498" s="60"/>
      <c r="N498" s="27"/>
      <c r="O498" s="47"/>
      <c r="P498" s="33"/>
      <c r="Q498" s="60"/>
      <c r="R498" s="27"/>
      <c r="S498" s="47"/>
      <c r="T498" s="33"/>
      <c r="U498" s="60"/>
      <c r="V498" s="27"/>
      <c r="W498" s="33"/>
      <c r="X498" s="47"/>
      <c r="Y498" s="48"/>
    </row>
    <row r="499" spans="2:25" s="38" customFormat="1" x14ac:dyDescent="0.25">
      <c r="B499" s="49"/>
      <c r="C499" s="70"/>
      <c r="D499" s="42"/>
      <c r="F499" s="33"/>
      <c r="G499" s="47"/>
      <c r="H499" s="33"/>
      <c r="I499" s="60"/>
      <c r="J499" s="27"/>
      <c r="K499" s="47"/>
      <c r="L499" s="33"/>
      <c r="M499" s="60"/>
      <c r="N499" s="27"/>
      <c r="O499" s="47"/>
      <c r="P499" s="33"/>
      <c r="Q499" s="60"/>
      <c r="R499" s="27"/>
      <c r="S499" s="47"/>
      <c r="T499" s="33"/>
      <c r="U499" s="60"/>
      <c r="V499" s="27"/>
      <c r="W499" s="33"/>
      <c r="X499" s="47"/>
      <c r="Y499" s="48"/>
    </row>
    <row r="500" spans="2:25" s="38" customFormat="1" x14ac:dyDescent="0.25">
      <c r="B500" s="49"/>
      <c r="C500" s="70"/>
      <c r="D500" s="42"/>
      <c r="F500" s="33"/>
      <c r="G500" s="47"/>
      <c r="H500" s="33"/>
      <c r="I500" s="60"/>
      <c r="J500" s="27"/>
      <c r="K500" s="47"/>
      <c r="L500" s="33"/>
      <c r="M500" s="60"/>
      <c r="N500" s="27"/>
      <c r="O500" s="47"/>
      <c r="P500" s="33"/>
      <c r="Q500" s="60"/>
      <c r="R500" s="27"/>
      <c r="S500" s="47"/>
      <c r="T500" s="33"/>
      <c r="U500" s="60"/>
      <c r="V500" s="27"/>
      <c r="W500" s="33"/>
      <c r="X500" s="47"/>
      <c r="Y500" s="48"/>
    </row>
    <row r="501" spans="2:25" s="38" customFormat="1" x14ac:dyDescent="0.25">
      <c r="B501" s="49"/>
      <c r="C501" s="70"/>
      <c r="D501" s="42"/>
      <c r="F501" s="33"/>
      <c r="G501" s="47"/>
      <c r="H501" s="33"/>
      <c r="I501" s="60"/>
      <c r="J501" s="27"/>
      <c r="K501" s="47"/>
      <c r="L501" s="33"/>
      <c r="M501" s="60"/>
      <c r="N501" s="27"/>
      <c r="O501" s="47"/>
      <c r="P501" s="33"/>
      <c r="Q501" s="60"/>
      <c r="R501" s="27"/>
      <c r="S501" s="47"/>
      <c r="T501" s="33"/>
      <c r="U501" s="60"/>
      <c r="V501" s="27"/>
      <c r="W501" s="33"/>
      <c r="X501" s="47"/>
      <c r="Y501" s="48"/>
    </row>
    <row r="502" spans="2:25" s="38" customFormat="1" x14ac:dyDescent="0.25">
      <c r="B502" s="49"/>
      <c r="C502" s="70"/>
      <c r="D502" s="42"/>
      <c r="F502" s="33"/>
      <c r="G502" s="47"/>
      <c r="H502" s="33"/>
      <c r="I502" s="60"/>
      <c r="J502" s="27"/>
      <c r="K502" s="47"/>
      <c r="L502" s="33"/>
      <c r="M502" s="60"/>
      <c r="N502" s="27"/>
      <c r="O502" s="47"/>
      <c r="P502" s="33"/>
      <c r="Q502" s="60"/>
      <c r="R502" s="27"/>
      <c r="S502" s="47"/>
      <c r="T502" s="33"/>
      <c r="U502" s="60"/>
      <c r="V502" s="27"/>
      <c r="W502" s="33"/>
      <c r="X502" s="47"/>
      <c r="Y502" s="48"/>
    </row>
    <row r="503" spans="2:25" s="38" customFormat="1" x14ac:dyDescent="0.25">
      <c r="B503" s="49"/>
      <c r="C503" s="70"/>
      <c r="D503" s="42"/>
      <c r="F503" s="33"/>
      <c r="G503" s="47"/>
      <c r="H503" s="33"/>
      <c r="I503" s="60"/>
      <c r="J503" s="27"/>
      <c r="K503" s="47"/>
      <c r="L503" s="33"/>
      <c r="M503" s="60"/>
      <c r="N503" s="27"/>
      <c r="O503" s="47"/>
      <c r="P503" s="33"/>
      <c r="Q503" s="60"/>
      <c r="R503" s="27"/>
      <c r="S503" s="47"/>
      <c r="T503" s="33"/>
      <c r="U503" s="60"/>
      <c r="V503" s="27"/>
      <c r="W503" s="33"/>
      <c r="X503" s="47"/>
      <c r="Y503" s="48"/>
    </row>
    <row r="504" spans="2:25" s="38" customFormat="1" x14ac:dyDescent="0.25">
      <c r="B504" s="49"/>
      <c r="C504" s="70"/>
      <c r="D504" s="42"/>
      <c r="F504" s="33"/>
      <c r="G504" s="47"/>
      <c r="H504" s="33"/>
      <c r="I504" s="60"/>
      <c r="J504" s="27"/>
      <c r="K504" s="47"/>
      <c r="L504" s="33"/>
      <c r="M504" s="60"/>
      <c r="N504" s="27"/>
      <c r="O504" s="47"/>
      <c r="P504" s="33"/>
      <c r="Q504" s="60"/>
      <c r="R504" s="27"/>
      <c r="S504" s="47"/>
      <c r="T504" s="33"/>
      <c r="U504" s="60"/>
      <c r="V504" s="27"/>
      <c r="W504" s="33"/>
      <c r="X504" s="47"/>
      <c r="Y504" s="48"/>
    </row>
    <row r="505" spans="2:25" s="38" customFormat="1" x14ac:dyDescent="0.25">
      <c r="B505" s="49"/>
      <c r="C505" s="70"/>
      <c r="D505" s="42"/>
      <c r="F505" s="33"/>
      <c r="G505" s="47"/>
      <c r="H505" s="33"/>
      <c r="I505" s="60"/>
      <c r="J505" s="27"/>
      <c r="K505" s="47"/>
      <c r="L505" s="33"/>
      <c r="M505" s="60"/>
      <c r="N505" s="27"/>
      <c r="O505" s="47"/>
      <c r="P505" s="33"/>
      <c r="Q505" s="60"/>
      <c r="R505" s="27"/>
      <c r="S505" s="47"/>
      <c r="T505" s="33"/>
      <c r="U505" s="60"/>
      <c r="V505" s="27"/>
      <c r="W505" s="33"/>
      <c r="X505" s="47"/>
      <c r="Y505" s="48"/>
    </row>
    <row r="506" spans="2:25" s="38" customFormat="1" x14ac:dyDescent="0.25">
      <c r="B506" s="49"/>
      <c r="C506" s="70"/>
      <c r="D506" s="42"/>
      <c r="F506" s="33"/>
      <c r="G506" s="47"/>
      <c r="H506" s="33"/>
      <c r="I506" s="60"/>
      <c r="J506" s="27"/>
      <c r="K506" s="47"/>
      <c r="L506" s="33"/>
      <c r="M506" s="60"/>
      <c r="N506" s="27"/>
      <c r="O506" s="47"/>
      <c r="P506" s="33"/>
      <c r="Q506" s="60"/>
      <c r="R506" s="27"/>
      <c r="S506" s="47"/>
      <c r="T506" s="33"/>
      <c r="U506" s="60"/>
      <c r="V506" s="27"/>
      <c r="W506" s="33"/>
      <c r="X506" s="47"/>
      <c r="Y506" s="48"/>
    </row>
    <row r="507" spans="2:25" s="38" customFormat="1" x14ac:dyDescent="0.25">
      <c r="B507" s="49"/>
      <c r="C507" s="70"/>
      <c r="D507" s="42"/>
      <c r="F507" s="33"/>
      <c r="G507" s="47"/>
      <c r="H507" s="33"/>
      <c r="I507" s="60"/>
      <c r="J507" s="27"/>
      <c r="K507" s="47"/>
      <c r="L507" s="33"/>
      <c r="M507" s="60"/>
      <c r="N507" s="27"/>
      <c r="O507" s="47"/>
      <c r="P507" s="33"/>
      <c r="Q507" s="60"/>
      <c r="R507" s="27"/>
      <c r="S507" s="47"/>
      <c r="T507" s="33"/>
      <c r="U507" s="60"/>
      <c r="V507" s="27"/>
      <c r="W507" s="33"/>
      <c r="X507" s="47"/>
      <c r="Y507" s="48"/>
    </row>
    <row r="508" spans="2:25" s="38" customFormat="1" x14ac:dyDescent="0.25">
      <c r="B508" s="49"/>
      <c r="C508" s="70"/>
      <c r="D508" s="42"/>
      <c r="F508" s="33"/>
      <c r="G508" s="47"/>
      <c r="H508" s="33"/>
      <c r="I508" s="60"/>
      <c r="J508" s="27"/>
      <c r="K508" s="47"/>
      <c r="L508" s="33"/>
      <c r="M508" s="60"/>
      <c r="N508" s="27"/>
      <c r="O508" s="47"/>
      <c r="P508" s="33"/>
      <c r="Q508" s="60"/>
      <c r="R508" s="27"/>
      <c r="S508" s="47"/>
      <c r="T508" s="33"/>
      <c r="U508" s="60"/>
      <c r="V508" s="27"/>
      <c r="W508" s="33"/>
      <c r="X508" s="47"/>
      <c r="Y508" s="48"/>
    </row>
    <row r="509" spans="2:25" s="38" customFormat="1" x14ac:dyDescent="0.25">
      <c r="B509" s="49"/>
      <c r="C509" s="70"/>
      <c r="D509" s="42"/>
      <c r="F509" s="33"/>
      <c r="G509" s="47"/>
      <c r="H509" s="33"/>
      <c r="I509" s="60"/>
      <c r="J509" s="27"/>
      <c r="K509" s="47"/>
      <c r="L509" s="33"/>
      <c r="M509" s="60"/>
      <c r="N509" s="27"/>
      <c r="O509" s="47"/>
      <c r="P509" s="33"/>
      <c r="Q509" s="60"/>
      <c r="R509" s="27"/>
      <c r="S509" s="47"/>
      <c r="T509" s="33"/>
      <c r="U509" s="60"/>
      <c r="V509" s="27"/>
      <c r="W509" s="33"/>
      <c r="X509" s="47"/>
      <c r="Y509" s="48"/>
    </row>
    <row r="510" spans="2:25" s="38" customFormat="1" x14ac:dyDescent="0.25">
      <c r="B510" s="49"/>
      <c r="C510" s="70"/>
      <c r="D510" s="42"/>
      <c r="F510" s="33"/>
      <c r="G510" s="47"/>
      <c r="H510" s="33"/>
      <c r="I510" s="60"/>
      <c r="J510" s="27"/>
      <c r="K510" s="47"/>
      <c r="L510" s="33"/>
      <c r="M510" s="60"/>
      <c r="N510" s="27"/>
      <c r="O510" s="47"/>
      <c r="P510" s="33"/>
      <c r="Q510" s="60"/>
      <c r="R510" s="27"/>
      <c r="S510" s="47"/>
      <c r="T510" s="33"/>
      <c r="U510" s="60"/>
      <c r="V510" s="27"/>
      <c r="W510" s="33"/>
      <c r="X510" s="47"/>
      <c r="Y510" s="48"/>
    </row>
    <row r="511" spans="2:25" s="38" customFormat="1" x14ac:dyDescent="0.25">
      <c r="B511" s="49"/>
      <c r="C511" s="70"/>
      <c r="D511" s="42"/>
      <c r="F511" s="33"/>
      <c r="G511" s="47"/>
      <c r="H511" s="33"/>
      <c r="I511" s="60"/>
      <c r="J511" s="27"/>
      <c r="K511" s="47"/>
      <c r="L511" s="33"/>
      <c r="M511" s="60"/>
      <c r="N511" s="27"/>
      <c r="O511" s="47"/>
      <c r="P511" s="33"/>
      <c r="Q511" s="60"/>
      <c r="R511" s="27"/>
      <c r="S511" s="47"/>
      <c r="T511" s="33"/>
      <c r="U511" s="60"/>
      <c r="V511" s="27"/>
      <c r="W511" s="33"/>
      <c r="X511" s="47"/>
      <c r="Y511" s="48"/>
    </row>
    <row r="512" spans="2:25" s="38" customFormat="1" x14ac:dyDescent="0.25">
      <c r="B512" s="49"/>
      <c r="C512" s="70"/>
      <c r="D512" s="42"/>
      <c r="F512" s="33"/>
      <c r="G512" s="47"/>
      <c r="H512" s="33"/>
      <c r="I512" s="60"/>
      <c r="J512" s="27"/>
      <c r="K512" s="47"/>
      <c r="L512" s="33"/>
      <c r="M512" s="60"/>
      <c r="N512" s="27"/>
      <c r="O512" s="47"/>
      <c r="P512" s="33"/>
      <c r="Q512" s="60"/>
      <c r="R512" s="27"/>
      <c r="S512" s="47"/>
      <c r="T512" s="33"/>
      <c r="U512" s="60"/>
      <c r="V512" s="27"/>
      <c r="W512" s="33"/>
      <c r="X512" s="47"/>
      <c r="Y512" s="48"/>
    </row>
    <row r="513" spans="2:25" s="38" customFormat="1" x14ac:dyDescent="0.25">
      <c r="B513" s="49"/>
      <c r="C513" s="70"/>
      <c r="D513" s="42"/>
      <c r="F513" s="33"/>
      <c r="G513" s="47"/>
      <c r="H513" s="33"/>
      <c r="I513" s="60"/>
      <c r="J513" s="27"/>
      <c r="K513" s="47"/>
      <c r="L513" s="33"/>
      <c r="M513" s="60"/>
      <c r="N513" s="27"/>
      <c r="O513" s="47"/>
      <c r="P513" s="33"/>
      <c r="Q513" s="60"/>
      <c r="R513" s="27"/>
      <c r="S513" s="47"/>
      <c r="T513" s="33"/>
      <c r="U513" s="60"/>
      <c r="V513" s="27"/>
      <c r="W513" s="33"/>
      <c r="X513" s="47"/>
      <c r="Y513" s="48"/>
    </row>
    <row r="514" spans="2:25" s="38" customFormat="1" x14ac:dyDescent="0.25">
      <c r="B514" s="49"/>
      <c r="C514" s="70"/>
      <c r="D514" s="42"/>
      <c r="F514" s="33"/>
      <c r="G514" s="47"/>
      <c r="H514" s="33"/>
      <c r="I514" s="60"/>
      <c r="J514" s="27"/>
      <c r="K514" s="47"/>
      <c r="L514" s="33"/>
      <c r="M514" s="60"/>
      <c r="N514" s="27"/>
      <c r="O514" s="47"/>
      <c r="P514" s="33"/>
      <c r="Q514" s="60"/>
      <c r="R514" s="27"/>
      <c r="S514" s="47"/>
      <c r="T514" s="33"/>
      <c r="U514" s="60"/>
      <c r="V514" s="27"/>
      <c r="W514" s="33"/>
      <c r="X514" s="47"/>
      <c r="Y514" s="48"/>
    </row>
    <row r="515" spans="2:25" s="38" customFormat="1" x14ac:dyDescent="0.25">
      <c r="B515" s="49"/>
      <c r="C515" s="70"/>
      <c r="D515" s="42"/>
      <c r="F515" s="33"/>
      <c r="G515" s="47"/>
      <c r="H515" s="33"/>
      <c r="I515" s="60"/>
      <c r="J515" s="27"/>
      <c r="K515" s="47"/>
      <c r="L515" s="33"/>
      <c r="M515" s="60"/>
      <c r="N515" s="27"/>
      <c r="O515" s="47"/>
      <c r="P515" s="33"/>
      <c r="Q515" s="60"/>
      <c r="R515" s="27"/>
      <c r="S515" s="47"/>
      <c r="T515" s="33"/>
      <c r="U515" s="60"/>
      <c r="V515" s="27"/>
      <c r="W515" s="33"/>
      <c r="X515" s="47"/>
      <c r="Y515" s="48"/>
    </row>
    <row r="516" spans="2:25" s="38" customFormat="1" x14ac:dyDescent="0.25">
      <c r="B516" s="49"/>
      <c r="C516" s="70"/>
      <c r="D516" s="42"/>
      <c r="F516" s="33"/>
      <c r="G516" s="47"/>
      <c r="H516" s="33"/>
      <c r="I516" s="60"/>
      <c r="J516" s="27"/>
      <c r="K516" s="47"/>
      <c r="L516" s="33"/>
      <c r="M516" s="60"/>
      <c r="N516" s="27"/>
      <c r="O516" s="47"/>
      <c r="P516" s="33"/>
      <c r="Q516" s="60"/>
      <c r="R516" s="27"/>
      <c r="S516" s="47"/>
      <c r="T516" s="33"/>
      <c r="U516" s="60"/>
      <c r="V516" s="27"/>
      <c r="W516" s="33"/>
      <c r="X516" s="47"/>
      <c r="Y516" s="48"/>
    </row>
    <row r="517" spans="2:25" s="38" customFormat="1" x14ac:dyDescent="0.25">
      <c r="B517" s="49"/>
      <c r="C517" s="70"/>
      <c r="D517" s="42"/>
      <c r="F517" s="33"/>
      <c r="G517" s="47"/>
      <c r="H517" s="33"/>
      <c r="I517" s="60"/>
      <c r="J517" s="27"/>
      <c r="K517" s="47"/>
      <c r="L517" s="33"/>
      <c r="M517" s="60"/>
      <c r="N517" s="27"/>
      <c r="O517" s="47"/>
      <c r="P517" s="33"/>
      <c r="Q517" s="60"/>
      <c r="R517" s="27"/>
      <c r="S517" s="47"/>
      <c r="T517" s="33"/>
      <c r="U517" s="60"/>
      <c r="V517" s="27"/>
      <c r="W517" s="33"/>
      <c r="X517" s="47"/>
      <c r="Y517" s="48"/>
    </row>
    <row r="518" spans="2:25" s="38" customFormat="1" x14ac:dyDescent="0.25">
      <c r="B518" s="49"/>
      <c r="C518" s="70"/>
      <c r="D518" s="42"/>
      <c r="F518" s="33"/>
      <c r="G518" s="47"/>
      <c r="H518" s="33"/>
      <c r="I518" s="60"/>
      <c r="J518" s="27"/>
      <c r="K518" s="47"/>
      <c r="L518" s="33"/>
      <c r="M518" s="60"/>
      <c r="N518" s="27"/>
      <c r="O518" s="47"/>
      <c r="P518" s="33"/>
      <c r="Q518" s="60"/>
      <c r="R518" s="27"/>
      <c r="S518" s="47"/>
      <c r="T518" s="33"/>
      <c r="U518" s="60"/>
      <c r="V518" s="27"/>
      <c r="W518" s="33"/>
      <c r="X518" s="47"/>
      <c r="Y518" s="48"/>
    </row>
    <row r="519" spans="2:25" s="38" customFormat="1" x14ac:dyDescent="0.25">
      <c r="B519" s="49"/>
      <c r="C519" s="70"/>
      <c r="D519" s="42"/>
      <c r="F519" s="33"/>
      <c r="G519" s="47"/>
      <c r="H519" s="33"/>
      <c r="I519" s="60"/>
      <c r="J519" s="27"/>
      <c r="K519" s="47"/>
      <c r="L519" s="33"/>
      <c r="M519" s="60"/>
      <c r="N519" s="27"/>
      <c r="O519" s="47"/>
      <c r="P519" s="33"/>
      <c r="Q519" s="60"/>
      <c r="R519" s="27"/>
      <c r="S519" s="47"/>
      <c r="T519" s="33"/>
      <c r="U519" s="60"/>
      <c r="V519" s="27"/>
      <c r="W519" s="33"/>
      <c r="X519" s="47"/>
      <c r="Y519" s="48"/>
    </row>
    <row r="520" spans="2:25" s="38" customFormat="1" x14ac:dyDescent="0.25">
      <c r="B520" s="49"/>
      <c r="C520" s="70"/>
      <c r="D520" s="42"/>
      <c r="F520" s="33"/>
      <c r="G520" s="47"/>
      <c r="H520" s="33"/>
      <c r="I520" s="60"/>
      <c r="J520" s="27"/>
      <c r="K520" s="47"/>
      <c r="L520" s="33"/>
      <c r="M520" s="60"/>
      <c r="N520" s="27"/>
      <c r="O520" s="47"/>
      <c r="P520" s="33"/>
      <c r="Q520" s="60"/>
      <c r="R520" s="27"/>
      <c r="S520" s="47"/>
      <c r="T520" s="33"/>
      <c r="U520" s="60"/>
      <c r="V520" s="27"/>
      <c r="W520" s="33"/>
      <c r="X520" s="47"/>
      <c r="Y520" s="48"/>
    </row>
    <row r="521" spans="2:25" s="38" customFormat="1" x14ac:dyDescent="0.25">
      <c r="B521" s="49"/>
      <c r="C521" s="70"/>
      <c r="D521" s="42"/>
      <c r="F521" s="33"/>
      <c r="G521" s="47"/>
      <c r="H521" s="33"/>
      <c r="I521" s="60"/>
      <c r="J521" s="27"/>
      <c r="K521" s="47"/>
      <c r="L521" s="33"/>
      <c r="M521" s="60"/>
      <c r="N521" s="27"/>
      <c r="O521" s="47"/>
      <c r="P521" s="33"/>
      <c r="Q521" s="60"/>
      <c r="R521" s="27"/>
      <c r="S521" s="47"/>
      <c r="T521" s="33"/>
      <c r="U521" s="60"/>
      <c r="V521" s="27"/>
      <c r="W521" s="33"/>
      <c r="X521" s="47"/>
      <c r="Y521" s="48"/>
    </row>
    <row r="522" spans="2:25" s="38" customFormat="1" x14ac:dyDescent="0.25">
      <c r="B522" s="49"/>
      <c r="C522" s="70"/>
      <c r="D522" s="42"/>
      <c r="F522" s="33"/>
      <c r="G522" s="47"/>
      <c r="H522" s="33"/>
      <c r="I522" s="60"/>
      <c r="J522" s="27"/>
      <c r="K522" s="47"/>
      <c r="L522" s="33"/>
      <c r="M522" s="60"/>
      <c r="N522" s="27"/>
      <c r="O522" s="47"/>
      <c r="P522" s="33"/>
      <c r="Q522" s="60"/>
      <c r="R522" s="27"/>
      <c r="S522" s="47"/>
      <c r="T522" s="33"/>
      <c r="U522" s="60"/>
      <c r="V522" s="27"/>
      <c r="W522" s="33"/>
      <c r="X522" s="47"/>
      <c r="Y522" s="48"/>
    </row>
    <row r="523" spans="2:25" s="38" customFormat="1" x14ac:dyDescent="0.25">
      <c r="B523" s="49"/>
      <c r="C523" s="70"/>
      <c r="D523" s="42"/>
      <c r="F523" s="33"/>
      <c r="G523" s="47"/>
      <c r="H523" s="33"/>
      <c r="I523" s="60"/>
      <c r="J523" s="27"/>
      <c r="K523" s="47"/>
      <c r="L523" s="33"/>
      <c r="M523" s="60"/>
      <c r="N523" s="27"/>
      <c r="O523" s="47"/>
      <c r="P523" s="33"/>
      <c r="Q523" s="60"/>
      <c r="R523" s="27"/>
      <c r="S523" s="47"/>
      <c r="T523" s="33"/>
      <c r="U523" s="60"/>
      <c r="V523" s="27"/>
      <c r="W523" s="33"/>
      <c r="X523" s="47"/>
      <c r="Y523" s="48"/>
    </row>
    <row r="524" spans="2:25" s="38" customFormat="1" x14ac:dyDescent="0.25">
      <c r="B524" s="49"/>
      <c r="C524" s="70"/>
      <c r="D524" s="42"/>
      <c r="F524" s="33"/>
      <c r="G524" s="47"/>
      <c r="H524" s="33"/>
      <c r="I524" s="60"/>
      <c r="J524" s="27"/>
      <c r="K524" s="47"/>
      <c r="L524" s="33"/>
      <c r="M524" s="60"/>
      <c r="N524" s="27"/>
      <c r="O524" s="47"/>
      <c r="P524" s="33"/>
      <c r="Q524" s="60"/>
      <c r="R524" s="27"/>
      <c r="S524" s="47"/>
      <c r="T524" s="33"/>
      <c r="U524" s="60"/>
      <c r="V524" s="27"/>
      <c r="W524" s="33"/>
      <c r="X524" s="47"/>
      <c r="Y524" s="48"/>
    </row>
    <row r="525" spans="2:25" s="38" customFormat="1" x14ac:dyDescent="0.25">
      <c r="B525" s="49"/>
      <c r="C525" s="70"/>
      <c r="D525" s="42"/>
      <c r="F525" s="33"/>
      <c r="G525" s="47"/>
      <c r="H525" s="33"/>
      <c r="I525" s="60"/>
      <c r="J525" s="27"/>
      <c r="K525" s="47"/>
      <c r="L525" s="33"/>
      <c r="M525" s="60"/>
      <c r="N525" s="27"/>
      <c r="O525" s="47"/>
      <c r="P525" s="33"/>
      <c r="Q525" s="60"/>
      <c r="R525" s="27"/>
      <c r="S525" s="47"/>
      <c r="T525" s="33"/>
      <c r="U525" s="60"/>
      <c r="V525" s="27"/>
      <c r="W525" s="33"/>
      <c r="X525" s="47"/>
      <c r="Y525" s="48"/>
    </row>
    <row r="526" spans="2:25" s="38" customFormat="1" x14ac:dyDescent="0.25">
      <c r="B526" s="49"/>
      <c r="C526" s="70"/>
      <c r="D526" s="42"/>
      <c r="F526" s="33"/>
      <c r="G526" s="47"/>
      <c r="H526" s="33"/>
      <c r="I526" s="60"/>
      <c r="J526" s="27"/>
      <c r="K526" s="47"/>
      <c r="L526" s="33"/>
      <c r="M526" s="60"/>
      <c r="N526" s="27"/>
      <c r="O526" s="47"/>
      <c r="P526" s="33"/>
      <c r="Q526" s="60"/>
      <c r="R526" s="27"/>
      <c r="S526" s="47"/>
      <c r="T526" s="33"/>
      <c r="U526" s="60"/>
      <c r="V526" s="27"/>
      <c r="W526" s="33"/>
      <c r="X526" s="47"/>
      <c r="Y526" s="48"/>
    </row>
    <row r="527" spans="2:25" s="38" customFormat="1" x14ac:dyDescent="0.25">
      <c r="B527" s="49"/>
      <c r="C527" s="70"/>
      <c r="D527" s="42"/>
      <c r="F527" s="33"/>
      <c r="G527" s="47"/>
      <c r="H527" s="33"/>
      <c r="I527" s="60"/>
      <c r="J527" s="27"/>
      <c r="K527" s="47"/>
      <c r="L527" s="33"/>
      <c r="M527" s="60"/>
      <c r="N527" s="27"/>
      <c r="O527" s="47"/>
      <c r="P527" s="33"/>
      <c r="Q527" s="60"/>
      <c r="R527" s="27"/>
      <c r="S527" s="47"/>
      <c r="T527" s="33"/>
      <c r="U527" s="60"/>
      <c r="V527" s="27"/>
      <c r="W527" s="33"/>
      <c r="X527" s="47"/>
      <c r="Y527" s="48"/>
    </row>
    <row r="528" spans="2:25" s="38" customFormat="1" x14ac:dyDescent="0.25">
      <c r="B528" s="49"/>
      <c r="C528" s="70"/>
      <c r="D528" s="42"/>
      <c r="F528" s="33"/>
      <c r="G528" s="47"/>
      <c r="H528" s="33"/>
      <c r="I528" s="60"/>
      <c r="J528" s="27"/>
      <c r="K528" s="47"/>
      <c r="L528" s="33"/>
      <c r="M528" s="60"/>
      <c r="N528" s="27"/>
      <c r="O528" s="47"/>
      <c r="P528" s="33"/>
      <c r="Q528" s="60"/>
      <c r="R528" s="27"/>
      <c r="S528" s="47"/>
      <c r="T528" s="33"/>
      <c r="U528" s="60"/>
      <c r="V528" s="27"/>
      <c r="W528" s="33"/>
      <c r="X528" s="47"/>
      <c r="Y528" s="48"/>
    </row>
    <row r="529" spans="2:25" s="38" customFormat="1" x14ac:dyDescent="0.25">
      <c r="B529" s="49"/>
      <c r="C529" s="70"/>
      <c r="D529" s="42"/>
      <c r="F529" s="33"/>
      <c r="G529" s="47"/>
      <c r="H529" s="33"/>
      <c r="I529" s="60"/>
      <c r="J529" s="27"/>
      <c r="K529" s="47"/>
      <c r="L529" s="33"/>
      <c r="M529" s="60"/>
      <c r="N529" s="27"/>
      <c r="O529" s="47"/>
      <c r="P529" s="33"/>
      <c r="Q529" s="60"/>
      <c r="R529" s="27"/>
      <c r="S529" s="47"/>
      <c r="T529" s="33"/>
      <c r="U529" s="60"/>
      <c r="V529" s="27"/>
      <c r="W529" s="33"/>
      <c r="X529" s="47"/>
      <c r="Y529" s="48"/>
    </row>
    <row r="530" spans="2:25" s="38" customFormat="1" x14ac:dyDescent="0.25">
      <c r="B530" s="49"/>
      <c r="C530" s="70"/>
      <c r="D530" s="42"/>
      <c r="F530" s="33"/>
      <c r="G530" s="47"/>
      <c r="H530" s="33"/>
      <c r="I530" s="60"/>
      <c r="J530" s="27"/>
      <c r="K530" s="47"/>
      <c r="L530" s="33"/>
      <c r="M530" s="60"/>
      <c r="N530" s="27"/>
      <c r="O530" s="47"/>
      <c r="P530" s="33"/>
      <c r="Q530" s="60"/>
      <c r="R530" s="27"/>
      <c r="S530" s="47"/>
      <c r="T530" s="33"/>
      <c r="U530" s="60"/>
      <c r="V530" s="27"/>
      <c r="W530" s="33"/>
      <c r="X530" s="47"/>
      <c r="Y530" s="48"/>
    </row>
    <row r="531" spans="2:25" s="38" customFormat="1" x14ac:dyDescent="0.25">
      <c r="B531" s="49"/>
      <c r="C531" s="70"/>
      <c r="D531" s="42"/>
      <c r="F531" s="33"/>
      <c r="G531" s="47"/>
      <c r="H531" s="33"/>
      <c r="I531" s="60"/>
      <c r="J531" s="27"/>
      <c r="K531" s="47"/>
      <c r="L531" s="33"/>
      <c r="M531" s="60"/>
      <c r="N531" s="27"/>
      <c r="O531" s="47"/>
      <c r="P531" s="33"/>
      <c r="Q531" s="60"/>
      <c r="R531" s="27"/>
      <c r="S531" s="47"/>
      <c r="T531" s="33"/>
      <c r="U531" s="60"/>
      <c r="V531" s="27"/>
      <c r="W531" s="33"/>
      <c r="X531" s="47"/>
      <c r="Y531" s="48"/>
    </row>
    <row r="532" spans="2:25" s="38" customFormat="1" x14ac:dyDescent="0.25">
      <c r="B532" s="49"/>
      <c r="C532" s="70"/>
      <c r="D532" s="42"/>
      <c r="F532" s="33"/>
      <c r="G532" s="47"/>
      <c r="H532" s="33"/>
      <c r="I532" s="60"/>
      <c r="J532" s="27"/>
      <c r="K532" s="47"/>
      <c r="L532" s="33"/>
      <c r="M532" s="60"/>
      <c r="N532" s="27"/>
      <c r="O532" s="47"/>
      <c r="P532" s="33"/>
      <c r="Q532" s="60"/>
      <c r="R532" s="27"/>
      <c r="S532" s="47"/>
      <c r="T532" s="33"/>
      <c r="U532" s="60"/>
      <c r="V532" s="27"/>
      <c r="W532" s="33"/>
      <c r="X532" s="47"/>
      <c r="Y532" s="48"/>
    </row>
    <row r="533" spans="2:25" s="38" customFormat="1" x14ac:dyDescent="0.25">
      <c r="B533" s="49"/>
      <c r="C533" s="70"/>
      <c r="D533" s="42"/>
      <c r="F533" s="33"/>
      <c r="G533" s="47"/>
      <c r="H533" s="33"/>
      <c r="I533" s="60"/>
      <c r="J533" s="27"/>
      <c r="K533" s="47"/>
      <c r="L533" s="33"/>
      <c r="M533" s="60"/>
      <c r="N533" s="27"/>
      <c r="O533" s="47"/>
      <c r="P533" s="33"/>
      <c r="Q533" s="60"/>
      <c r="R533" s="27"/>
      <c r="S533" s="47"/>
      <c r="T533" s="33"/>
      <c r="U533" s="60"/>
      <c r="V533" s="27"/>
      <c r="W533" s="33"/>
      <c r="X533" s="47"/>
      <c r="Y533" s="48"/>
    </row>
    <row r="534" spans="2:25" s="38" customFormat="1" x14ac:dyDescent="0.25">
      <c r="B534" s="49"/>
      <c r="C534" s="70"/>
      <c r="D534" s="42"/>
      <c r="F534" s="33"/>
      <c r="G534" s="47"/>
      <c r="H534" s="33"/>
      <c r="I534" s="60"/>
      <c r="J534" s="27"/>
      <c r="K534" s="47"/>
      <c r="L534" s="33"/>
      <c r="M534" s="60"/>
      <c r="N534" s="27"/>
      <c r="O534" s="47"/>
      <c r="P534" s="33"/>
      <c r="Q534" s="60"/>
      <c r="R534" s="27"/>
      <c r="S534" s="47"/>
      <c r="T534" s="33"/>
      <c r="U534" s="60"/>
      <c r="V534" s="27"/>
      <c r="W534" s="33"/>
      <c r="X534" s="47"/>
      <c r="Y534" s="48"/>
    </row>
    <row r="535" spans="2:25" s="38" customFormat="1" x14ac:dyDescent="0.25">
      <c r="B535" s="49"/>
      <c r="C535" s="70"/>
      <c r="D535" s="42"/>
      <c r="F535" s="33"/>
      <c r="G535" s="47"/>
      <c r="H535" s="33"/>
      <c r="I535" s="60"/>
      <c r="J535" s="27"/>
      <c r="K535" s="47"/>
      <c r="L535" s="33"/>
      <c r="M535" s="60"/>
      <c r="N535" s="27"/>
      <c r="O535" s="47"/>
      <c r="P535" s="33"/>
      <c r="Q535" s="60"/>
      <c r="R535" s="27"/>
      <c r="S535" s="47"/>
      <c r="T535" s="33"/>
      <c r="U535" s="60"/>
      <c r="V535" s="27"/>
      <c r="W535" s="33"/>
      <c r="X535" s="47"/>
      <c r="Y535" s="48"/>
    </row>
    <row r="536" spans="2:25" s="38" customFormat="1" x14ac:dyDescent="0.25">
      <c r="B536" s="49"/>
      <c r="C536" s="70"/>
      <c r="D536" s="42"/>
      <c r="F536" s="33"/>
      <c r="G536" s="47"/>
      <c r="H536" s="33"/>
      <c r="I536" s="60"/>
      <c r="J536" s="27"/>
      <c r="K536" s="47"/>
      <c r="L536" s="33"/>
      <c r="M536" s="60"/>
      <c r="N536" s="27"/>
      <c r="O536" s="47"/>
      <c r="P536" s="33"/>
      <c r="Q536" s="60"/>
      <c r="R536" s="27"/>
      <c r="S536" s="47"/>
      <c r="T536" s="33"/>
      <c r="U536" s="60"/>
      <c r="V536" s="27"/>
      <c r="W536" s="33"/>
      <c r="X536" s="47"/>
      <c r="Y536" s="48"/>
    </row>
    <row r="537" spans="2:25" s="38" customFormat="1" x14ac:dyDescent="0.25">
      <c r="B537" s="49"/>
      <c r="C537" s="70"/>
      <c r="D537" s="42"/>
      <c r="F537" s="33"/>
      <c r="G537" s="47"/>
      <c r="H537" s="33"/>
      <c r="I537" s="60"/>
      <c r="J537" s="27"/>
      <c r="K537" s="47"/>
      <c r="L537" s="33"/>
      <c r="M537" s="60"/>
      <c r="N537" s="27"/>
      <c r="O537" s="47"/>
      <c r="P537" s="33"/>
      <c r="Q537" s="60"/>
      <c r="R537" s="27"/>
      <c r="S537" s="47"/>
      <c r="T537" s="33"/>
      <c r="U537" s="60"/>
      <c r="V537" s="27"/>
      <c r="W537" s="33"/>
      <c r="X537" s="47"/>
      <c r="Y537" s="48"/>
    </row>
    <row r="538" spans="2:25" s="38" customFormat="1" x14ac:dyDescent="0.25">
      <c r="B538" s="49"/>
      <c r="C538" s="70"/>
      <c r="D538" s="42"/>
      <c r="F538" s="33"/>
      <c r="G538" s="47"/>
      <c r="H538" s="33"/>
      <c r="I538" s="60"/>
      <c r="J538" s="27"/>
      <c r="K538" s="47"/>
      <c r="L538" s="33"/>
      <c r="M538" s="60"/>
      <c r="N538" s="27"/>
      <c r="O538" s="47"/>
      <c r="P538" s="33"/>
      <c r="Q538" s="60"/>
      <c r="R538" s="27"/>
      <c r="S538" s="47"/>
      <c r="T538" s="33"/>
      <c r="U538" s="60"/>
      <c r="V538" s="27"/>
      <c r="W538" s="33"/>
      <c r="X538" s="47"/>
      <c r="Y538" s="48"/>
    </row>
    <row r="539" spans="2:25" s="38" customFormat="1" x14ac:dyDescent="0.25">
      <c r="B539" s="49"/>
      <c r="C539" s="70"/>
      <c r="D539" s="42"/>
      <c r="F539" s="33"/>
      <c r="G539" s="47"/>
      <c r="H539" s="33"/>
      <c r="I539" s="60"/>
      <c r="J539" s="27"/>
      <c r="K539" s="47"/>
      <c r="L539" s="33"/>
      <c r="M539" s="60"/>
      <c r="N539" s="27"/>
      <c r="O539" s="47"/>
      <c r="P539" s="33"/>
      <c r="Q539" s="60"/>
      <c r="R539" s="27"/>
      <c r="S539" s="47"/>
      <c r="T539" s="33"/>
      <c r="U539" s="60"/>
      <c r="V539" s="27"/>
      <c r="W539" s="33"/>
      <c r="X539" s="47"/>
      <c r="Y539" s="48"/>
    </row>
    <row r="540" spans="2:25" s="38" customFormat="1" x14ac:dyDescent="0.25">
      <c r="B540" s="49"/>
      <c r="C540" s="70"/>
      <c r="D540" s="42"/>
      <c r="F540" s="33"/>
      <c r="G540" s="47"/>
      <c r="H540" s="33"/>
      <c r="I540" s="60"/>
      <c r="J540" s="27"/>
      <c r="K540" s="47"/>
      <c r="L540" s="33"/>
      <c r="M540" s="60"/>
      <c r="N540" s="27"/>
      <c r="O540" s="47"/>
      <c r="P540" s="33"/>
      <c r="Q540" s="60"/>
      <c r="R540" s="27"/>
      <c r="S540" s="47"/>
      <c r="T540" s="33"/>
      <c r="U540" s="60"/>
      <c r="V540" s="27"/>
      <c r="W540" s="33"/>
      <c r="X540" s="47"/>
      <c r="Y540" s="48"/>
    </row>
    <row r="541" spans="2:25" s="38" customFormat="1" x14ac:dyDescent="0.25">
      <c r="B541" s="49"/>
      <c r="C541" s="70"/>
      <c r="D541" s="42"/>
      <c r="F541" s="33"/>
      <c r="G541" s="47"/>
      <c r="H541" s="33"/>
      <c r="I541" s="60"/>
      <c r="J541" s="27"/>
      <c r="K541" s="47"/>
      <c r="L541" s="33"/>
      <c r="M541" s="60"/>
      <c r="N541" s="27"/>
      <c r="O541" s="47"/>
      <c r="P541" s="33"/>
      <c r="Q541" s="60"/>
      <c r="R541" s="27"/>
      <c r="S541" s="47"/>
      <c r="T541" s="33"/>
      <c r="U541" s="60"/>
      <c r="V541" s="27"/>
      <c r="W541" s="33"/>
      <c r="X541" s="47"/>
      <c r="Y541" s="48"/>
    </row>
    <row r="542" spans="2:25" s="38" customFormat="1" x14ac:dyDescent="0.25">
      <c r="B542" s="49"/>
      <c r="C542" s="70"/>
      <c r="D542" s="42"/>
      <c r="F542" s="33"/>
      <c r="G542" s="47"/>
      <c r="H542" s="33"/>
      <c r="I542" s="60"/>
      <c r="J542" s="27"/>
      <c r="K542" s="47"/>
      <c r="L542" s="33"/>
      <c r="M542" s="60"/>
      <c r="N542" s="27"/>
      <c r="O542" s="47"/>
      <c r="P542" s="33"/>
      <c r="Q542" s="60"/>
      <c r="R542" s="27"/>
      <c r="S542" s="47"/>
      <c r="T542" s="33"/>
      <c r="U542" s="60"/>
      <c r="V542" s="27"/>
      <c r="W542" s="33"/>
      <c r="X542" s="47"/>
      <c r="Y542" s="48"/>
    </row>
    <row r="543" spans="2:25" s="38" customFormat="1" x14ac:dyDescent="0.25">
      <c r="B543" s="49"/>
      <c r="C543" s="70"/>
      <c r="D543" s="42"/>
      <c r="F543" s="33"/>
      <c r="G543" s="47"/>
      <c r="H543" s="33"/>
      <c r="I543" s="60"/>
      <c r="J543" s="27"/>
      <c r="K543" s="47"/>
      <c r="L543" s="33"/>
      <c r="M543" s="60"/>
      <c r="N543" s="27"/>
      <c r="O543" s="47"/>
      <c r="P543" s="33"/>
      <c r="Q543" s="60"/>
      <c r="R543" s="27"/>
      <c r="S543" s="47"/>
      <c r="T543" s="33"/>
      <c r="U543" s="60"/>
      <c r="V543" s="27"/>
      <c r="W543" s="33"/>
      <c r="X543" s="47"/>
      <c r="Y543" s="48"/>
    </row>
    <row r="544" spans="2:25" s="38" customFormat="1" x14ac:dyDescent="0.25">
      <c r="B544" s="49"/>
      <c r="C544" s="70"/>
      <c r="D544" s="42"/>
      <c r="F544" s="33"/>
      <c r="G544" s="47"/>
      <c r="H544" s="33"/>
      <c r="I544" s="60"/>
      <c r="J544" s="27"/>
      <c r="K544" s="47"/>
      <c r="L544" s="33"/>
      <c r="M544" s="60"/>
      <c r="N544" s="27"/>
      <c r="O544" s="47"/>
      <c r="P544" s="33"/>
      <c r="Q544" s="60"/>
      <c r="R544" s="27"/>
      <c r="S544" s="47"/>
      <c r="T544" s="33"/>
      <c r="U544" s="60"/>
      <c r="V544" s="27"/>
      <c r="W544" s="33"/>
      <c r="X544" s="47"/>
      <c r="Y544" s="48"/>
    </row>
    <row r="545" spans="2:25" s="38" customFormat="1" x14ac:dyDescent="0.25">
      <c r="B545" s="49"/>
      <c r="C545" s="70"/>
      <c r="D545" s="42"/>
      <c r="F545" s="33"/>
      <c r="G545" s="47"/>
      <c r="H545" s="33"/>
      <c r="I545" s="60"/>
      <c r="J545" s="27"/>
      <c r="K545" s="47"/>
      <c r="L545" s="33"/>
      <c r="M545" s="60"/>
      <c r="N545" s="27"/>
      <c r="O545" s="47"/>
      <c r="P545" s="33"/>
      <c r="Q545" s="60"/>
      <c r="R545" s="27"/>
      <c r="S545" s="47"/>
      <c r="T545" s="33"/>
      <c r="U545" s="60"/>
      <c r="V545" s="27"/>
      <c r="W545" s="33"/>
      <c r="X545" s="47"/>
      <c r="Y545" s="48"/>
    </row>
    <row r="546" spans="2:25" s="38" customFormat="1" x14ac:dyDescent="0.25">
      <c r="B546" s="49"/>
      <c r="C546" s="70"/>
      <c r="D546" s="42"/>
      <c r="F546" s="33"/>
      <c r="G546" s="47"/>
      <c r="H546" s="33"/>
      <c r="I546" s="60"/>
      <c r="J546" s="27"/>
      <c r="K546" s="47"/>
      <c r="L546" s="33"/>
      <c r="M546" s="60"/>
      <c r="N546" s="27"/>
      <c r="O546" s="47"/>
      <c r="P546" s="33"/>
      <c r="Q546" s="60"/>
      <c r="R546" s="27"/>
      <c r="S546" s="47"/>
      <c r="T546" s="33"/>
      <c r="U546" s="60"/>
      <c r="V546" s="27"/>
      <c r="W546" s="33"/>
      <c r="X546" s="47"/>
      <c r="Y546" s="48"/>
    </row>
    <row r="547" spans="2:25" s="38" customFormat="1" x14ac:dyDescent="0.25">
      <c r="B547" s="49"/>
      <c r="C547" s="70"/>
      <c r="D547" s="42"/>
      <c r="F547" s="33"/>
      <c r="G547" s="47"/>
      <c r="H547" s="33"/>
      <c r="I547" s="60"/>
      <c r="J547" s="27"/>
      <c r="K547" s="47"/>
      <c r="L547" s="33"/>
      <c r="M547" s="60"/>
      <c r="N547" s="27"/>
      <c r="O547" s="47"/>
      <c r="P547" s="33"/>
      <c r="Q547" s="60"/>
      <c r="R547" s="27"/>
      <c r="S547" s="47"/>
      <c r="T547" s="33"/>
      <c r="U547" s="60"/>
      <c r="V547" s="27"/>
      <c r="W547" s="33"/>
      <c r="X547" s="47"/>
      <c r="Y547" s="48"/>
    </row>
    <row r="548" spans="2:25" s="38" customFormat="1" x14ac:dyDescent="0.25">
      <c r="B548" s="49"/>
      <c r="C548" s="70"/>
      <c r="D548" s="42"/>
      <c r="F548" s="33"/>
      <c r="G548" s="47"/>
      <c r="H548" s="33"/>
      <c r="I548" s="60"/>
      <c r="J548" s="27"/>
      <c r="K548" s="47"/>
      <c r="L548" s="33"/>
      <c r="M548" s="60"/>
      <c r="N548" s="27"/>
      <c r="O548" s="47"/>
      <c r="P548" s="33"/>
      <c r="Q548" s="60"/>
      <c r="R548" s="27"/>
      <c r="S548" s="47"/>
      <c r="T548" s="33"/>
      <c r="U548" s="60"/>
      <c r="V548" s="27"/>
      <c r="W548" s="33"/>
      <c r="X548" s="47"/>
      <c r="Y548" s="48"/>
    </row>
    <row r="549" spans="2:25" s="38" customFormat="1" x14ac:dyDescent="0.25">
      <c r="B549" s="49"/>
      <c r="C549" s="70"/>
      <c r="D549" s="42"/>
      <c r="F549" s="33"/>
      <c r="G549" s="47"/>
      <c r="H549" s="33"/>
      <c r="I549" s="60"/>
      <c r="J549" s="27"/>
      <c r="K549" s="47"/>
      <c r="L549" s="33"/>
      <c r="M549" s="60"/>
      <c r="N549" s="27"/>
      <c r="O549" s="47"/>
      <c r="P549" s="33"/>
      <c r="Q549" s="60"/>
      <c r="R549" s="27"/>
      <c r="S549" s="47"/>
      <c r="T549" s="33"/>
      <c r="U549" s="60"/>
      <c r="V549" s="27"/>
      <c r="W549" s="33"/>
      <c r="X549" s="47"/>
      <c r="Y549" s="48"/>
    </row>
    <row r="550" spans="2:25" s="38" customFormat="1" x14ac:dyDescent="0.25">
      <c r="B550" s="49"/>
      <c r="C550" s="70"/>
      <c r="D550" s="42"/>
      <c r="F550" s="33"/>
      <c r="G550" s="47"/>
      <c r="H550" s="33"/>
      <c r="I550" s="60"/>
      <c r="J550" s="27"/>
      <c r="K550" s="47"/>
      <c r="L550" s="33"/>
      <c r="M550" s="60"/>
      <c r="N550" s="27"/>
      <c r="O550" s="47"/>
      <c r="P550" s="33"/>
      <c r="Q550" s="60"/>
      <c r="R550" s="27"/>
      <c r="S550" s="47"/>
      <c r="T550" s="33"/>
      <c r="U550" s="60"/>
      <c r="V550" s="27"/>
      <c r="W550" s="33"/>
      <c r="X550" s="47"/>
      <c r="Y550" s="48"/>
    </row>
    <row r="551" spans="2:25" s="38" customFormat="1" x14ac:dyDescent="0.25">
      <c r="B551" s="49"/>
      <c r="C551" s="70"/>
      <c r="D551" s="42"/>
      <c r="F551" s="33"/>
      <c r="G551" s="47"/>
      <c r="H551" s="33"/>
      <c r="I551" s="60"/>
      <c r="J551" s="27"/>
      <c r="K551" s="47"/>
      <c r="L551" s="33"/>
      <c r="M551" s="60"/>
      <c r="N551" s="27"/>
      <c r="O551" s="47"/>
      <c r="P551" s="33"/>
      <c r="Q551" s="60"/>
      <c r="R551" s="27"/>
      <c r="S551" s="47"/>
      <c r="T551" s="33"/>
      <c r="U551" s="60"/>
      <c r="V551" s="27"/>
      <c r="W551" s="33"/>
      <c r="X551" s="47"/>
      <c r="Y551" s="48"/>
    </row>
    <row r="552" spans="2:25" s="38" customFormat="1" x14ac:dyDescent="0.25">
      <c r="B552" s="49"/>
      <c r="C552" s="70"/>
      <c r="D552" s="42"/>
      <c r="F552" s="33"/>
      <c r="G552" s="47"/>
      <c r="H552" s="33"/>
      <c r="I552" s="60"/>
      <c r="J552" s="27"/>
      <c r="K552" s="47"/>
      <c r="L552" s="33"/>
      <c r="M552" s="60"/>
      <c r="N552" s="27"/>
      <c r="O552" s="47"/>
      <c r="P552" s="33"/>
      <c r="Q552" s="60"/>
      <c r="R552" s="27"/>
      <c r="S552" s="47"/>
      <c r="T552" s="33"/>
      <c r="U552" s="60"/>
      <c r="V552" s="27"/>
      <c r="W552" s="33"/>
      <c r="X552" s="47"/>
      <c r="Y552" s="48"/>
    </row>
    <row r="553" spans="2:25" s="38" customFormat="1" x14ac:dyDescent="0.25">
      <c r="B553" s="49"/>
      <c r="C553" s="70"/>
      <c r="D553" s="42"/>
      <c r="F553" s="33"/>
      <c r="G553" s="47"/>
      <c r="H553" s="33"/>
      <c r="I553" s="60"/>
      <c r="J553" s="27"/>
      <c r="K553" s="47"/>
      <c r="L553" s="33"/>
      <c r="M553" s="60"/>
      <c r="N553" s="27"/>
      <c r="O553" s="47"/>
      <c r="P553" s="33"/>
      <c r="Q553" s="60"/>
      <c r="R553" s="27"/>
      <c r="S553" s="47"/>
      <c r="T553" s="33"/>
      <c r="U553" s="60"/>
      <c r="V553" s="27"/>
      <c r="W553" s="33"/>
      <c r="X553" s="47"/>
      <c r="Y553" s="48"/>
    </row>
    <row r="554" spans="2:25" s="38" customFormat="1" x14ac:dyDescent="0.25">
      <c r="B554" s="49"/>
      <c r="C554" s="70"/>
      <c r="D554" s="42"/>
      <c r="F554" s="33"/>
      <c r="G554" s="47"/>
      <c r="H554" s="33"/>
      <c r="I554" s="60"/>
      <c r="J554" s="27"/>
      <c r="K554" s="47"/>
      <c r="L554" s="33"/>
      <c r="M554" s="60"/>
      <c r="N554" s="27"/>
      <c r="O554" s="47"/>
      <c r="P554" s="33"/>
      <c r="Q554" s="60"/>
      <c r="R554" s="27"/>
      <c r="S554" s="47"/>
      <c r="T554" s="33"/>
      <c r="U554" s="60"/>
      <c r="V554" s="27"/>
      <c r="W554" s="33"/>
      <c r="X554" s="47"/>
      <c r="Y554" s="48"/>
    </row>
    <row r="555" spans="2:25" s="38" customFormat="1" x14ac:dyDescent="0.25">
      <c r="B555" s="49"/>
      <c r="C555" s="70"/>
      <c r="D555" s="42"/>
      <c r="F555" s="33"/>
      <c r="G555" s="47"/>
      <c r="H555" s="33"/>
      <c r="I555" s="60"/>
      <c r="J555" s="27"/>
      <c r="K555" s="47"/>
      <c r="L555" s="33"/>
      <c r="M555" s="60"/>
      <c r="N555" s="27"/>
      <c r="O555" s="47"/>
      <c r="P555" s="33"/>
      <c r="Q555" s="60"/>
      <c r="R555" s="27"/>
      <c r="S555" s="47"/>
      <c r="T555" s="33"/>
      <c r="U555" s="60"/>
      <c r="V555" s="27"/>
      <c r="W555" s="33"/>
      <c r="X555" s="47"/>
      <c r="Y555" s="48"/>
    </row>
    <row r="556" spans="2:25" s="38" customFormat="1" x14ac:dyDescent="0.25">
      <c r="B556" s="49"/>
      <c r="C556" s="70"/>
      <c r="D556" s="42"/>
      <c r="F556" s="33"/>
      <c r="G556" s="47"/>
      <c r="H556" s="33"/>
      <c r="I556" s="60"/>
      <c r="J556" s="27"/>
      <c r="K556" s="47"/>
      <c r="L556" s="33"/>
      <c r="M556" s="60"/>
      <c r="N556" s="27"/>
      <c r="O556" s="47"/>
      <c r="P556" s="33"/>
      <c r="Q556" s="60"/>
      <c r="R556" s="27"/>
      <c r="S556" s="47"/>
      <c r="T556" s="33"/>
      <c r="U556" s="60"/>
      <c r="V556" s="27"/>
      <c r="W556" s="33"/>
      <c r="X556" s="47"/>
      <c r="Y556" s="48"/>
    </row>
    <row r="557" spans="2:25" s="38" customFormat="1" x14ac:dyDescent="0.25">
      <c r="B557" s="49"/>
      <c r="C557" s="70"/>
      <c r="D557" s="42"/>
      <c r="F557" s="33"/>
      <c r="G557" s="47"/>
      <c r="H557" s="33"/>
      <c r="I557" s="60"/>
      <c r="J557" s="27"/>
      <c r="K557" s="47"/>
      <c r="L557" s="33"/>
      <c r="M557" s="60"/>
      <c r="N557" s="27"/>
      <c r="O557" s="47"/>
      <c r="P557" s="33"/>
      <c r="Q557" s="60"/>
      <c r="R557" s="27"/>
      <c r="S557" s="47"/>
      <c r="T557" s="33"/>
      <c r="U557" s="60"/>
      <c r="V557" s="27"/>
      <c r="W557" s="33"/>
      <c r="X557" s="47"/>
      <c r="Y557" s="48"/>
    </row>
    <row r="558" spans="2:25" s="38" customFormat="1" x14ac:dyDescent="0.25">
      <c r="B558" s="49"/>
      <c r="C558" s="70"/>
      <c r="D558" s="42"/>
      <c r="F558" s="33"/>
      <c r="G558" s="47"/>
      <c r="H558" s="33"/>
      <c r="I558" s="60"/>
      <c r="J558" s="27"/>
      <c r="K558" s="47"/>
      <c r="L558" s="33"/>
      <c r="M558" s="60"/>
      <c r="N558" s="27"/>
      <c r="O558" s="47"/>
      <c r="P558" s="33"/>
      <c r="Q558" s="60"/>
      <c r="R558" s="27"/>
      <c r="S558" s="47"/>
      <c r="T558" s="33"/>
      <c r="U558" s="60"/>
      <c r="V558" s="27"/>
      <c r="W558" s="33"/>
      <c r="X558" s="47"/>
      <c r="Y558" s="48"/>
    </row>
    <row r="559" spans="2:25" s="38" customFormat="1" x14ac:dyDescent="0.25">
      <c r="B559" s="49"/>
      <c r="C559" s="70"/>
      <c r="D559" s="42"/>
      <c r="F559" s="33"/>
      <c r="G559" s="47"/>
      <c r="H559" s="33"/>
      <c r="I559" s="60"/>
      <c r="J559" s="27"/>
      <c r="K559" s="47"/>
      <c r="L559" s="33"/>
      <c r="M559" s="60"/>
      <c r="N559" s="27"/>
      <c r="O559" s="47"/>
      <c r="P559" s="33"/>
      <c r="Q559" s="60"/>
      <c r="R559" s="27"/>
      <c r="S559" s="47"/>
      <c r="T559" s="33"/>
      <c r="U559" s="60"/>
      <c r="V559" s="27"/>
      <c r="W559" s="33"/>
      <c r="X559" s="47"/>
      <c r="Y559" s="48"/>
    </row>
    <row r="560" spans="2:25" s="38" customFormat="1" x14ac:dyDescent="0.25">
      <c r="B560" s="49"/>
      <c r="C560" s="70"/>
      <c r="D560" s="42"/>
      <c r="F560" s="33"/>
      <c r="G560" s="47"/>
      <c r="H560" s="33"/>
      <c r="I560" s="60"/>
      <c r="J560" s="27"/>
      <c r="K560" s="47"/>
      <c r="L560" s="33"/>
      <c r="M560" s="60"/>
      <c r="N560" s="27"/>
      <c r="O560" s="47"/>
      <c r="P560" s="33"/>
      <c r="Q560" s="60"/>
      <c r="R560" s="27"/>
      <c r="S560" s="47"/>
      <c r="T560" s="33"/>
      <c r="U560" s="60"/>
      <c r="V560" s="27"/>
      <c r="W560" s="33"/>
      <c r="X560" s="47"/>
      <c r="Y560" s="48"/>
    </row>
    <row r="561" spans="2:25" s="38" customFormat="1" x14ac:dyDescent="0.25">
      <c r="B561" s="49"/>
      <c r="C561" s="70"/>
      <c r="D561" s="42"/>
      <c r="F561" s="33"/>
      <c r="G561" s="47"/>
      <c r="H561" s="33"/>
      <c r="I561" s="60"/>
      <c r="J561" s="27"/>
      <c r="K561" s="47"/>
      <c r="L561" s="33"/>
      <c r="M561" s="60"/>
      <c r="N561" s="27"/>
      <c r="O561" s="47"/>
      <c r="P561" s="33"/>
      <c r="Q561" s="60"/>
      <c r="R561" s="27"/>
      <c r="S561" s="47"/>
      <c r="T561" s="33"/>
      <c r="U561" s="60"/>
      <c r="V561" s="27"/>
      <c r="W561" s="33"/>
      <c r="X561" s="47"/>
      <c r="Y561" s="48"/>
    </row>
    <row r="562" spans="2:25" s="38" customFormat="1" x14ac:dyDescent="0.25">
      <c r="B562" s="49"/>
      <c r="C562" s="70"/>
      <c r="D562" s="42"/>
      <c r="F562" s="33"/>
      <c r="G562" s="47"/>
      <c r="H562" s="33"/>
      <c r="I562" s="60"/>
      <c r="J562" s="27"/>
      <c r="K562" s="47"/>
      <c r="L562" s="33"/>
      <c r="M562" s="60"/>
      <c r="N562" s="27"/>
      <c r="O562" s="47"/>
      <c r="P562" s="33"/>
      <c r="Q562" s="60"/>
      <c r="R562" s="27"/>
      <c r="S562" s="47"/>
      <c r="T562" s="33"/>
      <c r="U562" s="60"/>
      <c r="V562" s="27"/>
      <c r="W562" s="33"/>
      <c r="X562" s="47"/>
      <c r="Y562" s="48"/>
    </row>
    <row r="563" spans="2:25" s="38" customFormat="1" x14ac:dyDescent="0.25">
      <c r="B563" s="49"/>
      <c r="C563" s="70"/>
      <c r="D563" s="42"/>
      <c r="F563" s="33"/>
      <c r="G563" s="47"/>
      <c r="H563" s="33"/>
      <c r="I563" s="60"/>
      <c r="J563" s="27"/>
      <c r="K563" s="47"/>
      <c r="L563" s="33"/>
      <c r="M563" s="60"/>
      <c r="N563" s="27"/>
      <c r="O563" s="47"/>
      <c r="P563" s="33"/>
      <c r="Q563" s="60"/>
      <c r="R563" s="27"/>
      <c r="S563" s="47"/>
      <c r="T563" s="33"/>
      <c r="U563" s="60"/>
      <c r="V563" s="27"/>
      <c r="W563" s="33"/>
      <c r="X563" s="47"/>
      <c r="Y563" s="48"/>
    </row>
    <row r="564" spans="2:25" s="38" customFormat="1" x14ac:dyDescent="0.25">
      <c r="B564" s="49"/>
      <c r="C564" s="70"/>
      <c r="D564" s="42"/>
      <c r="F564" s="33"/>
      <c r="G564" s="47"/>
      <c r="H564" s="33"/>
      <c r="I564" s="60"/>
      <c r="J564" s="27"/>
      <c r="K564" s="47"/>
      <c r="L564" s="33"/>
      <c r="M564" s="60"/>
      <c r="N564" s="27"/>
      <c r="O564" s="47"/>
      <c r="P564" s="33"/>
      <c r="Q564" s="60"/>
      <c r="R564" s="27"/>
      <c r="S564" s="47"/>
      <c r="T564" s="33"/>
      <c r="U564" s="60"/>
      <c r="V564" s="27"/>
      <c r="W564" s="33"/>
      <c r="X564" s="47"/>
      <c r="Y564" s="48"/>
    </row>
    <row r="565" spans="2:25" s="38" customFormat="1" x14ac:dyDescent="0.25">
      <c r="B565" s="49"/>
      <c r="C565" s="70"/>
      <c r="D565" s="42"/>
      <c r="F565" s="33"/>
      <c r="G565" s="47"/>
      <c r="H565" s="33"/>
      <c r="I565" s="60"/>
      <c r="J565" s="27"/>
      <c r="K565" s="47"/>
      <c r="L565" s="33"/>
      <c r="M565" s="60"/>
      <c r="N565" s="27"/>
      <c r="O565" s="47"/>
      <c r="P565" s="33"/>
      <c r="Q565" s="60"/>
      <c r="R565" s="27"/>
      <c r="S565" s="47"/>
      <c r="T565" s="33"/>
      <c r="U565" s="60"/>
      <c r="V565" s="27"/>
      <c r="W565" s="33"/>
      <c r="X565" s="47"/>
      <c r="Y565" s="48"/>
    </row>
    <row r="566" spans="2:25" s="38" customFormat="1" x14ac:dyDescent="0.25">
      <c r="B566" s="49"/>
      <c r="C566" s="70"/>
      <c r="D566" s="42"/>
      <c r="F566" s="33"/>
      <c r="G566" s="47"/>
      <c r="H566" s="33"/>
      <c r="I566" s="60"/>
      <c r="J566" s="27"/>
      <c r="K566" s="47"/>
      <c r="L566" s="33"/>
      <c r="M566" s="60"/>
      <c r="N566" s="27"/>
      <c r="O566" s="47"/>
      <c r="P566" s="33"/>
      <c r="Q566" s="60"/>
      <c r="R566" s="27"/>
      <c r="S566" s="47"/>
      <c r="T566" s="33"/>
      <c r="U566" s="60"/>
      <c r="V566" s="27"/>
      <c r="W566" s="33"/>
      <c r="X566" s="47"/>
      <c r="Y566" s="48"/>
    </row>
    <row r="567" spans="2:25" s="38" customFormat="1" x14ac:dyDescent="0.25">
      <c r="B567" s="49"/>
      <c r="C567" s="70"/>
      <c r="D567" s="42"/>
      <c r="F567" s="33"/>
      <c r="G567" s="47"/>
      <c r="H567" s="33"/>
      <c r="I567" s="60"/>
      <c r="J567" s="27"/>
      <c r="K567" s="47"/>
      <c r="L567" s="33"/>
      <c r="M567" s="60"/>
      <c r="N567" s="27"/>
      <c r="O567" s="47"/>
      <c r="P567" s="33"/>
      <c r="Q567" s="60"/>
      <c r="R567" s="27"/>
      <c r="S567" s="47"/>
      <c r="T567" s="33"/>
      <c r="U567" s="60"/>
      <c r="V567" s="27"/>
      <c r="W567" s="33"/>
      <c r="X567" s="47"/>
      <c r="Y567" s="48"/>
    </row>
    <row r="568" spans="2:25" s="38" customFormat="1" x14ac:dyDescent="0.25">
      <c r="B568" s="49"/>
      <c r="C568" s="70"/>
      <c r="D568" s="42"/>
      <c r="F568" s="33"/>
      <c r="G568" s="47"/>
      <c r="H568" s="33"/>
      <c r="I568" s="60"/>
      <c r="J568" s="27"/>
      <c r="K568" s="47"/>
      <c r="L568" s="33"/>
      <c r="M568" s="60"/>
      <c r="N568" s="27"/>
      <c r="O568" s="47"/>
      <c r="P568" s="33"/>
      <c r="Q568" s="60"/>
      <c r="R568" s="27"/>
      <c r="S568" s="47"/>
      <c r="T568" s="33"/>
      <c r="U568" s="60"/>
      <c r="V568" s="27"/>
      <c r="W568" s="33"/>
      <c r="X568" s="47"/>
      <c r="Y568" s="48"/>
    </row>
    <row r="569" spans="2:25" s="38" customFormat="1" x14ac:dyDescent="0.25">
      <c r="B569" s="49"/>
      <c r="C569" s="70"/>
      <c r="D569" s="42"/>
      <c r="F569" s="33"/>
      <c r="G569" s="47"/>
      <c r="H569" s="33"/>
      <c r="I569" s="60"/>
      <c r="J569" s="27"/>
      <c r="K569" s="47"/>
      <c r="L569" s="33"/>
      <c r="M569" s="60"/>
      <c r="N569" s="27"/>
      <c r="O569" s="47"/>
      <c r="P569" s="33"/>
      <c r="Q569" s="60"/>
      <c r="R569" s="27"/>
      <c r="S569" s="47"/>
      <c r="T569" s="33"/>
      <c r="U569" s="60"/>
      <c r="V569" s="27"/>
      <c r="W569" s="33"/>
      <c r="X569" s="47"/>
      <c r="Y569" s="48"/>
    </row>
    <row r="570" spans="2:25" s="38" customFormat="1" x14ac:dyDescent="0.25">
      <c r="B570" s="49"/>
      <c r="C570" s="70"/>
      <c r="D570" s="42"/>
      <c r="F570" s="33"/>
      <c r="G570" s="47"/>
      <c r="H570" s="33"/>
      <c r="I570" s="60"/>
      <c r="J570" s="27"/>
      <c r="K570" s="47"/>
      <c r="L570" s="33"/>
      <c r="M570" s="60"/>
      <c r="N570" s="27"/>
      <c r="O570" s="47"/>
      <c r="P570" s="33"/>
      <c r="Q570" s="60"/>
      <c r="R570" s="27"/>
      <c r="S570" s="47"/>
      <c r="T570" s="33"/>
      <c r="U570" s="60"/>
      <c r="V570" s="27"/>
      <c r="W570" s="33"/>
      <c r="X570" s="47"/>
      <c r="Y570" s="48"/>
    </row>
    <row r="571" spans="2:25" s="38" customFormat="1" x14ac:dyDescent="0.25">
      <c r="B571" s="49"/>
      <c r="C571" s="70"/>
      <c r="D571" s="42"/>
      <c r="F571" s="33"/>
      <c r="G571" s="47"/>
      <c r="H571" s="33"/>
      <c r="I571" s="60"/>
      <c r="J571" s="27"/>
      <c r="K571" s="47"/>
      <c r="L571" s="33"/>
      <c r="M571" s="60"/>
      <c r="N571" s="27"/>
      <c r="O571" s="47"/>
      <c r="P571" s="33"/>
      <c r="Q571" s="60"/>
      <c r="R571" s="27"/>
      <c r="S571" s="47"/>
      <c r="T571" s="33"/>
      <c r="U571" s="60"/>
      <c r="V571" s="27"/>
      <c r="W571" s="33"/>
      <c r="X571" s="47"/>
      <c r="Y571" s="48"/>
    </row>
    <row r="572" spans="2:25" s="38" customFormat="1" x14ac:dyDescent="0.25">
      <c r="B572" s="49"/>
      <c r="C572" s="70"/>
      <c r="D572" s="42"/>
      <c r="F572" s="33"/>
      <c r="G572" s="47"/>
      <c r="H572" s="33"/>
      <c r="I572" s="60"/>
      <c r="J572" s="27"/>
      <c r="K572" s="47"/>
      <c r="L572" s="33"/>
      <c r="M572" s="60"/>
      <c r="N572" s="27"/>
      <c r="O572" s="47"/>
      <c r="P572" s="33"/>
      <c r="Q572" s="60"/>
      <c r="R572" s="27"/>
      <c r="S572" s="47"/>
      <c r="T572" s="33"/>
      <c r="U572" s="60"/>
      <c r="V572" s="27"/>
      <c r="W572" s="33"/>
      <c r="X572" s="47"/>
      <c r="Y572" s="48"/>
    </row>
    <row r="573" spans="2:25" s="38" customFormat="1" x14ac:dyDescent="0.25">
      <c r="B573" s="49"/>
      <c r="C573" s="70"/>
      <c r="D573" s="42"/>
      <c r="F573" s="33"/>
      <c r="G573" s="47"/>
      <c r="H573" s="33"/>
      <c r="I573" s="60"/>
      <c r="J573" s="27"/>
      <c r="K573" s="47"/>
      <c r="L573" s="33"/>
      <c r="M573" s="60"/>
      <c r="N573" s="27"/>
      <c r="O573" s="47"/>
      <c r="P573" s="33"/>
      <c r="Q573" s="60"/>
      <c r="R573" s="27"/>
      <c r="S573" s="47"/>
      <c r="T573" s="33"/>
      <c r="U573" s="60"/>
      <c r="V573" s="27"/>
      <c r="W573" s="33"/>
      <c r="X573" s="47"/>
      <c r="Y573" s="48"/>
    </row>
    <row r="574" spans="2:25" s="38" customFormat="1" x14ac:dyDescent="0.25">
      <c r="B574" s="49"/>
      <c r="C574" s="70"/>
      <c r="D574" s="42"/>
      <c r="F574" s="33"/>
      <c r="G574" s="47"/>
      <c r="H574" s="33"/>
      <c r="I574" s="60"/>
      <c r="J574" s="27"/>
      <c r="K574" s="47"/>
      <c r="L574" s="33"/>
      <c r="M574" s="60"/>
      <c r="N574" s="27"/>
      <c r="O574" s="47"/>
      <c r="P574" s="33"/>
      <c r="Q574" s="60"/>
      <c r="R574" s="27"/>
      <c r="S574" s="47"/>
      <c r="T574" s="33"/>
      <c r="U574" s="60"/>
      <c r="V574" s="27"/>
      <c r="W574" s="33"/>
      <c r="X574" s="47"/>
      <c r="Y574" s="48"/>
    </row>
    <row r="575" spans="2:25" s="38" customFormat="1" x14ac:dyDescent="0.25">
      <c r="B575" s="49"/>
      <c r="C575" s="70"/>
      <c r="D575" s="42"/>
      <c r="F575" s="33"/>
      <c r="G575" s="47"/>
      <c r="H575" s="33"/>
      <c r="I575" s="60"/>
      <c r="J575" s="27"/>
      <c r="K575" s="47"/>
      <c r="L575" s="33"/>
      <c r="M575" s="60"/>
      <c r="N575" s="27"/>
      <c r="O575" s="47"/>
      <c r="P575" s="33"/>
      <c r="Q575" s="60"/>
      <c r="R575" s="27"/>
      <c r="S575" s="47"/>
      <c r="T575" s="33"/>
      <c r="U575" s="60"/>
      <c r="V575" s="27"/>
      <c r="W575" s="33"/>
      <c r="X575" s="47"/>
      <c r="Y575" s="48"/>
    </row>
    <row r="576" spans="2:25" s="38" customFormat="1" x14ac:dyDescent="0.25">
      <c r="B576" s="49"/>
      <c r="C576" s="70"/>
      <c r="D576" s="42"/>
      <c r="F576" s="33"/>
      <c r="G576" s="47"/>
      <c r="H576" s="33"/>
      <c r="I576" s="60"/>
      <c r="J576" s="27"/>
      <c r="K576" s="47"/>
      <c r="L576" s="33"/>
      <c r="M576" s="60"/>
      <c r="N576" s="27"/>
      <c r="O576" s="47"/>
      <c r="P576" s="33"/>
      <c r="Q576" s="60"/>
      <c r="R576" s="27"/>
      <c r="S576" s="47"/>
      <c r="T576" s="33"/>
      <c r="U576" s="60"/>
      <c r="V576" s="27"/>
      <c r="W576" s="33"/>
      <c r="X576" s="47"/>
      <c r="Y576" s="48"/>
    </row>
    <row r="577" spans="2:25" s="38" customFormat="1" x14ac:dyDescent="0.25">
      <c r="B577" s="49"/>
      <c r="C577" s="70"/>
      <c r="D577" s="42"/>
      <c r="F577" s="33"/>
      <c r="G577" s="47"/>
      <c r="H577" s="33"/>
      <c r="I577" s="60"/>
      <c r="J577" s="27"/>
      <c r="K577" s="47"/>
      <c r="L577" s="33"/>
      <c r="M577" s="60"/>
      <c r="N577" s="27"/>
      <c r="O577" s="47"/>
      <c r="P577" s="33"/>
      <c r="Q577" s="60"/>
      <c r="R577" s="27"/>
      <c r="S577" s="47"/>
      <c r="T577" s="33"/>
      <c r="U577" s="60"/>
      <c r="V577" s="27"/>
      <c r="W577" s="33"/>
      <c r="X577" s="47"/>
      <c r="Y577" s="48"/>
    </row>
    <row r="578" spans="2:25" s="38" customFormat="1" x14ac:dyDescent="0.25">
      <c r="B578" s="49"/>
      <c r="C578" s="70"/>
      <c r="D578" s="42"/>
      <c r="F578" s="33"/>
      <c r="G578" s="47"/>
      <c r="H578" s="33"/>
      <c r="I578" s="60"/>
      <c r="J578" s="27"/>
      <c r="K578" s="47"/>
      <c r="L578" s="33"/>
      <c r="M578" s="60"/>
      <c r="N578" s="27"/>
      <c r="O578" s="47"/>
      <c r="P578" s="33"/>
      <c r="Q578" s="60"/>
      <c r="R578" s="27"/>
      <c r="S578" s="47"/>
      <c r="T578" s="33"/>
      <c r="U578" s="60"/>
      <c r="V578" s="27"/>
      <c r="W578" s="33"/>
      <c r="X578" s="47"/>
      <c r="Y578" s="48"/>
    </row>
    <row r="579" spans="2:25" s="38" customFormat="1" x14ac:dyDescent="0.25">
      <c r="B579" s="49"/>
      <c r="C579" s="70"/>
      <c r="D579" s="42"/>
      <c r="F579" s="33"/>
      <c r="G579" s="47"/>
      <c r="H579" s="33"/>
      <c r="I579" s="60"/>
      <c r="J579" s="27"/>
      <c r="K579" s="47"/>
      <c r="L579" s="33"/>
      <c r="M579" s="60"/>
      <c r="N579" s="27"/>
      <c r="O579" s="47"/>
      <c r="P579" s="33"/>
      <c r="Q579" s="60"/>
      <c r="R579" s="27"/>
      <c r="S579" s="47"/>
      <c r="T579" s="33"/>
      <c r="U579" s="60"/>
      <c r="V579" s="27"/>
      <c r="W579" s="33"/>
      <c r="X579" s="47"/>
      <c r="Y579" s="48"/>
    </row>
    <row r="580" spans="2:25" s="38" customFormat="1" x14ac:dyDescent="0.25">
      <c r="B580" s="49"/>
      <c r="C580" s="70"/>
      <c r="D580" s="42"/>
      <c r="F580" s="33"/>
      <c r="G580" s="47"/>
      <c r="H580" s="33"/>
      <c r="I580" s="60"/>
      <c r="J580" s="27"/>
      <c r="K580" s="47"/>
      <c r="L580" s="33"/>
      <c r="M580" s="60"/>
      <c r="N580" s="27"/>
      <c r="O580" s="47"/>
      <c r="P580" s="33"/>
      <c r="Q580" s="60"/>
      <c r="R580" s="27"/>
      <c r="S580" s="47"/>
      <c r="T580" s="33"/>
      <c r="U580" s="60"/>
      <c r="V580" s="27"/>
      <c r="W580" s="33"/>
      <c r="X580" s="47"/>
      <c r="Y580" s="48"/>
    </row>
    <row r="581" spans="2:25" s="38" customFormat="1" x14ac:dyDescent="0.25">
      <c r="B581" s="49"/>
      <c r="C581" s="70"/>
      <c r="D581" s="42"/>
      <c r="F581" s="33"/>
      <c r="G581" s="47"/>
      <c r="H581" s="33"/>
      <c r="I581" s="60"/>
      <c r="J581" s="27"/>
      <c r="K581" s="47"/>
      <c r="L581" s="33"/>
      <c r="M581" s="60"/>
      <c r="N581" s="27"/>
      <c r="O581" s="47"/>
      <c r="P581" s="33"/>
      <c r="Q581" s="60"/>
      <c r="R581" s="27"/>
      <c r="S581" s="47"/>
      <c r="T581" s="33"/>
      <c r="U581" s="60"/>
      <c r="V581" s="27"/>
      <c r="W581" s="33"/>
      <c r="X581" s="47"/>
      <c r="Y581" s="48"/>
    </row>
    <row r="582" spans="2:25" s="38" customFormat="1" x14ac:dyDescent="0.25">
      <c r="B582" s="49"/>
      <c r="C582" s="70"/>
      <c r="D582" s="42"/>
      <c r="F582" s="33"/>
      <c r="G582" s="47"/>
      <c r="H582" s="33"/>
      <c r="I582" s="60"/>
      <c r="J582" s="27"/>
      <c r="K582" s="47"/>
      <c r="L582" s="33"/>
      <c r="M582" s="60"/>
      <c r="N582" s="27"/>
      <c r="O582" s="47"/>
      <c r="P582" s="33"/>
      <c r="Q582" s="60"/>
      <c r="R582" s="27"/>
      <c r="S582" s="47"/>
      <c r="T582" s="33"/>
      <c r="U582" s="60"/>
      <c r="V582" s="27"/>
      <c r="W582" s="33"/>
      <c r="X582" s="47"/>
      <c r="Y582" s="48"/>
    </row>
    <row r="583" spans="2:25" s="38" customFormat="1" x14ac:dyDescent="0.25">
      <c r="B583" s="49"/>
      <c r="C583" s="70"/>
      <c r="D583" s="42"/>
      <c r="F583" s="33"/>
      <c r="G583" s="47"/>
      <c r="H583" s="33"/>
      <c r="I583" s="60"/>
      <c r="J583" s="27"/>
      <c r="K583" s="47"/>
      <c r="L583" s="33"/>
      <c r="M583" s="60"/>
      <c r="N583" s="27"/>
      <c r="O583" s="47"/>
      <c r="P583" s="33"/>
      <c r="Q583" s="60"/>
      <c r="R583" s="27"/>
      <c r="S583" s="47"/>
      <c r="T583" s="33"/>
      <c r="U583" s="60"/>
      <c r="V583" s="27"/>
      <c r="W583" s="33"/>
      <c r="X583" s="47"/>
      <c r="Y583" s="48"/>
    </row>
    <row r="584" spans="2:25" s="38" customFormat="1" x14ac:dyDescent="0.25">
      <c r="B584" s="49"/>
      <c r="C584" s="70"/>
      <c r="D584" s="42"/>
      <c r="F584" s="33"/>
      <c r="G584" s="47"/>
      <c r="H584" s="33"/>
      <c r="I584" s="60"/>
      <c r="J584" s="27"/>
      <c r="K584" s="47"/>
      <c r="L584" s="33"/>
      <c r="M584" s="60"/>
      <c r="N584" s="27"/>
      <c r="O584" s="47"/>
      <c r="P584" s="33"/>
      <c r="Q584" s="60"/>
      <c r="R584" s="27"/>
      <c r="S584" s="47"/>
      <c r="T584" s="33"/>
      <c r="U584" s="60"/>
      <c r="V584" s="27"/>
      <c r="W584" s="33"/>
      <c r="X584" s="47"/>
      <c r="Y584" s="48"/>
    </row>
    <row r="585" spans="2:25" s="38" customFormat="1" x14ac:dyDescent="0.25">
      <c r="B585" s="49"/>
      <c r="C585" s="70"/>
      <c r="D585" s="42"/>
      <c r="F585" s="33"/>
      <c r="G585" s="47"/>
      <c r="H585" s="33"/>
      <c r="I585" s="60"/>
      <c r="J585" s="27"/>
      <c r="K585" s="47"/>
      <c r="L585" s="33"/>
      <c r="M585" s="60"/>
      <c r="N585" s="27"/>
      <c r="O585" s="47"/>
      <c r="P585" s="33"/>
      <c r="Q585" s="60"/>
      <c r="R585" s="27"/>
      <c r="S585" s="47"/>
      <c r="T585" s="33"/>
      <c r="U585" s="60"/>
      <c r="V585" s="27"/>
      <c r="W585" s="33"/>
      <c r="X585" s="47"/>
      <c r="Y585" s="48"/>
    </row>
    <row r="586" spans="2:25" s="38" customFormat="1" x14ac:dyDescent="0.25">
      <c r="B586" s="49"/>
      <c r="C586" s="70"/>
      <c r="D586" s="42"/>
      <c r="F586" s="33"/>
      <c r="G586" s="47"/>
      <c r="H586" s="33"/>
      <c r="I586" s="60"/>
      <c r="J586" s="27"/>
      <c r="K586" s="47"/>
      <c r="L586" s="33"/>
      <c r="M586" s="60"/>
      <c r="N586" s="27"/>
      <c r="O586" s="47"/>
      <c r="P586" s="33"/>
      <c r="Q586" s="60"/>
      <c r="R586" s="27"/>
      <c r="S586" s="47"/>
      <c r="T586" s="33"/>
      <c r="U586" s="60"/>
      <c r="V586" s="27"/>
      <c r="W586" s="33"/>
      <c r="X586" s="47"/>
      <c r="Y586" s="48"/>
    </row>
    <row r="587" spans="2:25" s="38" customFormat="1" x14ac:dyDescent="0.25">
      <c r="B587" s="49"/>
      <c r="C587" s="70"/>
      <c r="D587" s="42"/>
      <c r="F587" s="33"/>
      <c r="G587" s="47"/>
      <c r="H587" s="33"/>
      <c r="I587" s="60"/>
      <c r="J587" s="27"/>
      <c r="K587" s="47"/>
      <c r="L587" s="33"/>
      <c r="M587" s="60"/>
      <c r="N587" s="27"/>
      <c r="O587" s="47"/>
      <c r="P587" s="33"/>
      <c r="Q587" s="60"/>
      <c r="R587" s="27"/>
      <c r="S587" s="47"/>
      <c r="T587" s="33"/>
      <c r="U587" s="60"/>
      <c r="V587" s="27"/>
      <c r="W587" s="33"/>
      <c r="X587" s="47"/>
      <c r="Y587" s="48"/>
    </row>
    <row r="588" spans="2:25" s="38" customFormat="1" x14ac:dyDescent="0.25">
      <c r="B588" s="49"/>
      <c r="C588" s="70"/>
      <c r="D588" s="42"/>
      <c r="F588" s="33"/>
      <c r="G588" s="47"/>
      <c r="H588" s="33"/>
      <c r="I588" s="60"/>
      <c r="J588" s="27"/>
      <c r="K588" s="47"/>
      <c r="L588" s="33"/>
      <c r="M588" s="60"/>
      <c r="N588" s="27"/>
      <c r="O588" s="47"/>
      <c r="P588" s="33"/>
      <c r="Q588" s="60"/>
      <c r="R588" s="27"/>
      <c r="S588" s="47"/>
      <c r="T588" s="33"/>
      <c r="U588" s="60"/>
      <c r="V588" s="27"/>
      <c r="W588" s="33"/>
      <c r="X588" s="47"/>
      <c r="Y588" s="48"/>
    </row>
    <row r="589" spans="2:25" s="38" customFormat="1" x14ac:dyDescent="0.25">
      <c r="B589" s="49"/>
      <c r="C589" s="70"/>
      <c r="D589" s="42"/>
      <c r="F589" s="33"/>
      <c r="G589" s="47"/>
      <c r="H589" s="33"/>
      <c r="I589" s="60"/>
      <c r="J589" s="27"/>
      <c r="K589" s="47"/>
      <c r="L589" s="33"/>
      <c r="M589" s="60"/>
      <c r="N589" s="27"/>
      <c r="O589" s="47"/>
      <c r="P589" s="33"/>
      <c r="Q589" s="60"/>
      <c r="R589" s="27"/>
      <c r="S589" s="47"/>
      <c r="T589" s="33"/>
      <c r="U589" s="60"/>
      <c r="V589" s="27"/>
      <c r="W589" s="33"/>
      <c r="X589" s="47"/>
      <c r="Y589" s="48"/>
    </row>
    <row r="590" spans="2:25" s="38" customFormat="1" x14ac:dyDescent="0.25">
      <c r="B590" s="49"/>
      <c r="C590" s="70"/>
      <c r="D590" s="42"/>
      <c r="F590" s="33"/>
      <c r="G590" s="47"/>
      <c r="H590" s="33"/>
      <c r="I590" s="60"/>
      <c r="J590" s="27"/>
      <c r="K590" s="47"/>
      <c r="L590" s="33"/>
      <c r="M590" s="60"/>
      <c r="N590" s="27"/>
      <c r="O590" s="47"/>
      <c r="P590" s="33"/>
      <c r="Q590" s="60"/>
      <c r="R590" s="27"/>
      <c r="S590" s="47"/>
      <c r="T590" s="33"/>
      <c r="U590" s="60"/>
      <c r="V590" s="27"/>
      <c r="W590" s="33"/>
      <c r="X590" s="47"/>
      <c r="Y590" s="48"/>
    </row>
    <row r="591" spans="2:25" s="38" customFormat="1" x14ac:dyDescent="0.25">
      <c r="B591" s="49"/>
      <c r="C591" s="70"/>
      <c r="D591" s="42"/>
      <c r="F591" s="33"/>
      <c r="G591" s="47"/>
      <c r="H591" s="33"/>
      <c r="I591" s="60"/>
      <c r="J591" s="27"/>
      <c r="K591" s="47"/>
      <c r="L591" s="33"/>
      <c r="M591" s="60"/>
      <c r="N591" s="27"/>
      <c r="O591" s="47"/>
      <c r="P591" s="33"/>
      <c r="Q591" s="60"/>
      <c r="R591" s="27"/>
      <c r="S591" s="47"/>
      <c r="T591" s="33"/>
      <c r="U591" s="60"/>
      <c r="V591" s="27"/>
      <c r="W591" s="33"/>
      <c r="X591" s="47"/>
      <c r="Y591" s="48"/>
    </row>
    <row r="592" spans="2:25" s="38" customFormat="1" x14ac:dyDescent="0.25">
      <c r="B592" s="49"/>
      <c r="C592" s="70"/>
      <c r="D592" s="42"/>
      <c r="F592" s="33"/>
      <c r="G592" s="47"/>
      <c r="H592" s="33"/>
      <c r="I592" s="60"/>
      <c r="J592" s="27"/>
      <c r="K592" s="47"/>
      <c r="L592" s="33"/>
      <c r="M592" s="60"/>
      <c r="N592" s="27"/>
      <c r="O592" s="47"/>
      <c r="P592" s="33"/>
      <c r="Q592" s="60"/>
      <c r="R592" s="27"/>
      <c r="S592" s="47"/>
      <c r="T592" s="33"/>
      <c r="U592" s="60"/>
      <c r="V592" s="27"/>
      <c r="W592" s="33"/>
      <c r="X592" s="47"/>
      <c r="Y592" s="48"/>
    </row>
    <row r="593" spans="2:25" s="38" customFormat="1" x14ac:dyDescent="0.25">
      <c r="B593" s="49"/>
      <c r="C593" s="70"/>
      <c r="D593" s="42"/>
      <c r="F593" s="33"/>
      <c r="G593" s="47"/>
      <c r="H593" s="33"/>
      <c r="I593" s="60"/>
      <c r="J593" s="27"/>
      <c r="K593" s="47"/>
      <c r="L593" s="33"/>
      <c r="M593" s="60"/>
      <c r="N593" s="27"/>
      <c r="O593" s="47"/>
      <c r="P593" s="33"/>
      <c r="Q593" s="60"/>
      <c r="R593" s="27"/>
      <c r="S593" s="47"/>
      <c r="T593" s="33"/>
      <c r="U593" s="60"/>
      <c r="V593" s="27"/>
      <c r="W593" s="33"/>
      <c r="X593" s="47"/>
      <c r="Y593" s="48"/>
    </row>
    <row r="594" spans="2:25" s="38" customFormat="1" x14ac:dyDescent="0.25">
      <c r="B594" s="49"/>
      <c r="C594" s="70"/>
      <c r="D594" s="42"/>
      <c r="F594" s="33"/>
      <c r="G594" s="47"/>
      <c r="H594" s="33"/>
      <c r="I594" s="60"/>
      <c r="J594" s="27"/>
      <c r="K594" s="47"/>
      <c r="L594" s="33"/>
      <c r="M594" s="60"/>
      <c r="N594" s="27"/>
      <c r="O594" s="47"/>
      <c r="P594" s="33"/>
      <c r="Q594" s="60"/>
      <c r="R594" s="27"/>
      <c r="S594" s="47"/>
      <c r="T594" s="33"/>
      <c r="U594" s="60"/>
      <c r="V594" s="27"/>
      <c r="W594" s="33"/>
      <c r="X594" s="47"/>
      <c r="Y594" s="48"/>
    </row>
    <row r="595" spans="2:25" s="38" customFormat="1" x14ac:dyDescent="0.25">
      <c r="B595" s="49"/>
      <c r="C595" s="70"/>
      <c r="D595" s="42"/>
      <c r="F595" s="33"/>
      <c r="G595" s="47"/>
      <c r="H595" s="33"/>
      <c r="I595" s="60"/>
      <c r="J595" s="27"/>
      <c r="K595" s="47"/>
      <c r="L595" s="33"/>
      <c r="M595" s="60"/>
      <c r="N595" s="27"/>
      <c r="O595" s="47"/>
      <c r="P595" s="33"/>
      <c r="Q595" s="60"/>
      <c r="R595" s="27"/>
      <c r="S595" s="47"/>
      <c r="T595" s="33"/>
      <c r="U595" s="60"/>
      <c r="V595" s="27"/>
      <c r="W595" s="33"/>
      <c r="X595" s="47"/>
      <c r="Y595" s="48"/>
    </row>
    <row r="596" spans="2:25" s="38" customFormat="1" x14ac:dyDescent="0.25">
      <c r="B596" s="49"/>
      <c r="C596" s="70"/>
      <c r="D596" s="42"/>
      <c r="F596" s="33"/>
      <c r="G596" s="47"/>
      <c r="H596" s="33"/>
      <c r="I596" s="60"/>
      <c r="J596" s="27"/>
      <c r="K596" s="47"/>
      <c r="L596" s="33"/>
      <c r="M596" s="60"/>
      <c r="N596" s="27"/>
      <c r="O596" s="47"/>
      <c r="P596" s="33"/>
      <c r="Q596" s="60"/>
      <c r="R596" s="27"/>
      <c r="S596" s="47"/>
      <c r="T596" s="33"/>
      <c r="U596" s="60"/>
      <c r="V596" s="27"/>
      <c r="W596" s="33"/>
      <c r="X596" s="47"/>
      <c r="Y596" s="48"/>
    </row>
    <row r="597" spans="2:25" s="38" customFormat="1" x14ac:dyDescent="0.25">
      <c r="B597" s="49"/>
      <c r="C597" s="70"/>
      <c r="D597" s="42"/>
      <c r="F597" s="33"/>
      <c r="G597" s="47"/>
      <c r="H597" s="33"/>
      <c r="I597" s="60"/>
      <c r="J597" s="27"/>
      <c r="K597" s="47"/>
      <c r="L597" s="33"/>
      <c r="M597" s="60"/>
      <c r="N597" s="27"/>
      <c r="O597" s="47"/>
      <c r="P597" s="33"/>
      <c r="Q597" s="60"/>
      <c r="R597" s="27"/>
      <c r="S597" s="47"/>
      <c r="T597" s="33"/>
      <c r="U597" s="60"/>
      <c r="V597" s="27"/>
      <c r="W597" s="33"/>
      <c r="X597" s="47"/>
      <c r="Y597" s="48"/>
    </row>
    <row r="598" spans="2:25" s="38" customFormat="1" x14ac:dyDescent="0.25">
      <c r="B598" s="49"/>
      <c r="C598" s="70"/>
      <c r="D598" s="42"/>
      <c r="F598" s="33"/>
      <c r="G598" s="47"/>
      <c r="H598" s="33"/>
      <c r="I598" s="60"/>
      <c r="J598" s="27"/>
      <c r="K598" s="47"/>
      <c r="L598" s="33"/>
      <c r="M598" s="60"/>
      <c r="N598" s="27"/>
      <c r="O598" s="47"/>
      <c r="P598" s="33"/>
      <c r="Q598" s="60"/>
      <c r="R598" s="27"/>
      <c r="S598" s="47"/>
      <c r="T598" s="33"/>
      <c r="U598" s="60"/>
      <c r="V598" s="27"/>
      <c r="W598" s="33"/>
      <c r="X598" s="47"/>
      <c r="Y598" s="48"/>
    </row>
    <row r="599" spans="2:25" s="38" customFormat="1" x14ac:dyDescent="0.25">
      <c r="B599" s="49"/>
      <c r="C599" s="70"/>
      <c r="D599" s="42"/>
      <c r="F599" s="33"/>
      <c r="G599" s="47"/>
      <c r="H599" s="33"/>
      <c r="I599" s="60"/>
      <c r="J599" s="27"/>
      <c r="K599" s="47"/>
      <c r="L599" s="33"/>
      <c r="M599" s="60"/>
      <c r="N599" s="27"/>
      <c r="O599" s="47"/>
      <c r="P599" s="33"/>
      <c r="Q599" s="60"/>
      <c r="R599" s="27"/>
      <c r="S599" s="47"/>
      <c r="T599" s="33"/>
      <c r="U599" s="60"/>
      <c r="V599" s="27"/>
      <c r="W599" s="33"/>
      <c r="X599" s="47"/>
      <c r="Y599" s="48"/>
    </row>
    <row r="600" spans="2:25" s="38" customFormat="1" x14ac:dyDescent="0.25">
      <c r="B600" s="49"/>
      <c r="C600" s="70"/>
      <c r="D600" s="42"/>
      <c r="F600" s="33"/>
      <c r="G600" s="47"/>
      <c r="H600" s="33"/>
      <c r="I600" s="60"/>
      <c r="J600" s="27"/>
      <c r="K600" s="47"/>
      <c r="L600" s="33"/>
      <c r="M600" s="60"/>
      <c r="N600" s="27"/>
      <c r="O600" s="47"/>
      <c r="P600" s="33"/>
      <c r="Q600" s="60"/>
      <c r="R600" s="27"/>
      <c r="S600" s="47"/>
      <c r="T600" s="33"/>
      <c r="U600" s="60"/>
      <c r="V600" s="27"/>
      <c r="W600" s="33"/>
      <c r="X600" s="47"/>
      <c r="Y600" s="48"/>
    </row>
    <row r="601" spans="2:25" s="38" customFormat="1" x14ac:dyDescent="0.25">
      <c r="B601" s="49"/>
      <c r="C601" s="70"/>
      <c r="D601" s="42"/>
      <c r="F601" s="33"/>
      <c r="G601" s="47"/>
      <c r="H601" s="33"/>
      <c r="I601" s="60"/>
      <c r="J601" s="27"/>
      <c r="K601" s="47"/>
      <c r="L601" s="33"/>
      <c r="M601" s="60"/>
      <c r="N601" s="27"/>
      <c r="O601" s="47"/>
      <c r="P601" s="33"/>
      <c r="Q601" s="60"/>
      <c r="R601" s="27"/>
      <c r="S601" s="47"/>
      <c r="T601" s="33"/>
      <c r="U601" s="60"/>
      <c r="V601" s="27"/>
      <c r="W601" s="33"/>
      <c r="X601" s="47"/>
      <c r="Y601" s="48"/>
    </row>
    <row r="602" spans="2:25" s="38" customFormat="1" x14ac:dyDescent="0.25">
      <c r="B602" s="49"/>
      <c r="C602" s="70"/>
      <c r="D602" s="42"/>
      <c r="F602" s="33"/>
      <c r="G602" s="47"/>
      <c r="H602" s="33"/>
      <c r="I602" s="60"/>
      <c r="J602" s="27"/>
      <c r="K602" s="47"/>
      <c r="L602" s="33"/>
      <c r="M602" s="60"/>
      <c r="N602" s="27"/>
      <c r="O602" s="47"/>
      <c r="P602" s="33"/>
      <c r="Q602" s="60"/>
      <c r="R602" s="27"/>
      <c r="S602" s="47"/>
      <c r="T602" s="33"/>
      <c r="U602" s="60"/>
      <c r="V602" s="27"/>
      <c r="W602" s="33"/>
      <c r="X602" s="47"/>
      <c r="Y602" s="48"/>
    </row>
    <row r="603" spans="2:25" s="38" customFormat="1" x14ac:dyDescent="0.25">
      <c r="B603" s="49"/>
      <c r="C603" s="70"/>
      <c r="D603" s="42"/>
      <c r="F603" s="33"/>
      <c r="G603" s="47"/>
      <c r="H603" s="33"/>
      <c r="I603" s="60"/>
      <c r="J603" s="27"/>
      <c r="K603" s="47"/>
      <c r="L603" s="33"/>
      <c r="M603" s="60"/>
      <c r="N603" s="27"/>
      <c r="O603" s="47"/>
      <c r="P603" s="33"/>
      <c r="Q603" s="60"/>
      <c r="R603" s="27"/>
      <c r="S603" s="47"/>
      <c r="T603" s="33"/>
      <c r="U603" s="60"/>
      <c r="V603" s="27"/>
      <c r="W603" s="33"/>
      <c r="X603" s="47"/>
      <c r="Y603" s="48"/>
    </row>
    <row r="604" spans="2:25" s="38" customFormat="1" x14ac:dyDescent="0.25">
      <c r="B604" s="49"/>
      <c r="C604" s="70"/>
      <c r="D604" s="42"/>
      <c r="F604" s="33"/>
      <c r="G604" s="47"/>
      <c r="H604" s="33"/>
      <c r="I604" s="60"/>
      <c r="J604" s="27"/>
      <c r="K604" s="47"/>
      <c r="L604" s="33"/>
      <c r="M604" s="60"/>
      <c r="N604" s="27"/>
      <c r="O604" s="47"/>
      <c r="P604" s="33"/>
      <c r="Q604" s="60"/>
      <c r="R604" s="27"/>
      <c r="S604" s="47"/>
      <c r="T604" s="33"/>
      <c r="U604" s="60"/>
      <c r="V604" s="27"/>
      <c r="W604" s="33"/>
      <c r="X604" s="47"/>
      <c r="Y604" s="48"/>
    </row>
    <row r="605" spans="2:25" s="38" customFormat="1" x14ac:dyDescent="0.25">
      <c r="B605" s="49"/>
      <c r="C605" s="70"/>
      <c r="D605" s="42"/>
      <c r="F605" s="33"/>
      <c r="G605" s="47"/>
      <c r="H605" s="33"/>
      <c r="I605" s="60"/>
      <c r="J605" s="27"/>
      <c r="K605" s="47"/>
      <c r="L605" s="33"/>
      <c r="M605" s="60"/>
      <c r="N605" s="27"/>
      <c r="O605" s="47"/>
      <c r="P605" s="33"/>
      <c r="Q605" s="60"/>
      <c r="R605" s="27"/>
      <c r="S605" s="47"/>
      <c r="T605" s="33"/>
      <c r="U605" s="60"/>
      <c r="V605" s="27"/>
      <c r="W605" s="33"/>
      <c r="X605" s="47"/>
      <c r="Y605" s="48"/>
    </row>
    <row r="606" spans="2:25" s="38" customFormat="1" x14ac:dyDescent="0.25">
      <c r="B606" s="49"/>
      <c r="C606" s="70"/>
      <c r="D606" s="42"/>
      <c r="F606" s="33"/>
      <c r="G606" s="47"/>
      <c r="H606" s="33"/>
      <c r="I606" s="60"/>
      <c r="J606" s="27"/>
      <c r="K606" s="47"/>
      <c r="L606" s="33"/>
      <c r="M606" s="60"/>
      <c r="N606" s="27"/>
      <c r="O606" s="47"/>
      <c r="P606" s="33"/>
      <c r="Q606" s="60"/>
      <c r="R606" s="27"/>
      <c r="S606" s="47"/>
      <c r="T606" s="33"/>
      <c r="U606" s="60"/>
      <c r="V606" s="27"/>
      <c r="W606" s="33"/>
      <c r="X606" s="47"/>
      <c r="Y606" s="48"/>
    </row>
    <row r="607" spans="2:25" s="38" customFormat="1" x14ac:dyDescent="0.25">
      <c r="B607" s="49"/>
      <c r="C607" s="70"/>
      <c r="D607" s="42"/>
      <c r="F607" s="33"/>
      <c r="G607" s="47"/>
      <c r="H607" s="33"/>
      <c r="I607" s="60"/>
      <c r="J607" s="27"/>
      <c r="K607" s="47"/>
      <c r="L607" s="33"/>
      <c r="M607" s="60"/>
      <c r="N607" s="27"/>
      <c r="O607" s="47"/>
      <c r="P607" s="33"/>
      <c r="Q607" s="60"/>
      <c r="R607" s="27"/>
      <c r="S607" s="47"/>
      <c r="T607" s="33"/>
      <c r="U607" s="60"/>
      <c r="V607" s="27"/>
      <c r="W607" s="33"/>
      <c r="X607" s="47"/>
      <c r="Y607" s="48"/>
    </row>
    <row r="608" spans="2:25" s="38" customFormat="1" x14ac:dyDescent="0.25">
      <c r="B608" s="49"/>
      <c r="C608" s="70"/>
      <c r="D608" s="42"/>
      <c r="F608" s="33"/>
      <c r="G608" s="47"/>
      <c r="H608" s="33"/>
      <c r="I608" s="60"/>
      <c r="J608" s="27"/>
      <c r="K608" s="47"/>
      <c r="L608" s="33"/>
      <c r="M608" s="60"/>
      <c r="N608" s="27"/>
      <c r="O608" s="47"/>
      <c r="P608" s="33"/>
      <c r="Q608" s="60"/>
      <c r="R608" s="27"/>
      <c r="S608" s="47"/>
      <c r="T608" s="33"/>
      <c r="U608" s="60"/>
      <c r="V608" s="27"/>
      <c r="W608" s="33"/>
      <c r="X608" s="47"/>
      <c r="Y608" s="48"/>
    </row>
    <row r="609" spans="2:25" s="38" customFormat="1" x14ac:dyDescent="0.25">
      <c r="B609" s="49"/>
      <c r="C609" s="70"/>
      <c r="D609" s="42"/>
      <c r="F609" s="33"/>
      <c r="G609" s="47"/>
      <c r="H609" s="33"/>
      <c r="I609" s="60"/>
      <c r="J609" s="27"/>
      <c r="K609" s="47"/>
      <c r="L609" s="33"/>
      <c r="M609" s="60"/>
      <c r="N609" s="27"/>
      <c r="O609" s="47"/>
      <c r="P609" s="33"/>
      <c r="Q609" s="60"/>
      <c r="R609" s="27"/>
      <c r="S609" s="47"/>
      <c r="T609" s="33"/>
      <c r="U609" s="60"/>
      <c r="V609" s="27"/>
      <c r="W609" s="33"/>
      <c r="X609" s="47"/>
      <c r="Y609" s="48"/>
    </row>
    <row r="610" spans="2:25" s="38" customFormat="1" x14ac:dyDescent="0.25">
      <c r="B610" s="49"/>
      <c r="C610" s="70"/>
      <c r="D610" s="42"/>
      <c r="F610" s="33"/>
      <c r="G610" s="47"/>
      <c r="H610" s="33"/>
      <c r="I610" s="60"/>
      <c r="J610" s="27"/>
      <c r="K610" s="47"/>
      <c r="L610" s="33"/>
      <c r="M610" s="60"/>
      <c r="N610" s="27"/>
      <c r="O610" s="47"/>
      <c r="P610" s="33"/>
      <c r="Q610" s="60"/>
      <c r="R610" s="27"/>
      <c r="S610" s="47"/>
      <c r="T610" s="33"/>
      <c r="U610" s="60"/>
      <c r="V610" s="27"/>
      <c r="W610" s="33"/>
      <c r="X610" s="47"/>
      <c r="Y610" s="48"/>
    </row>
    <row r="611" spans="2:25" s="38" customFormat="1" x14ac:dyDescent="0.25">
      <c r="B611" s="49"/>
      <c r="C611" s="70"/>
      <c r="D611" s="42"/>
      <c r="F611" s="33"/>
      <c r="G611" s="47"/>
      <c r="H611" s="33"/>
      <c r="I611" s="60"/>
      <c r="J611" s="27"/>
      <c r="K611" s="47"/>
      <c r="L611" s="33"/>
      <c r="M611" s="60"/>
      <c r="N611" s="27"/>
      <c r="O611" s="47"/>
      <c r="P611" s="33"/>
      <c r="Q611" s="60"/>
      <c r="R611" s="27"/>
      <c r="S611" s="47"/>
      <c r="T611" s="33"/>
      <c r="U611" s="60"/>
      <c r="V611" s="27"/>
      <c r="W611" s="33"/>
      <c r="X611" s="47"/>
      <c r="Y611" s="48"/>
    </row>
    <row r="612" spans="2:25" s="38" customFormat="1" x14ac:dyDescent="0.25">
      <c r="B612" s="49"/>
      <c r="C612" s="70"/>
      <c r="D612" s="42"/>
      <c r="F612" s="33"/>
      <c r="G612" s="47"/>
      <c r="H612" s="33"/>
      <c r="I612" s="60"/>
      <c r="J612" s="27"/>
      <c r="K612" s="47"/>
      <c r="L612" s="33"/>
      <c r="M612" s="60"/>
      <c r="N612" s="27"/>
      <c r="O612" s="47"/>
      <c r="P612" s="33"/>
      <c r="Q612" s="60"/>
      <c r="R612" s="27"/>
      <c r="S612" s="47"/>
      <c r="T612" s="33"/>
      <c r="U612" s="60"/>
      <c r="V612" s="27"/>
      <c r="W612" s="33"/>
      <c r="X612" s="47"/>
      <c r="Y612" s="48"/>
    </row>
    <row r="613" spans="2:25" s="38" customFormat="1" x14ac:dyDescent="0.25">
      <c r="B613" s="49"/>
      <c r="C613" s="70"/>
      <c r="D613" s="42"/>
      <c r="F613" s="33"/>
      <c r="G613" s="47"/>
      <c r="H613" s="33"/>
      <c r="I613" s="60"/>
      <c r="J613" s="27"/>
      <c r="K613" s="47"/>
      <c r="L613" s="33"/>
      <c r="M613" s="60"/>
      <c r="N613" s="27"/>
      <c r="O613" s="47"/>
      <c r="P613" s="33"/>
      <c r="Q613" s="60"/>
      <c r="R613" s="27"/>
      <c r="S613" s="47"/>
      <c r="T613" s="33"/>
      <c r="U613" s="60"/>
      <c r="V613" s="27"/>
      <c r="W613" s="33"/>
      <c r="X613" s="47"/>
      <c r="Y613" s="48"/>
    </row>
    <row r="614" spans="2:25" s="38" customFormat="1" x14ac:dyDescent="0.25">
      <c r="B614" s="49"/>
      <c r="C614" s="70"/>
      <c r="D614" s="42"/>
      <c r="F614" s="33"/>
      <c r="G614" s="47"/>
      <c r="H614" s="33"/>
      <c r="I614" s="60"/>
      <c r="J614" s="27"/>
      <c r="K614" s="47"/>
      <c r="L614" s="33"/>
      <c r="M614" s="60"/>
      <c r="N614" s="27"/>
      <c r="O614" s="47"/>
      <c r="P614" s="33"/>
      <c r="Q614" s="60"/>
      <c r="R614" s="27"/>
      <c r="S614" s="47"/>
      <c r="T614" s="33"/>
      <c r="U614" s="60"/>
      <c r="V614" s="27"/>
      <c r="W614" s="33"/>
      <c r="X614" s="47"/>
      <c r="Y614" s="48"/>
    </row>
    <row r="615" spans="2:25" s="38" customFormat="1" x14ac:dyDescent="0.25">
      <c r="B615" s="49"/>
      <c r="C615" s="70"/>
      <c r="D615" s="42"/>
      <c r="F615" s="33"/>
      <c r="G615" s="47"/>
      <c r="H615" s="33"/>
      <c r="I615" s="60"/>
      <c r="J615" s="27"/>
      <c r="K615" s="47"/>
      <c r="L615" s="33"/>
      <c r="M615" s="60"/>
      <c r="N615" s="27"/>
      <c r="O615" s="47"/>
      <c r="P615" s="33"/>
      <c r="Q615" s="60"/>
      <c r="R615" s="27"/>
      <c r="S615" s="47"/>
      <c r="T615" s="33"/>
      <c r="U615" s="60"/>
      <c r="V615" s="27"/>
      <c r="W615" s="33"/>
      <c r="X615" s="47"/>
      <c r="Y615" s="48"/>
    </row>
    <row r="616" spans="2:25" s="38" customFormat="1" x14ac:dyDescent="0.25">
      <c r="B616" s="49"/>
      <c r="C616" s="70"/>
      <c r="D616" s="42"/>
      <c r="F616" s="33"/>
      <c r="G616" s="47"/>
      <c r="H616" s="33"/>
      <c r="I616" s="60"/>
      <c r="J616" s="27"/>
      <c r="K616" s="47"/>
      <c r="L616" s="33"/>
      <c r="M616" s="60"/>
      <c r="N616" s="27"/>
      <c r="O616" s="47"/>
      <c r="P616" s="33"/>
      <c r="Q616" s="60"/>
      <c r="R616" s="27"/>
      <c r="S616" s="47"/>
      <c r="T616" s="33"/>
      <c r="U616" s="60"/>
      <c r="V616" s="27"/>
      <c r="W616" s="33"/>
      <c r="X616" s="47"/>
      <c r="Y616" s="48"/>
    </row>
    <row r="617" spans="2:25" s="38" customFormat="1" x14ac:dyDescent="0.25">
      <c r="B617" s="49"/>
      <c r="C617" s="70"/>
      <c r="D617" s="42"/>
      <c r="F617" s="33"/>
      <c r="G617" s="47"/>
      <c r="H617" s="33"/>
      <c r="I617" s="60"/>
      <c r="J617" s="27"/>
      <c r="K617" s="47"/>
      <c r="L617" s="33"/>
      <c r="M617" s="60"/>
      <c r="N617" s="27"/>
      <c r="O617" s="47"/>
      <c r="P617" s="33"/>
      <c r="Q617" s="60"/>
      <c r="R617" s="27"/>
      <c r="S617" s="47"/>
      <c r="T617" s="33"/>
      <c r="U617" s="60"/>
      <c r="V617" s="27"/>
      <c r="W617" s="33"/>
      <c r="X617" s="47"/>
      <c r="Y617" s="48"/>
    </row>
    <row r="618" spans="2:25" s="38" customFormat="1" x14ac:dyDescent="0.25">
      <c r="B618" s="49"/>
      <c r="C618" s="70"/>
      <c r="D618" s="42"/>
      <c r="F618" s="33"/>
      <c r="G618" s="47"/>
      <c r="H618" s="33"/>
      <c r="I618" s="60"/>
      <c r="J618" s="27"/>
      <c r="K618" s="47"/>
      <c r="L618" s="33"/>
      <c r="M618" s="60"/>
      <c r="N618" s="27"/>
      <c r="O618" s="47"/>
      <c r="P618" s="33"/>
      <c r="Q618" s="60"/>
      <c r="R618" s="27"/>
      <c r="S618" s="47"/>
      <c r="T618" s="33"/>
      <c r="U618" s="60"/>
      <c r="V618" s="27"/>
      <c r="W618" s="33"/>
      <c r="X618" s="47"/>
      <c r="Y618" s="48"/>
    </row>
    <row r="619" spans="2:25" s="38" customFormat="1" x14ac:dyDescent="0.25">
      <c r="B619" s="49"/>
      <c r="C619" s="70"/>
      <c r="D619" s="42"/>
      <c r="F619" s="33"/>
      <c r="G619" s="47"/>
      <c r="H619" s="33"/>
      <c r="I619" s="60"/>
      <c r="J619" s="27"/>
      <c r="K619" s="47"/>
      <c r="L619" s="33"/>
      <c r="M619" s="60"/>
      <c r="N619" s="27"/>
      <c r="O619" s="47"/>
      <c r="P619" s="33"/>
      <c r="Q619" s="60"/>
      <c r="R619" s="27"/>
      <c r="S619" s="47"/>
      <c r="T619" s="33"/>
      <c r="U619" s="60"/>
      <c r="V619" s="27"/>
      <c r="W619" s="33"/>
      <c r="X619" s="47"/>
      <c r="Y619" s="48"/>
    </row>
    <row r="620" spans="2:25" s="38" customFormat="1" x14ac:dyDescent="0.25">
      <c r="B620" s="49"/>
      <c r="C620" s="70"/>
      <c r="D620" s="42"/>
      <c r="F620" s="33"/>
      <c r="G620" s="47"/>
      <c r="H620" s="33"/>
      <c r="I620" s="60"/>
      <c r="J620" s="27"/>
      <c r="K620" s="47"/>
      <c r="L620" s="33"/>
      <c r="M620" s="60"/>
      <c r="N620" s="27"/>
      <c r="O620" s="47"/>
      <c r="P620" s="33"/>
      <c r="Q620" s="60"/>
      <c r="R620" s="27"/>
      <c r="S620" s="47"/>
      <c r="T620" s="33"/>
      <c r="U620" s="60"/>
      <c r="V620" s="27"/>
      <c r="W620" s="33"/>
      <c r="X620" s="47"/>
      <c r="Y620" s="48"/>
    </row>
    <row r="621" spans="2:25" s="38" customFormat="1" x14ac:dyDescent="0.25">
      <c r="B621" s="49"/>
      <c r="C621" s="70"/>
      <c r="D621" s="42"/>
      <c r="F621" s="33"/>
      <c r="G621" s="47"/>
      <c r="H621" s="33"/>
      <c r="I621" s="60"/>
      <c r="J621" s="27"/>
      <c r="K621" s="47"/>
      <c r="L621" s="33"/>
      <c r="M621" s="60"/>
      <c r="N621" s="27"/>
      <c r="O621" s="47"/>
      <c r="P621" s="33"/>
      <c r="Q621" s="60"/>
      <c r="R621" s="27"/>
      <c r="S621" s="47"/>
      <c r="T621" s="33"/>
      <c r="U621" s="60"/>
      <c r="V621" s="27"/>
      <c r="W621" s="33"/>
      <c r="X621" s="47"/>
      <c r="Y621" s="48"/>
    </row>
    <row r="622" spans="2:25" s="38" customFormat="1" x14ac:dyDescent="0.25">
      <c r="B622" s="49"/>
      <c r="C622" s="70"/>
      <c r="D622" s="42"/>
      <c r="F622" s="33"/>
      <c r="G622" s="47"/>
      <c r="H622" s="33"/>
      <c r="I622" s="60"/>
      <c r="J622" s="27"/>
      <c r="K622" s="47"/>
      <c r="L622" s="33"/>
      <c r="M622" s="60"/>
      <c r="N622" s="27"/>
      <c r="O622" s="47"/>
      <c r="P622" s="33"/>
      <c r="Q622" s="60"/>
      <c r="R622" s="27"/>
      <c r="S622" s="47"/>
      <c r="T622" s="33"/>
      <c r="U622" s="60"/>
      <c r="V622" s="27"/>
      <c r="W622" s="33"/>
      <c r="X622" s="47"/>
      <c r="Y622" s="48"/>
    </row>
    <row r="623" spans="2:25" s="38" customFormat="1" x14ac:dyDescent="0.25">
      <c r="B623" s="49"/>
      <c r="C623" s="70"/>
      <c r="D623" s="42"/>
      <c r="F623" s="33"/>
      <c r="G623" s="47"/>
      <c r="H623" s="33"/>
      <c r="I623" s="60"/>
      <c r="J623" s="27"/>
      <c r="K623" s="47"/>
      <c r="L623" s="33"/>
      <c r="M623" s="60"/>
      <c r="N623" s="27"/>
      <c r="O623" s="47"/>
      <c r="P623" s="33"/>
      <c r="Q623" s="60"/>
      <c r="R623" s="27"/>
      <c r="S623" s="47"/>
      <c r="T623" s="33"/>
      <c r="U623" s="60"/>
      <c r="V623" s="27"/>
      <c r="W623" s="33"/>
      <c r="X623" s="47"/>
      <c r="Y623" s="48"/>
    </row>
    <row r="624" spans="2:25" s="38" customFormat="1" x14ac:dyDescent="0.25">
      <c r="B624" s="49"/>
      <c r="C624" s="70"/>
      <c r="D624" s="42"/>
      <c r="F624" s="33"/>
      <c r="G624" s="47"/>
      <c r="H624" s="33"/>
      <c r="I624" s="60"/>
      <c r="J624" s="27"/>
      <c r="K624" s="47"/>
      <c r="L624" s="33"/>
      <c r="M624" s="60"/>
      <c r="N624" s="27"/>
      <c r="O624" s="47"/>
      <c r="P624" s="33"/>
      <c r="Q624" s="60"/>
      <c r="R624" s="27"/>
      <c r="S624" s="47"/>
      <c r="T624" s="33"/>
      <c r="U624" s="60"/>
      <c r="V624" s="27"/>
      <c r="W624" s="33"/>
      <c r="X624" s="47"/>
      <c r="Y624" s="48"/>
    </row>
    <row r="625" spans="2:25" s="38" customFormat="1" x14ac:dyDescent="0.25">
      <c r="B625" s="49"/>
      <c r="C625" s="70"/>
      <c r="D625" s="42"/>
      <c r="F625" s="33"/>
      <c r="G625" s="47"/>
      <c r="H625" s="33"/>
      <c r="I625" s="60"/>
      <c r="J625" s="27"/>
      <c r="K625" s="47"/>
      <c r="L625" s="33"/>
      <c r="M625" s="60"/>
      <c r="N625" s="27"/>
      <c r="O625" s="47"/>
      <c r="P625" s="33"/>
      <c r="Q625" s="60"/>
      <c r="R625" s="27"/>
      <c r="S625" s="47"/>
      <c r="T625" s="33"/>
      <c r="U625" s="60"/>
      <c r="V625" s="27"/>
      <c r="W625" s="33"/>
      <c r="X625" s="47"/>
      <c r="Y625" s="48"/>
    </row>
    <row r="626" spans="2:25" s="38" customFormat="1" x14ac:dyDescent="0.25">
      <c r="B626" s="49"/>
      <c r="C626" s="70"/>
      <c r="D626" s="42"/>
      <c r="F626" s="33"/>
      <c r="G626" s="47"/>
      <c r="H626" s="33"/>
      <c r="I626" s="60"/>
      <c r="J626" s="27"/>
      <c r="K626" s="47"/>
      <c r="L626" s="33"/>
      <c r="M626" s="60"/>
      <c r="N626" s="27"/>
      <c r="O626" s="47"/>
      <c r="P626" s="33"/>
      <c r="Q626" s="60"/>
      <c r="R626" s="27"/>
      <c r="S626" s="47"/>
      <c r="T626" s="33"/>
      <c r="U626" s="60"/>
      <c r="V626" s="27"/>
      <c r="W626" s="33"/>
      <c r="X626" s="47"/>
      <c r="Y626" s="48"/>
    </row>
    <row r="627" spans="2:25" s="38" customFormat="1" x14ac:dyDescent="0.25">
      <c r="B627" s="49"/>
      <c r="C627" s="70"/>
      <c r="D627" s="42"/>
      <c r="F627" s="33"/>
      <c r="G627" s="47"/>
      <c r="H627" s="33"/>
      <c r="I627" s="60"/>
      <c r="J627" s="27"/>
      <c r="K627" s="47"/>
      <c r="L627" s="33"/>
      <c r="M627" s="60"/>
      <c r="N627" s="27"/>
      <c r="O627" s="47"/>
      <c r="P627" s="33"/>
      <c r="Q627" s="60"/>
      <c r="R627" s="27"/>
      <c r="S627" s="47"/>
      <c r="T627" s="33"/>
      <c r="U627" s="60"/>
      <c r="V627" s="27"/>
      <c r="W627" s="33"/>
      <c r="X627" s="47"/>
      <c r="Y627" s="48"/>
    </row>
    <row r="628" spans="2:25" s="38" customFormat="1" x14ac:dyDescent="0.25">
      <c r="B628" s="49"/>
      <c r="C628" s="70"/>
      <c r="D628" s="42"/>
      <c r="F628" s="33"/>
      <c r="G628" s="47"/>
      <c r="H628" s="33"/>
      <c r="I628" s="60"/>
      <c r="J628" s="27"/>
      <c r="K628" s="47"/>
      <c r="L628" s="33"/>
      <c r="M628" s="60"/>
      <c r="N628" s="27"/>
      <c r="O628" s="47"/>
      <c r="P628" s="33"/>
      <c r="Q628" s="60"/>
      <c r="R628" s="27"/>
      <c r="S628" s="47"/>
      <c r="T628" s="33"/>
      <c r="U628" s="60"/>
      <c r="V628" s="27"/>
      <c r="W628" s="33"/>
      <c r="X628" s="47"/>
      <c r="Y628" s="48"/>
    </row>
    <row r="629" spans="2:25" s="38" customFormat="1" x14ac:dyDescent="0.25">
      <c r="B629" s="49"/>
      <c r="C629" s="70"/>
      <c r="D629" s="42"/>
      <c r="F629" s="33"/>
      <c r="G629" s="47"/>
      <c r="H629" s="33"/>
      <c r="I629" s="60"/>
      <c r="J629" s="27"/>
      <c r="K629" s="47"/>
      <c r="L629" s="33"/>
      <c r="M629" s="60"/>
      <c r="N629" s="27"/>
      <c r="O629" s="47"/>
      <c r="P629" s="33"/>
      <c r="Q629" s="60"/>
      <c r="R629" s="27"/>
      <c r="S629" s="47"/>
      <c r="T629" s="33"/>
      <c r="U629" s="60"/>
      <c r="V629" s="27"/>
      <c r="W629" s="33"/>
      <c r="X629" s="47"/>
      <c r="Y629" s="48"/>
    </row>
    <row r="630" spans="2:25" s="38" customFormat="1" x14ac:dyDescent="0.25">
      <c r="B630" s="49"/>
      <c r="C630" s="70"/>
      <c r="D630" s="42"/>
      <c r="F630" s="33"/>
      <c r="G630" s="47"/>
      <c r="H630" s="33"/>
      <c r="I630" s="60"/>
      <c r="J630" s="27"/>
      <c r="K630" s="47"/>
      <c r="L630" s="33"/>
      <c r="M630" s="60"/>
      <c r="N630" s="27"/>
      <c r="O630" s="47"/>
      <c r="P630" s="33"/>
      <c r="Q630" s="60"/>
      <c r="R630" s="27"/>
      <c r="S630" s="47"/>
      <c r="T630" s="33"/>
      <c r="U630" s="60"/>
      <c r="V630" s="27"/>
      <c r="W630" s="33"/>
      <c r="X630" s="47"/>
      <c r="Y630" s="48"/>
    </row>
    <row r="631" spans="2:25" s="38" customFormat="1" x14ac:dyDescent="0.25">
      <c r="B631" s="49"/>
      <c r="C631" s="70"/>
      <c r="D631" s="42"/>
      <c r="F631" s="33"/>
      <c r="G631" s="47"/>
      <c r="H631" s="33"/>
      <c r="I631" s="60"/>
      <c r="J631" s="27"/>
      <c r="K631" s="47"/>
      <c r="L631" s="33"/>
      <c r="M631" s="60"/>
      <c r="N631" s="27"/>
      <c r="O631" s="47"/>
      <c r="P631" s="33"/>
      <c r="Q631" s="60"/>
      <c r="R631" s="27"/>
      <c r="S631" s="47"/>
      <c r="T631" s="33"/>
      <c r="U631" s="60"/>
      <c r="V631" s="27"/>
      <c r="W631" s="33"/>
      <c r="X631" s="47"/>
      <c r="Y631" s="48"/>
    </row>
    <row r="632" spans="2:25" s="38" customFormat="1" x14ac:dyDescent="0.25">
      <c r="B632" s="49"/>
      <c r="C632" s="70"/>
      <c r="D632" s="42"/>
      <c r="F632" s="33"/>
      <c r="G632" s="47"/>
      <c r="H632" s="33"/>
      <c r="I632" s="60"/>
      <c r="J632" s="27"/>
      <c r="K632" s="47"/>
      <c r="L632" s="33"/>
      <c r="M632" s="60"/>
      <c r="N632" s="27"/>
      <c r="O632" s="47"/>
      <c r="P632" s="33"/>
      <c r="Q632" s="60"/>
      <c r="R632" s="27"/>
      <c r="S632" s="47"/>
      <c r="T632" s="33"/>
      <c r="U632" s="60"/>
      <c r="V632" s="27"/>
      <c r="W632" s="33"/>
      <c r="X632" s="47"/>
      <c r="Y632" s="48"/>
    </row>
    <row r="633" spans="2:25" s="38" customFormat="1" x14ac:dyDescent="0.25">
      <c r="B633" s="49"/>
      <c r="C633" s="70"/>
      <c r="D633" s="42"/>
      <c r="F633" s="33"/>
      <c r="G633" s="47"/>
      <c r="H633" s="33"/>
      <c r="I633" s="60"/>
      <c r="J633" s="27"/>
      <c r="K633" s="47"/>
      <c r="L633" s="33"/>
      <c r="M633" s="60"/>
      <c r="N633" s="27"/>
      <c r="O633" s="47"/>
      <c r="P633" s="33"/>
      <c r="Q633" s="60"/>
      <c r="R633" s="27"/>
      <c r="S633" s="47"/>
      <c r="T633" s="33"/>
      <c r="U633" s="60"/>
      <c r="V633" s="27"/>
      <c r="W633" s="33"/>
      <c r="X633" s="47"/>
      <c r="Y633" s="48"/>
    </row>
    <row r="634" spans="2:25" s="38" customFormat="1" x14ac:dyDescent="0.25">
      <c r="B634" s="49"/>
      <c r="C634" s="70"/>
      <c r="D634" s="42"/>
      <c r="F634" s="33"/>
      <c r="G634" s="47"/>
      <c r="H634" s="33"/>
      <c r="I634" s="60"/>
      <c r="J634" s="27"/>
      <c r="K634" s="47"/>
      <c r="L634" s="33"/>
      <c r="M634" s="60"/>
      <c r="N634" s="27"/>
      <c r="O634" s="47"/>
      <c r="P634" s="33"/>
      <c r="Q634" s="60"/>
      <c r="R634" s="27"/>
      <c r="S634" s="47"/>
      <c r="T634" s="33"/>
      <c r="U634" s="60"/>
      <c r="V634" s="27"/>
      <c r="W634" s="33"/>
      <c r="X634" s="47"/>
      <c r="Y634" s="48"/>
    </row>
    <row r="635" spans="2:25" s="38" customFormat="1" x14ac:dyDescent="0.25">
      <c r="B635" s="49"/>
      <c r="C635" s="70"/>
      <c r="D635" s="42"/>
      <c r="F635" s="33"/>
      <c r="G635" s="47"/>
      <c r="H635" s="33"/>
      <c r="I635" s="60"/>
      <c r="J635" s="27"/>
      <c r="K635" s="47"/>
      <c r="L635" s="33"/>
      <c r="M635" s="60"/>
      <c r="N635" s="27"/>
      <c r="O635" s="47"/>
      <c r="P635" s="33"/>
      <c r="Q635" s="60"/>
      <c r="R635" s="27"/>
      <c r="S635" s="47"/>
      <c r="T635" s="33"/>
      <c r="U635" s="60"/>
      <c r="V635" s="27"/>
      <c r="W635" s="33"/>
      <c r="X635" s="47"/>
      <c r="Y635" s="48"/>
    </row>
    <row r="636" spans="2:25" s="38" customFormat="1" x14ac:dyDescent="0.25">
      <c r="B636" s="49"/>
      <c r="C636" s="70"/>
      <c r="D636" s="42"/>
      <c r="F636" s="33"/>
      <c r="G636" s="47"/>
      <c r="H636" s="33"/>
      <c r="I636" s="60"/>
      <c r="J636" s="27"/>
      <c r="K636" s="47"/>
      <c r="L636" s="33"/>
      <c r="M636" s="60"/>
      <c r="N636" s="27"/>
      <c r="O636" s="47"/>
      <c r="P636" s="33"/>
      <c r="Q636" s="60"/>
      <c r="R636" s="27"/>
      <c r="S636" s="47"/>
      <c r="T636" s="33"/>
      <c r="U636" s="60"/>
      <c r="V636" s="27"/>
      <c r="W636" s="33"/>
      <c r="X636" s="47"/>
      <c r="Y636" s="48"/>
    </row>
    <row r="637" spans="2:25" s="38" customFormat="1" x14ac:dyDescent="0.25">
      <c r="B637" s="49"/>
      <c r="C637" s="70"/>
      <c r="D637" s="42"/>
      <c r="F637" s="33"/>
      <c r="G637" s="47"/>
      <c r="H637" s="33"/>
      <c r="I637" s="60"/>
      <c r="J637" s="27"/>
      <c r="K637" s="47"/>
      <c r="L637" s="33"/>
      <c r="M637" s="60"/>
      <c r="N637" s="27"/>
      <c r="O637" s="47"/>
      <c r="P637" s="33"/>
      <c r="Q637" s="60"/>
      <c r="R637" s="27"/>
      <c r="S637" s="47"/>
      <c r="T637" s="33"/>
      <c r="U637" s="60"/>
      <c r="V637" s="27"/>
      <c r="W637" s="33"/>
      <c r="X637" s="47"/>
      <c r="Y637" s="48"/>
    </row>
    <row r="638" spans="2:25" s="38" customFormat="1" x14ac:dyDescent="0.25">
      <c r="B638" s="49"/>
      <c r="C638" s="70"/>
      <c r="D638" s="42"/>
      <c r="F638" s="33"/>
      <c r="G638" s="47"/>
      <c r="H638" s="33"/>
      <c r="I638" s="60"/>
      <c r="J638" s="27"/>
      <c r="K638" s="47"/>
      <c r="L638" s="33"/>
      <c r="M638" s="60"/>
      <c r="N638" s="27"/>
      <c r="O638" s="47"/>
      <c r="P638" s="33"/>
      <c r="Q638" s="60"/>
      <c r="R638" s="27"/>
      <c r="S638" s="47"/>
      <c r="T638" s="33"/>
      <c r="U638" s="60"/>
      <c r="V638" s="27"/>
      <c r="W638" s="33"/>
      <c r="X638" s="47"/>
      <c r="Y638" s="48"/>
    </row>
    <row r="639" spans="2:25" s="38" customFormat="1" x14ac:dyDescent="0.25">
      <c r="B639" s="49"/>
      <c r="C639" s="70"/>
      <c r="D639" s="42"/>
      <c r="F639" s="33"/>
      <c r="G639" s="47"/>
      <c r="H639" s="33"/>
      <c r="I639" s="60"/>
      <c r="J639" s="27"/>
      <c r="K639" s="47"/>
      <c r="L639" s="33"/>
      <c r="M639" s="60"/>
      <c r="N639" s="27"/>
      <c r="O639" s="47"/>
      <c r="P639" s="33"/>
      <c r="Q639" s="60"/>
      <c r="R639" s="27"/>
      <c r="S639" s="47"/>
      <c r="T639" s="33"/>
      <c r="U639" s="60"/>
      <c r="V639" s="27"/>
      <c r="W639" s="33"/>
      <c r="X639" s="47"/>
      <c r="Y639" s="48"/>
    </row>
    <row r="640" spans="2:25" s="38" customFormat="1" x14ac:dyDescent="0.25">
      <c r="B640" s="49"/>
      <c r="C640" s="70"/>
      <c r="D640" s="42"/>
      <c r="F640" s="33"/>
      <c r="G640" s="47"/>
      <c r="H640" s="33"/>
      <c r="I640" s="60"/>
      <c r="J640" s="27"/>
      <c r="K640" s="47"/>
      <c r="L640" s="33"/>
      <c r="M640" s="60"/>
      <c r="N640" s="27"/>
      <c r="O640" s="47"/>
      <c r="P640" s="33"/>
      <c r="Q640" s="60"/>
      <c r="R640" s="27"/>
      <c r="S640" s="47"/>
      <c r="T640" s="33"/>
      <c r="U640" s="60"/>
      <c r="V640" s="27"/>
      <c r="W640" s="33"/>
      <c r="X640" s="47"/>
      <c r="Y640" s="48"/>
    </row>
    <row r="641" spans="2:25" s="38" customFormat="1" x14ac:dyDescent="0.25">
      <c r="B641" s="49"/>
      <c r="C641" s="70"/>
      <c r="D641" s="42"/>
      <c r="F641" s="33"/>
      <c r="G641" s="47"/>
      <c r="H641" s="33"/>
      <c r="I641" s="60"/>
      <c r="J641" s="27"/>
      <c r="K641" s="47"/>
      <c r="L641" s="33"/>
      <c r="M641" s="60"/>
      <c r="N641" s="27"/>
      <c r="O641" s="47"/>
      <c r="P641" s="33"/>
      <c r="Q641" s="60"/>
      <c r="R641" s="27"/>
      <c r="S641" s="47"/>
      <c r="T641" s="33"/>
      <c r="U641" s="60"/>
      <c r="V641" s="27"/>
      <c r="W641" s="33"/>
      <c r="X641" s="47"/>
      <c r="Y641" s="48"/>
    </row>
    <row r="642" spans="2:25" s="38" customFormat="1" x14ac:dyDescent="0.25">
      <c r="B642" s="49"/>
      <c r="C642" s="70"/>
      <c r="D642" s="42"/>
      <c r="F642" s="33"/>
      <c r="G642" s="47"/>
      <c r="H642" s="33"/>
      <c r="I642" s="60"/>
      <c r="J642" s="27"/>
      <c r="K642" s="47"/>
      <c r="L642" s="33"/>
      <c r="M642" s="60"/>
      <c r="N642" s="27"/>
      <c r="O642" s="47"/>
      <c r="P642" s="33"/>
      <c r="Q642" s="60"/>
      <c r="R642" s="27"/>
      <c r="S642" s="47"/>
      <c r="T642" s="33"/>
      <c r="U642" s="60"/>
      <c r="V642" s="27"/>
      <c r="W642" s="33"/>
      <c r="X642" s="47"/>
      <c r="Y642" s="48"/>
    </row>
    <row r="643" spans="2:25" s="38" customFormat="1" x14ac:dyDescent="0.25">
      <c r="B643" s="49"/>
      <c r="C643" s="70"/>
      <c r="D643" s="42"/>
      <c r="F643" s="33"/>
      <c r="G643" s="47"/>
      <c r="H643" s="33"/>
      <c r="I643" s="60"/>
      <c r="J643" s="27"/>
      <c r="K643" s="47"/>
      <c r="L643" s="33"/>
      <c r="M643" s="60"/>
      <c r="N643" s="27"/>
      <c r="O643" s="47"/>
      <c r="P643" s="33"/>
      <c r="Q643" s="60"/>
      <c r="R643" s="27"/>
      <c r="S643" s="47"/>
      <c r="T643" s="33"/>
      <c r="U643" s="60"/>
      <c r="V643" s="27"/>
      <c r="W643" s="33"/>
      <c r="X643" s="47"/>
      <c r="Y643" s="48"/>
    </row>
    <row r="644" spans="2:25" s="38" customFormat="1" x14ac:dyDescent="0.25">
      <c r="B644" s="49"/>
      <c r="C644" s="70"/>
      <c r="D644" s="42"/>
      <c r="F644" s="33"/>
      <c r="G644" s="47"/>
      <c r="H644" s="33"/>
      <c r="I644" s="60"/>
      <c r="J644" s="27"/>
      <c r="K644" s="47"/>
      <c r="L644" s="33"/>
      <c r="M644" s="60"/>
      <c r="N644" s="27"/>
      <c r="O644" s="47"/>
      <c r="P644" s="33"/>
      <c r="Q644" s="60"/>
      <c r="R644" s="27"/>
      <c r="S644" s="47"/>
      <c r="T644" s="33"/>
      <c r="U644" s="60"/>
      <c r="V644" s="27"/>
      <c r="W644" s="33"/>
      <c r="X644" s="47"/>
      <c r="Y644" s="48"/>
    </row>
    <row r="645" spans="2:25" s="38" customFormat="1" x14ac:dyDescent="0.25">
      <c r="B645" s="49"/>
      <c r="C645" s="70"/>
      <c r="D645" s="42"/>
      <c r="F645" s="33"/>
      <c r="G645" s="47"/>
      <c r="H645" s="33"/>
      <c r="I645" s="60"/>
      <c r="J645" s="27"/>
      <c r="K645" s="47"/>
      <c r="L645" s="33"/>
      <c r="M645" s="60"/>
      <c r="N645" s="27"/>
      <c r="O645" s="47"/>
      <c r="P645" s="33"/>
      <c r="Q645" s="60"/>
      <c r="R645" s="27"/>
      <c r="S645" s="47"/>
      <c r="T645" s="33"/>
      <c r="U645" s="60"/>
      <c r="V645" s="27"/>
      <c r="W645" s="33"/>
      <c r="X645" s="47"/>
      <c r="Y645" s="48"/>
    </row>
    <row r="646" spans="2:25" s="38" customFormat="1" x14ac:dyDescent="0.25">
      <c r="B646" s="49"/>
      <c r="C646" s="70"/>
      <c r="D646" s="42"/>
      <c r="F646" s="33"/>
      <c r="G646" s="47"/>
      <c r="H646" s="33"/>
      <c r="I646" s="60"/>
      <c r="J646" s="27"/>
      <c r="K646" s="47"/>
      <c r="L646" s="33"/>
      <c r="M646" s="60"/>
      <c r="N646" s="27"/>
      <c r="O646" s="47"/>
      <c r="P646" s="33"/>
      <c r="Q646" s="60"/>
      <c r="R646" s="27"/>
      <c r="S646" s="47"/>
      <c r="T646" s="33"/>
      <c r="U646" s="60"/>
      <c r="V646" s="27"/>
      <c r="W646" s="33"/>
      <c r="X646" s="47"/>
      <c r="Y646" s="48"/>
    </row>
    <row r="647" spans="2:25" s="38" customFormat="1" x14ac:dyDescent="0.25">
      <c r="B647" s="49"/>
      <c r="C647" s="70"/>
      <c r="D647" s="42"/>
      <c r="F647" s="33"/>
      <c r="G647" s="47"/>
      <c r="H647" s="33"/>
      <c r="I647" s="60"/>
      <c r="J647" s="27"/>
      <c r="K647" s="47"/>
      <c r="L647" s="33"/>
      <c r="M647" s="60"/>
      <c r="N647" s="27"/>
      <c r="O647" s="47"/>
      <c r="P647" s="33"/>
      <c r="Q647" s="60"/>
      <c r="R647" s="27"/>
      <c r="S647" s="47"/>
      <c r="T647" s="33"/>
      <c r="U647" s="60"/>
      <c r="V647" s="27"/>
      <c r="W647" s="33"/>
      <c r="X647" s="47"/>
      <c r="Y647" s="48"/>
    </row>
    <row r="648" spans="2:25" s="38" customFormat="1" x14ac:dyDescent="0.25">
      <c r="B648" s="49"/>
      <c r="C648" s="70"/>
      <c r="D648" s="42"/>
      <c r="F648" s="33"/>
      <c r="G648" s="47"/>
      <c r="H648" s="33"/>
      <c r="I648" s="60"/>
      <c r="J648" s="27"/>
      <c r="K648" s="47"/>
      <c r="L648" s="33"/>
      <c r="M648" s="60"/>
      <c r="N648" s="27"/>
      <c r="O648" s="47"/>
      <c r="P648" s="33"/>
      <c r="Q648" s="60"/>
      <c r="R648" s="27"/>
      <c r="S648" s="47"/>
      <c r="T648" s="33"/>
      <c r="U648" s="60"/>
      <c r="V648" s="27"/>
      <c r="W648" s="33"/>
      <c r="X648" s="47"/>
      <c r="Y648" s="48"/>
    </row>
    <row r="649" spans="2:25" s="38" customFormat="1" x14ac:dyDescent="0.25">
      <c r="B649" s="49"/>
      <c r="C649" s="70"/>
      <c r="D649" s="42"/>
      <c r="F649" s="33"/>
      <c r="G649" s="47"/>
      <c r="H649" s="33"/>
      <c r="I649" s="60"/>
      <c r="J649" s="27"/>
      <c r="K649" s="47"/>
      <c r="L649" s="33"/>
      <c r="M649" s="60"/>
      <c r="N649" s="27"/>
      <c r="O649" s="47"/>
      <c r="P649" s="33"/>
      <c r="Q649" s="60"/>
      <c r="R649" s="27"/>
      <c r="S649" s="47"/>
      <c r="T649" s="33"/>
      <c r="U649" s="60"/>
      <c r="V649" s="27"/>
      <c r="W649" s="33"/>
      <c r="X649" s="47"/>
      <c r="Y649" s="48"/>
    </row>
    <row r="650" spans="2:25" s="38" customFormat="1" x14ac:dyDescent="0.25">
      <c r="B650" s="49"/>
      <c r="C650" s="70"/>
      <c r="D650" s="42"/>
      <c r="F650" s="33"/>
      <c r="G650" s="47"/>
      <c r="H650" s="33"/>
      <c r="I650" s="60"/>
      <c r="J650" s="27"/>
      <c r="K650" s="47"/>
      <c r="L650" s="33"/>
      <c r="M650" s="60"/>
      <c r="N650" s="27"/>
      <c r="O650" s="47"/>
      <c r="P650" s="33"/>
      <c r="Q650" s="60"/>
      <c r="R650" s="27"/>
      <c r="S650" s="47"/>
      <c r="T650" s="33"/>
      <c r="U650" s="60"/>
      <c r="V650" s="27"/>
      <c r="W650" s="33"/>
      <c r="X650" s="47"/>
      <c r="Y650" s="48"/>
    </row>
    <row r="651" spans="2:25" s="38" customFormat="1" x14ac:dyDescent="0.25">
      <c r="B651" s="49"/>
      <c r="C651" s="70"/>
      <c r="D651" s="42"/>
      <c r="F651" s="33"/>
      <c r="G651" s="47"/>
      <c r="H651" s="33"/>
      <c r="I651" s="60"/>
      <c r="J651" s="27"/>
      <c r="K651" s="47"/>
      <c r="L651" s="33"/>
      <c r="M651" s="60"/>
      <c r="N651" s="27"/>
      <c r="O651" s="47"/>
      <c r="P651" s="33"/>
      <c r="Q651" s="60"/>
      <c r="R651" s="27"/>
      <c r="S651" s="47"/>
      <c r="T651" s="33"/>
      <c r="U651" s="60"/>
      <c r="V651" s="27"/>
      <c r="W651" s="33"/>
      <c r="X651" s="47"/>
      <c r="Y651" s="48"/>
    </row>
    <row r="652" spans="2:25" s="38" customFormat="1" x14ac:dyDescent="0.25">
      <c r="B652" s="49"/>
      <c r="C652" s="70"/>
      <c r="D652" s="42"/>
      <c r="F652" s="33"/>
      <c r="G652" s="47"/>
      <c r="H652" s="33"/>
      <c r="I652" s="60"/>
      <c r="J652" s="27"/>
      <c r="K652" s="47"/>
      <c r="L652" s="33"/>
      <c r="M652" s="60"/>
      <c r="N652" s="27"/>
      <c r="O652" s="47"/>
      <c r="P652" s="33"/>
      <c r="Q652" s="60"/>
      <c r="R652" s="27"/>
      <c r="S652" s="47"/>
      <c r="T652" s="33"/>
      <c r="U652" s="60"/>
      <c r="V652" s="27"/>
      <c r="W652" s="33"/>
      <c r="X652" s="47"/>
      <c r="Y652" s="48"/>
    </row>
    <row r="653" spans="2:25" s="38" customFormat="1" x14ac:dyDescent="0.25">
      <c r="B653" s="49"/>
      <c r="C653" s="70"/>
      <c r="D653" s="42"/>
      <c r="F653" s="33"/>
      <c r="G653" s="47"/>
      <c r="H653" s="33"/>
      <c r="I653" s="60"/>
      <c r="J653" s="27"/>
      <c r="K653" s="47"/>
      <c r="L653" s="33"/>
      <c r="M653" s="60"/>
      <c r="N653" s="27"/>
      <c r="O653" s="47"/>
      <c r="P653" s="33"/>
      <c r="Q653" s="60"/>
      <c r="R653" s="27"/>
      <c r="S653" s="47"/>
      <c r="T653" s="33"/>
      <c r="U653" s="60"/>
      <c r="V653" s="27"/>
      <c r="W653" s="33"/>
      <c r="X653" s="47"/>
      <c r="Y653" s="48"/>
    </row>
    <row r="654" spans="2:25" s="38" customFormat="1" x14ac:dyDescent="0.25">
      <c r="B654" s="49"/>
      <c r="C654" s="70"/>
      <c r="D654" s="42"/>
      <c r="F654" s="33"/>
      <c r="G654" s="47"/>
      <c r="H654" s="33"/>
      <c r="I654" s="60"/>
      <c r="J654" s="27"/>
      <c r="K654" s="47"/>
      <c r="L654" s="33"/>
      <c r="M654" s="60"/>
      <c r="N654" s="27"/>
      <c r="O654" s="47"/>
      <c r="P654" s="33"/>
      <c r="Q654" s="60"/>
      <c r="R654" s="27"/>
      <c r="S654" s="47"/>
      <c r="T654" s="33"/>
      <c r="U654" s="60"/>
      <c r="V654" s="27"/>
      <c r="W654" s="33"/>
      <c r="X654" s="47"/>
      <c r="Y654" s="48"/>
    </row>
    <row r="655" spans="2:25" s="38" customFormat="1" x14ac:dyDescent="0.25">
      <c r="B655" s="49"/>
      <c r="C655" s="70"/>
      <c r="D655" s="42"/>
      <c r="F655" s="33"/>
      <c r="G655" s="47"/>
      <c r="H655" s="33"/>
      <c r="I655" s="60"/>
      <c r="J655" s="27"/>
      <c r="K655" s="47"/>
      <c r="L655" s="33"/>
      <c r="M655" s="60"/>
      <c r="N655" s="27"/>
      <c r="O655" s="47"/>
      <c r="P655" s="33"/>
      <c r="Q655" s="60"/>
      <c r="R655" s="27"/>
      <c r="S655" s="47"/>
      <c r="T655" s="33"/>
      <c r="U655" s="60"/>
      <c r="V655" s="27"/>
      <c r="W655" s="33"/>
      <c r="X655" s="47"/>
      <c r="Y655" s="48"/>
    </row>
    <row r="656" spans="2:25" s="38" customFormat="1" x14ac:dyDescent="0.25">
      <c r="B656" s="49"/>
      <c r="C656" s="70"/>
      <c r="D656" s="42"/>
      <c r="F656" s="33"/>
      <c r="G656" s="47"/>
      <c r="H656" s="33"/>
      <c r="I656" s="60"/>
      <c r="J656" s="27"/>
      <c r="K656" s="47"/>
      <c r="L656" s="33"/>
      <c r="M656" s="60"/>
      <c r="N656" s="27"/>
      <c r="O656" s="47"/>
      <c r="P656" s="33"/>
      <c r="Q656" s="60"/>
      <c r="R656" s="27"/>
      <c r="S656" s="47"/>
      <c r="T656" s="33"/>
      <c r="U656" s="60"/>
      <c r="V656" s="27"/>
      <c r="W656" s="33"/>
      <c r="X656" s="47"/>
      <c r="Y656" s="48"/>
    </row>
    <row r="657" spans="2:25" s="38" customFormat="1" x14ac:dyDescent="0.25">
      <c r="B657" s="49"/>
      <c r="C657" s="70"/>
      <c r="D657" s="42"/>
      <c r="F657" s="33"/>
      <c r="G657" s="47"/>
      <c r="H657" s="33"/>
      <c r="I657" s="60"/>
      <c r="J657" s="27"/>
      <c r="K657" s="47"/>
      <c r="L657" s="33"/>
      <c r="M657" s="60"/>
      <c r="N657" s="27"/>
      <c r="O657" s="47"/>
      <c r="P657" s="33"/>
      <c r="Q657" s="60"/>
      <c r="R657" s="27"/>
      <c r="S657" s="47"/>
      <c r="T657" s="33"/>
      <c r="U657" s="60"/>
      <c r="V657" s="27"/>
      <c r="W657" s="33"/>
      <c r="X657" s="47"/>
      <c r="Y657" s="48"/>
    </row>
    <row r="658" spans="2:25" s="38" customFormat="1" x14ac:dyDescent="0.25">
      <c r="B658" s="49"/>
      <c r="C658" s="70"/>
      <c r="D658" s="42"/>
      <c r="F658" s="33"/>
      <c r="G658" s="47"/>
      <c r="H658" s="33"/>
      <c r="I658" s="60"/>
      <c r="J658" s="27"/>
      <c r="K658" s="47"/>
      <c r="L658" s="33"/>
      <c r="M658" s="60"/>
      <c r="N658" s="27"/>
      <c r="O658" s="47"/>
      <c r="P658" s="33"/>
      <c r="Q658" s="60"/>
      <c r="R658" s="27"/>
      <c r="S658" s="47"/>
      <c r="T658" s="33"/>
      <c r="U658" s="60"/>
      <c r="V658" s="27"/>
      <c r="W658" s="33"/>
      <c r="X658" s="47"/>
      <c r="Y658" s="48"/>
    </row>
    <row r="659" spans="2:25" s="38" customFormat="1" x14ac:dyDescent="0.25">
      <c r="B659" s="49"/>
      <c r="C659" s="70"/>
      <c r="D659" s="42"/>
      <c r="F659" s="33"/>
      <c r="G659" s="47"/>
      <c r="H659" s="33"/>
      <c r="I659" s="60"/>
      <c r="J659" s="27"/>
      <c r="K659" s="47"/>
      <c r="L659" s="33"/>
      <c r="M659" s="60"/>
      <c r="N659" s="27"/>
      <c r="O659" s="47"/>
      <c r="P659" s="33"/>
      <c r="Q659" s="60"/>
      <c r="R659" s="27"/>
      <c r="S659" s="47"/>
      <c r="T659" s="33"/>
      <c r="U659" s="60"/>
      <c r="V659" s="27"/>
      <c r="W659" s="33"/>
      <c r="X659" s="47"/>
      <c r="Y659" s="48"/>
    </row>
    <row r="660" spans="2:25" s="38" customFormat="1" x14ac:dyDescent="0.25">
      <c r="B660" s="49"/>
      <c r="C660" s="70"/>
      <c r="D660" s="42"/>
      <c r="F660" s="33"/>
      <c r="G660" s="47"/>
      <c r="H660" s="33"/>
      <c r="I660" s="60"/>
      <c r="J660" s="27"/>
      <c r="K660" s="47"/>
      <c r="L660" s="33"/>
      <c r="M660" s="60"/>
      <c r="N660" s="27"/>
      <c r="O660" s="47"/>
      <c r="P660" s="33"/>
      <c r="Q660" s="60"/>
      <c r="R660" s="27"/>
      <c r="S660" s="47"/>
      <c r="T660" s="33"/>
      <c r="U660" s="60"/>
      <c r="V660" s="27"/>
      <c r="W660" s="33"/>
      <c r="X660" s="47"/>
      <c r="Y660" s="48"/>
    </row>
    <row r="661" spans="2:25" s="38" customFormat="1" x14ac:dyDescent="0.25">
      <c r="B661" s="49"/>
      <c r="C661" s="70"/>
      <c r="D661" s="42"/>
      <c r="F661" s="33"/>
      <c r="G661" s="47"/>
      <c r="H661" s="33"/>
      <c r="I661" s="60"/>
      <c r="J661" s="27"/>
      <c r="K661" s="47"/>
      <c r="L661" s="33"/>
      <c r="M661" s="60"/>
      <c r="N661" s="27"/>
      <c r="O661" s="47"/>
      <c r="P661" s="33"/>
      <c r="Q661" s="60"/>
      <c r="R661" s="27"/>
      <c r="S661" s="47"/>
      <c r="T661" s="33"/>
      <c r="U661" s="60"/>
      <c r="V661" s="27"/>
      <c r="W661" s="33"/>
      <c r="X661" s="47"/>
      <c r="Y661" s="48"/>
    </row>
    <row r="662" spans="2:25" s="38" customFormat="1" x14ac:dyDescent="0.25">
      <c r="B662" s="49"/>
      <c r="C662" s="70"/>
      <c r="D662" s="42"/>
      <c r="F662" s="33"/>
      <c r="G662" s="47"/>
      <c r="H662" s="33"/>
      <c r="I662" s="60"/>
      <c r="J662" s="27"/>
      <c r="K662" s="47"/>
      <c r="L662" s="33"/>
      <c r="M662" s="60"/>
      <c r="N662" s="27"/>
      <c r="O662" s="47"/>
      <c r="P662" s="33"/>
      <c r="Q662" s="60"/>
      <c r="R662" s="27"/>
      <c r="S662" s="47"/>
      <c r="T662" s="33"/>
      <c r="U662" s="60"/>
      <c r="V662" s="27"/>
      <c r="W662" s="33"/>
      <c r="X662" s="47"/>
      <c r="Y662" s="48"/>
    </row>
    <row r="663" spans="2:25" s="38" customFormat="1" x14ac:dyDescent="0.25">
      <c r="B663" s="49"/>
      <c r="C663" s="70"/>
      <c r="D663" s="42"/>
      <c r="F663" s="33"/>
      <c r="G663" s="47"/>
      <c r="H663" s="33"/>
      <c r="I663" s="60"/>
      <c r="J663" s="27"/>
      <c r="K663" s="47"/>
      <c r="L663" s="33"/>
      <c r="M663" s="60"/>
      <c r="N663" s="27"/>
      <c r="O663" s="47"/>
      <c r="P663" s="33"/>
      <c r="Q663" s="60"/>
      <c r="R663" s="27"/>
      <c r="S663" s="47"/>
      <c r="T663" s="33"/>
      <c r="U663" s="60"/>
      <c r="V663" s="27"/>
      <c r="W663" s="33"/>
      <c r="X663" s="47"/>
      <c r="Y663" s="48"/>
    </row>
    <row r="664" spans="2:25" s="38" customFormat="1" x14ac:dyDescent="0.25">
      <c r="B664" s="49"/>
      <c r="C664" s="70"/>
      <c r="D664" s="42"/>
      <c r="F664" s="33"/>
      <c r="G664" s="47"/>
      <c r="H664" s="33"/>
      <c r="I664" s="60"/>
      <c r="J664" s="27"/>
      <c r="K664" s="47"/>
      <c r="L664" s="33"/>
      <c r="M664" s="60"/>
      <c r="N664" s="27"/>
      <c r="O664" s="47"/>
      <c r="P664" s="33"/>
      <c r="Q664" s="60"/>
      <c r="R664" s="27"/>
      <c r="S664" s="47"/>
      <c r="T664" s="33"/>
      <c r="U664" s="60"/>
      <c r="V664" s="27"/>
      <c r="W664" s="33"/>
      <c r="X664" s="47"/>
      <c r="Y664" s="48"/>
    </row>
    <row r="665" spans="2:25" s="38" customFormat="1" x14ac:dyDescent="0.25">
      <c r="B665" s="49"/>
      <c r="C665" s="70"/>
      <c r="D665" s="42"/>
      <c r="F665" s="33"/>
      <c r="G665" s="47"/>
      <c r="H665" s="33"/>
      <c r="I665" s="60"/>
      <c r="J665" s="27"/>
      <c r="K665" s="47"/>
      <c r="L665" s="33"/>
      <c r="M665" s="60"/>
      <c r="N665" s="27"/>
      <c r="O665" s="47"/>
      <c r="P665" s="33"/>
      <c r="Q665" s="60"/>
      <c r="R665" s="27"/>
      <c r="S665" s="47"/>
      <c r="T665" s="33"/>
      <c r="U665" s="60"/>
      <c r="V665" s="27"/>
      <c r="W665" s="33"/>
      <c r="X665" s="47"/>
      <c r="Y665" s="48"/>
    </row>
    <row r="666" spans="2:25" s="38" customFormat="1" x14ac:dyDescent="0.25">
      <c r="B666" s="49"/>
      <c r="C666" s="70"/>
      <c r="D666" s="42"/>
      <c r="F666" s="33"/>
      <c r="G666" s="47"/>
      <c r="H666" s="33"/>
      <c r="I666" s="60"/>
      <c r="J666" s="27"/>
      <c r="K666" s="47"/>
      <c r="L666" s="33"/>
      <c r="M666" s="60"/>
      <c r="N666" s="27"/>
      <c r="O666" s="47"/>
      <c r="P666" s="33"/>
      <c r="Q666" s="60"/>
      <c r="R666" s="27"/>
      <c r="S666" s="47"/>
      <c r="T666" s="33"/>
      <c r="U666" s="60"/>
      <c r="V666" s="27"/>
      <c r="W666" s="33"/>
      <c r="X666" s="47"/>
      <c r="Y666" s="48"/>
    </row>
    <row r="667" spans="2:25" s="38" customFormat="1" x14ac:dyDescent="0.25">
      <c r="B667" s="49"/>
      <c r="C667" s="70"/>
      <c r="D667" s="42"/>
      <c r="F667" s="33"/>
      <c r="G667" s="47"/>
      <c r="H667" s="33"/>
      <c r="I667" s="60"/>
      <c r="J667" s="27"/>
      <c r="K667" s="47"/>
      <c r="L667" s="33"/>
      <c r="M667" s="60"/>
      <c r="N667" s="27"/>
      <c r="O667" s="47"/>
      <c r="P667" s="33"/>
      <c r="Q667" s="60"/>
      <c r="R667" s="27"/>
      <c r="S667" s="47"/>
      <c r="T667" s="33"/>
      <c r="U667" s="60"/>
      <c r="V667" s="27"/>
      <c r="W667" s="33"/>
      <c r="X667" s="47"/>
      <c r="Y667" s="48"/>
    </row>
    <row r="668" spans="2:25" s="38" customFormat="1" x14ac:dyDescent="0.25">
      <c r="B668" s="49"/>
      <c r="C668" s="70"/>
      <c r="D668" s="42"/>
      <c r="F668" s="33"/>
      <c r="G668" s="47"/>
      <c r="H668" s="33"/>
      <c r="I668" s="60"/>
      <c r="J668" s="27"/>
      <c r="K668" s="47"/>
      <c r="L668" s="33"/>
      <c r="M668" s="60"/>
      <c r="N668" s="27"/>
      <c r="O668" s="47"/>
      <c r="P668" s="33"/>
      <c r="Q668" s="60"/>
      <c r="R668" s="27"/>
      <c r="S668" s="47"/>
      <c r="T668" s="33"/>
      <c r="U668" s="60"/>
      <c r="V668" s="27"/>
      <c r="W668" s="33"/>
      <c r="X668" s="47"/>
      <c r="Y668" s="48"/>
    </row>
    <row r="669" spans="2:25" s="38" customFormat="1" x14ac:dyDescent="0.25">
      <c r="B669" s="49"/>
      <c r="C669" s="70"/>
      <c r="D669" s="42"/>
      <c r="F669" s="33"/>
      <c r="G669" s="47"/>
      <c r="H669" s="33"/>
      <c r="I669" s="60"/>
      <c r="J669" s="27"/>
      <c r="K669" s="47"/>
      <c r="L669" s="33"/>
      <c r="M669" s="60"/>
      <c r="N669" s="27"/>
      <c r="O669" s="47"/>
      <c r="P669" s="33"/>
      <c r="Q669" s="60"/>
      <c r="R669" s="27"/>
      <c r="S669" s="47"/>
      <c r="T669" s="33"/>
      <c r="U669" s="60"/>
      <c r="V669" s="27"/>
      <c r="W669" s="33"/>
      <c r="X669" s="47"/>
      <c r="Y669" s="48"/>
    </row>
    <row r="670" spans="2:25" s="38" customFormat="1" x14ac:dyDescent="0.25">
      <c r="B670" s="49"/>
      <c r="C670" s="70"/>
      <c r="D670" s="42"/>
      <c r="F670" s="33"/>
      <c r="G670" s="47"/>
      <c r="H670" s="33"/>
      <c r="I670" s="60"/>
      <c r="J670" s="27"/>
      <c r="K670" s="47"/>
      <c r="L670" s="33"/>
      <c r="M670" s="60"/>
      <c r="N670" s="27"/>
      <c r="O670" s="47"/>
      <c r="P670" s="33"/>
      <c r="Q670" s="60"/>
      <c r="R670" s="27"/>
      <c r="S670" s="47"/>
      <c r="T670" s="33"/>
      <c r="U670" s="60"/>
      <c r="V670" s="27"/>
      <c r="W670" s="33"/>
      <c r="X670" s="47"/>
      <c r="Y670" s="48"/>
    </row>
    <row r="671" spans="2:25" s="38" customFormat="1" x14ac:dyDescent="0.25">
      <c r="B671" s="49"/>
      <c r="C671" s="70"/>
      <c r="D671" s="42"/>
      <c r="F671" s="33"/>
      <c r="G671" s="47"/>
      <c r="H671" s="33"/>
      <c r="I671" s="60"/>
      <c r="J671" s="27"/>
      <c r="K671" s="47"/>
      <c r="L671" s="33"/>
      <c r="M671" s="60"/>
      <c r="N671" s="27"/>
      <c r="O671" s="47"/>
      <c r="P671" s="33"/>
      <c r="Q671" s="60"/>
      <c r="R671" s="27"/>
      <c r="S671" s="47"/>
      <c r="T671" s="33"/>
      <c r="U671" s="60"/>
      <c r="V671" s="27"/>
      <c r="W671" s="33"/>
      <c r="X671" s="47"/>
      <c r="Y671" s="48"/>
    </row>
    <row r="672" spans="2:25" s="38" customFormat="1" x14ac:dyDescent="0.25">
      <c r="B672" s="49"/>
      <c r="C672" s="70"/>
      <c r="D672" s="42"/>
      <c r="F672" s="33"/>
      <c r="G672" s="47"/>
      <c r="H672" s="33"/>
      <c r="I672" s="60"/>
      <c r="J672" s="27"/>
      <c r="K672" s="47"/>
      <c r="L672" s="33"/>
      <c r="M672" s="60"/>
      <c r="N672" s="27"/>
      <c r="O672" s="47"/>
      <c r="P672" s="33"/>
      <c r="Q672" s="60"/>
      <c r="R672" s="27"/>
      <c r="S672" s="47"/>
      <c r="T672" s="33"/>
      <c r="U672" s="60"/>
      <c r="V672" s="27"/>
      <c r="W672" s="33"/>
      <c r="X672" s="47"/>
      <c r="Y672" s="48"/>
    </row>
    <row r="673" spans="2:25" s="38" customFormat="1" x14ac:dyDescent="0.25">
      <c r="B673" s="49"/>
      <c r="C673" s="70"/>
      <c r="D673" s="42"/>
      <c r="F673" s="33"/>
      <c r="G673" s="47"/>
      <c r="H673" s="33"/>
      <c r="I673" s="60"/>
      <c r="J673" s="27"/>
      <c r="K673" s="47"/>
      <c r="L673" s="33"/>
      <c r="M673" s="60"/>
      <c r="N673" s="27"/>
      <c r="O673" s="47"/>
      <c r="P673" s="33"/>
      <c r="Q673" s="60"/>
      <c r="R673" s="27"/>
      <c r="S673" s="47"/>
      <c r="T673" s="33"/>
      <c r="U673" s="60"/>
      <c r="V673" s="27"/>
      <c r="W673" s="33"/>
      <c r="X673" s="47"/>
      <c r="Y673" s="48"/>
    </row>
    <row r="674" spans="2:25" s="38" customFormat="1" x14ac:dyDescent="0.25">
      <c r="B674" s="49"/>
      <c r="C674" s="70"/>
      <c r="D674" s="42"/>
      <c r="F674" s="33"/>
      <c r="G674" s="47"/>
      <c r="H674" s="33"/>
      <c r="I674" s="60"/>
      <c r="J674" s="27"/>
      <c r="K674" s="47"/>
      <c r="L674" s="33"/>
      <c r="M674" s="60"/>
      <c r="N674" s="27"/>
      <c r="O674" s="47"/>
      <c r="P674" s="33"/>
      <c r="Q674" s="60"/>
      <c r="R674" s="27"/>
      <c r="S674" s="47"/>
      <c r="T674" s="33"/>
      <c r="U674" s="60"/>
      <c r="V674" s="27"/>
      <c r="W674" s="33"/>
      <c r="X674" s="47"/>
      <c r="Y674" s="48"/>
    </row>
    <row r="675" spans="2:25" s="38" customFormat="1" x14ac:dyDescent="0.25">
      <c r="B675" s="49"/>
      <c r="C675" s="70"/>
      <c r="D675" s="42"/>
      <c r="F675" s="33"/>
      <c r="G675" s="47"/>
      <c r="H675" s="33"/>
      <c r="I675" s="60"/>
      <c r="J675" s="27"/>
      <c r="K675" s="47"/>
      <c r="L675" s="33"/>
      <c r="M675" s="60"/>
      <c r="N675" s="27"/>
      <c r="O675" s="47"/>
      <c r="P675" s="33"/>
      <c r="Q675" s="60"/>
      <c r="R675" s="27"/>
      <c r="S675" s="47"/>
      <c r="T675" s="33"/>
      <c r="U675" s="60"/>
      <c r="V675" s="27"/>
      <c r="W675" s="33"/>
      <c r="X675" s="47"/>
      <c r="Y675" s="48"/>
    </row>
    <row r="676" spans="2:25" s="38" customFormat="1" x14ac:dyDescent="0.25">
      <c r="B676" s="49"/>
      <c r="C676" s="70"/>
      <c r="D676" s="42"/>
      <c r="F676" s="33"/>
      <c r="G676" s="47"/>
      <c r="H676" s="33"/>
      <c r="I676" s="60"/>
      <c r="J676" s="27"/>
      <c r="K676" s="47"/>
      <c r="L676" s="33"/>
      <c r="M676" s="60"/>
      <c r="N676" s="27"/>
      <c r="O676" s="47"/>
      <c r="P676" s="33"/>
      <c r="Q676" s="60"/>
      <c r="R676" s="27"/>
      <c r="S676" s="47"/>
      <c r="T676" s="33"/>
      <c r="U676" s="60"/>
      <c r="V676" s="27"/>
      <c r="W676" s="33"/>
      <c r="X676" s="47"/>
      <c r="Y676" s="48"/>
    </row>
    <row r="677" spans="2:25" s="38" customFormat="1" x14ac:dyDescent="0.25">
      <c r="B677" s="49"/>
      <c r="C677" s="70"/>
      <c r="D677" s="42"/>
      <c r="F677" s="33"/>
      <c r="G677" s="47"/>
      <c r="H677" s="33"/>
      <c r="I677" s="60"/>
      <c r="J677" s="27"/>
      <c r="K677" s="47"/>
      <c r="L677" s="33"/>
      <c r="M677" s="60"/>
      <c r="N677" s="27"/>
      <c r="O677" s="47"/>
      <c r="P677" s="33"/>
      <c r="Q677" s="60"/>
      <c r="R677" s="27"/>
      <c r="S677" s="47"/>
      <c r="T677" s="33"/>
      <c r="U677" s="60"/>
      <c r="V677" s="27"/>
      <c r="W677" s="33"/>
      <c r="X677" s="47"/>
      <c r="Y677" s="48"/>
    </row>
    <row r="678" spans="2:25" s="38" customFormat="1" x14ac:dyDescent="0.25">
      <c r="B678" s="49"/>
      <c r="C678" s="70"/>
      <c r="D678" s="42"/>
      <c r="F678" s="33"/>
      <c r="G678" s="47"/>
      <c r="H678" s="33"/>
      <c r="I678" s="60"/>
      <c r="J678" s="27"/>
      <c r="K678" s="47"/>
      <c r="L678" s="33"/>
      <c r="M678" s="60"/>
      <c r="N678" s="27"/>
      <c r="O678" s="47"/>
      <c r="P678" s="33"/>
      <c r="Q678" s="60"/>
      <c r="R678" s="27"/>
      <c r="S678" s="47"/>
      <c r="T678" s="33"/>
      <c r="U678" s="60"/>
      <c r="V678" s="27"/>
      <c r="W678" s="33"/>
      <c r="X678" s="47"/>
      <c r="Y678" s="48"/>
    </row>
    <row r="679" spans="2:25" s="38" customFormat="1" x14ac:dyDescent="0.25">
      <c r="B679" s="49"/>
      <c r="C679" s="70"/>
      <c r="D679" s="42"/>
      <c r="F679" s="33"/>
      <c r="G679" s="47"/>
      <c r="H679" s="33"/>
      <c r="I679" s="60"/>
      <c r="J679" s="27"/>
      <c r="K679" s="47"/>
      <c r="L679" s="33"/>
      <c r="M679" s="60"/>
      <c r="N679" s="27"/>
      <c r="O679" s="47"/>
      <c r="P679" s="33"/>
      <c r="Q679" s="60"/>
      <c r="R679" s="27"/>
      <c r="S679" s="47"/>
      <c r="T679" s="33"/>
      <c r="U679" s="60"/>
      <c r="V679" s="27"/>
      <c r="W679" s="33"/>
      <c r="X679" s="47"/>
      <c r="Y679" s="48"/>
    </row>
    <row r="680" spans="2:25" s="38" customFormat="1" x14ac:dyDescent="0.25">
      <c r="B680" s="49"/>
      <c r="C680" s="70"/>
      <c r="D680" s="42"/>
      <c r="F680" s="33"/>
      <c r="G680" s="47"/>
      <c r="H680" s="33"/>
      <c r="I680" s="60"/>
      <c r="J680" s="27"/>
      <c r="K680" s="47"/>
      <c r="L680" s="33"/>
      <c r="M680" s="60"/>
      <c r="N680" s="27"/>
      <c r="O680" s="47"/>
      <c r="P680" s="33"/>
      <c r="Q680" s="60"/>
      <c r="R680" s="27"/>
      <c r="S680" s="47"/>
      <c r="T680" s="33"/>
      <c r="U680" s="60"/>
      <c r="V680" s="27"/>
      <c r="W680" s="33"/>
      <c r="X680" s="47"/>
      <c r="Y680" s="48"/>
    </row>
    <row r="681" spans="2:25" s="38" customFormat="1" x14ac:dyDescent="0.25">
      <c r="B681" s="49"/>
      <c r="C681" s="70"/>
      <c r="D681" s="42"/>
      <c r="F681" s="33"/>
      <c r="G681" s="47"/>
      <c r="H681" s="33"/>
      <c r="I681" s="60"/>
      <c r="J681" s="27"/>
      <c r="K681" s="47"/>
      <c r="L681" s="33"/>
      <c r="M681" s="60"/>
      <c r="N681" s="27"/>
      <c r="O681" s="47"/>
      <c r="P681" s="33"/>
      <c r="Q681" s="60"/>
      <c r="R681" s="27"/>
      <c r="S681" s="47"/>
      <c r="T681" s="33"/>
      <c r="U681" s="60"/>
      <c r="V681" s="27"/>
      <c r="W681" s="33"/>
      <c r="X681" s="47"/>
      <c r="Y681" s="48"/>
    </row>
    <row r="682" spans="2:25" s="38" customFormat="1" x14ac:dyDescent="0.25">
      <c r="B682" s="49"/>
      <c r="C682" s="70"/>
      <c r="D682" s="42"/>
      <c r="F682" s="33"/>
      <c r="G682" s="47"/>
      <c r="H682" s="33"/>
      <c r="I682" s="60"/>
      <c r="J682" s="27"/>
      <c r="K682" s="47"/>
      <c r="L682" s="33"/>
      <c r="M682" s="60"/>
      <c r="N682" s="27"/>
      <c r="O682" s="47"/>
      <c r="P682" s="33"/>
      <c r="Q682" s="60"/>
      <c r="R682" s="27"/>
      <c r="S682" s="47"/>
      <c r="T682" s="33"/>
      <c r="U682" s="60"/>
      <c r="V682" s="27"/>
      <c r="W682" s="33"/>
      <c r="X682" s="47"/>
      <c r="Y682" s="48"/>
    </row>
    <row r="683" spans="2:25" s="38" customFormat="1" x14ac:dyDescent="0.25">
      <c r="B683" s="49"/>
      <c r="C683" s="70"/>
      <c r="D683" s="42"/>
      <c r="F683" s="33"/>
      <c r="G683" s="47"/>
      <c r="H683" s="33"/>
      <c r="I683" s="60"/>
      <c r="J683" s="27"/>
      <c r="K683" s="47"/>
      <c r="L683" s="33"/>
      <c r="M683" s="60"/>
      <c r="N683" s="27"/>
      <c r="O683" s="47"/>
      <c r="P683" s="33"/>
      <c r="Q683" s="60"/>
      <c r="R683" s="27"/>
      <c r="S683" s="47"/>
      <c r="T683" s="33"/>
      <c r="U683" s="60"/>
      <c r="V683" s="27"/>
      <c r="W683" s="33"/>
      <c r="X683" s="47"/>
      <c r="Y683" s="48"/>
    </row>
    <row r="684" spans="2:25" s="38" customFormat="1" x14ac:dyDescent="0.25">
      <c r="B684" s="49"/>
      <c r="C684" s="70"/>
      <c r="D684" s="42"/>
      <c r="F684" s="33"/>
      <c r="G684" s="47"/>
      <c r="H684" s="33"/>
      <c r="I684" s="60"/>
      <c r="J684" s="27"/>
      <c r="K684" s="47"/>
      <c r="L684" s="33"/>
      <c r="M684" s="60"/>
      <c r="N684" s="27"/>
      <c r="O684" s="47"/>
      <c r="P684" s="33"/>
      <c r="Q684" s="60"/>
      <c r="R684" s="27"/>
      <c r="S684" s="47"/>
      <c r="T684" s="33"/>
      <c r="U684" s="60"/>
      <c r="V684" s="27"/>
      <c r="W684" s="33"/>
      <c r="X684" s="47"/>
      <c r="Y684" s="48"/>
    </row>
    <row r="685" spans="2:25" s="38" customFormat="1" x14ac:dyDescent="0.25">
      <c r="B685" s="49"/>
      <c r="C685" s="70"/>
      <c r="D685" s="42"/>
      <c r="F685" s="33"/>
      <c r="G685" s="47"/>
      <c r="H685" s="33"/>
      <c r="I685" s="60"/>
      <c r="J685" s="27"/>
      <c r="K685" s="47"/>
      <c r="L685" s="33"/>
      <c r="M685" s="60"/>
      <c r="N685" s="27"/>
      <c r="O685" s="47"/>
      <c r="P685" s="33"/>
      <c r="Q685" s="60"/>
      <c r="R685" s="27"/>
      <c r="S685" s="47"/>
      <c r="T685" s="33"/>
      <c r="U685" s="60"/>
      <c r="V685" s="27"/>
      <c r="W685" s="33"/>
      <c r="X685" s="47"/>
      <c r="Y685" s="48"/>
    </row>
    <row r="686" spans="2:25" s="38" customFormat="1" x14ac:dyDescent="0.25">
      <c r="B686" s="49"/>
      <c r="C686" s="70"/>
      <c r="D686" s="42"/>
      <c r="F686" s="33"/>
      <c r="G686" s="47"/>
      <c r="H686" s="33"/>
      <c r="I686" s="60"/>
      <c r="J686" s="27"/>
      <c r="K686" s="47"/>
      <c r="L686" s="33"/>
      <c r="M686" s="60"/>
      <c r="N686" s="27"/>
      <c r="O686" s="47"/>
      <c r="P686" s="33"/>
      <c r="Q686" s="60"/>
      <c r="R686" s="27"/>
      <c r="S686" s="47"/>
      <c r="T686" s="33"/>
      <c r="U686" s="60"/>
      <c r="V686" s="27"/>
      <c r="W686" s="33"/>
      <c r="X686" s="47"/>
      <c r="Y686" s="48"/>
    </row>
    <row r="687" spans="2:25" s="38" customFormat="1" x14ac:dyDescent="0.25">
      <c r="B687" s="49"/>
      <c r="C687" s="70"/>
      <c r="D687" s="42"/>
      <c r="F687" s="33"/>
      <c r="G687" s="47"/>
      <c r="H687" s="33"/>
      <c r="I687" s="60"/>
      <c r="J687" s="27"/>
      <c r="K687" s="47"/>
      <c r="L687" s="33"/>
      <c r="M687" s="60"/>
      <c r="N687" s="27"/>
      <c r="O687" s="47"/>
      <c r="P687" s="33"/>
      <c r="Q687" s="60"/>
      <c r="R687" s="27"/>
      <c r="S687" s="47"/>
      <c r="T687" s="33"/>
      <c r="U687" s="60"/>
      <c r="V687" s="27"/>
      <c r="W687" s="33"/>
      <c r="X687" s="47"/>
      <c r="Y687" s="48"/>
    </row>
    <row r="688" spans="2:25" s="38" customFormat="1" x14ac:dyDescent="0.25">
      <c r="B688" s="49"/>
      <c r="C688" s="70"/>
      <c r="D688" s="42"/>
      <c r="F688" s="33"/>
      <c r="G688" s="47"/>
      <c r="H688" s="33"/>
      <c r="I688" s="60"/>
      <c r="J688" s="27"/>
      <c r="K688" s="47"/>
      <c r="L688" s="33"/>
      <c r="M688" s="60"/>
      <c r="N688" s="27"/>
      <c r="O688" s="47"/>
      <c r="P688" s="33"/>
      <c r="Q688" s="60"/>
      <c r="R688" s="27"/>
      <c r="S688" s="47"/>
      <c r="T688" s="33"/>
      <c r="U688" s="60"/>
      <c r="V688" s="27"/>
      <c r="W688" s="33"/>
      <c r="X688" s="47"/>
      <c r="Y688" s="48"/>
    </row>
    <row r="689" spans="2:25" s="38" customFormat="1" x14ac:dyDescent="0.25">
      <c r="B689" s="49"/>
      <c r="C689" s="70"/>
      <c r="D689" s="42"/>
      <c r="F689" s="33"/>
      <c r="G689" s="47"/>
      <c r="H689" s="33"/>
      <c r="I689" s="60"/>
      <c r="J689" s="27"/>
      <c r="K689" s="47"/>
      <c r="L689" s="33"/>
      <c r="M689" s="60"/>
      <c r="N689" s="27"/>
      <c r="O689" s="47"/>
      <c r="P689" s="33"/>
      <c r="Q689" s="60"/>
      <c r="R689" s="27"/>
      <c r="S689" s="47"/>
      <c r="T689" s="33"/>
      <c r="U689" s="60"/>
      <c r="V689" s="27"/>
      <c r="W689" s="33"/>
      <c r="X689" s="47"/>
      <c r="Y689" s="48"/>
    </row>
    <row r="690" spans="2:25" s="38" customFormat="1" x14ac:dyDescent="0.25">
      <c r="B690" s="49"/>
      <c r="C690" s="70"/>
      <c r="D690" s="42"/>
      <c r="F690" s="33"/>
      <c r="G690" s="47"/>
      <c r="H690" s="33"/>
      <c r="I690" s="60"/>
      <c r="J690" s="27"/>
      <c r="K690" s="47"/>
      <c r="L690" s="33"/>
      <c r="M690" s="60"/>
      <c r="N690" s="27"/>
      <c r="O690" s="47"/>
      <c r="P690" s="33"/>
      <c r="Q690" s="60"/>
      <c r="R690" s="27"/>
      <c r="S690" s="47"/>
      <c r="T690" s="33"/>
      <c r="U690" s="60"/>
      <c r="V690" s="27"/>
      <c r="W690" s="33"/>
      <c r="X690" s="47"/>
      <c r="Y690" s="48"/>
    </row>
    <row r="691" spans="2:25" s="38" customFormat="1" x14ac:dyDescent="0.25">
      <c r="B691" s="49"/>
      <c r="C691" s="70"/>
      <c r="D691" s="42"/>
      <c r="F691" s="33"/>
      <c r="G691" s="47"/>
      <c r="H691" s="33"/>
      <c r="I691" s="60"/>
      <c r="J691" s="27"/>
      <c r="K691" s="47"/>
      <c r="L691" s="33"/>
      <c r="M691" s="60"/>
      <c r="N691" s="27"/>
      <c r="O691" s="47"/>
      <c r="P691" s="33"/>
      <c r="Q691" s="60"/>
      <c r="R691" s="27"/>
      <c r="S691" s="47"/>
      <c r="T691" s="33"/>
      <c r="U691" s="60"/>
      <c r="V691" s="27"/>
      <c r="W691" s="33"/>
      <c r="X691" s="47"/>
      <c r="Y691" s="48"/>
    </row>
    <row r="692" spans="2:25" s="38" customFormat="1" x14ac:dyDescent="0.25">
      <c r="B692" s="49"/>
      <c r="C692" s="70"/>
      <c r="D692" s="42"/>
      <c r="F692" s="33"/>
      <c r="G692" s="47"/>
      <c r="H692" s="33"/>
      <c r="I692" s="60"/>
      <c r="J692" s="27"/>
      <c r="K692" s="47"/>
      <c r="L692" s="33"/>
      <c r="M692" s="60"/>
      <c r="N692" s="27"/>
      <c r="O692" s="47"/>
      <c r="P692" s="33"/>
      <c r="Q692" s="60"/>
      <c r="R692" s="27"/>
      <c r="S692" s="47"/>
      <c r="T692" s="33"/>
      <c r="U692" s="60"/>
      <c r="V692" s="27"/>
      <c r="W692" s="33"/>
      <c r="X692" s="47"/>
      <c r="Y692" s="48"/>
    </row>
    <row r="693" spans="2:25" s="38" customFormat="1" x14ac:dyDescent="0.25">
      <c r="B693" s="49"/>
      <c r="C693" s="70"/>
      <c r="D693" s="42"/>
      <c r="F693" s="33"/>
      <c r="G693" s="47"/>
      <c r="H693" s="33"/>
      <c r="I693" s="60"/>
      <c r="J693" s="27"/>
      <c r="K693" s="47"/>
      <c r="L693" s="33"/>
      <c r="M693" s="60"/>
      <c r="N693" s="27"/>
      <c r="O693" s="47"/>
      <c r="P693" s="33"/>
      <c r="Q693" s="60"/>
      <c r="R693" s="27"/>
      <c r="S693" s="47"/>
      <c r="T693" s="33"/>
      <c r="U693" s="60"/>
      <c r="V693" s="27"/>
      <c r="W693" s="33"/>
      <c r="X693" s="47"/>
      <c r="Y693" s="48"/>
    </row>
    <row r="694" spans="2:25" s="38" customFormat="1" x14ac:dyDescent="0.25">
      <c r="B694" s="49"/>
      <c r="C694" s="70"/>
      <c r="D694" s="42"/>
      <c r="F694" s="33"/>
      <c r="G694" s="47"/>
      <c r="H694" s="33"/>
      <c r="I694" s="60"/>
      <c r="J694" s="27"/>
      <c r="K694" s="47"/>
      <c r="L694" s="33"/>
      <c r="M694" s="60"/>
      <c r="N694" s="27"/>
      <c r="O694" s="47"/>
      <c r="P694" s="33"/>
      <c r="Q694" s="60"/>
      <c r="R694" s="27"/>
      <c r="S694" s="47"/>
      <c r="T694" s="33"/>
      <c r="U694" s="60"/>
      <c r="V694" s="27"/>
      <c r="W694" s="33"/>
      <c r="X694" s="47"/>
      <c r="Y694" s="48"/>
    </row>
    <row r="695" spans="2:25" s="38" customFormat="1" x14ac:dyDescent="0.25">
      <c r="B695" s="49"/>
      <c r="C695" s="70"/>
      <c r="D695" s="42"/>
      <c r="F695" s="33"/>
      <c r="G695" s="47"/>
      <c r="H695" s="33"/>
      <c r="I695" s="60"/>
      <c r="J695" s="27"/>
      <c r="K695" s="47"/>
      <c r="L695" s="33"/>
      <c r="M695" s="60"/>
      <c r="N695" s="27"/>
      <c r="O695" s="47"/>
      <c r="P695" s="33"/>
      <c r="Q695" s="60"/>
      <c r="R695" s="27"/>
      <c r="S695" s="47"/>
      <c r="T695" s="33"/>
      <c r="U695" s="60"/>
      <c r="V695" s="27"/>
      <c r="W695" s="33"/>
      <c r="X695" s="47"/>
      <c r="Y695" s="48"/>
    </row>
    <row r="696" spans="2:25" s="38" customFormat="1" x14ac:dyDescent="0.25">
      <c r="B696" s="49"/>
      <c r="C696" s="70"/>
      <c r="D696" s="42"/>
      <c r="F696" s="33"/>
      <c r="G696" s="47"/>
      <c r="H696" s="33"/>
      <c r="I696" s="60"/>
      <c r="J696" s="27"/>
      <c r="K696" s="47"/>
      <c r="L696" s="33"/>
      <c r="M696" s="60"/>
      <c r="N696" s="27"/>
      <c r="O696" s="47"/>
      <c r="P696" s="33"/>
      <c r="Q696" s="60"/>
      <c r="R696" s="27"/>
      <c r="S696" s="47"/>
      <c r="T696" s="33"/>
      <c r="U696" s="60"/>
      <c r="V696" s="27"/>
      <c r="W696" s="33"/>
      <c r="X696" s="47"/>
      <c r="Y696" s="48"/>
    </row>
    <row r="697" spans="2:25" s="38" customFormat="1" x14ac:dyDescent="0.25">
      <c r="B697" s="49"/>
      <c r="C697" s="70"/>
      <c r="D697" s="42"/>
      <c r="F697" s="33"/>
      <c r="G697" s="47"/>
      <c r="H697" s="33"/>
      <c r="I697" s="60"/>
      <c r="J697" s="27"/>
      <c r="K697" s="47"/>
      <c r="L697" s="33"/>
      <c r="M697" s="60"/>
      <c r="N697" s="27"/>
      <c r="O697" s="47"/>
      <c r="P697" s="33"/>
      <c r="Q697" s="60"/>
      <c r="R697" s="27"/>
      <c r="S697" s="47"/>
      <c r="T697" s="33"/>
      <c r="U697" s="60"/>
      <c r="V697" s="27"/>
      <c r="W697" s="33"/>
      <c r="X697" s="47"/>
      <c r="Y697" s="48"/>
    </row>
    <row r="698" spans="2:25" s="38" customFormat="1" x14ac:dyDescent="0.25">
      <c r="B698" s="49"/>
      <c r="C698" s="70"/>
      <c r="D698" s="42"/>
      <c r="F698" s="33"/>
      <c r="G698" s="47"/>
      <c r="H698" s="33"/>
      <c r="I698" s="60"/>
      <c r="J698" s="27"/>
      <c r="K698" s="47"/>
      <c r="L698" s="33"/>
      <c r="M698" s="60"/>
      <c r="N698" s="27"/>
      <c r="O698" s="47"/>
      <c r="P698" s="33"/>
      <c r="Q698" s="60"/>
      <c r="R698" s="27"/>
      <c r="S698" s="47"/>
      <c r="T698" s="33"/>
      <c r="U698" s="60"/>
      <c r="V698" s="27"/>
      <c r="W698" s="33"/>
      <c r="X698" s="47"/>
      <c r="Y698" s="48"/>
    </row>
    <row r="699" spans="2:25" s="38" customFormat="1" x14ac:dyDescent="0.25">
      <c r="B699" s="49"/>
      <c r="C699" s="70"/>
      <c r="D699" s="42"/>
      <c r="F699" s="33"/>
      <c r="G699" s="47"/>
      <c r="H699" s="33"/>
      <c r="I699" s="60"/>
      <c r="J699" s="27"/>
      <c r="K699" s="47"/>
      <c r="L699" s="33"/>
      <c r="M699" s="60"/>
      <c r="N699" s="27"/>
      <c r="O699" s="47"/>
      <c r="P699" s="33"/>
      <c r="Q699" s="60"/>
      <c r="R699" s="27"/>
      <c r="S699" s="47"/>
      <c r="T699" s="33"/>
      <c r="U699" s="60"/>
      <c r="V699" s="27"/>
      <c r="W699" s="33"/>
      <c r="X699" s="47"/>
      <c r="Y699" s="48"/>
    </row>
    <row r="700" spans="2:25" s="38" customFormat="1" x14ac:dyDescent="0.25">
      <c r="B700" s="49"/>
      <c r="C700" s="70"/>
      <c r="D700" s="42"/>
      <c r="F700" s="33"/>
      <c r="G700" s="47"/>
      <c r="H700" s="33"/>
      <c r="I700" s="60"/>
      <c r="J700" s="27"/>
      <c r="K700" s="47"/>
      <c r="L700" s="33"/>
      <c r="M700" s="60"/>
      <c r="N700" s="27"/>
      <c r="O700" s="47"/>
      <c r="P700" s="33"/>
      <c r="Q700" s="60"/>
      <c r="R700" s="27"/>
      <c r="S700" s="47"/>
      <c r="T700" s="33"/>
      <c r="U700" s="60"/>
      <c r="V700" s="27"/>
      <c r="W700" s="33"/>
      <c r="X700" s="47"/>
      <c r="Y700" s="48"/>
    </row>
    <row r="701" spans="2:25" s="38" customFormat="1" x14ac:dyDescent="0.25">
      <c r="B701" s="49"/>
      <c r="C701" s="70"/>
      <c r="D701" s="42"/>
      <c r="F701" s="33"/>
      <c r="G701" s="47"/>
      <c r="H701" s="33"/>
      <c r="I701" s="60"/>
      <c r="J701" s="27"/>
      <c r="K701" s="47"/>
      <c r="L701" s="33"/>
      <c r="M701" s="60"/>
      <c r="N701" s="27"/>
      <c r="O701" s="47"/>
      <c r="P701" s="33"/>
      <c r="Q701" s="60"/>
      <c r="R701" s="27"/>
      <c r="S701" s="47"/>
      <c r="T701" s="33"/>
      <c r="U701" s="60"/>
      <c r="V701" s="27"/>
      <c r="W701" s="33"/>
      <c r="X701" s="47"/>
      <c r="Y701" s="48"/>
    </row>
    <row r="702" spans="2:25" s="38" customFormat="1" x14ac:dyDescent="0.25">
      <c r="B702" s="49"/>
      <c r="C702" s="70"/>
      <c r="D702" s="42"/>
      <c r="F702" s="33"/>
      <c r="G702" s="47"/>
      <c r="H702" s="33"/>
      <c r="I702" s="60"/>
      <c r="J702" s="27"/>
      <c r="K702" s="47"/>
      <c r="L702" s="33"/>
      <c r="M702" s="60"/>
      <c r="N702" s="27"/>
      <c r="O702" s="47"/>
      <c r="P702" s="33"/>
      <c r="Q702" s="60"/>
      <c r="R702" s="27"/>
      <c r="S702" s="47"/>
      <c r="T702" s="33"/>
      <c r="U702" s="60"/>
      <c r="V702" s="27"/>
      <c r="W702" s="33"/>
      <c r="X702" s="47"/>
      <c r="Y702" s="48"/>
    </row>
    <row r="703" spans="2:25" s="38" customFormat="1" x14ac:dyDescent="0.25">
      <c r="B703" s="49"/>
      <c r="C703" s="70"/>
      <c r="D703" s="42"/>
      <c r="F703" s="33"/>
      <c r="G703" s="47"/>
      <c r="H703" s="33"/>
      <c r="I703" s="60"/>
      <c r="J703" s="27"/>
      <c r="K703" s="47"/>
      <c r="L703" s="33"/>
      <c r="M703" s="60"/>
      <c r="N703" s="27"/>
      <c r="O703" s="47"/>
      <c r="P703" s="33"/>
      <c r="Q703" s="60"/>
      <c r="R703" s="27"/>
      <c r="S703" s="47"/>
      <c r="T703" s="33"/>
      <c r="U703" s="60"/>
      <c r="V703" s="27"/>
      <c r="W703" s="33"/>
      <c r="X703" s="47"/>
      <c r="Y703" s="48"/>
    </row>
    <row r="704" spans="2:25" s="38" customFormat="1" x14ac:dyDescent="0.25">
      <c r="B704" s="49"/>
      <c r="C704" s="70"/>
      <c r="D704" s="42"/>
      <c r="F704" s="33"/>
      <c r="G704" s="47"/>
      <c r="H704" s="33"/>
      <c r="I704" s="60"/>
      <c r="J704" s="27"/>
      <c r="K704" s="47"/>
      <c r="L704" s="33"/>
      <c r="M704" s="60"/>
      <c r="N704" s="27"/>
      <c r="O704" s="47"/>
      <c r="P704" s="33"/>
      <c r="Q704" s="60"/>
      <c r="R704" s="27"/>
      <c r="S704" s="47"/>
      <c r="T704" s="33"/>
      <c r="U704" s="60"/>
      <c r="V704" s="27"/>
      <c r="W704" s="33"/>
      <c r="X704" s="47"/>
      <c r="Y704" s="48"/>
    </row>
    <row r="705" spans="2:25" s="38" customFormat="1" x14ac:dyDescent="0.25">
      <c r="B705" s="49"/>
      <c r="C705" s="70"/>
      <c r="D705" s="42"/>
      <c r="F705" s="33"/>
      <c r="G705" s="47"/>
      <c r="H705" s="33"/>
      <c r="I705" s="60"/>
      <c r="J705" s="27"/>
      <c r="K705" s="47"/>
      <c r="L705" s="33"/>
      <c r="M705" s="60"/>
      <c r="N705" s="27"/>
      <c r="O705" s="47"/>
      <c r="P705" s="33"/>
      <c r="Q705" s="60"/>
      <c r="R705" s="27"/>
      <c r="S705" s="47"/>
      <c r="T705" s="33"/>
      <c r="U705" s="60"/>
      <c r="V705" s="27"/>
      <c r="W705" s="33"/>
      <c r="X705" s="47"/>
      <c r="Y705" s="48"/>
    </row>
    <row r="706" spans="2:25" s="38" customFormat="1" x14ac:dyDescent="0.25">
      <c r="B706" s="49"/>
      <c r="C706" s="70"/>
      <c r="D706" s="42"/>
      <c r="F706" s="33"/>
      <c r="G706" s="47"/>
      <c r="H706" s="33"/>
      <c r="I706" s="60"/>
      <c r="J706" s="27"/>
      <c r="K706" s="47"/>
      <c r="L706" s="33"/>
      <c r="M706" s="60"/>
      <c r="N706" s="27"/>
      <c r="O706" s="47"/>
      <c r="P706" s="33"/>
      <c r="Q706" s="60"/>
      <c r="R706" s="27"/>
      <c r="S706" s="47"/>
      <c r="T706" s="33"/>
      <c r="U706" s="60"/>
      <c r="V706" s="27"/>
      <c r="W706" s="33"/>
      <c r="X706" s="47"/>
      <c r="Y706" s="48"/>
    </row>
    <row r="707" spans="2:25" s="38" customFormat="1" x14ac:dyDescent="0.25">
      <c r="B707" s="49"/>
      <c r="C707" s="70"/>
      <c r="D707" s="42"/>
      <c r="F707" s="33"/>
      <c r="G707" s="47"/>
      <c r="H707" s="33"/>
      <c r="I707" s="60"/>
      <c r="J707" s="27"/>
      <c r="K707" s="47"/>
      <c r="L707" s="33"/>
      <c r="M707" s="60"/>
      <c r="N707" s="27"/>
      <c r="O707" s="47"/>
      <c r="P707" s="33"/>
      <c r="Q707" s="60"/>
      <c r="R707" s="27"/>
      <c r="S707" s="47"/>
      <c r="T707" s="33"/>
      <c r="U707" s="60"/>
      <c r="V707" s="27"/>
      <c r="W707" s="33"/>
      <c r="X707" s="47"/>
      <c r="Y707" s="48"/>
    </row>
    <row r="708" spans="2:25" s="38" customFormat="1" x14ac:dyDescent="0.25">
      <c r="B708" s="49"/>
      <c r="C708" s="70"/>
      <c r="D708" s="42"/>
      <c r="F708" s="33"/>
      <c r="G708" s="47"/>
      <c r="H708" s="33"/>
      <c r="I708" s="60"/>
      <c r="J708" s="27"/>
      <c r="K708" s="47"/>
      <c r="L708" s="33"/>
      <c r="M708" s="60"/>
      <c r="N708" s="27"/>
      <c r="O708" s="47"/>
      <c r="P708" s="33"/>
      <c r="Q708" s="60"/>
      <c r="R708" s="27"/>
      <c r="S708" s="47"/>
      <c r="T708" s="33"/>
      <c r="U708" s="60"/>
      <c r="V708" s="27"/>
      <c r="W708" s="33"/>
      <c r="X708" s="47"/>
      <c r="Y708" s="48"/>
    </row>
    <row r="709" spans="2:25" s="38" customFormat="1" x14ac:dyDescent="0.25">
      <c r="B709" s="49"/>
      <c r="C709" s="70"/>
      <c r="D709" s="42"/>
      <c r="F709" s="33"/>
      <c r="G709" s="47"/>
      <c r="H709" s="33"/>
      <c r="I709" s="60"/>
      <c r="J709" s="27"/>
      <c r="K709" s="47"/>
      <c r="L709" s="33"/>
      <c r="M709" s="60"/>
      <c r="N709" s="27"/>
      <c r="O709" s="47"/>
      <c r="P709" s="33"/>
      <c r="Q709" s="60"/>
      <c r="R709" s="27"/>
      <c r="S709" s="47"/>
      <c r="T709" s="33"/>
      <c r="U709" s="60"/>
      <c r="V709" s="27"/>
      <c r="W709" s="33"/>
      <c r="X709" s="47"/>
      <c r="Y709" s="48"/>
    </row>
    <row r="710" spans="2:25" s="38" customFormat="1" x14ac:dyDescent="0.25">
      <c r="B710" s="49"/>
      <c r="C710" s="70"/>
      <c r="D710" s="42"/>
      <c r="F710" s="33"/>
      <c r="G710" s="47"/>
      <c r="H710" s="33"/>
      <c r="I710" s="60"/>
      <c r="J710" s="27"/>
      <c r="K710" s="47"/>
      <c r="L710" s="33"/>
      <c r="M710" s="60"/>
      <c r="N710" s="27"/>
      <c r="O710" s="47"/>
      <c r="P710" s="33"/>
      <c r="Q710" s="60"/>
      <c r="R710" s="27"/>
      <c r="S710" s="47"/>
      <c r="T710" s="33"/>
      <c r="U710" s="60"/>
      <c r="V710" s="27"/>
      <c r="W710" s="33"/>
      <c r="X710" s="47"/>
      <c r="Y710" s="48"/>
    </row>
    <row r="711" spans="2:25" s="38" customFormat="1" x14ac:dyDescent="0.25">
      <c r="B711" s="49"/>
      <c r="C711" s="70"/>
      <c r="D711" s="42"/>
      <c r="F711" s="33"/>
      <c r="G711" s="47"/>
      <c r="H711" s="33"/>
      <c r="I711" s="60"/>
      <c r="J711" s="27"/>
      <c r="K711" s="47"/>
      <c r="L711" s="33"/>
      <c r="M711" s="60"/>
      <c r="N711" s="27"/>
      <c r="O711" s="47"/>
      <c r="P711" s="33"/>
      <c r="Q711" s="60"/>
      <c r="R711" s="27"/>
      <c r="S711" s="47"/>
      <c r="T711" s="33"/>
      <c r="U711" s="60"/>
      <c r="V711" s="27"/>
      <c r="W711" s="33"/>
      <c r="X711" s="47"/>
      <c r="Y711" s="48"/>
    </row>
    <row r="712" spans="2:25" s="38" customFormat="1" x14ac:dyDescent="0.25">
      <c r="B712" s="49"/>
      <c r="C712" s="70"/>
      <c r="D712" s="42"/>
      <c r="F712" s="33"/>
      <c r="G712" s="47"/>
      <c r="H712" s="33"/>
      <c r="I712" s="60"/>
      <c r="J712" s="27"/>
      <c r="K712" s="47"/>
      <c r="L712" s="33"/>
      <c r="M712" s="60"/>
      <c r="N712" s="27"/>
      <c r="O712" s="47"/>
      <c r="P712" s="33"/>
      <c r="Q712" s="60"/>
      <c r="R712" s="27"/>
      <c r="S712" s="47"/>
      <c r="T712" s="33"/>
      <c r="U712" s="60"/>
      <c r="V712" s="27"/>
      <c r="W712" s="33"/>
      <c r="X712" s="47"/>
      <c r="Y712" s="48"/>
    </row>
    <row r="713" spans="2:25" s="38" customFormat="1" x14ac:dyDescent="0.25">
      <c r="B713" s="49"/>
      <c r="C713" s="70"/>
      <c r="D713" s="42"/>
      <c r="F713" s="33"/>
      <c r="G713" s="47"/>
      <c r="H713" s="33"/>
      <c r="I713" s="60"/>
      <c r="J713" s="27"/>
      <c r="K713" s="47"/>
      <c r="L713" s="33"/>
      <c r="M713" s="60"/>
      <c r="N713" s="27"/>
      <c r="O713" s="47"/>
      <c r="P713" s="33"/>
      <c r="Q713" s="60"/>
      <c r="R713" s="27"/>
      <c r="S713" s="47"/>
      <c r="T713" s="33"/>
      <c r="U713" s="60"/>
      <c r="V713" s="27"/>
      <c r="W713" s="33"/>
      <c r="X713" s="47"/>
      <c r="Y713" s="48"/>
    </row>
    <row r="714" spans="2:25" s="38" customFormat="1" x14ac:dyDescent="0.25">
      <c r="B714" s="49"/>
      <c r="C714" s="70"/>
      <c r="D714" s="42"/>
      <c r="F714" s="33"/>
      <c r="G714" s="47"/>
      <c r="H714" s="33"/>
      <c r="I714" s="60"/>
      <c r="J714" s="27"/>
      <c r="K714" s="47"/>
      <c r="L714" s="33"/>
      <c r="M714" s="60"/>
      <c r="N714" s="27"/>
      <c r="O714" s="47"/>
      <c r="P714" s="33"/>
      <c r="Q714" s="60"/>
      <c r="R714" s="27"/>
      <c r="S714" s="47"/>
      <c r="T714" s="33"/>
      <c r="U714" s="60"/>
      <c r="V714" s="27"/>
      <c r="W714" s="33"/>
      <c r="X714" s="47"/>
      <c r="Y714" s="48"/>
    </row>
    <row r="715" spans="2:25" s="38" customFormat="1" x14ac:dyDescent="0.25">
      <c r="B715" s="49"/>
      <c r="C715" s="70"/>
      <c r="D715" s="42"/>
      <c r="F715" s="33"/>
      <c r="G715" s="47"/>
      <c r="H715" s="33"/>
      <c r="I715" s="60"/>
      <c r="J715" s="27"/>
      <c r="K715" s="47"/>
      <c r="L715" s="33"/>
      <c r="M715" s="60"/>
      <c r="N715" s="27"/>
      <c r="O715" s="47"/>
      <c r="P715" s="33"/>
      <c r="Q715" s="60"/>
      <c r="R715" s="27"/>
      <c r="S715" s="47"/>
      <c r="T715" s="33"/>
      <c r="U715" s="60"/>
      <c r="V715" s="27"/>
      <c r="W715" s="33"/>
      <c r="X715" s="47"/>
      <c r="Y715" s="48"/>
    </row>
    <row r="716" spans="2:25" s="38" customFormat="1" x14ac:dyDescent="0.25">
      <c r="B716" s="49"/>
      <c r="C716" s="70"/>
      <c r="D716" s="42"/>
      <c r="F716" s="33"/>
      <c r="G716" s="47"/>
      <c r="H716" s="33"/>
      <c r="I716" s="60"/>
      <c r="J716" s="27"/>
      <c r="K716" s="47"/>
      <c r="L716" s="33"/>
      <c r="M716" s="60"/>
      <c r="N716" s="27"/>
      <c r="O716" s="47"/>
      <c r="P716" s="33"/>
      <c r="Q716" s="60"/>
      <c r="R716" s="27"/>
      <c r="S716" s="47"/>
      <c r="T716" s="33"/>
      <c r="U716" s="60"/>
      <c r="V716" s="27"/>
      <c r="W716" s="33"/>
      <c r="X716" s="47"/>
      <c r="Y716" s="48"/>
    </row>
    <row r="717" spans="2:25" s="38" customFormat="1" x14ac:dyDescent="0.25">
      <c r="B717" s="49"/>
      <c r="C717" s="70"/>
      <c r="D717" s="42"/>
      <c r="F717" s="33"/>
      <c r="G717" s="47"/>
      <c r="H717" s="33"/>
      <c r="I717" s="60"/>
      <c r="J717" s="27"/>
      <c r="K717" s="47"/>
      <c r="L717" s="33"/>
      <c r="M717" s="60"/>
      <c r="N717" s="27"/>
      <c r="O717" s="47"/>
      <c r="P717" s="33"/>
      <c r="Q717" s="60"/>
      <c r="R717" s="27"/>
      <c r="S717" s="47"/>
      <c r="T717" s="33"/>
      <c r="U717" s="60"/>
      <c r="V717" s="27"/>
      <c r="W717" s="33"/>
      <c r="X717" s="47"/>
      <c r="Y717" s="48"/>
    </row>
    <row r="718" spans="2:25" s="38" customFormat="1" x14ac:dyDescent="0.25">
      <c r="B718" s="49"/>
      <c r="C718" s="70"/>
      <c r="D718" s="42"/>
      <c r="F718" s="33"/>
      <c r="G718" s="47"/>
      <c r="H718" s="33"/>
      <c r="I718" s="60"/>
      <c r="J718" s="27"/>
      <c r="K718" s="47"/>
      <c r="L718" s="33"/>
      <c r="M718" s="60"/>
      <c r="N718" s="27"/>
      <c r="O718" s="47"/>
      <c r="P718" s="33"/>
      <c r="Q718" s="60"/>
      <c r="R718" s="27"/>
      <c r="S718" s="47"/>
      <c r="T718" s="33"/>
      <c r="U718" s="60"/>
      <c r="V718" s="27"/>
      <c r="W718" s="33"/>
      <c r="X718" s="47"/>
      <c r="Y718" s="48"/>
    </row>
    <row r="719" spans="2:25" s="38" customFormat="1" x14ac:dyDescent="0.25">
      <c r="B719" s="49"/>
      <c r="C719" s="70"/>
      <c r="D719" s="42"/>
      <c r="F719" s="33"/>
      <c r="G719" s="47"/>
      <c r="H719" s="33"/>
      <c r="I719" s="60"/>
      <c r="J719" s="27"/>
      <c r="K719" s="47"/>
      <c r="L719" s="33"/>
      <c r="M719" s="60"/>
      <c r="N719" s="27"/>
      <c r="O719" s="47"/>
      <c r="P719" s="33"/>
      <c r="Q719" s="60"/>
      <c r="R719" s="27"/>
      <c r="S719" s="47"/>
      <c r="T719" s="33"/>
      <c r="U719" s="60"/>
      <c r="V719" s="27"/>
      <c r="W719" s="33"/>
      <c r="X719" s="47"/>
      <c r="Y719" s="48"/>
    </row>
    <row r="720" spans="2:25" s="38" customFormat="1" x14ac:dyDescent="0.25">
      <c r="B720" s="49"/>
      <c r="C720" s="70"/>
      <c r="D720" s="42"/>
      <c r="F720" s="33"/>
      <c r="G720" s="47"/>
      <c r="H720" s="33"/>
      <c r="I720" s="60"/>
      <c r="J720" s="27"/>
      <c r="K720" s="47"/>
      <c r="L720" s="33"/>
      <c r="M720" s="60"/>
      <c r="N720" s="27"/>
      <c r="O720" s="47"/>
      <c r="P720" s="33"/>
      <c r="Q720" s="60"/>
      <c r="R720" s="27"/>
      <c r="S720" s="47"/>
      <c r="T720" s="33"/>
      <c r="U720" s="60"/>
      <c r="V720" s="27"/>
      <c r="W720" s="33"/>
      <c r="X720" s="47"/>
      <c r="Y720" s="48"/>
    </row>
    <row r="721" spans="2:25" s="38" customFormat="1" x14ac:dyDescent="0.25">
      <c r="B721" s="49"/>
      <c r="C721" s="70"/>
      <c r="D721" s="42"/>
      <c r="F721" s="33"/>
      <c r="G721" s="47"/>
      <c r="H721" s="33"/>
      <c r="I721" s="60"/>
      <c r="J721" s="27"/>
      <c r="K721" s="47"/>
      <c r="L721" s="33"/>
      <c r="M721" s="60"/>
      <c r="N721" s="27"/>
      <c r="O721" s="47"/>
      <c r="P721" s="33"/>
      <c r="Q721" s="60"/>
      <c r="R721" s="27"/>
      <c r="S721" s="47"/>
      <c r="T721" s="33"/>
      <c r="U721" s="60"/>
      <c r="V721" s="27"/>
      <c r="W721" s="33"/>
      <c r="X721" s="47"/>
      <c r="Y721" s="48"/>
    </row>
    <row r="722" spans="2:25" s="38" customFormat="1" x14ac:dyDescent="0.25">
      <c r="B722" s="49"/>
      <c r="C722" s="70"/>
      <c r="D722" s="42"/>
      <c r="F722" s="33"/>
      <c r="G722" s="47"/>
      <c r="H722" s="33"/>
      <c r="I722" s="60"/>
      <c r="J722" s="27"/>
      <c r="K722" s="47"/>
      <c r="L722" s="33"/>
      <c r="M722" s="60"/>
      <c r="N722" s="27"/>
      <c r="O722" s="47"/>
      <c r="P722" s="33"/>
      <c r="Q722" s="60"/>
      <c r="R722" s="27"/>
      <c r="S722" s="47"/>
      <c r="T722" s="33"/>
      <c r="U722" s="60"/>
      <c r="V722" s="27"/>
      <c r="W722" s="33"/>
      <c r="X722" s="47"/>
      <c r="Y722" s="48"/>
    </row>
    <row r="723" spans="2:25" s="38" customFormat="1" x14ac:dyDescent="0.25">
      <c r="B723" s="49"/>
      <c r="C723" s="70"/>
      <c r="D723" s="42"/>
      <c r="F723" s="33"/>
      <c r="G723" s="47"/>
      <c r="H723" s="33"/>
      <c r="I723" s="60"/>
      <c r="J723" s="27"/>
      <c r="K723" s="47"/>
      <c r="L723" s="33"/>
      <c r="M723" s="60"/>
      <c r="N723" s="27"/>
      <c r="O723" s="47"/>
      <c r="P723" s="33"/>
      <c r="Q723" s="60"/>
      <c r="R723" s="27"/>
      <c r="S723" s="47"/>
      <c r="T723" s="33"/>
      <c r="U723" s="60"/>
      <c r="V723" s="27"/>
      <c r="W723" s="33"/>
      <c r="X723" s="47"/>
      <c r="Y723" s="48"/>
    </row>
    <row r="724" spans="2:25" s="38" customFormat="1" x14ac:dyDescent="0.25">
      <c r="B724" s="49"/>
      <c r="C724" s="70"/>
      <c r="D724" s="42"/>
      <c r="F724" s="33"/>
      <c r="G724" s="47"/>
      <c r="H724" s="33"/>
      <c r="I724" s="60"/>
      <c r="J724" s="27"/>
      <c r="K724" s="47"/>
      <c r="L724" s="33"/>
      <c r="M724" s="60"/>
      <c r="N724" s="27"/>
      <c r="O724" s="47"/>
      <c r="P724" s="33"/>
      <c r="Q724" s="60"/>
      <c r="R724" s="27"/>
      <c r="S724" s="47"/>
      <c r="T724" s="33"/>
      <c r="U724" s="60"/>
      <c r="V724" s="27"/>
      <c r="W724" s="33"/>
      <c r="X724" s="47"/>
      <c r="Y724" s="48"/>
    </row>
    <row r="725" spans="2:25" s="38" customFormat="1" x14ac:dyDescent="0.25">
      <c r="B725" s="49"/>
      <c r="C725" s="70"/>
      <c r="D725" s="42"/>
      <c r="F725" s="33"/>
      <c r="G725" s="47"/>
      <c r="H725" s="33"/>
      <c r="I725" s="60"/>
      <c r="J725" s="27"/>
      <c r="K725" s="47"/>
      <c r="L725" s="33"/>
      <c r="M725" s="60"/>
      <c r="N725" s="27"/>
      <c r="O725" s="47"/>
      <c r="P725" s="33"/>
      <c r="Q725" s="60"/>
      <c r="R725" s="27"/>
      <c r="S725" s="47"/>
      <c r="T725" s="33"/>
      <c r="U725" s="60"/>
      <c r="V725" s="27"/>
      <c r="W725" s="33"/>
      <c r="X725" s="47"/>
      <c r="Y725" s="48"/>
    </row>
    <row r="726" spans="2:25" s="38" customFormat="1" x14ac:dyDescent="0.25">
      <c r="B726" s="49"/>
      <c r="C726" s="70"/>
      <c r="D726" s="42"/>
      <c r="F726" s="33"/>
      <c r="G726" s="47"/>
      <c r="H726" s="33"/>
      <c r="I726" s="60"/>
      <c r="J726" s="27"/>
      <c r="K726" s="47"/>
      <c r="L726" s="33"/>
      <c r="M726" s="60"/>
      <c r="N726" s="27"/>
      <c r="O726" s="47"/>
      <c r="P726" s="33"/>
      <c r="Q726" s="60"/>
      <c r="R726" s="27"/>
      <c r="S726" s="47"/>
      <c r="T726" s="33"/>
      <c r="U726" s="60"/>
      <c r="V726" s="27"/>
      <c r="W726" s="33"/>
      <c r="X726" s="47"/>
      <c r="Y726" s="48"/>
    </row>
    <row r="727" spans="2:25" s="38" customFormat="1" x14ac:dyDescent="0.25">
      <c r="B727" s="49"/>
      <c r="C727" s="70"/>
      <c r="D727" s="42"/>
      <c r="F727" s="33"/>
      <c r="G727" s="47"/>
      <c r="H727" s="33"/>
      <c r="I727" s="60"/>
      <c r="J727" s="27"/>
      <c r="K727" s="47"/>
      <c r="L727" s="33"/>
      <c r="M727" s="60"/>
      <c r="N727" s="27"/>
      <c r="O727" s="47"/>
      <c r="P727" s="33"/>
      <c r="Q727" s="60"/>
      <c r="R727" s="27"/>
      <c r="S727" s="47"/>
      <c r="T727" s="33"/>
      <c r="U727" s="60"/>
      <c r="V727" s="27"/>
      <c r="W727" s="33"/>
      <c r="X727" s="47"/>
      <c r="Y727" s="48"/>
    </row>
    <row r="728" spans="2:25" s="38" customFormat="1" x14ac:dyDescent="0.25">
      <c r="B728" s="49"/>
      <c r="C728" s="70"/>
      <c r="D728" s="42"/>
      <c r="F728" s="33"/>
      <c r="G728" s="47"/>
      <c r="H728" s="33"/>
      <c r="I728" s="60"/>
      <c r="J728" s="27"/>
      <c r="K728" s="47"/>
      <c r="L728" s="33"/>
      <c r="M728" s="60"/>
      <c r="N728" s="27"/>
      <c r="O728" s="47"/>
      <c r="P728" s="33"/>
      <c r="Q728" s="60"/>
      <c r="R728" s="27"/>
      <c r="S728" s="47"/>
      <c r="T728" s="33"/>
      <c r="U728" s="60"/>
      <c r="V728" s="27"/>
      <c r="W728" s="33"/>
      <c r="X728" s="47"/>
      <c r="Y728" s="48"/>
    </row>
    <row r="729" spans="2:25" s="38" customFormat="1" x14ac:dyDescent="0.25">
      <c r="B729" s="49"/>
      <c r="C729" s="70"/>
      <c r="D729" s="42"/>
      <c r="F729" s="33"/>
      <c r="G729" s="47"/>
      <c r="H729" s="33"/>
      <c r="I729" s="60"/>
      <c r="J729" s="27"/>
      <c r="K729" s="47"/>
      <c r="L729" s="33"/>
      <c r="M729" s="60"/>
      <c r="N729" s="27"/>
      <c r="O729" s="47"/>
      <c r="P729" s="33"/>
      <c r="Q729" s="60"/>
      <c r="R729" s="27"/>
      <c r="S729" s="47"/>
      <c r="T729" s="33"/>
      <c r="U729" s="60"/>
      <c r="V729" s="27"/>
      <c r="W729" s="33"/>
      <c r="X729" s="47"/>
      <c r="Y729" s="48"/>
    </row>
    <row r="730" spans="2:25" s="38" customFormat="1" x14ac:dyDescent="0.25">
      <c r="B730" s="49"/>
      <c r="C730" s="70"/>
      <c r="D730" s="42"/>
      <c r="F730" s="33"/>
      <c r="G730" s="47"/>
      <c r="H730" s="33"/>
      <c r="I730" s="60"/>
      <c r="J730" s="27"/>
      <c r="K730" s="47"/>
      <c r="L730" s="33"/>
      <c r="M730" s="60"/>
      <c r="N730" s="27"/>
      <c r="O730" s="47"/>
      <c r="P730" s="33"/>
      <c r="Q730" s="60"/>
      <c r="R730" s="27"/>
      <c r="S730" s="47"/>
      <c r="T730" s="33"/>
      <c r="U730" s="60"/>
      <c r="V730" s="27"/>
      <c r="W730" s="33"/>
      <c r="X730" s="47"/>
      <c r="Y730" s="48"/>
    </row>
    <row r="731" spans="2:25" s="38" customFormat="1" x14ac:dyDescent="0.25">
      <c r="B731" s="49"/>
      <c r="C731" s="70"/>
      <c r="D731" s="42"/>
      <c r="F731" s="33"/>
      <c r="G731" s="47"/>
      <c r="H731" s="33"/>
      <c r="I731" s="60"/>
      <c r="J731" s="27"/>
      <c r="K731" s="47"/>
      <c r="L731" s="33"/>
      <c r="M731" s="60"/>
      <c r="N731" s="27"/>
      <c r="O731" s="47"/>
      <c r="P731" s="33"/>
      <c r="Q731" s="60"/>
      <c r="R731" s="27"/>
      <c r="S731" s="47"/>
      <c r="T731" s="33"/>
      <c r="U731" s="60"/>
      <c r="V731" s="27"/>
      <c r="W731" s="33"/>
      <c r="X731" s="47"/>
      <c r="Y731" s="48"/>
    </row>
    <row r="732" spans="2:25" s="38" customFormat="1" x14ac:dyDescent="0.25">
      <c r="B732" s="49"/>
      <c r="C732" s="70"/>
      <c r="D732" s="42"/>
      <c r="F732" s="33"/>
      <c r="G732" s="47"/>
      <c r="H732" s="33"/>
      <c r="I732" s="60"/>
      <c r="J732" s="27"/>
      <c r="K732" s="47"/>
      <c r="L732" s="33"/>
      <c r="M732" s="60"/>
      <c r="N732" s="27"/>
      <c r="O732" s="47"/>
      <c r="P732" s="33"/>
      <c r="Q732" s="60"/>
      <c r="R732" s="27"/>
      <c r="S732" s="47"/>
      <c r="T732" s="33"/>
      <c r="U732" s="60"/>
      <c r="V732" s="27"/>
      <c r="W732" s="33"/>
      <c r="X732" s="47"/>
      <c r="Y732" s="48"/>
    </row>
    <row r="733" spans="2:25" s="38" customFormat="1" x14ac:dyDescent="0.25">
      <c r="B733" s="49"/>
      <c r="C733" s="70"/>
      <c r="D733" s="42"/>
      <c r="F733" s="33"/>
      <c r="G733" s="47"/>
      <c r="H733" s="33"/>
      <c r="I733" s="60"/>
      <c r="J733" s="27"/>
      <c r="K733" s="47"/>
      <c r="L733" s="33"/>
      <c r="M733" s="60"/>
      <c r="N733" s="27"/>
      <c r="O733" s="47"/>
      <c r="P733" s="33"/>
      <c r="Q733" s="60"/>
      <c r="R733" s="27"/>
      <c r="S733" s="47"/>
      <c r="T733" s="33"/>
      <c r="U733" s="60"/>
      <c r="V733" s="27"/>
      <c r="W733" s="33"/>
      <c r="X733" s="47"/>
      <c r="Y733" s="48"/>
    </row>
    <row r="734" spans="2:25" s="38" customFormat="1" x14ac:dyDescent="0.25">
      <c r="B734" s="49"/>
      <c r="C734" s="70"/>
      <c r="D734" s="42"/>
      <c r="F734" s="33"/>
      <c r="G734" s="47"/>
      <c r="H734" s="33"/>
      <c r="I734" s="60"/>
      <c r="J734" s="27"/>
      <c r="K734" s="47"/>
      <c r="L734" s="33"/>
      <c r="M734" s="60"/>
      <c r="N734" s="27"/>
      <c r="O734" s="47"/>
      <c r="P734" s="33"/>
      <c r="Q734" s="60"/>
      <c r="R734" s="27"/>
      <c r="S734" s="47"/>
      <c r="T734" s="33"/>
      <c r="U734" s="60"/>
      <c r="V734" s="27"/>
      <c r="W734" s="33"/>
      <c r="X734" s="47"/>
      <c r="Y734" s="48"/>
    </row>
    <row r="735" spans="2:25" s="38" customFormat="1" x14ac:dyDescent="0.25">
      <c r="B735" s="49"/>
      <c r="C735" s="70"/>
      <c r="D735" s="42"/>
      <c r="F735" s="33"/>
      <c r="G735" s="47"/>
      <c r="H735" s="33"/>
      <c r="I735" s="60"/>
      <c r="J735" s="27"/>
      <c r="K735" s="47"/>
      <c r="L735" s="33"/>
      <c r="M735" s="60"/>
      <c r="N735" s="27"/>
      <c r="O735" s="47"/>
      <c r="P735" s="33"/>
      <c r="Q735" s="60"/>
      <c r="R735" s="27"/>
      <c r="S735" s="47"/>
      <c r="T735" s="33"/>
      <c r="U735" s="60"/>
      <c r="V735" s="27"/>
      <c r="W735" s="33"/>
      <c r="X735" s="47"/>
      <c r="Y735" s="48"/>
    </row>
    <row r="736" spans="2:25" s="38" customFormat="1" x14ac:dyDescent="0.25">
      <c r="B736" s="49"/>
      <c r="C736" s="70"/>
      <c r="D736" s="42"/>
      <c r="F736" s="33"/>
      <c r="G736" s="47"/>
      <c r="H736" s="33"/>
      <c r="I736" s="60"/>
      <c r="J736" s="27"/>
      <c r="K736" s="47"/>
      <c r="L736" s="33"/>
      <c r="M736" s="60"/>
      <c r="N736" s="27"/>
      <c r="O736" s="47"/>
      <c r="P736" s="33"/>
      <c r="Q736" s="60"/>
      <c r="R736" s="27"/>
      <c r="S736" s="47"/>
      <c r="T736" s="33"/>
      <c r="U736" s="60"/>
      <c r="V736" s="27"/>
      <c r="W736" s="33"/>
      <c r="X736" s="47"/>
      <c r="Y736" s="48"/>
    </row>
    <row r="737" spans="2:25" s="38" customFormat="1" x14ac:dyDescent="0.25">
      <c r="B737" s="49"/>
      <c r="C737" s="70"/>
      <c r="D737" s="42"/>
      <c r="F737" s="33"/>
      <c r="G737" s="47"/>
      <c r="H737" s="33"/>
      <c r="I737" s="60"/>
      <c r="J737" s="27"/>
      <c r="K737" s="47"/>
      <c r="L737" s="33"/>
      <c r="M737" s="60"/>
      <c r="N737" s="27"/>
      <c r="O737" s="47"/>
      <c r="P737" s="33"/>
      <c r="Q737" s="60"/>
      <c r="R737" s="27"/>
      <c r="S737" s="47"/>
      <c r="T737" s="33"/>
      <c r="U737" s="60"/>
      <c r="V737" s="27"/>
      <c r="W737" s="33"/>
      <c r="X737" s="47"/>
      <c r="Y737" s="48"/>
    </row>
    <row r="738" spans="2:25" s="38" customFormat="1" x14ac:dyDescent="0.25">
      <c r="B738" s="49"/>
      <c r="C738" s="70"/>
      <c r="D738" s="42"/>
      <c r="F738" s="33"/>
      <c r="G738" s="47"/>
      <c r="H738" s="33"/>
      <c r="I738" s="60"/>
      <c r="J738" s="27"/>
      <c r="K738" s="47"/>
      <c r="L738" s="33"/>
      <c r="M738" s="60"/>
      <c r="N738" s="27"/>
      <c r="O738" s="47"/>
      <c r="P738" s="33"/>
      <c r="Q738" s="60"/>
      <c r="R738" s="27"/>
      <c r="S738" s="47"/>
      <c r="T738" s="33"/>
      <c r="U738" s="60"/>
      <c r="V738" s="27"/>
      <c r="W738" s="33"/>
      <c r="X738" s="47"/>
      <c r="Y738" s="48"/>
    </row>
    <row r="739" spans="2:25" s="38" customFormat="1" x14ac:dyDescent="0.25">
      <c r="B739" s="49"/>
      <c r="C739" s="70"/>
      <c r="D739" s="42"/>
      <c r="F739" s="33"/>
      <c r="G739" s="47"/>
      <c r="H739" s="33"/>
      <c r="I739" s="60"/>
      <c r="J739" s="27"/>
      <c r="K739" s="47"/>
      <c r="L739" s="33"/>
      <c r="M739" s="60"/>
      <c r="N739" s="27"/>
      <c r="O739" s="47"/>
      <c r="P739" s="33"/>
      <c r="Q739" s="60"/>
      <c r="R739" s="27"/>
      <c r="S739" s="47"/>
      <c r="T739" s="33"/>
      <c r="U739" s="60"/>
      <c r="V739" s="27"/>
      <c r="W739" s="33"/>
      <c r="X739" s="47"/>
      <c r="Y739" s="48"/>
    </row>
    <row r="740" spans="2:25" s="38" customFormat="1" x14ac:dyDescent="0.25">
      <c r="B740" s="49"/>
      <c r="C740" s="70"/>
      <c r="D740" s="42"/>
      <c r="F740" s="33"/>
      <c r="G740" s="47"/>
      <c r="H740" s="33"/>
      <c r="I740" s="60"/>
      <c r="J740" s="27"/>
      <c r="K740" s="47"/>
      <c r="L740" s="33"/>
      <c r="M740" s="60"/>
      <c r="N740" s="27"/>
      <c r="O740" s="47"/>
      <c r="P740" s="33"/>
      <c r="Q740" s="60"/>
      <c r="R740" s="27"/>
      <c r="S740" s="47"/>
      <c r="T740" s="33"/>
      <c r="U740" s="60"/>
      <c r="V740" s="27"/>
      <c r="W740" s="33"/>
      <c r="X740" s="47"/>
      <c r="Y740" s="48"/>
    </row>
    <row r="741" spans="2:25" s="38" customFormat="1" x14ac:dyDescent="0.25">
      <c r="B741" s="49"/>
      <c r="C741" s="70"/>
      <c r="D741" s="42"/>
      <c r="F741" s="33"/>
      <c r="G741" s="47"/>
      <c r="H741" s="33"/>
      <c r="I741" s="60"/>
      <c r="J741" s="27"/>
      <c r="K741" s="47"/>
      <c r="L741" s="33"/>
      <c r="M741" s="60"/>
      <c r="N741" s="27"/>
      <c r="O741" s="47"/>
      <c r="P741" s="33"/>
      <c r="Q741" s="60"/>
      <c r="R741" s="27"/>
      <c r="S741" s="47"/>
      <c r="T741" s="33"/>
      <c r="U741" s="60"/>
      <c r="V741" s="27"/>
      <c r="W741" s="33"/>
      <c r="X741" s="47"/>
      <c r="Y741" s="48"/>
    </row>
    <row r="742" spans="2:25" s="38" customFormat="1" x14ac:dyDescent="0.25">
      <c r="B742" s="49"/>
      <c r="C742" s="70"/>
      <c r="D742" s="42"/>
      <c r="F742" s="33"/>
      <c r="G742" s="47"/>
      <c r="H742" s="33"/>
      <c r="I742" s="60"/>
      <c r="J742" s="27"/>
      <c r="K742" s="47"/>
      <c r="L742" s="33"/>
      <c r="M742" s="60"/>
      <c r="N742" s="27"/>
      <c r="O742" s="47"/>
      <c r="P742" s="33"/>
      <c r="Q742" s="60"/>
      <c r="R742" s="27"/>
      <c r="S742" s="47"/>
      <c r="T742" s="33"/>
      <c r="U742" s="60"/>
      <c r="V742" s="27"/>
      <c r="W742" s="33"/>
      <c r="X742" s="47"/>
      <c r="Y742" s="48"/>
    </row>
    <row r="743" spans="2:25" s="38" customFormat="1" x14ac:dyDescent="0.25">
      <c r="B743" s="49"/>
      <c r="C743" s="70"/>
      <c r="D743" s="42"/>
      <c r="F743" s="33"/>
      <c r="G743" s="47"/>
      <c r="H743" s="33"/>
      <c r="I743" s="60"/>
      <c r="J743" s="27"/>
      <c r="K743" s="47"/>
      <c r="L743" s="33"/>
      <c r="M743" s="60"/>
      <c r="N743" s="27"/>
      <c r="O743" s="47"/>
      <c r="P743" s="33"/>
      <c r="Q743" s="60"/>
      <c r="R743" s="27"/>
      <c r="S743" s="47"/>
      <c r="T743" s="33"/>
      <c r="U743" s="60"/>
      <c r="V743" s="27"/>
      <c r="W743" s="33"/>
      <c r="X743" s="47"/>
      <c r="Y743" s="48"/>
    </row>
    <row r="744" spans="2:25" s="38" customFormat="1" x14ac:dyDescent="0.25">
      <c r="B744" s="49"/>
      <c r="C744" s="70"/>
      <c r="D744" s="42"/>
      <c r="F744" s="33"/>
      <c r="G744" s="47"/>
      <c r="H744" s="33"/>
      <c r="I744" s="60"/>
      <c r="J744" s="27"/>
      <c r="K744" s="47"/>
      <c r="L744" s="33"/>
      <c r="M744" s="60"/>
      <c r="N744" s="27"/>
      <c r="O744" s="47"/>
      <c r="P744" s="33"/>
      <c r="Q744" s="60"/>
      <c r="R744" s="27"/>
      <c r="S744" s="47"/>
      <c r="T744" s="33"/>
      <c r="U744" s="60"/>
      <c r="V744" s="27"/>
      <c r="W744" s="33"/>
      <c r="X744" s="47"/>
      <c r="Y744" s="48"/>
    </row>
    <row r="745" spans="2:25" s="38" customFormat="1" x14ac:dyDescent="0.25">
      <c r="B745" s="49"/>
      <c r="C745" s="70"/>
      <c r="D745" s="42"/>
      <c r="F745" s="33"/>
      <c r="G745" s="47"/>
      <c r="H745" s="33"/>
      <c r="I745" s="60"/>
      <c r="J745" s="27"/>
      <c r="K745" s="47"/>
      <c r="L745" s="33"/>
      <c r="M745" s="60"/>
      <c r="N745" s="27"/>
      <c r="O745" s="47"/>
      <c r="P745" s="33"/>
      <c r="Q745" s="60"/>
      <c r="R745" s="27"/>
      <c r="S745" s="47"/>
      <c r="T745" s="33"/>
      <c r="U745" s="60"/>
      <c r="V745" s="27"/>
      <c r="W745" s="33"/>
      <c r="X745" s="47"/>
      <c r="Y745" s="48"/>
    </row>
    <row r="746" spans="2:25" s="38" customFormat="1" x14ac:dyDescent="0.25">
      <c r="B746" s="49"/>
      <c r="C746" s="70"/>
      <c r="D746" s="42"/>
      <c r="F746" s="33"/>
      <c r="G746" s="47"/>
      <c r="H746" s="33"/>
      <c r="I746" s="60"/>
      <c r="J746" s="27"/>
      <c r="K746" s="47"/>
      <c r="L746" s="33"/>
      <c r="M746" s="60"/>
      <c r="N746" s="27"/>
      <c r="O746" s="47"/>
      <c r="P746" s="33"/>
      <c r="Q746" s="60"/>
      <c r="R746" s="27"/>
      <c r="S746" s="47"/>
      <c r="T746" s="33"/>
      <c r="U746" s="60"/>
      <c r="V746" s="27"/>
      <c r="W746" s="33"/>
      <c r="X746" s="47"/>
      <c r="Y746" s="48"/>
    </row>
    <row r="747" spans="2:25" s="38" customFormat="1" x14ac:dyDescent="0.25">
      <c r="B747" s="49"/>
      <c r="C747" s="70"/>
      <c r="D747" s="42"/>
      <c r="F747" s="33"/>
      <c r="G747" s="47"/>
      <c r="H747" s="33"/>
      <c r="I747" s="60"/>
      <c r="J747" s="27"/>
      <c r="K747" s="47"/>
      <c r="L747" s="33"/>
      <c r="M747" s="60"/>
      <c r="N747" s="27"/>
      <c r="O747" s="47"/>
      <c r="P747" s="33"/>
      <c r="Q747" s="60"/>
      <c r="R747" s="27"/>
      <c r="S747" s="47"/>
      <c r="T747" s="33"/>
      <c r="U747" s="60"/>
      <c r="V747" s="27"/>
      <c r="W747" s="33"/>
      <c r="X747" s="47"/>
      <c r="Y747" s="48"/>
    </row>
    <row r="748" spans="2:25" s="38" customFormat="1" x14ac:dyDescent="0.25">
      <c r="B748" s="49"/>
      <c r="C748" s="70"/>
      <c r="D748" s="42"/>
      <c r="F748" s="33"/>
      <c r="G748" s="47"/>
      <c r="H748" s="33"/>
      <c r="I748" s="60"/>
      <c r="J748" s="27"/>
      <c r="K748" s="47"/>
      <c r="L748" s="33"/>
      <c r="M748" s="60"/>
      <c r="N748" s="27"/>
      <c r="O748" s="47"/>
      <c r="P748" s="33"/>
      <c r="Q748" s="60"/>
      <c r="R748" s="27"/>
      <c r="S748" s="47"/>
      <c r="T748" s="33"/>
      <c r="U748" s="60"/>
      <c r="V748" s="27"/>
      <c r="W748" s="33"/>
      <c r="X748" s="47"/>
      <c r="Y748" s="48"/>
    </row>
    <row r="749" spans="2:25" s="38" customFormat="1" x14ac:dyDescent="0.25">
      <c r="B749" s="49"/>
      <c r="C749" s="70"/>
      <c r="D749" s="42"/>
      <c r="F749" s="33"/>
      <c r="G749" s="47"/>
      <c r="H749" s="33"/>
      <c r="I749" s="60"/>
      <c r="J749" s="27"/>
      <c r="K749" s="47"/>
      <c r="L749" s="33"/>
      <c r="M749" s="60"/>
      <c r="N749" s="27"/>
      <c r="O749" s="47"/>
      <c r="P749" s="33"/>
      <c r="Q749" s="60"/>
      <c r="R749" s="27"/>
      <c r="S749" s="47"/>
      <c r="T749" s="33"/>
      <c r="U749" s="60"/>
      <c r="V749" s="27"/>
      <c r="W749" s="33"/>
      <c r="X749" s="47"/>
      <c r="Y749" s="48"/>
    </row>
    <row r="750" spans="2:25" s="38" customFormat="1" x14ac:dyDescent="0.25">
      <c r="B750" s="49"/>
      <c r="C750" s="70"/>
      <c r="D750" s="42"/>
      <c r="F750" s="33"/>
      <c r="G750" s="47"/>
      <c r="H750" s="33"/>
      <c r="I750" s="60"/>
      <c r="J750" s="27"/>
      <c r="K750" s="47"/>
      <c r="L750" s="33"/>
      <c r="M750" s="60"/>
      <c r="N750" s="27"/>
      <c r="O750" s="47"/>
      <c r="P750" s="33"/>
      <c r="Q750" s="60"/>
      <c r="R750" s="27"/>
      <c r="S750" s="47"/>
      <c r="T750" s="33"/>
      <c r="U750" s="60"/>
      <c r="V750" s="27"/>
      <c r="W750" s="33"/>
      <c r="X750" s="47"/>
      <c r="Y750" s="48"/>
    </row>
    <row r="751" spans="2:25" s="38" customFormat="1" x14ac:dyDescent="0.25">
      <c r="B751" s="49"/>
      <c r="C751" s="70"/>
      <c r="D751" s="42"/>
      <c r="F751" s="33"/>
      <c r="G751" s="47"/>
      <c r="H751" s="33"/>
      <c r="I751" s="60"/>
      <c r="J751" s="27"/>
      <c r="K751" s="47"/>
      <c r="L751" s="33"/>
      <c r="M751" s="60"/>
      <c r="N751" s="27"/>
      <c r="O751" s="47"/>
      <c r="P751" s="33"/>
      <c r="Q751" s="60"/>
      <c r="R751" s="27"/>
      <c r="S751" s="47"/>
      <c r="T751" s="33"/>
      <c r="U751" s="60"/>
      <c r="V751" s="27"/>
      <c r="W751" s="33"/>
      <c r="X751" s="47"/>
      <c r="Y751" s="48"/>
    </row>
    <row r="752" spans="2:25" s="38" customFormat="1" x14ac:dyDescent="0.25">
      <c r="B752" s="49"/>
      <c r="C752" s="70"/>
      <c r="D752" s="42"/>
      <c r="F752" s="33"/>
      <c r="G752" s="47"/>
      <c r="H752" s="33"/>
      <c r="I752" s="60"/>
      <c r="J752" s="27"/>
      <c r="K752" s="47"/>
      <c r="L752" s="33"/>
      <c r="M752" s="60"/>
      <c r="N752" s="27"/>
      <c r="O752" s="47"/>
      <c r="P752" s="33"/>
      <c r="Q752" s="60"/>
      <c r="R752" s="27"/>
      <c r="S752" s="47"/>
      <c r="T752" s="33"/>
      <c r="U752" s="60"/>
      <c r="V752" s="27"/>
      <c r="W752" s="33"/>
      <c r="X752" s="47"/>
      <c r="Y752" s="48"/>
    </row>
    <row r="753" spans="2:25" s="38" customFormat="1" x14ac:dyDescent="0.25">
      <c r="B753" s="49"/>
      <c r="C753" s="70"/>
      <c r="D753" s="42"/>
      <c r="F753" s="33"/>
      <c r="G753" s="47"/>
      <c r="H753" s="33"/>
      <c r="I753" s="60"/>
      <c r="J753" s="27"/>
      <c r="K753" s="47"/>
      <c r="L753" s="33"/>
      <c r="M753" s="60"/>
      <c r="N753" s="27"/>
      <c r="O753" s="47"/>
      <c r="P753" s="33"/>
      <c r="Q753" s="60"/>
      <c r="R753" s="27"/>
      <c r="S753" s="47"/>
      <c r="T753" s="33"/>
      <c r="U753" s="60"/>
      <c r="V753" s="27"/>
      <c r="W753" s="33"/>
      <c r="X753" s="47"/>
      <c r="Y753" s="48"/>
    </row>
    <row r="754" spans="2:25" s="38" customFormat="1" x14ac:dyDescent="0.25">
      <c r="B754" s="49"/>
      <c r="C754" s="70"/>
      <c r="D754" s="42"/>
      <c r="F754" s="33"/>
      <c r="G754" s="47"/>
      <c r="H754" s="33"/>
      <c r="I754" s="60"/>
      <c r="J754" s="27"/>
      <c r="K754" s="47"/>
      <c r="L754" s="33"/>
      <c r="M754" s="60"/>
      <c r="N754" s="27"/>
      <c r="O754" s="47"/>
      <c r="P754" s="33"/>
      <c r="Q754" s="60"/>
      <c r="R754" s="27"/>
      <c r="S754" s="47"/>
      <c r="T754" s="33"/>
      <c r="U754" s="60"/>
      <c r="V754" s="27"/>
      <c r="W754" s="33"/>
      <c r="X754" s="47"/>
      <c r="Y754" s="48"/>
    </row>
    <row r="755" spans="2:25" s="38" customFormat="1" x14ac:dyDescent="0.25">
      <c r="B755" s="49"/>
      <c r="C755" s="70"/>
      <c r="D755" s="42"/>
      <c r="F755" s="33"/>
      <c r="G755" s="47"/>
      <c r="H755" s="33"/>
      <c r="I755" s="60"/>
      <c r="J755" s="27"/>
      <c r="K755" s="47"/>
      <c r="L755" s="33"/>
      <c r="M755" s="60"/>
      <c r="N755" s="27"/>
      <c r="O755" s="47"/>
      <c r="P755" s="33"/>
      <c r="Q755" s="60"/>
      <c r="R755" s="27"/>
      <c r="S755" s="47"/>
      <c r="T755" s="33"/>
      <c r="U755" s="60"/>
      <c r="V755" s="27"/>
      <c r="W755" s="33"/>
      <c r="X755" s="47"/>
      <c r="Y755" s="48"/>
    </row>
    <row r="756" spans="2:25" s="38" customFormat="1" x14ac:dyDescent="0.25">
      <c r="B756" s="49"/>
      <c r="C756" s="70"/>
      <c r="D756" s="42"/>
      <c r="F756" s="33"/>
      <c r="G756" s="47"/>
      <c r="H756" s="33"/>
      <c r="I756" s="60"/>
      <c r="J756" s="27"/>
      <c r="K756" s="47"/>
      <c r="L756" s="33"/>
      <c r="M756" s="60"/>
      <c r="N756" s="27"/>
      <c r="O756" s="47"/>
      <c r="P756" s="33"/>
      <c r="Q756" s="60"/>
      <c r="R756" s="27"/>
      <c r="S756" s="47"/>
      <c r="T756" s="33"/>
      <c r="U756" s="60"/>
      <c r="V756" s="27"/>
      <c r="W756" s="33"/>
      <c r="X756" s="47"/>
      <c r="Y756" s="48"/>
    </row>
    <row r="757" spans="2:25" s="38" customFormat="1" x14ac:dyDescent="0.25">
      <c r="B757" s="49"/>
      <c r="C757" s="70"/>
      <c r="D757" s="42"/>
      <c r="F757" s="33"/>
      <c r="G757" s="47"/>
      <c r="H757" s="33"/>
      <c r="I757" s="60"/>
      <c r="J757" s="27"/>
      <c r="K757" s="47"/>
      <c r="L757" s="33"/>
      <c r="M757" s="60"/>
      <c r="N757" s="27"/>
      <c r="O757" s="47"/>
      <c r="P757" s="33"/>
      <c r="Q757" s="60"/>
      <c r="R757" s="27"/>
      <c r="S757" s="47"/>
      <c r="T757" s="33"/>
      <c r="U757" s="60"/>
      <c r="V757" s="27"/>
      <c r="W757" s="33"/>
      <c r="X757" s="47"/>
      <c r="Y757" s="48"/>
    </row>
    <row r="758" spans="2:25" s="38" customFormat="1" x14ac:dyDescent="0.25">
      <c r="B758" s="49"/>
      <c r="C758" s="70"/>
      <c r="D758" s="42"/>
      <c r="F758" s="33"/>
      <c r="G758" s="47"/>
      <c r="H758" s="33"/>
      <c r="I758" s="60"/>
      <c r="J758" s="27"/>
      <c r="K758" s="47"/>
      <c r="L758" s="33"/>
      <c r="M758" s="60"/>
      <c r="N758" s="27"/>
      <c r="O758" s="47"/>
      <c r="P758" s="33"/>
      <c r="Q758" s="60"/>
      <c r="R758" s="27"/>
      <c r="S758" s="47"/>
      <c r="T758" s="33"/>
      <c r="U758" s="60"/>
      <c r="V758" s="27"/>
      <c r="W758" s="33"/>
      <c r="X758" s="47"/>
      <c r="Y758" s="48"/>
    </row>
    <row r="759" spans="2:25" s="38" customFormat="1" x14ac:dyDescent="0.25">
      <c r="B759" s="49"/>
      <c r="C759" s="70"/>
      <c r="D759" s="42"/>
      <c r="F759" s="33"/>
      <c r="G759" s="47"/>
      <c r="H759" s="33"/>
      <c r="I759" s="60"/>
      <c r="J759" s="27"/>
      <c r="K759" s="47"/>
      <c r="L759" s="33"/>
      <c r="M759" s="60"/>
      <c r="N759" s="27"/>
      <c r="O759" s="47"/>
      <c r="P759" s="33"/>
      <c r="Q759" s="60"/>
      <c r="R759" s="27"/>
      <c r="S759" s="47"/>
      <c r="T759" s="33"/>
      <c r="U759" s="60"/>
      <c r="V759" s="27"/>
      <c r="W759" s="33"/>
      <c r="X759" s="47"/>
      <c r="Y759" s="48"/>
    </row>
    <row r="760" spans="2:25" s="38" customFormat="1" x14ac:dyDescent="0.25">
      <c r="B760" s="49"/>
      <c r="C760" s="70"/>
      <c r="D760" s="42"/>
      <c r="F760" s="33"/>
      <c r="G760" s="47"/>
      <c r="H760" s="33"/>
      <c r="I760" s="60"/>
      <c r="J760" s="27"/>
      <c r="K760" s="47"/>
      <c r="L760" s="33"/>
      <c r="M760" s="60"/>
      <c r="N760" s="27"/>
      <c r="O760" s="47"/>
      <c r="P760" s="33"/>
      <c r="Q760" s="60"/>
      <c r="R760" s="27"/>
      <c r="S760" s="47"/>
      <c r="T760" s="33"/>
      <c r="U760" s="60"/>
      <c r="V760" s="27"/>
      <c r="W760" s="33"/>
      <c r="X760" s="47"/>
      <c r="Y760" s="48"/>
    </row>
    <row r="761" spans="2:25" s="38" customFormat="1" x14ac:dyDescent="0.25">
      <c r="B761" s="49"/>
      <c r="C761" s="70"/>
      <c r="D761" s="42"/>
      <c r="F761" s="33"/>
      <c r="G761" s="47"/>
      <c r="H761" s="33"/>
      <c r="I761" s="60"/>
      <c r="J761" s="27"/>
      <c r="K761" s="47"/>
      <c r="L761" s="33"/>
      <c r="M761" s="60"/>
      <c r="N761" s="27"/>
      <c r="O761" s="47"/>
      <c r="P761" s="33"/>
      <c r="Q761" s="60"/>
      <c r="R761" s="27"/>
      <c r="S761" s="47"/>
      <c r="T761" s="33"/>
      <c r="U761" s="60"/>
      <c r="V761" s="27"/>
      <c r="W761" s="33"/>
      <c r="X761" s="47"/>
      <c r="Y761" s="48"/>
    </row>
    <row r="762" spans="2:25" s="38" customFormat="1" x14ac:dyDescent="0.25">
      <c r="B762" s="49"/>
      <c r="C762" s="70"/>
      <c r="D762" s="42"/>
      <c r="F762" s="33"/>
      <c r="G762" s="47"/>
      <c r="H762" s="33"/>
      <c r="I762" s="60"/>
      <c r="J762" s="27"/>
      <c r="K762" s="47"/>
      <c r="L762" s="33"/>
      <c r="M762" s="60"/>
      <c r="N762" s="27"/>
      <c r="O762" s="47"/>
      <c r="P762" s="33"/>
      <c r="Q762" s="60"/>
      <c r="R762" s="27"/>
      <c r="S762" s="47"/>
      <c r="T762" s="33"/>
      <c r="U762" s="60"/>
      <c r="V762" s="27"/>
      <c r="W762" s="33"/>
      <c r="X762" s="47"/>
      <c r="Y762" s="48"/>
    </row>
    <row r="763" spans="2:25" s="38" customFormat="1" x14ac:dyDescent="0.25">
      <c r="B763" s="49"/>
      <c r="C763" s="70"/>
      <c r="D763" s="42"/>
      <c r="F763" s="33"/>
      <c r="G763" s="47"/>
      <c r="H763" s="33"/>
      <c r="I763" s="60"/>
      <c r="J763" s="27"/>
      <c r="K763" s="47"/>
      <c r="L763" s="33"/>
      <c r="M763" s="60"/>
      <c r="N763" s="27"/>
      <c r="O763" s="47"/>
      <c r="P763" s="33"/>
      <c r="Q763" s="60"/>
      <c r="R763" s="27"/>
      <c r="S763" s="47"/>
      <c r="T763" s="33"/>
      <c r="U763" s="60"/>
      <c r="V763" s="27"/>
      <c r="W763" s="33"/>
      <c r="X763" s="47"/>
      <c r="Y763" s="48"/>
    </row>
    <row r="764" spans="2:25" s="38" customFormat="1" x14ac:dyDescent="0.25">
      <c r="B764" s="49"/>
      <c r="C764" s="70"/>
      <c r="D764" s="42"/>
      <c r="F764" s="33"/>
      <c r="G764" s="47"/>
      <c r="H764" s="33"/>
      <c r="I764" s="60"/>
      <c r="J764" s="27"/>
      <c r="K764" s="47"/>
      <c r="L764" s="33"/>
      <c r="M764" s="60"/>
      <c r="N764" s="27"/>
      <c r="O764" s="47"/>
      <c r="P764" s="33"/>
      <c r="Q764" s="60"/>
      <c r="R764" s="27"/>
      <c r="S764" s="47"/>
      <c r="T764" s="33"/>
      <c r="U764" s="60"/>
      <c r="V764" s="27"/>
      <c r="W764" s="33"/>
      <c r="X764" s="47"/>
      <c r="Y764" s="48"/>
    </row>
    <row r="765" spans="2:25" s="38" customFormat="1" x14ac:dyDescent="0.25">
      <c r="B765" s="49"/>
      <c r="C765" s="70"/>
      <c r="D765" s="42"/>
      <c r="F765" s="33"/>
      <c r="G765" s="47"/>
      <c r="H765" s="33"/>
      <c r="I765" s="60"/>
      <c r="J765" s="27"/>
      <c r="K765" s="47"/>
      <c r="L765" s="33"/>
      <c r="M765" s="60"/>
      <c r="N765" s="27"/>
      <c r="O765" s="47"/>
      <c r="P765" s="33"/>
      <c r="Q765" s="60"/>
      <c r="R765" s="27"/>
      <c r="S765" s="47"/>
      <c r="T765" s="33"/>
      <c r="U765" s="60"/>
      <c r="V765" s="27"/>
      <c r="W765" s="33"/>
      <c r="X765" s="47"/>
      <c r="Y765" s="48"/>
    </row>
    <row r="766" spans="2:25" s="38" customFormat="1" x14ac:dyDescent="0.25">
      <c r="B766" s="49"/>
      <c r="C766" s="70"/>
      <c r="D766" s="42"/>
      <c r="F766" s="33"/>
      <c r="G766" s="47"/>
      <c r="H766" s="33"/>
      <c r="I766" s="60"/>
      <c r="J766" s="27"/>
      <c r="K766" s="47"/>
      <c r="L766" s="33"/>
      <c r="M766" s="60"/>
      <c r="N766" s="27"/>
      <c r="O766" s="47"/>
      <c r="P766" s="33"/>
      <c r="Q766" s="60"/>
      <c r="R766" s="27"/>
      <c r="S766" s="47"/>
      <c r="T766" s="33"/>
      <c r="U766" s="60"/>
      <c r="V766" s="27"/>
      <c r="W766" s="33"/>
      <c r="X766" s="47"/>
      <c r="Y766" s="48"/>
    </row>
    <row r="767" spans="2:25" s="38" customFormat="1" x14ac:dyDescent="0.25">
      <c r="B767" s="49"/>
      <c r="C767" s="70"/>
      <c r="D767" s="42"/>
      <c r="F767" s="33"/>
      <c r="G767" s="47"/>
      <c r="H767" s="33"/>
      <c r="I767" s="60"/>
      <c r="J767" s="27"/>
      <c r="K767" s="47"/>
      <c r="L767" s="33"/>
      <c r="M767" s="60"/>
      <c r="N767" s="27"/>
      <c r="O767" s="47"/>
      <c r="P767" s="33"/>
      <c r="Q767" s="60"/>
      <c r="R767" s="27"/>
      <c r="S767" s="47"/>
      <c r="T767" s="33"/>
      <c r="U767" s="60"/>
      <c r="V767" s="27"/>
      <c r="W767" s="33"/>
      <c r="X767" s="47"/>
      <c r="Y767" s="48"/>
    </row>
    <row r="768" spans="2:25" s="38" customFormat="1" x14ac:dyDescent="0.25">
      <c r="B768" s="49"/>
      <c r="C768" s="70"/>
      <c r="D768" s="42"/>
      <c r="F768" s="33"/>
      <c r="G768" s="47"/>
      <c r="H768" s="33"/>
      <c r="I768" s="60"/>
      <c r="J768" s="27"/>
      <c r="K768" s="47"/>
      <c r="L768" s="33"/>
      <c r="M768" s="60"/>
      <c r="N768" s="27"/>
      <c r="O768" s="47"/>
      <c r="P768" s="33"/>
      <c r="Q768" s="60"/>
      <c r="R768" s="27"/>
      <c r="S768" s="47"/>
      <c r="T768" s="33"/>
      <c r="U768" s="60"/>
      <c r="V768" s="27"/>
      <c r="W768" s="33"/>
      <c r="X768" s="47"/>
      <c r="Y768" s="48"/>
    </row>
    <row r="769" spans="2:25" s="38" customFormat="1" x14ac:dyDescent="0.25">
      <c r="B769" s="49"/>
      <c r="C769" s="70"/>
      <c r="D769" s="42"/>
      <c r="F769" s="46"/>
      <c r="G769" s="47"/>
      <c r="H769" s="46"/>
      <c r="I769" s="58"/>
      <c r="J769" s="42"/>
      <c r="K769" s="47"/>
      <c r="L769" s="46"/>
      <c r="M769" s="58"/>
      <c r="N769" s="42"/>
      <c r="O769" s="47"/>
      <c r="P769" s="46"/>
      <c r="Q769" s="58"/>
      <c r="R769" s="42"/>
      <c r="S769" s="47"/>
      <c r="T769" s="46"/>
      <c r="U769" s="58"/>
      <c r="V769" s="42"/>
      <c r="W769" s="46"/>
      <c r="X769" s="47"/>
      <c r="Y769" s="48"/>
    </row>
    <row r="770" spans="2:25" s="38" customFormat="1" x14ac:dyDescent="0.25">
      <c r="B770" s="49"/>
      <c r="C770" s="70"/>
      <c r="D770" s="42"/>
      <c r="F770" s="46"/>
      <c r="G770" s="47"/>
      <c r="H770" s="46"/>
      <c r="I770" s="58"/>
      <c r="J770" s="42"/>
      <c r="K770" s="47"/>
      <c r="L770" s="46"/>
      <c r="M770" s="58"/>
      <c r="N770" s="42"/>
      <c r="O770" s="47"/>
      <c r="P770" s="46"/>
      <c r="Q770" s="58"/>
      <c r="R770" s="42"/>
      <c r="S770" s="47"/>
      <c r="T770" s="46"/>
      <c r="U770" s="58"/>
      <c r="V770" s="42"/>
      <c r="W770" s="46"/>
      <c r="X770" s="47"/>
      <c r="Y770" s="48"/>
    </row>
    <row r="771" spans="2:25" s="38" customFormat="1" x14ac:dyDescent="0.25">
      <c r="B771" s="49"/>
      <c r="C771" s="70"/>
      <c r="D771" s="42"/>
      <c r="F771" s="46"/>
      <c r="G771" s="47"/>
      <c r="H771" s="46"/>
      <c r="I771" s="58"/>
      <c r="J771" s="42"/>
      <c r="K771" s="47"/>
      <c r="L771" s="46"/>
      <c r="M771" s="58"/>
      <c r="N771" s="42"/>
      <c r="O771" s="47"/>
      <c r="P771" s="46"/>
      <c r="Q771" s="58"/>
      <c r="R771" s="42"/>
      <c r="S771" s="47"/>
      <c r="T771" s="46"/>
      <c r="U771" s="58"/>
      <c r="V771" s="42"/>
      <c r="W771" s="46"/>
      <c r="X771" s="47"/>
      <c r="Y771" s="48"/>
    </row>
    <row r="772" spans="2:25" s="38" customFormat="1" x14ac:dyDescent="0.25">
      <c r="B772" s="49"/>
      <c r="C772" s="70"/>
      <c r="D772" s="42"/>
      <c r="F772" s="46"/>
      <c r="G772" s="47"/>
      <c r="H772" s="46"/>
      <c r="I772" s="58"/>
      <c r="J772" s="42"/>
      <c r="K772" s="47"/>
      <c r="L772" s="46"/>
      <c r="M772" s="58"/>
      <c r="N772" s="42"/>
      <c r="O772" s="47"/>
      <c r="P772" s="46"/>
      <c r="Q772" s="58"/>
      <c r="R772" s="42"/>
      <c r="S772" s="47"/>
      <c r="T772" s="46"/>
      <c r="U772" s="58"/>
      <c r="V772" s="42"/>
      <c r="W772" s="46"/>
      <c r="X772" s="47"/>
      <c r="Y772" s="48"/>
    </row>
    <row r="773" spans="2:25" s="38" customFormat="1" x14ac:dyDescent="0.25">
      <c r="B773" s="49"/>
      <c r="C773" s="70"/>
      <c r="D773" s="42"/>
      <c r="F773" s="46"/>
      <c r="G773" s="47"/>
      <c r="H773" s="46"/>
      <c r="I773" s="58"/>
      <c r="J773" s="42"/>
      <c r="K773" s="47"/>
      <c r="L773" s="46"/>
      <c r="M773" s="58"/>
      <c r="N773" s="42"/>
      <c r="O773" s="47"/>
      <c r="P773" s="46"/>
      <c r="Q773" s="58"/>
      <c r="R773" s="42"/>
      <c r="S773" s="47"/>
      <c r="T773" s="46"/>
      <c r="U773" s="58"/>
      <c r="V773" s="42"/>
      <c r="W773" s="46"/>
      <c r="X773" s="47"/>
      <c r="Y773" s="48"/>
    </row>
    <row r="774" spans="2:25" s="38" customFormat="1" x14ac:dyDescent="0.25">
      <c r="B774" s="49"/>
      <c r="C774" s="70"/>
      <c r="D774" s="42"/>
      <c r="F774" s="46"/>
      <c r="G774" s="47"/>
      <c r="H774" s="46"/>
      <c r="I774" s="58"/>
      <c r="J774" s="42"/>
      <c r="K774" s="47"/>
      <c r="L774" s="46"/>
      <c r="M774" s="58"/>
      <c r="N774" s="42"/>
      <c r="O774" s="47"/>
      <c r="P774" s="46"/>
      <c r="Q774" s="58"/>
      <c r="R774" s="42"/>
      <c r="S774" s="47"/>
      <c r="T774" s="46"/>
      <c r="U774" s="58"/>
      <c r="V774" s="42"/>
      <c r="W774" s="46"/>
      <c r="X774" s="47"/>
      <c r="Y774" s="48"/>
    </row>
    <row r="775" spans="2:25" s="38" customFormat="1" x14ac:dyDescent="0.25">
      <c r="B775" s="49"/>
      <c r="C775" s="70"/>
      <c r="D775" s="42"/>
      <c r="F775" s="46"/>
      <c r="G775" s="47"/>
      <c r="H775" s="46"/>
      <c r="I775" s="58"/>
      <c r="J775" s="42"/>
      <c r="K775" s="47"/>
      <c r="L775" s="46"/>
      <c r="M775" s="58"/>
      <c r="N775" s="42"/>
      <c r="O775" s="47"/>
      <c r="P775" s="46"/>
      <c r="Q775" s="58"/>
      <c r="R775" s="42"/>
      <c r="S775" s="47"/>
      <c r="T775" s="46"/>
      <c r="U775" s="58"/>
      <c r="V775" s="42"/>
      <c r="W775" s="46"/>
      <c r="X775" s="47"/>
      <c r="Y775" s="48"/>
    </row>
    <row r="776" spans="2:25" s="38" customFormat="1" x14ac:dyDescent="0.25">
      <c r="B776" s="49"/>
      <c r="C776" s="70"/>
      <c r="D776" s="42"/>
      <c r="F776" s="46"/>
      <c r="G776" s="47"/>
      <c r="H776" s="46"/>
      <c r="I776" s="58"/>
      <c r="J776" s="42"/>
      <c r="K776" s="47"/>
      <c r="L776" s="46"/>
      <c r="M776" s="58"/>
      <c r="N776" s="42"/>
      <c r="O776" s="47"/>
      <c r="P776" s="46"/>
      <c r="Q776" s="58"/>
      <c r="R776" s="42"/>
      <c r="S776" s="47"/>
      <c r="T776" s="46"/>
      <c r="U776" s="58"/>
      <c r="V776" s="42"/>
      <c r="W776" s="46"/>
      <c r="X776" s="47"/>
      <c r="Y776" s="48"/>
    </row>
    <row r="777" spans="2:25" s="38" customFormat="1" x14ac:dyDescent="0.25">
      <c r="B777" s="49"/>
      <c r="C777" s="70"/>
      <c r="D777" s="42"/>
      <c r="F777" s="46"/>
      <c r="G777" s="47"/>
      <c r="H777" s="46"/>
      <c r="I777" s="58"/>
      <c r="J777" s="42"/>
      <c r="K777" s="47"/>
      <c r="L777" s="46"/>
      <c r="M777" s="58"/>
      <c r="N777" s="42"/>
      <c r="O777" s="47"/>
      <c r="P777" s="46"/>
      <c r="Q777" s="58"/>
      <c r="R777" s="42"/>
      <c r="S777" s="47"/>
      <c r="T777" s="46"/>
      <c r="U777" s="58"/>
      <c r="V777" s="42"/>
      <c r="W777" s="46"/>
      <c r="X777" s="47"/>
      <c r="Y777" s="48"/>
    </row>
    <row r="778" spans="2:25" s="38" customFormat="1" x14ac:dyDescent="0.25">
      <c r="B778" s="49"/>
      <c r="C778" s="70"/>
      <c r="D778" s="42"/>
      <c r="F778" s="46"/>
      <c r="G778" s="47"/>
      <c r="H778" s="46"/>
      <c r="I778" s="58"/>
      <c r="J778" s="42"/>
      <c r="K778" s="47"/>
      <c r="L778" s="46"/>
      <c r="M778" s="58"/>
      <c r="N778" s="42"/>
      <c r="O778" s="47"/>
      <c r="P778" s="46"/>
      <c r="Q778" s="58"/>
      <c r="R778" s="42"/>
      <c r="S778" s="47"/>
      <c r="T778" s="46"/>
      <c r="U778" s="58"/>
      <c r="V778" s="42"/>
      <c r="W778" s="46"/>
      <c r="X778" s="47"/>
      <c r="Y778" s="48"/>
    </row>
    <row r="779" spans="2:25" s="38" customFormat="1" x14ac:dyDescent="0.25">
      <c r="B779" s="49"/>
      <c r="C779" s="70"/>
      <c r="D779" s="42"/>
      <c r="F779" s="46"/>
      <c r="G779" s="47"/>
      <c r="H779" s="46"/>
      <c r="I779" s="58"/>
      <c r="J779" s="42"/>
      <c r="K779" s="47"/>
      <c r="L779" s="46"/>
      <c r="M779" s="58"/>
      <c r="N779" s="42"/>
      <c r="O779" s="47"/>
      <c r="P779" s="46"/>
      <c r="Q779" s="58"/>
      <c r="R779" s="42"/>
      <c r="S779" s="47"/>
      <c r="T779" s="46"/>
      <c r="U779" s="58"/>
      <c r="V779" s="42"/>
      <c r="W779" s="46"/>
      <c r="X779" s="47"/>
      <c r="Y779" s="48"/>
    </row>
    <row r="780" spans="2:25" s="38" customFormat="1" x14ac:dyDescent="0.25">
      <c r="B780" s="49"/>
      <c r="C780" s="70"/>
      <c r="D780" s="42"/>
      <c r="F780" s="46"/>
      <c r="G780" s="47"/>
      <c r="H780" s="46"/>
      <c r="I780" s="58"/>
      <c r="J780" s="42"/>
      <c r="K780" s="47"/>
      <c r="L780" s="46"/>
      <c r="M780" s="58"/>
      <c r="N780" s="42"/>
      <c r="O780" s="47"/>
      <c r="P780" s="46"/>
      <c r="Q780" s="58"/>
      <c r="R780" s="42"/>
      <c r="S780" s="47"/>
      <c r="T780" s="46"/>
      <c r="U780" s="58"/>
      <c r="V780" s="42"/>
      <c r="W780" s="46"/>
      <c r="X780" s="47"/>
      <c r="Y780" s="48"/>
    </row>
    <row r="781" spans="2:25" s="38" customFormat="1" x14ac:dyDescent="0.25">
      <c r="B781" s="49"/>
      <c r="C781" s="70"/>
      <c r="D781" s="42"/>
      <c r="F781" s="46"/>
      <c r="G781" s="47"/>
      <c r="H781" s="46"/>
      <c r="I781" s="58"/>
      <c r="J781" s="42"/>
      <c r="K781" s="47"/>
      <c r="L781" s="46"/>
      <c r="M781" s="58"/>
      <c r="N781" s="42"/>
      <c r="O781" s="47"/>
      <c r="P781" s="46"/>
      <c r="Q781" s="58"/>
      <c r="R781" s="42"/>
      <c r="S781" s="47"/>
      <c r="T781" s="46"/>
      <c r="U781" s="58"/>
      <c r="V781" s="42"/>
      <c r="W781" s="46"/>
      <c r="X781" s="47"/>
      <c r="Y781" s="48"/>
    </row>
    <row r="782" spans="2:25" s="38" customFormat="1" x14ac:dyDescent="0.25">
      <c r="B782" s="49"/>
      <c r="C782" s="70"/>
      <c r="D782" s="42"/>
      <c r="F782" s="46"/>
      <c r="G782" s="47"/>
      <c r="H782" s="46"/>
      <c r="I782" s="58"/>
      <c r="J782" s="42"/>
      <c r="K782" s="47"/>
      <c r="L782" s="46"/>
      <c r="M782" s="58"/>
      <c r="N782" s="42"/>
      <c r="O782" s="47"/>
      <c r="P782" s="46"/>
      <c r="Q782" s="58"/>
      <c r="R782" s="42"/>
      <c r="S782" s="47"/>
      <c r="T782" s="46"/>
      <c r="U782" s="58"/>
      <c r="V782" s="42"/>
      <c r="W782" s="46"/>
      <c r="X782" s="47"/>
      <c r="Y782" s="48"/>
    </row>
    <row r="783" spans="2:25" s="38" customFormat="1" x14ac:dyDescent="0.25">
      <c r="B783" s="49"/>
      <c r="C783" s="70"/>
      <c r="D783" s="42"/>
      <c r="F783" s="46"/>
      <c r="G783" s="47"/>
      <c r="H783" s="46"/>
      <c r="I783" s="58"/>
      <c r="J783" s="42"/>
      <c r="K783" s="47"/>
      <c r="L783" s="46"/>
      <c r="M783" s="58"/>
      <c r="N783" s="42"/>
      <c r="O783" s="47"/>
      <c r="P783" s="46"/>
      <c r="Q783" s="58"/>
      <c r="R783" s="42"/>
      <c r="S783" s="47"/>
      <c r="T783" s="46"/>
      <c r="U783" s="58"/>
      <c r="V783" s="42"/>
      <c r="W783" s="46"/>
      <c r="X783" s="47"/>
      <c r="Y783" s="48"/>
    </row>
    <row r="784" spans="2:25" s="38" customFormat="1" x14ac:dyDescent="0.25">
      <c r="B784" s="49"/>
      <c r="C784" s="70"/>
      <c r="D784" s="42"/>
      <c r="F784" s="46"/>
      <c r="G784" s="47"/>
      <c r="H784" s="46"/>
      <c r="I784" s="58"/>
      <c r="J784" s="42"/>
      <c r="K784" s="47"/>
      <c r="L784" s="46"/>
      <c r="M784" s="58"/>
      <c r="N784" s="42"/>
      <c r="O784" s="47"/>
      <c r="P784" s="46"/>
      <c r="Q784" s="58"/>
      <c r="R784" s="42"/>
      <c r="S784" s="47"/>
      <c r="T784" s="46"/>
      <c r="U784" s="58"/>
      <c r="V784" s="42"/>
      <c r="W784" s="46"/>
      <c r="X784" s="47"/>
      <c r="Y784" s="48"/>
    </row>
    <row r="785" spans="2:25" s="38" customFormat="1" x14ac:dyDescent="0.25">
      <c r="B785" s="49"/>
      <c r="C785" s="70"/>
      <c r="D785" s="42"/>
      <c r="F785" s="46"/>
      <c r="G785" s="47"/>
      <c r="H785" s="46"/>
      <c r="I785" s="58"/>
      <c r="J785" s="42"/>
      <c r="K785" s="47"/>
      <c r="L785" s="46"/>
      <c r="M785" s="58"/>
      <c r="N785" s="42"/>
      <c r="O785" s="47"/>
      <c r="P785" s="46"/>
      <c r="Q785" s="58"/>
      <c r="R785" s="42"/>
      <c r="S785" s="47"/>
      <c r="T785" s="46"/>
      <c r="U785" s="58"/>
      <c r="V785" s="42"/>
      <c r="W785" s="46"/>
      <c r="X785" s="47"/>
      <c r="Y785" s="48"/>
    </row>
    <row r="786" spans="2:25" s="38" customFormat="1" x14ac:dyDescent="0.25">
      <c r="B786" s="49"/>
      <c r="C786" s="70"/>
      <c r="D786" s="42"/>
      <c r="F786" s="46"/>
      <c r="G786" s="47"/>
      <c r="H786" s="46"/>
      <c r="I786" s="58"/>
      <c r="J786" s="42"/>
      <c r="K786" s="47"/>
      <c r="L786" s="46"/>
      <c r="M786" s="58"/>
      <c r="N786" s="42"/>
      <c r="O786" s="47"/>
      <c r="P786" s="46"/>
      <c r="Q786" s="58"/>
      <c r="R786" s="42"/>
      <c r="S786" s="47"/>
      <c r="T786" s="46"/>
      <c r="U786" s="58"/>
      <c r="V786" s="42"/>
      <c r="W786" s="46"/>
      <c r="X786" s="47"/>
      <c r="Y786" s="48"/>
    </row>
    <row r="787" spans="2:25" s="38" customFormat="1" x14ac:dyDescent="0.25">
      <c r="B787" s="49"/>
      <c r="C787" s="70"/>
      <c r="D787" s="42"/>
      <c r="F787" s="46"/>
      <c r="G787" s="47"/>
      <c r="H787" s="46"/>
      <c r="I787" s="58"/>
      <c r="J787" s="42"/>
      <c r="K787" s="47"/>
      <c r="L787" s="46"/>
      <c r="M787" s="58"/>
      <c r="N787" s="42"/>
      <c r="O787" s="47"/>
      <c r="P787" s="46"/>
      <c r="Q787" s="58"/>
      <c r="R787" s="42"/>
      <c r="S787" s="47"/>
      <c r="T787" s="46"/>
      <c r="U787" s="58"/>
      <c r="V787" s="42"/>
      <c r="W787" s="46"/>
      <c r="X787" s="47"/>
      <c r="Y787" s="48"/>
    </row>
    <row r="788" spans="2:25" s="38" customFormat="1" x14ac:dyDescent="0.25">
      <c r="B788" s="49"/>
      <c r="C788" s="70"/>
      <c r="D788" s="42"/>
      <c r="F788" s="46"/>
      <c r="G788" s="47"/>
      <c r="H788" s="46"/>
      <c r="I788" s="58"/>
      <c r="J788" s="42"/>
      <c r="K788" s="47"/>
      <c r="L788" s="46"/>
      <c r="M788" s="58"/>
      <c r="N788" s="42"/>
      <c r="O788" s="47"/>
      <c r="P788" s="46"/>
      <c r="Q788" s="58"/>
      <c r="R788" s="42"/>
      <c r="S788" s="47"/>
      <c r="T788" s="46"/>
      <c r="U788" s="58"/>
      <c r="V788" s="42"/>
      <c r="W788" s="46"/>
      <c r="X788" s="47"/>
      <c r="Y788" s="48"/>
    </row>
    <row r="789" spans="2:25" s="38" customFormat="1" x14ac:dyDescent="0.25">
      <c r="B789" s="49"/>
      <c r="C789" s="70"/>
      <c r="D789" s="42"/>
      <c r="F789" s="46"/>
      <c r="G789" s="47"/>
      <c r="H789" s="46"/>
      <c r="I789" s="58"/>
      <c r="J789" s="42"/>
      <c r="K789" s="47"/>
      <c r="L789" s="46"/>
      <c r="M789" s="58"/>
      <c r="N789" s="42"/>
      <c r="O789" s="47"/>
      <c r="P789" s="46"/>
      <c r="Q789" s="58"/>
      <c r="R789" s="42"/>
      <c r="S789" s="47"/>
      <c r="T789" s="46"/>
      <c r="U789" s="58"/>
      <c r="V789" s="42"/>
      <c r="W789" s="46"/>
      <c r="X789" s="47"/>
      <c r="Y789" s="48"/>
    </row>
    <row r="790" spans="2:25" s="38" customFormat="1" x14ac:dyDescent="0.25">
      <c r="B790" s="49"/>
      <c r="C790" s="70"/>
      <c r="D790" s="42"/>
      <c r="F790" s="46"/>
      <c r="G790" s="47"/>
      <c r="H790" s="46"/>
      <c r="I790" s="58"/>
      <c r="J790" s="42"/>
      <c r="K790" s="47"/>
      <c r="L790" s="46"/>
      <c r="M790" s="58"/>
      <c r="N790" s="42"/>
      <c r="O790" s="47"/>
      <c r="P790" s="46"/>
      <c r="Q790" s="58"/>
      <c r="R790" s="42"/>
      <c r="S790" s="47"/>
      <c r="T790" s="46"/>
      <c r="U790" s="58"/>
      <c r="V790" s="42"/>
      <c r="W790" s="46"/>
      <c r="X790" s="47"/>
      <c r="Y790" s="48"/>
    </row>
    <row r="791" spans="2:25" s="38" customFormat="1" x14ac:dyDescent="0.25">
      <c r="B791" s="49"/>
      <c r="C791" s="70"/>
      <c r="D791" s="42"/>
      <c r="F791" s="46"/>
      <c r="G791" s="47"/>
      <c r="H791" s="46"/>
      <c r="I791" s="58"/>
      <c r="J791" s="42"/>
      <c r="K791" s="47"/>
      <c r="L791" s="46"/>
      <c r="M791" s="58"/>
      <c r="N791" s="42"/>
      <c r="O791" s="47"/>
      <c r="P791" s="46"/>
      <c r="Q791" s="58"/>
      <c r="R791" s="42"/>
      <c r="S791" s="47"/>
      <c r="T791" s="46"/>
      <c r="U791" s="58"/>
      <c r="V791" s="42"/>
      <c r="W791" s="46"/>
      <c r="X791" s="47"/>
      <c r="Y791" s="48"/>
    </row>
    <row r="792" spans="2:25" s="38" customFormat="1" x14ac:dyDescent="0.25">
      <c r="B792" s="49"/>
      <c r="C792" s="70"/>
      <c r="D792" s="42"/>
      <c r="F792" s="46"/>
      <c r="G792" s="47"/>
      <c r="H792" s="46"/>
      <c r="I792" s="58"/>
      <c r="J792" s="42"/>
      <c r="K792" s="47"/>
      <c r="L792" s="46"/>
      <c r="M792" s="58"/>
      <c r="N792" s="42"/>
      <c r="O792" s="47"/>
      <c r="P792" s="46"/>
      <c r="Q792" s="58"/>
      <c r="R792" s="42"/>
      <c r="S792" s="47"/>
      <c r="T792" s="46"/>
      <c r="U792" s="58"/>
      <c r="V792" s="42"/>
      <c r="W792" s="46"/>
      <c r="X792" s="47"/>
      <c r="Y792" s="48"/>
    </row>
    <row r="793" spans="2:25" s="38" customFormat="1" x14ac:dyDescent="0.25">
      <c r="B793" s="49"/>
      <c r="C793" s="70"/>
      <c r="D793" s="42"/>
      <c r="F793" s="46"/>
      <c r="G793" s="47"/>
      <c r="H793" s="46"/>
      <c r="I793" s="58"/>
      <c r="J793" s="42"/>
      <c r="K793" s="47"/>
      <c r="L793" s="46"/>
      <c r="M793" s="58"/>
      <c r="N793" s="42"/>
      <c r="O793" s="47"/>
      <c r="P793" s="46"/>
      <c r="Q793" s="58"/>
      <c r="R793" s="42"/>
      <c r="S793" s="47"/>
      <c r="T793" s="46"/>
      <c r="U793" s="58"/>
      <c r="V793" s="42"/>
      <c r="W793" s="46"/>
      <c r="X793" s="47"/>
      <c r="Y793" s="48"/>
    </row>
    <row r="794" spans="2:25" s="38" customFormat="1" x14ac:dyDescent="0.25">
      <c r="B794" s="49"/>
      <c r="C794" s="70"/>
      <c r="D794" s="42"/>
      <c r="F794" s="46"/>
      <c r="G794" s="47"/>
      <c r="H794" s="46"/>
      <c r="I794" s="58"/>
      <c r="J794" s="42"/>
      <c r="K794" s="47"/>
      <c r="L794" s="46"/>
      <c r="M794" s="58"/>
      <c r="N794" s="42"/>
      <c r="O794" s="47"/>
      <c r="P794" s="46"/>
      <c r="Q794" s="58"/>
      <c r="R794" s="42"/>
      <c r="S794" s="47"/>
      <c r="T794" s="46"/>
      <c r="U794" s="58"/>
      <c r="V794" s="42"/>
      <c r="W794" s="46"/>
      <c r="X794" s="47"/>
      <c r="Y794" s="48"/>
    </row>
    <row r="795" spans="2:25" s="38" customFormat="1" x14ac:dyDescent="0.25">
      <c r="B795" s="49"/>
      <c r="C795" s="70"/>
      <c r="D795" s="42"/>
      <c r="F795" s="46"/>
      <c r="G795" s="47"/>
      <c r="H795" s="46"/>
      <c r="I795" s="58"/>
      <c r="J795" s="42"/>
      <c r="K795" s="47"/>
      <c r="L795" s="46"/>
      <c r="M795" s="58"/>
      <c r="N795" s="42"/>
      <c r="O795" s="47"/>
      <c r="P795" s="46"/>
      <c r="Q795" s="58"/>
      <c r="R795" s="42"/>
      <c r="S795" s="47"/>
      <c r="T795" s="46"/>
      <c r="U795" s="58"/>
      <c r="V795" s="42"/>
      <c r="W795" s="46"/>
      <c r="X795" s="47"/>
      <c r="Y795" s="48"/>
    </row>
    <row r="796" spans="2:25" s="38" customFormat="1" x14ac:dyDescent="0.25">
      <c r="B796" s="49"/>
      <c r="C796" s="70"/>
      <c r="D796" s="42"/>
      <c r="F796" s="46"/>
      <c r="G796" s="47"/>
      <c r="H796" s="46"/>
      <c r="I796" s="58"/>
      <c r="J796" s="42"/>
      <c r="K796" s="47"/>
      <c r="L796" s="46"/>
      <c r="M796" s="58"/>
      <c r="N796" s="42"/>
      <c r="O796" s="47"/>
      <c r="P796" s="46"/>
      <c r="Q796" s="58"/>
      <c r="R796" s="42"/>
      <c r="S796" s="47"/>
      <c r="T796" s="46"/>
      <c r="U796" s="58"/>
      <c r="V796" s="42"/>
      <c r="W796" s="46"/>
      <c r="X796" s="47"/>
      <c r="Y796" s="48"/>
    </row>
    <row r="797" spans="2:25" s="38" customFormat="1" x14ac:dyDescent="0.25">
      <c r="B797" s="49"/>
      <c r="C797" s="70"/>
      <c r="D797" s="42"/>
      <c r="F797" s="46"/>
      <c r="G797" s="47"/>
      <c r="H797" s="46"/>
      <c r="I797" s="58"/>
      <c r="J797" s="42"/>
      <c r="K797" s="47"/>
      <c r="L797" s="46"/>
      <c r="M797" s="58"/>
      <c r="N797" s="42"/>
      <c r="O797" s="47"/>
      <c r="P797" s="46"/>
      <c r="Q797" s="58"/>
      <c r="R797" s="42"/>
      <c r="S797" s="47"/>
      <c r="T797" s="46"/>
      <c r="U797" s="58"/>
      <c r="V797" s="42"/>
      <c r="W797" s="46"/>
      <c r="X797" s="47"/>
      <c r="Y797" s="48"/>
    </row>
    <row r="798" spans="2:25" s="38" customFormat="1" x14ac:dyDescent="0.25">
      <c r="B798" s="49"/>
      <c r="C798" s="70"/>
      <c r="D798" s="42"/>
      <c r="F798" s="46"/>
      <c r="G798" s="47"/>
      <c r="H798" s="46"/>
      <c r="I798" s="58"/>
      <c r="J798" s="42"/>
      <c r="K798" s="47"/>
      <c r="L798" s="46"/>
      <c r="M798" s="58"/>
      <c r="N798" s="42"/>
      <c r="O798" s="47"/>
      <c r="P798" s="46"/>
      <c r="Q798" s="58"/>
      <c r="R798" s="42"/>
      <c r="S798" s="47"/>
      <c r="T798" s="46"/>
      <c r="U798" s="58"/>
      <c r="V798" s="42"/>
      <c r="W798" s="46"/>
      <c r="X798" s="47"/>
      <c r="Y798" s="48"/>
    </row>
    <row r="799" spans="2:25" s="38" customFormat="1" x14ac:dyDescent="0.25">
      <c r="B799" s="49"/>
      <c r="C799" s="70"/>
      <c r="D799" s="42"/>
      <c r="F799" s="46"/>
      <c r="G799" s="47"/>
      <c r="H799" s="46"/>
      <c r="I799" s="58"/>
      <c r="J799" s="42"/>
      <c r="K799" s="47"/>
      <c r="L799" s="46"/>
      <c r="M799" s="58"/>
      <c r="N799" s="42"/>
      <c r="O799" s="47"/>
      <c r="P799" s="46"/>
      <c r="Q799" s="58"/>
      <c r="R799" s="42"/>
      <c r="S799" s="47"/>
      <c r="T799" s="46"/>
      <c r="U799" s="58"/>
      <c r="V799" s="42"/>
      <c r="W799" s="46"/>
      <c r="X799" s="47"/>
      <c r="Y799" s="48"/>
    </row>
    <row r="800" spans="2:25" s="38" customFormat="1" x14ac:dyDescent="0.25">
      <c r="B800" s="49"/>
      <c r="C800" s="70"/>
      <c r="D800" s="42"/>
      <c r="F800" s="46"/>
      <c r="G800" s="47"/>
      <c r="H800" s="46"/>
      <c r="I800" s="58"/>
      <c r="J800" s="42"/>
      <c r="K800" s="47"/>
      <c r="L800" s="46"/>
      <c r="M800" s="58"/>
      <c r="N800" s="42"/>
      <c r="O800" s="47"/>
      <c r="P800" s="46"/>
      <c r="Q800" s="58"/>
      <c r="R800" s="42"/>
      <c r="S800" s="47"/>
      <c r="T800" s="46"/>
      <c r="U800" s="58"/>
      <c r="V800" s="42"/>
      <c r="W800" s="46"/>
      <c r="X800" s="47"/>
      <c r="Y800" s="48"/>
    </row>
    <row r="801" spans="2:25" s="38" customFormat="1" x14ac:dyDescent="0.25">
      <c r="B801" s="49"/>
      <c r="C801" s="70"/>
      <c r="D801" s="42"/>
      <c r="F801" s="46"/>
      <c r="G801" s="47"/>
      <c r="H801" s="46"/>
      <c r="I801" s="58"/>
      <c r="J801" s="42"/>
      <c r="K801" s="47"/>
      <c r="L801" s="46"/>
      <c r="M801" s="58"/>
      <c r="N801" s="42"/>
      <c r="O801" s="47"/>
      <c r="P801" s="46"/>
      <c r="Q801" s="58"/>
      <c r="R801" s="42"/>
      <c r="S801" s="47"/>
      <c r="T801" s="46"/>
      <c r="U801" s="58"/>
      <c r="V801" s="42"/>
      <c r="W801" s="46"/>
      <c r="X801" s="47"/>
      <c r="Y801" s="48"/>
    </row>
    <row r="802" spans="2:25" s="38" customFormat="1" x14ac:dyDescent="0.25">
      <c r="B802" s="49"/>
      <c r="C802" s="70"/>
      <c r="D802" s="42"/>
      <c r="F802" s="46"/>
      <c r="G802" s="47"/>
      <c r="H802" s="46"/>
      <c r="I802" s="58"/>
      <c r="J802" s="42"/>
      <c r="K802" s="47"/>
      <c r="L802" s="46"/>
      <c r="M802" s="58"/>
      <c r="N802" s="42"/>
      <c r="O802" s="47"/>
      <c r="P802" s="46"/>
      <c r="Q802" s="58"/>
      <c r="R802" s="42"/>
      <c r="S802" s="47"/>
      <c r="T802" s="46"/>
      <c r="U802" s="58"/>
      <c r="V802" s="42"/>
      <c r="W802" s="46"/>
      <c r="X802" s="47"/>
      <c r="Y802" s="48"/>
    </row>
    <row r="803" spans="2:25" s="38" customFormat="1" x14ac:dyDescent="0.25">
      <c r="B803" s="49"/>
      <c r="C803" s="70"/>
      <c r="D803" s="42"/>
      <c r="F803" s="46"/>
      <c r="G803" s="47"/>
      <c r="H803" s="46"/>
      <c r="I803" s="58"/>
      <c r="J803" s="42"/>
      <c r="K803" s="47"/>
      <c r="L803" s="46"/>
      <c r="M803" s="58"/>
      <c r="N803" s="42"/>
      <c r="O803" s="47"/>
      <c r="P803" s="46"/>
      <c r="Q803" s="58"/>
      <c r="R803" s="42"/>
      <c r="S803" s="47"/>
      <c r="T803" s="46"/>
      <c r="U803" s="58"/>
      <c r="V803" s="42"/>
      <c r="W803" s="46"/>
      <c r="X803" s="47"/>
      <c r="Y803" s="48"/>
    </row>
    <row r="804" spans="2:25" s="38" customFormat="1" x14ac:dyDescent="0.25">
      <c r="B804" s="49"/>
      <c r="C804" s="70"/>
      <c r="D804" s="42"/>
      <c r="F804" s="46"/>
      <c r="G804" s="47"/>
      <c r="H804" s="46"/>
      <c r="I804" s="58"/>
      <c r="J804" s="42"/>
      <c r="K804" s="47"/>
      <c r="L804" s="46"/>
      <c r="M804" s="58"/>
      <c r="N804" s="42"/>
      <c r="O804" s="47"/>
      <c r="P804" s="46"/>
      <c r="Q804" s="58"/>
      <c r="R804" s="42"/>
      <c r="S804" s="47"/>
      <c r="T804" s="46"/>
      <c r="U804" s="58"/>
      <c r="V804" s="42"/>
      <c r="W804" s="46"/>
      <c r="X804" s="47"/>
      <c r="Y804" s="48"/>
    </row>
    <row r="805" spans="2:25" s="38" customFormat="1" x14ac:dyDescent="0.25">
      <c r="B805" s="49"/>
      <c r="C805" s="70"/>
      <c r="D805" s="42"/>
      <c r="F805" s="46"/>
      <c r="G805" s="47"/>
      <c r="H805" s="46"/>
      <c r="I805" s="58"/>
      <c r="J805" s="42"/>
      <c r="K805" s="47"/>
      <c r="L805" s="46"/>
      <c r="M805" s="58"/>
      <c r="N805" s="42"/>
      <c r="O805" s="47"/>
      <c r="P805" s="46"/>
      <c r="Q805" s="58"/>
      <c r="R805" s="42"/>
      <c r="S805" s="47"/>
      <c r="T805" s="46"/>
      <c r="U805" s="58"/>
      <c r="V805" s="42"/>
      <c r="W805" s="46"/>
      <c r="X805" s="47"/>
      <c r="Y805" s="48"/>
    </row>
    <row r="806" spans="2:25" s="38" customFormat="1" x14ac:dyDescent="0.25">
      <c r="B806" s="49"/>
      <c r="C806" s="70"/>
      <c r="D806" s="42"/>
      <c r="F806" s="46"/>
      <c r="G806" s="47"/>
      <c r="H806" s="46"/>
      <c r="I806" s="58"/>
      <c r="J806" s="42"/>
      <c r="K806" s="47"/>
      <c r="L806" s="46"/>
      <c r="M806" s="58"/>
      <c r="N806" s="42"/>
      <c r="O806" s="47"/>
      <c r="P806" s="46"/>
      <c r="Q806" s="58"/>
      <c r="R806" s="42"/>
      <c r="S806" s="47"/>
      <c r="T806" s="46"/>
      <c r="U806" s="58"/>
      <c r="V806" s="42"/>
      <c r="W806" s="46"/>
      <c r="X806" s="47"/>
      <c r="Y806" s="48"/>
    </row>
    <row r="807" spans="2:25" s="38" customFormat="1" x14ac:dyDescent="0.25">
      <c r="B807" s="49"/>
      <c r="C807" s="70"/>
      <c r="D807" s="42"/>
      <c r="F807" s="46"/>
      <c r="G807" s="47"/>
      <c r="H807" s="46"/>
      <c r="I807" s="58"/>
      <c r="J807" s="42"/>
      <c r="K807" s="47"/>
      <c r="L807" s="46"/>
      <c r="M807" s="58"/>
      <c r="N807" s="42"/>
      <c r="O807" s="47"/>
      <c r="P807" s="46"/>
      <c r="Q807" s="58"/>
      <c r="R807" s="42"/>
      <c r="S807" s="47"/>
      <c r="T807" s="46"/>
      <c r="U807" s="58"/>
      <c r="V807" s="42"/>
      <c r="W807" s="46"/>
      <c r="X807" s="47"/>
      <c r="Y807" s="48"/>
    </row>
    <row r="808" spans="2:25" s="38" customFormat="1" x14ac:dyDescent="0.25">
      <c r="B808" s="49"/>
      <c r="C808" s="70"/>
      <c r="D808" s="42"/>
      <c r="F808" s="46"/>
      <c r="G808" s="47"/>
      <c r="H808" s="46"/>
      <c r="I808" s="58"/>
      <c r="J808" s="42"/>
      <c r="K808" s="47"/>
      <c r="L808" s="46"/>
      <c r="M808" s="58"/>
      <c r="N808" s="42"/>
      <c r="O808" s="47"/>
      <c r="P808" s="46"/>
      <c r="Q808" s="58"/>
      <c r="R808" s="42"/>
      <c r="S808" s="47"/>
      <c r="T808" s="46"/>
      <c r="U808" s="58"/>
      <c r="V808" s="42"/>
      <c r="W808" s="46"/>
      <c r="X808" s="47"/>
      <c r="Y808" s="48"/>
    </row>
    <row r="809" spans="2:25" s="38" customFormat="1" x14ac:dyDescent="0.25">
      <c r="B809" s="49"/>
      <c r="C809" s="70"/>
      <c r="D809" s="42"/>
      <c r="F809" s="46"/>
      <c r="G809" s="47"/>
      <c r="H809" s="46"/>
      <c r="I809" s="58"/>
      <c r="J809" s="42"/>
      <c r="K809" s="47"/>
      <c r="L809" s="46"/>
      <c r="M809" s="58"/>
      <c r="N809" s="42"/>
      <c r="O809" s="47"/>
      <c r="P809" s="46"/>
      <c r="Q809" s="58"/>
      <c r="R809" s="42"/>
      <c r="S809" s="47"/>
      <c r="T809" s="46"/>
      <c r="U809" s="58"/>
      <c r="V809" s="42"/>
      <c r="W809" s="46"/>
      <c r="X809" s="47"/>
      <c r="Y809" s="48"/>
    </row>
    <row r="810" spans="2:25" s="38" customFormat="1" x14ac:dyDescent="0.25">
      <c r="B810" s="49"/>
      <c r="C810" s="70"/>
      <c r="D810" s="42"/>
      <c r="F810" s="46"/>
      <c r="G810" s="47"/>
      <c r="H810" s="46"/>
      <c r="I810" s="58"/>
      <c r="J810" s="42"/>
      <c r="K810" s="47"/>
      <c r="L810" s="46"/>
      <c r="M810" s="58"/>
      <c r="N810" s="42"/>
      <c r="O810" s="47"/>
      <c r="P810" s="46"/>
      <c r="Q810" s="58"/>
      <c r="R810" s="42"/>
      <c r="S810" s="47"/>
      <c r="T810" s="46"/>
      <c r="U810" s="58"/>
      <c r="V810" s="42"/>
      <c r="W810" s="46"/>
      <c r="X810" s="47"/>
      <c r="Y810" s="48"/>
    </row>
    <row r="811" spans="2:25" s="38" customFormat="1" x14ac:dyDescent="0.25">
      <c r="B811" s="49"/>
      <c r="C811" s="70"/>
      <c r="D811" s="42"/>
      <c r="F811" s="46"/>
      <c r="G811" s="47"/>
      <c r="H811" s="46"/>
      <c r="I811" s="58"/>
      <c r="J811" s="42"/>
      <c r="K811" s="47"/>
      <c r="L811" s="46"/>
      <c r="M811" s="58"/>
      <c r="N811" s="42"/>
      <c r="O811" s="47"/>
      <c r="P811" s="46"/>
      <c r="Q811" s="58"/>
      <c r="R811" s="42"/>
      <c r="S811" s="47"/>
      <c r="T811" s="46"/>
      <c r="U811" s="58"/>
      <c r="V811" s="42"/>
      <c r="W811" s="46"/>
      <c r="X811" s="47"/>
      <c r="Y811" s="48"/>
    </row>
    <row r="812" spans="2:25" s="38" customFormat="1" x14ac:dyDescent="0.25">
      <c r="B812" s="49"/>
      <c r="C812" s="70"/>
      <c r="D812" s="42"/>
      <c r="F812" s="46"/>
      <c r="G812" s="47"/>
      <c r="H812" s="46"/>
      <c r="I812" s="58"/>
      <c r="J812" s="42"/>
      <c r="K812" s="47"/>
      <c r="L812" s="46"/>
      <c r="M812" s="58"/>
      <c r="N812" s="42"/>
      <c r="O812" s="47"/>
      <c r="P812" s="46"/>
      <c r="Q812" s="58"/>
      <c r="R812" s="42"/>
      <c r="S812" s="47"/>
      <c r="T812" s="46"/>
      <c r="U812" s="58"/>
      <c r="V812" s="42"/>
      <c r="W812" s="46"/>
      <c r="X812" s="47"/>
      <c r="Y812" s="48"/>
    </row>
    <row r="813" spans="2:25" s="38" customFormat="1" x14ac:dyDescent="0.25">
      <c r="B813" s="49"/>
      <c r="C813" s="70"/>
      <c r="D813" s="42"/>
      <c r="F813" s="46"/>
      <c r="G813" s="47"/>
      <c r="H813" s="46"/>
      <c r="I813" s="58"/>
      <c r="J813" s="42"/>
      <c r="K813" s="47"/>
      <c r="L813" s="46"/>
      <c r="M813" s="58"/>
      <c r="N813" s="42"/>
      <c r="O813" s="47"/>
      <c r="P813" s="46"/>
      <c r="Q813" s="58"/>
      <c r="R813" s="42"/>
      <c r="S813" s="47"/>
      <c r="T813" s="46"/>
      <c r="U813" s="58"/>
      <c r="V813" s="42"/>
      <c r="W813" s="46"/>
      <c r="X813" s="47"/>
      <c r="Y813" s="48"/>
    </row>
    <row r="814" spans="2:25" s="38" customFormat="1" x14ac:dyDescent="0.25">
      <c r="B814" s="49"/>
      <c r="C814" s="70"/>
      <c r="D814" s="42"/>
      <c r="F814" s="46"/>
      <c r="G814" s="47"/>
      <c r="H814" s="46"/>
      <c r="I814" s="58"/>
      <c r="J814" s="42"/>
      <c r="K814" s="47"/>
      <c r="L814" s="46"/>
      <c r="M814" s="58"/>
      <c r="N814" s="42"/>
      <c r="O814" s="47"/>
      <c r="P814" s="46"/>
      <c r="Q814" s="58"/>
      <c r="R814" s="42"/>
      <c r="S814" s="47"/>
      <c r="T814" s="46"/>
      <c r="U814" s="58"/>
      <c r="V814" s="42"/>
      <c r="W814" s="46"/>
      <c r="X814" s="47"/>
      <c r="Y814" s="48"/>
    </row>
    <row r="815" spans="2:25" s="38" customFormat="1" x14ac:dyDescent="0.25">
      <c r="B815" s="49"/>
      <c r="C815" s="70"/>
      <c r="D815" s="42"/>
      <c r="F815" s="46"/>
      <c r="G815" s="47"/>
      <c r="H815" s="46"/>
      <c r="I815" s="58"/>
      <c r="J815" s="42"/>
      <c r="K815" s="47"/>
      <c r="L815" s="46"/>
      <c r="M815" s="58"/>
      <c r="N815" s="42"/>
      <c r="O815" s="47"/>
      <c r="P815" s="46"/>
      <c r="Q815" s="58"/>
      <c r="R815" s="42"/>
      <c r="S815" s="47"/>
      <c r="T815" s="46"/>
      <c r="U815" s="58"/>
      <c r="V815" s="42"/>
      <c r="W815" s="46"/>
      <c r="X815" s="47"/>
      <c r="Y815" s="48"/>
    </row>
    <row r="816" spans="2:25" s="38" customFormat="1" x14ac:dyDescent="0.25">
      <c r="B816" s="49"/>
      <c r="C816" s="70"/>
      <c r="D816" s="42"/>
      <c r="F816" s="46"/>
      <c r="G816" s="47"/>
      <c r="H816" s="46"/>
      <c r="I816" s="58"/>
      <c r="J816" s="42"/>
      <c r="K816" s="47"/>
      <c r="L816" s="46"/>
      <c r="M816" s="58"/>
      <c r="N816" s="42"/>
      <c r="O816" s="47"/>
      <c r="P816" s="46"/>
      <c r="Q816" s="58"/>
      <c r="R816" s="42"/>
      <c r="S816" s="47"/>
      <c r="T816" s="46"/>
      <c r="U816" s="58"/>
      <c r="V816" s="42"/>
      <c r="W816" s="46"/>
      <c r="X816" s="47"/>
      <c r="Y816" s="48"/>
    </row>
    <row r="817" spans="2:25" s="38" customFormat="1" x14ac:dyDescent="0.25">
      <c r="B817" s="49"/>
      <c r="C817" s="70"/>
      <c r="D817" s="42"/>
      <c r="F817" s="46"/>
      <c r="G817" s="47"/>
      <c r="H817" s="46"/>
      <c r="I817" s="58"/>
      <c r="J817" s="42"/>
      <c r="K817" s="47"/>
      <c r="L817" s="46"/>
      <c r="M817" s="58"/>
      <c r="N817" s="42"/>
      <c r="O817" s="47"/>
      <c r="P817" s="46"/>
      <c r="Q817" s="58"/>
      <c r="R817" s="42"/>
      <c r="S817" s="47"/>
      <c r="T817" s="46"/>
      <c r="U817" s="58"/>
      <c r="V817" s="42"/>
      <c r="W817" s="46"/>
      <c r="X817" s="47"/>
      <c r="Y817" s="48"/>
    </row>
    <row r="818" spans="2:25" s="38" customFormat="1" x14ac:dyDescent="0.25">
      <c r="B818" s="49"/>
      <c r="C818" s="70"/>
      <c r="D818" s="42"/>
      <c r="F818" s="46"/>
      <c r="G818" s="47"/>
      <c r="H818" s="46"/>
      <c r="I818" s="58"/>
      <c r="J818" s="42"/>
      <c r="K818" s="47"/>
      <c r="L818" s="46"/>
      <c r="M818" s="58"/>
      <c r="N818" s="42"/>
      <c r="O818" s="47"/>
      <c r="P818" s="46"/>
      <c r="Q818" s="58"/>
      <c r="R818" s="42"/>
      <c r="S818" s="47"/>
      <c r="T818" s="46"/>
      <c r="U818" s="58"/>
      <c r="V818" s="42"/>
      <c r="W818" s="46"/>
      <c r="X818" s="47"/>
      <c r="Y818" s="48"/>
    </row>
    <row r="819" spans="2:25" s="38" customFormat="1" x14ac:dyDescent="0.25">
      <c r="B819" s="49"/>
      <c r="C819" s="70"/>
      <c r="D819" s="42"/>
      <c r="F819" s="46"/>
      <c r="G819" s="47"/>
      <c r="H819" s="46"/>
      <c r="I819" s="58"/>
      <c r="J819" s="42"/>
      <c r="K819" s="47"/>
      <c r="L819" s="46"/>
      <c r="M819" s="58"/>
      <c r="N819" s="42"/>
      <c r="O819" s="47"/>
      <c r="P819" s="46"/>
      <c r="Q819" s="58"/>
      <c r="R819" s="42"/>
      <c r="S819" s="47"/>
      <c r="T819" s="46"/>
      <c r="U819" s="58"/>
      <c r="V819" s="42"/>
      <c r="W819" s="46"/>
      <c r="X819" s="47"/>
      <c r="Y819" s="48"/>
    </row>
    <row r="820" spans="2:25" s="38" customFormat="1" x14ac:dyDescent="0.25">
      <c r="B820" s="49"/>
      <c r="C820" s="70"/>
      <c r="D820" s="42"/>
      <c r="F820" s="46"/>
      <c r="G820" s="47"/>
      <c r="H820" s="46"/>
      <c r="I820" s="58"/>
      <c r="J820" s="42"/>
      <c r="K820" s="47"/>
      <c r="L820" s="46"/>
      <c r="M820" s="58"/>
      <c r="N820" s="42"/>
      <c r="O820" s="47"/>
      <c r="P820" s="46"/>
      <c r="Q820" s="58"/>
      <c r="R820" s="42"/>
      <c r="S820" s="47"/>
      <c r="T820" s="46"/>
      <c r="U820" s="58"/>
      <c r="V820" s="42"/>
      <c r="W820" s="46"/>
      <c r="X820" s="47"/>
      <c r="Y820" s="48"/>
    </row>
    <row r="821" spans="2:25" s="38" customFormat="1" x14ac:dyDescent="0.25">
      <c r="B821" s="49"/>
      <c r="C821" s="70"/>
      <c r="D821" s="42"/>
      <c r="F821" s="46"/>
      <c r="G821" s="47"/>
      <c r="H821" s="46"/>
      <c r="I821" s="58"/>
      <c r="J821" s="42"/>
      <c r="K821" s="47"/>
      <c r="L821" s="46"/>
      <c r="M821" s="58"/>
      <c r="N821" s="42"/>
      <c r="O821" s="47"/>
      <c r="P821" s="46"/>
      <c r="Q821" s="58"/>
      <c r="R821" s="42"/>
      <c r="S821" s="47"/>
      <c r="T821" s="46"/>
      <c r="U821" s="58"/>
      <c r="V821" s="42"/>
      <c r="W821" s="46"/>
      <c r="X821" s="47"/>
      <c r="Y821" s="48"/>
    </row>
    <row r="822" spans="2:25" s="38" customFormat="1" x14ac:dyDescent="0.25">
      <c r="B822" s="49"/>
      <c r="C822" s="70"/>
      <c r="D822" s="42"/>
      <c r="F822" s="46"/>
      <c r="G822" s="47"/>
      <c r="H822" s="46"/>
      <c r="I822" s="58"/>
      <c r="J822" s="42"/>
      <c r="K822" s="47"/>
      <c r="L822" s="46"/>
      <c r="M822" s="58"/>
      <c r="N822" s="42"/>
      <c r="O822" s="47"/>
      <c r="P822" s="46"/>
      <c r="Q822" s="58"/>
      <c r="R822" s="42"/>
      <c r="S822" s="47"/>
      <c r="T822" s="46"/>
      <c r="U822" s="58"/>
      <c r="V822" s="42"/>
      <c r="W822" s="46"/>
      <c r="X822" s="47"/>
      <c r="Y822" s="48"/>
    </row>
    <row r="823" spans="2:25" s="38" customFormat="1" x14ac:dyDescent="0.25">
      <c r="B823" s="49"/>
      <c r="C823" s="70"/>
      <c r="D823" s="42"/>
      <c r="F823" s="46"/>
      <c r="G823" s="47"/>
      <c r="H823" s="46"/>
      <c r="I823" s="58"/>
      <c r="J823" s="42"/>
      <c r="K823" s="47"/>
      <c r="L823" s="46"/>
      <c r="M823" s="58"/>
      <c r="N823" s="42"/>
      <c r="O823" s="47"/>
      <c r="P823" s="46"/>
      <c r="Q823" s="58"/>
      <c r="R823" s="42"/>
      <c r="S823" s="47"/>
      <c r="T823" s="46"/>
      <c r="U823" s="58"/>
      <c r="V823" s="42"/>
      <c r="W823" s="46"/>
      <c r="X823" s="47"/>
      <c r="Y823" s="48"/>
    </row>
    <row r="824" spans="2:25" s="38" customFormat="1" x14ac:dyDescent="0.25">
      <c r="B824" s="49"/>
      <c r="C824" s="70"/>
      <c r="D824" s="42"/>
      <c r="F824" s="46"/>
      <c r="G824" s="47"/>
      <c r="H824" s="46"/>
      <c r="I824" s="58"/>
      <c r="J824" s="42"/>
      <c r="K824" s="47"/>
      <c r="L824" s="46"/>
      <c r="M824" s="58"/>
      <c r="N824" s="42"/>
      <c r="O824" s="47"/>
      <c r="P824" s="46"/>
      <c r="Q824" s="58"/>
      <c r="R824" s="42"/>
      <c r="S824" s="47"/>
      <c r="T824" s="46"/>
      <c r="U824" s="58"/>
      <c r="V824" s="42"/>
      <c r="W824" s="46"/>
      <c r="X824" s="47"/>
      <c r="Y824" s="48"/>
    </row>
    <row r="825" spans="2:25" s="38" customFormat="1" x14ac:dyDescent="0.25">
      <c r="B825" s="49"/>
      <c r="C825" s="70"/>
      <c r="D825" s="42"/>
      <c r="F825" s="46"/>
      <c r="G825" s="47"/>
      <c r="H825" s="46"/>
      <c r="I825" s="58"/>
      <c r="J825" s="42"/>
      <c r="K825" s="47"/>
      <c r="L825" s="46"/>
      <c r="M825" s="58"/>
      <c r="N825" s="42"/>
      <c r="O825" s="47"/>
      <c r="P825" s="46"/>
      <c r="Q825" s="58"/>
      <c r="R825" s="42"/>
      <c r="S825" s="47"/>
      <c r="T825" s="46"/>
      <c r="U825" s="58"/>
      <c r="V825" s="42"/>
      <c r="W825" s="46"/>
      <c r="X825" s="47"/>
      <c r="Y825" s="48"/>
    </row>
    <row r="826" spans="2:25" s="38" customFormat="1" x14ac:dyDescent="0.25">
      <c r="B826" s="49"/>
      <c r="C826" s="70"/>
      <c r="D826" s="42"/>
      <c r="F826" s="46"/>
      <c r="G826" s="47"/>
      <c r="H826" s="46"/>
      <c r="I826" s="58"/>
      <c r="J826" s="42"/>
      <c r="K826" s="47"/>
      <c r="L826" s="46"/>
      <c r="M826" s="58"/>
      <c r="N826" s="42"/>
      <c r="O826" s="47"/>
      <c r="P826" s="46"/>
      <c r="Q826" s="58"/>
      <c r="R826" s="42"/>
      <c r="S826" s="47"/>
      <c r="T826" s="46"/>
      <c r="U826" s="58"/>
      <c r="V826" s="42"/>
      <c r="W826" s="46"/>
      <c r="X826" s="47"/>
      <c r="Y826" s="48"/>
    </row>
    <row r="827" spans="2:25" s="38" customFormat="1" x14ac:dyDescent="0.25">
      <c r="B827" s="49"/>
      <c r="C827" s="70"/>
      <c r="D827" s="42"/>
      <c r="F827" s="46"/>
      <c r="G827" s="47"/>
      <c r="H827" s="46"/>
      <c r="I827" s="58"/>
      <c r="J827" s="42"/>
      <c r="K827" s="47"/>
      <c r="L827" s="46"/>
      <c r="M827" s="58"/>
      <c r="N827" s="42"/>
      <c r="O827" s="47"/>
      <c r="P827" s="46"/>
      <c r="Q827" s="58"/>
      <c r="R827" s="42"/>
      <c r="S827" s="47"/>
      <c r="T827" s="46"/>
      <c r="U827" s="58"/>
      <c r="V827" s="42"/>
      <c r="W827" s="46"/>
      <c r="X827" s="47"/>
      <c r="Y827" s="48"/>
    </row>
    <row r="828" spans="2:25" s="38" customFormat="1" x14ac:dyDescent="0.25">
      <c r="B828" s="49"/>
      <c r="C828" s="70"/>
      <c r="D828" s="42"/>
      <c r="F828" s="46"/>
      <c r="G828" s="47"/>
      <c r="H828" s="46"/>
      <c r="I828" s="58"/>
      <c r="J828" s="42"/>
      <c r="K828" s="47"/>
      <c r="L828" s="46"/>
      <c r="M828" s="58"/>
      <c r="N828" s="42"/>
      <c r="O828" s="47"/>
      <c r="P828" s="46"/>
      <c r="Q828" s="58"/>
      <c r="R828" s="42"/>
      <c r="S828" s="47"/>
      <c r="T828" s="46"/>
      <c r="U828" s="58"/>
      <c r="V828" s="42"/>
      <c r="W828" s="46"/>
      <c r="X828" s="47"/>
      <c r="Y828" s="48"/>
    </row>
    <row r="829" spans="2:25" s="38" customFormat="1" x14ac:dyDescent="0.25">
      <c r="B829" s="49"/>
      <c r="C829" s="70"/>
      <c r="D829" s="42"/>
      <c r="F829" s="46"/>
      <c r="G829" s="47"/>
      <c r="H829" s="46"/>
      <c r="I829" s="58"/>
      <c r="J829" s="42"/>
      <c r="K829" s="47"/>
      <c r="L829" s="46"/>
      <c r="M829" s="58"/>
      <c r="N829" s="42"/>
      <c r="O829" s="47"/>
      <c r="P829" s="46"/>
      <c r="Q829" s="58"/>
      <c r="R829" s="42"/>
      <c r="S829" s="47"/>
      <c r="T829" s="46"/>
      <c r="U829" s="58"/>
      <c r="V829" s="42"/>
      <c r="W829" s="46"/>
      <c r="X829" s="47"/>
      <c r="Y829" s="48"/>
    </row>
    <row r="830" spans="2:25" s="38" customFormat="1" x14ac:dyDescent="0.25">
      <c r="B830" s="49"/>
      <c r="C830" s="70"/>
      <c r="D830" s="42"/>
      <c r="F830" s="46"/>
      <c r="G830" s="47"/>
      <c r="H830" s="46"/>
      <c r="I830" s="58"/>
      <c r="J830" s="42"/>
      <c r="K830" s="47"/>
      <c r="L830" s="46"/>
      <c r="M830" s="58"/>
      <c r="N830" s="42"/>
      <c r="O830" s="47"/>
      <c r="P830" s="46"/>
      <c r="Q830" s="58"/>
      <c r="R830" s="42"/>
      <c r="S830" s="47"/>
      <c r="T830" s="46"/>
      <c r="U830" s="58"/>
      <c r="V830" s="42"/>
      <c r="W830" s="46"/>
      <c r="X830" s="47"/>
      <c r="Y830" s="48"/>
    </row>
    <row r="831" spans="2:25" s="38" customFormat="1" x14ac:dyDescent="0.25">
      <c r="B831" s="49"/>
      <c r="C831" s="70"/>
      <c r="D831" s="42"/>
      <c r="F831" s="46"/>
      <c r="G831" s="47"/>
      <c r="H831" s="46"/>
      <c r="I831" s="58"/>
      <c r="J831" s="42"/>
      <c r="K831" s="47"/>
      <c r="L831" s="46"/>
      <c r="M831" s="58"/>
      <c r="N831" s="42"/>
      <c r="O831" s="47"/>
      <c r="P831" s="46"/>
      <c r="Q831" s="58"/>
      <c r="R831" s="42"/>
      <c r="S831" s="47"/>
      <c r="T831" s="46"/>
      <c r="U831" s="58"/>
      <c r="V831" s="42"/>
      <c r="W831" s="46"/>
      <c r="X831" s="47"/>
      <c r="Y831" s="48"/>
    </row>
    <row r="832" spans="2:25" s="38" customFormat="1" x14ac:dyDescent="0.25">
      <c r="B832" s="49"/>
      <c r="C832" s="70"/>
      <c r="D832" s="42"/>
      <c r="F832" s="46"/>
      <c r="G832" s="47"/>
      <c r="H832" s="46"/>
      <c r="I832" s="58"/>
      <c r="J832" s="42"/>
      <c r="K832" s="47"/>
      <c r="L832" s="46"/>
      <c r="M832" s="58"/>
      <c r="N832" s="42"/>
      <c r="O832" s="47"/>
      <c r="P832" s="46"/>
      <c r="Q832" s="58"/>
      <c r="R832" s="42"/>
      <c r="S832" s="47"/>
      <c r="T832" s="46"/>
      <c r="U832" s="58"/>
      <c r="V832" s="42"/>
      <c r="W832" s="46"/>
      <c r="X832" s="47"/>
      <c r="Y832" s="48"/>
    </row>
    <row r="833" spans="2:25" s="38" customFormat="1" x14ac:dyDescent="0.25">
      <c r="B833" s="49"/>
      <c r="C833" s="70"/>
      <c r="D833" s="42"/>
      <c r="F833" s="46"/>
      <c r="G833" s="47"/>
      <c r="H833" s="46"/>
      <c r="I833" s="58"/>
      <c r="J833" s="42"/>
      <c r="K833" s="47"/>
      <c r="L833" s="46"/>
      <c r="M833" s="58"/>
      <c r="N833" s="42"/>
      <c r="O833" s="47"/>
      <c r="P833" s="46"/>
      <c r="Q833" s="58"/>
      <c r="R833" s="42"/>
      <c r="S833" s="47"/>
      <c r="T833" s="46"/>
      <c r="U833" s="58"/>
      <c r="V833" s="42"/>
      <c r="W833" s="46"/>
      <c r="X833" s="47"/>
      <c r="Y833" s="48"/>
    </row>
    <row r="834" spans="2:25" s="38" customFormat="1" x14ac:dyDescent="0.25">
      <c r="B834" s="49"/>
      <c r="C834" s="70"/>
      <c r="D834" s="42"/>
      <c r="F834" s="46"/>
      <c r="G834" s="47"/>
      <c r="H834" s="46"/>
      <c r="I834" s="58"/>
      <c r="J834" s="42"/>
      <c r="K834" s="47"/>
      <c r="L834" s="46"/>
      <c r="M834" s="58"/>
      <c r="N834" s="42"/>
      <c r="O834" s="47"/>
      <c r="P834" s="46"/>
      <c r="Q834" s="58"/>
      <c r="R834" s="42"/>
      <c r="S834" s="47"/>
      <c r="T834" s="46"/>
      <c r="U834" s="58"/>
      <c r="V834" s="42"/>
      <c r="W834" s="46"/>
      <c r="X834" s="47"/>
      <c r="Y834" s="48"/>
    </row>
    <row r="835" spans="2:25" s="38" customFormat="1" x14ac:dyDescent="0.25">
      <c r="B835" s="49"/>
      <c r="C835" s="70"/>
      <c r="D835" s="42"/>
      <c r="F835" s="46"/>
      <c r="G835" s="47"/>
      <c r="H835" s="46"/>
      <c r="I835" s="58"/>
      <c r="J835" s="42"/>
      <c r="K835" s="47"/>
      <c r="L835" s="46"/>
      <c r="M835" s="58"/>
      <c r="N835" s="42"/>
      <c r="O835" s="47"/>
      <c r="P835" s="46"/>
      <c r="Q835" s="58"/>
      <c r="R835" s="42"/>
      <c r="S835" s="47"/>
      <c r="T835" s="46"/>
      <c r="U835" s="58"/>
      <c r="V835" s="42"/>
      <c r="W835" s="46"/>
      <c r="X835" s="47"/>
      <c r="Y835" s="48"/>
    </row>
    <row r="836" spans="2:25" s="38" customFormat="1" x14ac:dyDescent="0.25">
      <c r="B836" s="49"/>
      <c r="C836" s="70"/>
      <c r="D836" s="42"/>
      <c r="F836" s="46"/>
      <c r="G836" s="47"/>
      <c r="H836" s="46"/>
      <c r="I836" s="58"/>
      <c r="J836" s="42"/>
      <c r="K836" s="47"/>
      <c r="L836" s="46"/>
      <c r="M836" s="58"/>
      <c r="N836" s="42"/>
      <c r="O836" s="47"/>
      <c r="P836" s="46"/>
      <c r="Q836" s="58"/>
      <c r="R836" s="42"/>
      <c r="S836" s="47"/>
      <c r="T836" s="46"/>
      <c r="U836" s="58"/>
      <c r="V836" s="42"/>
      <c r="W836" s="46"/>
      <c r="X836" s="47"/>
      <c r="Y836" s="48"/>
    </row>
    <row r="837" spans="2:25" s="38" customFormat="1" x14ac:dyDescent="0.25">
      <c r="B837" s="49"/>
      <c r="C837" s="70"/>
      <c r="D837" s="42"/>
      <c r="F837" s="46"/>
      <c r="G837" s="47"/>
      <c r="H837" s="46"/>
      <c r="I837" s="58"/>
      <c r="J837" s="42"/>
      <c r="K837" s="47"/>
      <c r="L837" s="46"/>
      <c r="M837" s="58"/>
      <c r="N837" s="42"/>
      <c r="O837" s="47"/>
      <c r="P837" s="46"/>
      <c r="Q837" s="58"/>
      <c r="R837" s="42"/>
      <c r="S837" s="47"/>
      <c r="T837" s="46"/>
      <c r="U837" s="58"/>
      <c r="V837" s="42"/>
      <c r="W837" s="46"/>
      <c r="X837" s="47"/>
      <c r="Y837" s="48"/>
    </row>
    <row r="838" spans="2:25" s="38" customFormat="1" x14ac:dyDescent="0.25">
      <c r="B838" s="49"/>
      <c r="C838" s="70"/>
      <c r="D838" s="42"/>
      <c r="F838" s="46"/>
      <c r="G838" s="47"/>
      <c r="H838" s="46"/>
      <c r="I838" s="58"/>
      <c r="J838" s="42"/>
      <c r="K838" s="47"/>
      <c r="L838" s="46"/>
      <c r="M838" s="58"/>
      <c r="N838" s="42"/>
      <c r="O838" s="47"/>
      <c r="P838" s="46"/>
      <c r="Q838" s="58"/>
      <c r="R838" s="42"/>
      <c r="S838" s="47"/>
      <c r="T838" s="46"/>
      <c r="U838" s="58"/>
      <c r="V838" s="42"/>
      <c r="W838" s="46"/>
      <c r="X838" s="47"/>
      <c r="Y838" s="48"/>
    </row>
    <row r="839" spans="2:25" s="38" customFormat="1" x14ac:dyDescent="0.25">
      <c r="B839" s="49"/>
      <c r="C839" s="70"/>
      <c r="D839" s="42"/>
      <c r="F839" s="46"/>
      <c r="G839" s="47"/>
      <c r="H839" s="46"/>
      <c r="I839" s="58"/>
      <c r="J839" s="42"/>
      <c r="K839" s="47"/>
      <c r="L839" s="46"/>
      <c r="M839" s="58"/>
      <c r="N839" s="42"/>
      <c r="O839" s="47"/>
      <c r="P839" s="46"/>
      <c r="Q839" s="58"/>
      <c r="R839" s="42"/>
      <c r="S839" s="47"/>
      <c r="T839" s="46"/>
      <c r="U839" s="58"/>
      <c r="V839" s="42"/>
      <c r="W839" s="46"/>
      <c r="X839" s="47"/>
      <c r="Y839" s="48"/>
    </row>
    <row r="840" spans="2:25" s="38" customFormat="1" x14ac:dyDescent="0.25">
      <c r="B840" s="49"/>
      <c r="C840" s="70"/>
      <c r="D840" s="42"/>
      <c r="F840" s="46"/>
      <c r="G840" s="47"/>
      <c r="H840" s="46"/>
      <c r="I840" s="58"/>
      <c r="J840" s="42"/>
      <c r="K840" s="47"/>
      <c r="L840" s="46"/>
      <c r="M840" s="58"/>
      <c r="N840" s="42"/>
      <c r="O840" s="47"/>
      <c r="P840" s="46"/>
      <c r="Q840" s="58"/>
      <c r="R840" s="42"/>
      <c r="S840" s="47"/>
      <c r="T840" s="46"/>
      <c r="U840" s="58"/>
      <c r="V840" s="42"/>
      <c r="W840" s="46"/>
      <c r="X840" s="47"/>
      <c r="Y840" s="48"/>
    </row>
    <row r="841" spans="2:25" s="38" customFormat="1" x14ac:dyDescent="0.25">
      <c r="B841" s="49"/>
      <c r="C841" s="70"/>
      <c r="D841" s="42"/>
      <c r="F841" s="46"/>
      <c r="G841" s="47"/>
      <c r="H841" s="46"/>
      <c r="I841" s="58"/>
      <c r="J841" s="42"/>
      <c r="K841" s="47"/>
      <c r="L841" s="46"/>
      <c r="M841" s="58"/>
      <c r="N841" s="42"/>
      <c r="O841" s="47"/>
      <c r="P841" s="46"/>
      <c r="Q841" s="58"/>
      <c r="R841" s="42"/>
      <c r="S841" s="47"/>
      <c r="T841" s="46"/>
      <c r="U841" s="58"/>
      <c r="V841" s="42"/>
      <c r="W841" s="46"/>
      <c r="X841" s="47"/>
      <c r="Y841" s="48"/>
    </row>
    <row r="842" spans="2:25" s="38" customFormat="1" x14ac:dyDescent="0.25">
      <c r="B842" s="49"/>
      <c r="C842" s="70"/>
      <c r="D842" s="42"/>
      <c r="F842" s="46"/>
      <c r="G842" s="47"/>
      <c r="H842" s="46"/>
      <c r="I842" s="58"/>
      <c r="J842" s="42"/>
      <c r="K842" s="47"/>
      <c r="L842" s="46"/>
      <c r="M842" s="58"/>
      <c r="N842" s="42"/>
      <c r="O842" s="47"/>
      <c r="P842" s="46"/>
      <c r="Q842" s="58"/>
      <c r="R842" s="42"/>
      <c r="S842" s="47"/>
      <c r="T842" s="46"/>
      <c r="U842" s="58"/>
      <c r="V842" s="42"/>
      <c r="W842" s="46"/>
      <c r="X842" s="47"/>
      <c r="Y842" s="48"/>
    </row>
    <row r="843" spans="2:25" s="38" customFormat="1" x14ac:dyDescent="0.25">
      <c r="B843" s="49"/>
      <c r="C843" s="70"/>
      <c r="D843" s="42"/>
      <c r="F843" s="46"/>
      <c r="G843" s="47"/>
      <c r="H843" s="46"/>
      <c r="I843" s="58"/>
      <c r="J843" s="42"/>
      <c r="K843" s="47"/>
      <c r="L843" s="46"/>
      <c r="M843" s="58"/>
      <c r="N843" s="42"/>
      <c r="O843" s="47"/>
      <c r="P843" s="46"/>
      <c r="Q843" s="58"/>
      <c r="R843" s="42"/>
      <c r="S843" s="47"/>
      <c r="T843" s="46"/>
      <c r="U843" s="58"/>
      <c r="V843" s="42"/>
      <c r="W843" s="46"/>
      <c r="X843" s="47"/>
      <c r="Y843" s="48"/>
    </row>
    <row r="844" spans="2:25" s="38" customFormat="1" x14ac:dyDescent="0.25">
      <c r="B844" s="49"/>
      <c r="C844" s="70"/>
      <c r="D844" s="42"/>
      <c r="F844" s="46"/>
      <c r="G844" s="47"/>
      <c r="H844" s="46"/>
      <c r="I844" s="58"/>
      <c r="J844" s="42"/>
      <c r="K844" s="47"/>
      <c r="L844" s="46"/>
      <c r="M844" s="58"/>
      <c r="N844" s="42"/>
      <c r="O844" s="47"/>
      <c r="P844" s="46"/>
      <c r="Q844" s="58"/>
      <c r="R844" s="42"/>
      <c r="S844" s="47"/>
      <c r="T844" s="46"/>
      <c r="U844" s="58"/>
      <c r="V844" s="42"/>
      <c r="W844" s="46"/>
      <c r="X844" s="47"/>
      <c r="Y844" s="48"/>
    </row>
    <row r="845" spans="2:25" s="38" customFormat="1" x14ac:dyDescent="0.25">
      <c r="B845" s="49"/>
      <c r="C845" s="70"/>
      <c r="D845" s="42"/>
      <c r="F845" s="46"/>
      <c r="G845" s="47"/>
      <c r="H845" s="46"/>
      <c r="I845" s="58"/>
      <c r="J845" s="42"/>
      <c r="K845" s="47"/>
      <c r="L845" s="46"/>
      <c r="M845" s="58"/>
      <c r="N845" s="42"/>
      <c r="O845" s="47"/>
      <c r="P845" s="46"/>
      <c r="Q845" s="58"/>
      <c r="R845" s="42"/>
      <c r="S845" s="47"/>
      <c r="T845" s="46"/>
      <c r="U845" s="58"/>
      <c r="V845" s="42"/>
      <c r="W845" s="46"/>
      <c r="X845" s="47"/>
      <c r="Y845" s="48"/>
    </row>
    <row r="846" spans="2:25" s="38" customFormat="1" x14ac:dyDescent="0.25">
      <c r="B846" s="49"/>
      <c r="C846" s="70"/>
      <c r="D846" s="42"/>
      <c r="F846" s="46"/>
      <c r="G846" s="47"/>
      <c r="H846" s="46"/>
      <c r="I846" s="58"/>
      <c r="J846" s="42"/>
      <c r="K846" s="47"/>
      <c r="L846" s="46"/>
      <c r="M846" s="58"/>
      <c r="N846" s="42"/>
      <c r="O846" s="47"/>
      <c r="P846" s="46"/>
      <c r="Q846" s="58"/>
      <c r="R846" s="42"/>
      <c r="S846" s="47"/>
      <c r="T846" s="46"/>
      <c r="U846" s="58"/>
      <c r="V846" s="42"/>
      <c r="W846" s="46"/>
      <c r="X846" s="47"/>
      <c r="Y846" s="48"/>
    </row>
    <row r="847" spans="2:25" s="38" customFormat="1" x14ac:dyDescent="0.25">
      <c r="B847" s="49"/>
      <c r="C847" s="70"/>
      <c r="D847" s="42"/>
      <c r="F847" s="46"/>
      <c r="G847" s="47"/>
      <c r="H847" s="46"/>
      <c r="I847" s="58"/>
      <c r="J847" s="42"/>
      <c r="K847" s="47"/>
      <c r="L847" s="46"/>
      <c r="M847" s="58"/>
      <c r="N847" s="42"/>
      <c r="O847" s="47"/>
      <c r="P847" s="46"/>
      <c r="Q847" s="58"/>
      <c r="R847" s="42"/>
      <c r="S847" s="47"/>
      <c r="T847" s="46"/>
      <c r="U847" s="58"/>
      <c r="V847" s="42"/>
      <c r="W847" s="46"/>
      <c r="X847" s="47"/>
      <c r="Y847" s="48"/>
    </row>
    <row r="848" spans="2:25" s="38" customFormat="1" x14ac:dyDescent="0.25">
      <c r="B848" s="49"/>
      <c r="C848" s="70"/>
      <c r="D848" s="42"/>
      <c r="F848" s="46"/>
      <c r="G848" s="47"/>
      <c r="H848" s="46"/>
      <c r="I848" s="58"/>
      <c r="J848" s="42"/>
      <c r="K848" s="47"/>
      <c r="L848" s="46"/>
      <c r="M848" s="58"/>
      <c r="N848" s="42"/>
      <c r="O848" s="47"/>
      <c r="P848" s="46"/>
      <c r="Q848" s="58"/>
      <c r="R848" s="42"/>
      <c r="S848" s="47"/>
      <c r="T848" s="46"/>
      <c r="U848" s="58"/>
      <c r="V848" s="42"/>
      <c r="W848" s="46"/>
      <c r="X848" s="47"/>
      <c r="Y848" s="48"/>
    </row>
    <row r="849" spans="2:25" s="38" customFormat="1" x14ac:dyDescent="0.25">
      <c r="B849" s="49"/>
      <c r="C849" s="70"/>
      <c r="D849" s="42"/>
      <c r="F849" s="46"/>
      <c r="G849" s="47"/>
      <c r="H849" s="46"/>
      <c r="I849" s="58"/>
      <c r="J849" s="42"/>
      <c r="K849" s="47"/>
      <c r="L849" s="46"/>
      <c r="M849" s="58"/>
      <c r="N849" s="42"/>
      <c r="O849" s="47"/>
      <c r="P849" s="46"/>
      <c r="Q849" s="58"/>
      <c r="R849" s="42"/>
      <c r="S849" s="47"/>
      <c r="T849" s="46"/>
      <c r="U849" s="58"/>
      <c r="V849" s="42"/>
      <c r="W849" s="46"/>
      <c r="X849" s="47"/>
      <c r="Y849" s="48"/>
    </row>
    <row r="850" spans="2:25" s="38" customFormat="1" x14ac:dyDescent="0.25">
      <c r="B850" s="49"/>
      <c r="C850" s="70"/>
      <c r="D850" s="42"/>
      <c r="F850" s="46"/>
      <c r="G850" s="47"/>
      <c r="H850" s="46"/>
      <c r="I850" s="58"/>
      <c r="J850" s="42"/>
      <c r="K850" s="47"/>
      <c r="L850" s="46"/>
      <c r="M850" s="58"/>
      <c r="N850" s="42"/>
      <c r="O850" s="47"/>
      <c r="P850" s="46"/>
      <c r="Q850" s="58"/>
      <c r="R850" s="42"/>
      <c r="S850" s="47"/>
      <c r="T850" s="46"/>
      <c r="U850" s="58"/>
      <c r="V850" s="42"/>
      <c r="W850" s="46"/>
      <c r="X850" s="47"/>
      <c r="Y850" s="48"/>
    </row>
    <row r="851" spans="2:25" s="38" customFormat="1" x14ac:dyDescent="0.25">
      <c r="B851" s="49"/>
      <c r="C851" s="70"/>
      <c r="D851" s="42"/>
      <c r="F851" s="46"/>
      <c r="G851" s="47"/>
      <c r="H851" s="46"/>
      <c r="I851" s="58"/>
      <c r="J851" s="42"/>
      <c r="K851" s="47"/>
      <c r="L851" s="46"/>
      <c r="M851" s="58"/>
      <c r="N851" s="42"/>
      <c r="O851" s="47"/>
      <c r="P851" s="46"/>
      <c r="Q851" s="58"/>
      <c r="R851" s="42"/>
      <c r="S851" s="47"/>
      <c r="T851" s="46"/>
      <c r="U851" s="58"/>
      <c r="V851" s="42"/>
      <c r="W851" s="46"/>
      <c r="X851" s="47"/>
      <c r="Y851" s="48"/>
    </row>
    <row r="852" spans="2:25" s="38" customFormat="1" x14ac:dyDescent="0.25">
      <c r="B852" s="49"/>
      <c r="C852" s="70"/>
      <c r="D852" s="42"/>
      <c r="F852" s="46"/>
      <c r="G852" s="47"/>
      <c r="H852" s="46"/>
      <c r="I852" s="58"/>
      <c r="J852" s="42"/>
      <c r="K852" s="47"/>
      <c r="L852" s="46"/>
      <c r="M852" s="58"/>
      <c r="N852" s="42"/>
      <c r="O852" s="47"/>
      <c r="P852" s="46"/>
      <c r="Q852" s="58"/>
      <c r="R852" s="42"/>
      <c r="S852" s="47"/>
      <c r="T852" s="46"/>
      <c r="U852" s="58"/>
      <c r="V852" s="42"/>
      <c r="W852" s="46"/>
      <c r="X852" s="47"/>
      <c r="Y852" s="48"/>
    </row>
    <row r="853" spans="2:25" s="38" customFormat="1" x14ac:dyDescent="0.25">
      <c r="B853" s="49"/>
      <c r="C853" s="70"/>
      <c r="D853" s="42"/>
      <c r="F853" s="46"/>
      <c r="G853" s="47"/>
      <c r="H853" s="46"/>
      <c r="I853" s="58"/>
      <c r="J853" s="42"/>
      <c r="K853" s="47"/>
      <c r="L853" s="46"/>
      <c r="M853" s="58"/>
      <c r="N853" s="42"/>
      <c r="O853" s="47"/>
      <c r="P853" s="46"/>
      <c r="Q853" s="58"/>
      <c r="R853" s="42"/>
      <c r="S853" s="47"/>
      <c r="T853" s="46"/>
      <c r="U853" s="58"/>
      <c r="V853" s="42"/>
      <c r="W853" s="46"/>
      <c r="X853" s="47"/>
      <c r="Y853" s="48"/>
    </row>
    <row r="854" spans="2:25" s="38" customFormat="1" x14ac:dyDescent="0.25">
      <c r="B854" s="49"/>
      <c r="C854" s="70"/>
      <c r="D854" s="42"/>
      <c r="F854" s="46"/>
      <c r="G854" s="47"/>
      <c r="H854" s="46"/>
      <c r="I854" s="58"/>
      <c r="J854" s="42"/>
      <c r="K854" s="47"/>
      <c r="L854" s="46"/>
      <c r="M854" s="58"/>
      <c r="N854" s="42"/>
      <c r="O854" s="47"/>
      <c r="P854" s="46"/>
      <c r="Q854" s="58"/>
      <c r="R854" s="42"/>
      <c r="S854" s="47"/>
      <c r="T854" s="46"/>
      <c r="U854" s="58"/>
      <c r="V854" s="42"/>
      <c r="W854" s="46"/>
      <c r="X854" s="47"/>
      <c r="Y854" s="48"/>
    </row>
    <row r="855" spans="2:25" s="38" customFormat="1" x14ac:dyDescent="0.25">
      <c r="B855" s="49"/>
      <c r="C855" s="70"/>
      <c r="D855" s="42"/>
      <c r="F855" s="46"/>
      <c r="G855" s="47"/>
      <c r="H855" s="46"/>
      <c r="I855" s="58"/>
      <c r="J855" s="42"/>
      <c r="K855" s="47"/>
      <c r="L855" s="46"/>
      <c r="M855" s="58"/>
      <c r="N855" s="42"/>
      <c r="O855" s="47"/>
      <c r="P855" s="46"/>
      <c r="Q855" s="58"/>
      <c r="R855" s="42"/>
      <c r="S855" s="47"/>
      <c r="T855" s="46"/>
      <c r="U855" s="58"/>
      <c r="V855" s="42"/>
      <c r="W855" s="46"/>
      <c r="X855" s="47"/>
      <c r="Y855" s="48"/>
    </row>
    <row r="856" spans="2:25" s="38" customFormat="1" x14ac:dyDescent="0.25">
      <c r="B856" s="49"/>
      <c r="C856" s="70"/>
      <c r="D856" s="42"/>
      <c r="F856" s="46"/>
      <c r="G856" s="47"/>
      <c r="H856" s="46"/>
      <c r="I856" s="58"/>
      <c r="J856" s="42"/>
      <c r="K856" s="47"/>
      <c r="L856" s="46"/>
      <c r="M856" s="58"/>
      <c r="N856" s="42"/>
      <c r="O856" s="47"/>
      <c r="P856" s="46"/>
      <c r="Q856" s="58"/>
      <c r="R856" s="42"/>
      <c r="S856" s="47"/>
      <c r="T856" s="46"/>
      <c r="U856" s="58"/>
      <c r="V856" s="42"/>
      <c r="W856" s="46"/>
      <c r="X856" s="47"/>
      <c r="Y856" s="48"/>
    </row>
    <row r="857" spans="2:25" s="38" customFormat="1" x14ac:dyDescent="0.25">
      <c r="B857" s="49"/>
      <c r="C857" s="70"/>
      <c r="D857" s="42"/>
      <c r="F857" s="46"/>
      <c r="G857" s="47"/>
      <c r="H857" s="46"/>
      <c r="I857" s="58"/>
      <c r="J857" s="42"/>
      <c r="K857" s="47"/>
      <c r="L857" s="46"/>
      <c r="M857" s="58"/>
      <c r="N857" s="42"/>
      <c r="O857" s="47"/>
      <c r="P857" s="46"/>
      <c r="Q857" s="58"/>
      <c r="R857" s="42"/>
      <c r="S857" s="47"/>
      <c r="T857" s="46"/>
      <c r="U857" s="58"/>
      <c r="V857" s="42"/>
      <c r="W857" s="46"/>
      <c r="X857" s="47"/>
      <c r="Y857" s="48"/>
    </row>
    <row r="858" spans="2:25" s="38" customFormat="1" x14ac:dyDescent="0.25">
      <c r="B858" s="49"/>
      <c r="C858" s="70"/>
      <c r="D858" s="42"/>
      <c r="F858" s="46"/>
      <c r="G858" s="47"/>
      <c r="H858" s="46"/>
      <c r="I858" s="58"/>
      <c r="J858" s="42"/>
      <c r="K858" s="47"/>
      <c r="L858" s="46"/>
      <c r="M858" s="58"/>
      <c r="N858" s="42"/>
      <c r="O858" s="47"/>
      <c r="P858" s="46"/>
      <c r="Q858" s="58"/>
      <c r="R858" s="42"/>
      <c r="S858" s="47"/>
      <c r="T858" s="46"/>
      <c r="U858" s="58"/>
      <c r="V858" s="42"/>
      <c r="W858" s="46"/>
      <c r="X858" s="47"/>
      <c r="Y858" s="48"/>
    </row>
    <row r="859" spans="2:25" s="38" customFormat="1" x14ac:dyDescent="0.25">
      <c r="B859" s="49"/>
      <c r="C859" s="70"/>
      <c r="D859" s="42"/>
      <c r="F859" s="46"/>
      <c r="G859" s="47"/>
      <c r="H859" s="46"/>
      <c r="I859" s="58"/>
      <c r="J859" s="42"/>
      <c r="K859" s="47"/>
      <c r="L859" s="46"/>
      <c r="M859" s="58"/>
      <c r="N859" s="42"/>
      <c r="O859" s="47"/>
      <c r="P859" s="46"/>
      <c r="Q859" s="58"/>
      <c r="R859" s="42"/>
      <c r="S859" s="47"/>
      <c r="T859" s="46"/>
      <c r="U859" s="58"/>
      <c r="V859" s="42"/>
      <c r="W859" s="46"/>
      <c r="X859" s="47"/>
      <c r="Y859" s="48"/>
    </row>
    <row r="860" spans="2:25" s="38" customFormat="1" x14ac:dyDescent="0.25">
      <c r="B860" s="49"/>
      <c r="C860" s="70"/>
      <c r="D860" s="42"/>
      <c r="F860" s="46"/>
      <c r="G860" s="47"/>
      <c r="H860" s="46"/>
      <c r="I860" s="58"/>
      <c r="J860" s="42"/>
      <c r="K860" s="47"/>
      <c r="L860" s="46"/>
      <c r="M860" s="58"/>
      <c r="N860" s="42"/>
      <c r="O860" s="47"/>
      <c r="P860" s="46"/>
      <c r="Q860" s="58"/>
      <c r="R860" s="42"/>
      <c r="S860" s="47"/>
      <c r="T860" s="46"/>
      <c r="U860" s="58"/>
      <c r="V860" s="42"/>
      <c r="W860" s="46"/>
      <c r="X860" s="47"/>
      <c r="Y860" s="48"/>
    </row>
    <row r="861" spans="2:25" s="38" customFormat="1" x14ac:dyDescent="0.25">
      <c r="B861" s="49"/>
      <c r="C861" s="70"/>
      <c r="D861" s="42"/>
      <c r="F861" s="46"/>
      <c r="G861" s="47"/>
      <c r="H861" s="46"/>
      <c r="I861" s="58"/>
      <c r="J861" s="42"/>
      <c r="K861" s="47"/>
      <c r="L861" s="46"/>
      <c r="M861" s="58"/>
      <c r="N861" s="42"/>
      <c r="O861" s="47"/>
      <c r="P861" s="46"/>
      <c r="Q861" s="58"/>
      <c r="R861" s="42"/>
      <c r="S861" s="47"/>
      <c r="T861" s="46"/>
      <c r="U861" s="58"/>
      <c r="V861" s="42"/>
      <c r="W861" s="46"/>
      <c r="X861" s="47"/>
      <c r="Y861" s="48"/>
    </row>
    <row r="862" spans="2:25" s="38" customFormat="1" x14ac:dyDescent="0.25">
      <c r="B862" s="49"/>
      <c r="C862" s="70"/>
      <c r="D862" s="42"/>
      <c r="F862" s="46"/>
      <c r="G862" s="47"/>
      <c r="H862" s="46"/>
      <c r="I862" s="58"/>
      <c r="J862" s="42"/>
      <c r="K862" s="47"/>
      <c r="L862" s="46"/>
      <c r="M862" s="58"/>
      <c r="N862" s="42"/>
      <c r="O862" s="47"/>
      <c r="P862" s="46"/>
      <c r="Q862" s="58"/>
      <c r="R862" s="42"/>
      <c r="S862" s="47"/>
      <c r="T862" s="46"/>
      <c r="U862" s="58"/>
      <c r="V862" s="42"/>
      <c r="W862" s="46"/>
      <c r="X862" s="47"/>
      <c r="Y862" s="48"/>
    </row>
    <row r="863" spans="2:25" s="38" customFormat="1" x14ac:dyDescent="0.25">
      <c r="B863" s="49"/>
      <c r="C863" s="70"/>
      <c r="D863" s="42"/>
      <c r="F863" s="46"/>
      <c r="G863" s="47"/>
      <c r="H863" s="46"/>
      <c r="I863" s="58"/>
      <c r="J863" s="42"/>
      <c r="K863" s="47"/>
      <c r="L863" s="46"/>
      <c r="M863" s="58"/>
      <c r="N863" s="42"/>
      <c r="O863" s="47"/>
      <c r="P863" s="46"/>
      <c r="Q863" s="58"/>
      <c r="R863" s="42"/>
      <c r="S863" s="47"/>
      <c r="T863" s="46"/>
      <c r="U863" s="58"/>
      <c r="V863" s="42"/>
      <c r="W863" s="46"/>
      <c r="X863" s="47"/>
      <c r="Y863" s="48"/>
    </row>
    <row r="864" spans="2:25" s="38" customFormat="1" x14ac:dyDescent="0.25">
      <c r="B864" s="49"/>
      <c r="C864" s="70"/>
      <c r="D864" s="42"/>
      <c r="F864" s="46"/>
      <c r="G864" s="47"/>
      <c r="H864" s="46"/>
      <c r="I864" s="58"/>
      <c r="J864" s="42"/>
      <c r="K864" s="47"/>
      <c r="L864" s="46"/>
      <c r="M864" s="58"/>
      <c r="N864" s="42"/>
      <c r="O864" s="47"/>
      <c r="P864" s="46"/>
      <c r="Q864" s="58"/>
      <c r="R864" s="42"/>
      <c r="S864" s="47"/>
      <c r="T864" s="46"/>
      <c r="U864" s="58"/>
      <c r="V864" s="42"/>
      <c r="W864" s="46"/>
      <c r="X864" s="47"/>
      <c r="Y864" s="48"/>
    </row>
    <row r="865" spans="2:25" s="38" customFormat="1" x14ac:dyDescent="0.25">
      <c r="B865" s="49"/>
      <c r="C865" s="70"/>
      <c r="D865" s="42"/>
      <c r="F865" s="46"/>
      <c r="G865" s="47"/>
      <c r="H865" s="46"/>
      <c r="I865" s="58"/>
      <c r="J865" s="42"/>
      <c r="K865" s="47"/>
      <c r="L865" s="46"/>
      <c r="M865" s="58"/>
      <c r="N865" s="42"/>
      <c r="O865" s="47"/>
      <c r="P865" s="46"/>
      <c r="Q865" s="58"/>
      <c r="R865" s="42"/>
      <c r="S865" s="47"/>
      <c r="T865" s="46"/>
      <c r="U865" s="58"/>
      <c r="V865" s="42"/>
      <c r="W865" s="46"/>
      <c r="X865" s="47"/>
      <c r="Y865" s="48"/>
    </row>
    <row r="866" spans="2:25" s="38" customFormat="1" x14ac:dyDescent="0.25">
      <c r="B866" s="49"/>
      <c r="C866" s="70"/>
      <c r="D866" s="42"/>
      <c r="F866" s="46"/>
      <c r="G866" s="47"/>
      <c r="H866" s="46"/>
      <c r="I866" s="58"/>
      <c r="J866" s="42"/>
      <c r="K866" s="47"/>
      <c r="L866" s="46"/>
      <c r="M866" s="58"/>
      <c r="N866" s="42"/>
      <c r="O866" s="47"/>
      <c r="P866" s="46"/>
      <c r="Q866" s="58"/>
      <c r="R866" s="42"/>
      <c r="S866" s="47"/>
      <c r="T866" s="46"/>
      <c r="U866" s="58"/>
      <c r="V866" s="42"/>
      <c r="W866" s="46"/>
      <c r="X866" s="47"/>
      <c r="Y866" s="48"/>
    </row>
    <row r="867" spans="2:25" s="38" customFormat="1" x14ac:dyDescent="0.25">
      <c r="B867" s="49"/>
      <c r="C867" s="70"/>
      <c r="D867" s="42"/>
      <c r="F867" s="46"/>
      <c r="G867" s="47"/>
      <c r="H867" s="46"/>
      <c r="I867" s="58"/>
      <c r="J867" s="42"/>
      <c r="K867" s="47"/>
      <c r="L867" s="46"/>
      <c r="M867" s="58"/>
      <c r="N867" s="42"/>
      <c r="O867" s="47"/>
      <c r="P867" s="46"/>
      <c r="Q867" s="58"/>
      <c r="R867" s="42"/>
      <c r="S867" s="47"/>
      <c r="T867" s="46"/>
      <c r="U867" s="58"/>
      <c r="V867" s="42"/>
      <c r="W867" s="46"/>
      <c r="X867" s="47"/>
      <c r="Y867" s="48"/>
    </row>
    <row r="868" spans="2:25" s="38" customFormat="1" x14ac:dyDescent="0.25">
      <c r="B868" s="49"/>
      <c r="C868" s="70"/>
      <c r="D868" s="42"/>
      <c r="F868" s="46"/>
      <c r="G868" s="47"/>
      <c r="H868" s="46"/>
      <c r="I868" s="58"/>
      <c r="J868" s="42"/>
      <c r="K868" s="47"/>
      <c r="L868" s="46"/>
      <c r="M868" s="58"/>
      <c r="N868" s="42"/>
      <c r="O868" s="47"/>
      <c r="P868" s="46"/>
      <c r="Q868" s="58"/>
      <c r="R868" s="42"/>
      <c r="S868" s="47"/>
      <c r="T868" s="46"/>
      <c r="U868" s="58"/>
      <c r="V868" s="42"/>
      <c r="W868" s="46"/>
      <c r="X868" s="47"/>
      <c r="Y868" s="48"/>
    </row>
    <row r="869" spans="2:25" s="38" customFormat="1" x14ac:dyDescent="0.25">
      <c r="B869" s="49"/>
      <c r="C869" s="70"/>
      <c r="D869" s="42"/>
      <c r="F869" s="46"/>
      <c r="G869" s="47"/>
      <c r="H869" s="46"/>
      <c r="I869" s="58"/>
      <c r="J869" s="42"/>
      <c r="K869" s="47"/>
      <c r="L869" s="46"/>
      <c r="M869" s="58"/>
      <c r="N869" s="42"/>
      <c r="O869" s="47"/>
      <c r="P869" s="46"/>
      <c r="Q869" s="58"/>
      <c r="R869" s="42"/>
      <c r="S869" s="47"/>
      <c r="T869" s="46"/>
      <c r="U869" s="58"/>
      <c r="V869" s="42"/>
      <c r="W869" s="46"/>
      <c r="X869" s="47"/>
      <c r="Y869" s="48"/>
    </row>
    <row r="870" spans="2:25" s="38" customFormat="1" x14ac:dyDescent="0.25">
      <c r="B870" s="49"/>
      <c r="C870" s="70"/>
      <c r="D870" s="42"/>
      <c r="F870" s="46"/>
      <c r="G870" s="47"/>
      <c r="H870" s="46"/>
      <c r="I870" s="58"/>
      <c r="J870" s="42"/>
      <c r="K870" s="47"/>
      <c r="L870" s="46"/>
      <c r="M870" s="58"/>
      <c r="N870" s="42"/>
      <c r="O870" s="47"/>
      <c r="P870" s="46"/>
      <c r="Q870" s="58"/>
      <c r="R870" s="42"/>
      <c r="S870" s="47"/>
      <c r="T870" s="46"/>
      <c r="U870" s="58"/>
      <c r="V870" s="42"/>
      <c r="W870" s="46"/>
      <c r="X870" s="47"/>
      <c r="Y870" s="48"/>
    </row>
    <row r="871" spans="2:25" s="38" customFormat="1" x14ac:dyDescent="0.25">
      <c r="B871" s="49"/>
      <c r="C871" s="70"/>
      <c r="D871" s="42"/>
      <c r="F871" s="46"/>
      <c r="G871" s="47"/>
      <c r="H871" s="46"/>
      <c r="I871" s="58"/>
      <c r="J871" s="42"/>
      <c r="K871" s="47"/>
      <c r="L871" s="46"/>
      <c r="M871" s="58"/>
      <c r="N871" s="42"/>
      <c r="O871" s="47"/>
      <c r="P871" s="46"/>
      <c r="Q871" s="58"/>
      <c r="R871" s="42"/>
      <c r="S871" s="47"/>
      <c r="T871" s="46"/>
      <c r="U871" s="58"/>
      <c r="V871" s="42"/>
      <c r="W871" s="46"/>
      <c r="X871" s="47"/>
      <c r="Y871" s="48"/>
    </row>
    <row r="872" spans="2:25" s="38" customFormat="1" x14ac:dyDescent="0.25">
      <c r="B872" s="49"/>
      <c r="C872" s="70"/>
      <c r="D872" s="42"/>
      <c r="F872" s="46"/>
      <c r="G872" s="47"/>
      <c r="H872" s="46"/>
      <c r="I872" s="58"/>
      <c r="J872" s="42"/>
      <c r="K872" s="47"/>
      <c r="L872" s="46"/>
      <c r="M872" s="58"/>
      <c r="N872" s="42"/>
      <c r="O872" s="47"/>
      <c r="P872" s="46"/>
      <c r="Q872" s="58"/>
      <c r="R872" s="42"/>
      <c r="S872" s="47"/>
      <c r="T872" s="46"/>
      <c r="U872" s="58"/>
      <c r="V872" s="42"/>
      <c r="W872" s="46"/>
      <c r="X872" s="47"/>
      <c r="Y872" s="48"/>
    </row>
    <row r="873" spans="2:25" s="38" customFormat="1" x14ac:dyDescent="0.25">
      <c r="B873" s="49"/>
      <c r="C873" s="70"/>
      <c r="D873" s="42"/>
      <c r="F873" s="46"/>
      <c r="G873" s="47"/>
      <c r="H873" s="46"/>
      <c r="I873" s="58"/>
      <c r="J873" s="42"/>
      <c r="K873" s="47"/>
      <c r="L873" s="46"/>
      <c r="M873" s="58"/>
      <c r="N873" s="42"/>
      <c r="O873" s="47"/>
      <c r="P873" s="46"/>
      <c r="Q873" s="58"/>
      <c r="R873" s="42"/>
      <c r="S873" s="47"/>
      <c r="T873" s="46"/>
      <c r="U873" s="58"/>
      <c r="V873" s="42"/>
      <c r="W873" s="46"/>
      <c r="X873" s="47"/>
      <c r="Y873" s="48"/>
    </row>
    <row r="874" spans="2:25" s="38" customFormat="1" x14ac:dyDescent="0.25">
      <c r="B874" s="49"/>
      <c r="C874" s="70"/>
      <c r="D874" s="42"/>
      <c r="F874" s="46"/>
      <c r="G874" s="47"/>
      <c r="H874" s="46"/>
      <c r="I874" s="58"/>
      <c r="J874" s="42"/>
      <c r="K874" s="47"/>
      <c r="L874" s="46"/>
      <c r="M874" s="58"/>
      <c r="N874" s="42"/>
      <c r="O874" s="47"/>
      <c r="P874" s="46"/>
      <c r="Q874" s="58"/>
      <c r="R874" s="42"/>
      <c r="S874" s="47"/>
      <c r="T874" s="46"/>
      <c r="U874" s="58"/>
      <c r="V874" s="42"/>
      <c r="W874" s="46"/>
      <c r="X874" s="47"/>
      <c r="Y874" s="48"/>
    </row>
    <row r="875" spans="2:25" s="38" customFormat="1" x14ac:dyDescent="0.25">
      <c r="B875" s="49"/>
      <c r="C875" s="70"/>
      <c r="D875" s="42"/>
      <c r="F875" s="46"/>
      <c r="G875" s="47"/>
      <c r="H875" s="46"/>
      <c r="I875" s="58"/>
      <c r="J875" s="42"/>
      <c r="K875" s="47"/>
      <c r="L875" s="46"/>
      <c r="M875" s="58"/>
      <c r="N875" s="42"/>
      <c r="O875" s="47"/>
      <c r="P875" s="46"/>
      <c r="Q875" s="58"/>
      <c r="R875" s="42"/>
      <c r="S875" s="47"/>
      <c r="T875" s="46"/>
      <c r="U875" s="58"/>
      <c r="V875" s="42"/>
      <c r="W875" s="46"/>
      <c r="X875" s="47"/>
      <c r="Y875" s="48"/>
    </row>
    <row r="876" spans="2:25" s="38" customFormat="1" x14ac:dyDescent="0.25">
      <c r="B876" s="49"/>
      <c r="C876" s="70"/>
      <c r="D876" s="42"/>
      <c r="F876" s="46"/>
      <c r="G876" s="47"/>
      <c r="H876" s="46"/>
      <c r="I876" s="58"/>
      <c r="J876" s="42"/>
      <c r="K876" s="47"/>
      <c r="L876" s="46"/>
      <c r="M876" s="58"/>
      <c r="N876" s="42"/>
      <c r="O876" s="47"/>
      <c r="P876" s="46"/>
      <c r="Q876" s="58"/>
      <c r="R876" s="42"/>
      <c r="S876" s="47"/>
      <c r="T876" s="46"/>
      <c r="U876" s="58"/>
      <c r="V876" s="42"/>
      <c r="W876" s="46"/>
      <c r="X876" s="47"/>
      <c r="Y876" s="48"/>
    </row>
    <row r="877" spans="2:25" s="38" customFormat="1" x14ac:dyDescent="0.25">
      <c r="B877" s="49"/>
      <c r="C877" s="70"/>
      <c r="D877" s="42"/>
      <c r="F877" s="46"/>
      <c r="G877" s="47"/>
      <c r="H877" s="46"/>
      <c r="I877" s="58"/>
      <c r="J877" s="42"/>
      <c r="K877" s="47"/>
      <c r="L877" s="46"/>
      <c r="M877" s="58"/>
      <c r="N877" s="42"/>
      <c r="O877" s="47"/>
      <c r="P877" s="46"/>
      <c r="Q877" s="58"/>
      <c r="R877" s="42"/>
      <c r="S877" s="47"/>
      <c r="T877" s="46"/>
      <c r="U877" s="58"/>
      <c r="V877" s="42"/>
      <c r="W877" s="46"/>
      <c r="X877" s="47"/>
      <c r="Y877" s="48"/>
    </row>
    <row r="878" spans="2:25" s="38" customFormat="1" x14ac:dyDescent="0.25">
      <c r="B878" s="49"/>
      <c r="C878" s="70"/>
      <c r="D878" s="42"/>
      <c r="F878" s="46"/>
      <c r="G878" s="47"/>
      <c r="H878" s="46"/>
      <c r="I878" s="58"/>
      <c r="J878" s="42"/>
      <c r="K878" s="47"/>
      <c r="L878" s="46"/>
      <c r="M878" s="58"/>
      <c r="N878" s="42"/>
      <c r="O878" s="47"/>
      <c r="P878" s="46"/>
      <c r="Q878" s="58"/>
      <c r="R878" s="42"/>
      <c r="S878" s="47"/>
      <c r="T878" s="46"/>
      <c r="U878" s="58"/>
      <c r="V878" s="42"/>
      <c r="W878" s="46"/>
      <c r="X878" s="47"/>
      <c r="Y878" s="48"/>
    </row>
    <row r="879" spans="2:25" s="38" customFormat="1" x14ac:dyDescent="0.25">
      <c r="B879" s="49"/>
      <c r="C879" s="70"/>
      <c r="D879" s="42"/>
      <c r="F879" s="46"/>
      <c r="G879" s="47"/>
      <c r="H879" s="46"/>
      <c r="I879" s="58"/>
      <c r="J879" s="42"/>
      <c r="K879" s="47"/>
      <c r="L879" s="46"/>
      <c r="M879" s="58"/>
      <c r="N879" s="42"/>
      <c r="O879" s="47"/>
      <c r="P879" s="46"/>
      <c r="Q879" s="58"/>
      <c r="R879" s="42"/>
      <c r="S879" s="47"/>
      <c r="T879" s="46"/>
      <c r="U879" s="58"/>
      <c r="V879" s="42"/>
      <c r="W879" s="46"/>
      <c r="X879" s="47"/>
      <c r="Y879" s="48"/>
    </row>
    <row r="880" spans="2:25" s="38" customFormat="1" x14ac:dyDescent="0.25">
      <c r="B880" s="49"/>
      <c r="C880" s="70"/>
      <c r="D880" s="42"/>
      <c r="F880" s="46"/>
      <c r="G880" s="47"/>
      <c r="H880" s="46"/>
      <c r="I880" s="58"/>
      <c r="J880" s="42"/>
      <c r="K880" s="47"/>
      <c r="L880" s="46"/>
      <c r="M880" s="58"/>
      <c r="N880" s="42"/>
      <c r="O880" s="47"/>
      <c r="P880" s="46"/>
      <c r="Q880" s="58"/>
      <c r="R880" s="42"/>
      <c r="S880" s="47"/>
      <c r="T880" s="46"/>
      <c r="U880" s="58"/>
      <c r="V880" s="42"/>
      <c r="W880" s="46"/>
      <c r="X880" s="47"/>
      <c r="Y880" s="48"/>
    </row>
    <row r="881" spans="2:25" s="38" customFormat="1" x14ac:dyDescent="0.25">
      <c r="B881" s="49"/>
      <c r="C881" s="70"/>
      <c r="D881" s="42"/>
      <c r="F881" s="46"/>
      <c r="G881" s="47"/>
      <c r="H881" s="46"/>
      <c r="I881" s="58"/>
      <c r="J881" s="42"/>
      <c r="K881" s="47"/>
      <c r="L881" s="46"/>
      <c r="M881" s="58"/>
      <c r="N881" s="42"/>
      <c r="O881" s="47"/>
      <c r="P881" s="46"/>
      <c r="Q881" s="58"/>
      <c r="R881" s="42"/>
      <c r="S881" s="47"/>
      <c r="T881" s="46"/>
      <c r="U881" s="58"/>
      <c r="V881" s="42"/>
      <c r="W881" s="46"/>
      <c r="X881" s="47"/>
      <c r="Y881" s="48"/>
    </row>
    <row r="882" spans="2:25" s="38" customFormat="1" x14ac:dyDescent="0.25">
      <c r="B882" s="49"/>
      <c r="C882" s="70"/>
      <c r="D882" s="42"/>
      <c r="F882" s="46"/>
      <c r="G882" s="47"/>
      <c r="H882" s="46"/>
      <c r="I882" s="58"/>
      <c r="J882" s="42"/>
      <c r="K882" s="47"/>
      <c r="L882" s="46"/>
      <c r="M882" s="58"/>
      <c r="N882" s="42"/>
      <c r="O882" s="47"/>
      <c r="P882" s="46"/>
      <c r="Q882" s="58"/>
      <c r="R882" s="42"/>
      <c r="S882" s="47"/>
      <c r="T882" s="46"/>
      <c r="U882" s="58"/>
      <c r="V882" s="42"/>
      <c r="W882" s="46"/>
      <c r="X882" s="47"/>
      <c r="Y882" s="48"/>
    </row>
    <row r="883" spans="2:25" s="38" customFormat="1" x14ac:dyDescent="0.25">
      <c r="B883" s="49"/>
      <c r="C883" s="70"/>
      <c r="D883" s="42"/>
      <c r="F883" s="46"/>
      <c r="G883" s="47"/>
      <c r="H883" s="46"/>
      <c r="I883" s="58"/>
      <c r="J883" s="42"/>
      <c r="K883" s="47"/>
      <c r="L883" s="46"/>
      <c r="M883" s="58"/>
      <c r="N883" s="42"/>
      <c r="O883" s="47"/>
      <c r="P883" s="46"/>
      <c r="Q883" s="58"/>
      <c r="R883" s="42"/>
      <c r="S883" s="47"/>
      <c r="T883" s="46"/>
      <c r="U883" s="58"/>
      <c r="V883" s="42"/>
      <c r="W883" s="46"/>
      <c r="X883" s="47"/>
      <c r="Y883" s="48"/>
    </row>
    <row r="884" spans="2:25" s="38" customFormat="1" x14ac:dyDescent="0.25">
      <c r="B884" s="49"/>
      <c r="C884" s="70"/>
      <c r="D884" s="42"/>
      <c r="F884" s="46"/>
      <c r="G884" s="47"/>
      <c r="H884" s="46"/>
      <c r="I884" s="58"/>
      <c r="J884" s="42"/>
      <c r="K884" s="47"/>
      <c r="L884" s="46"/>
      <c r="M884" s="58"/>
      <c r="N884" s="42"/>
      <c r="O884" s="47"/>
      <c r="P884" s="46"/>
      <c r="Q884" s="58"/>
      <c r="R884" s="42"/>
      <c r="S884" s="47"/>
      <c r="T884" s="46"/>
      <c r="U884" s="58"/>
      <c r="V884" s="42"/>
      <c r="W884" s="46"/>
      <c r="X884" s="47"/>
      <c r="Y884" s="48"/>
    </row>
    <row r="885" spans="2:25" s="38" customFormat="1" x14ac:dyDescent="0.25">
      <c r="B885" s="49"/>
      <c r="C885" s="70"/>
      <c r="D885" s="42"/>
      <c r="F885" s="46"/>
      <c r="G885" s="47"/>
      <c r="H885" s="46"/>
      <c r="I885" s="58"/>
      <c r="J885" s="42"/>
      <c r="K885" s="47"/>
      <c r="L885" s="46"/>
      <c r="M885" s="58"/>
      <c r="N885" s="42"/>
      <c r="O885" s="47"/>
      <c r="P885" s="46"/>
      <c r="Q885" s="58"/>
      <c r="R885" s="42"/>
      <c r="S885" s="47"/>
      <c r="T885" s="46"/>
      <c r="U885" s="58"/>
      <c r="V885" s="42"/>
      <c r="W885" s="46"/>
      <c r="X885" s="47"/>
      <c r="Y885" s="48"/>
    </row>
    <row r="886" spans="2:25" s="38" customFormat="1" x14ac:dyDescent="0.25">
      <c r="B886" s="49"/>
      <c r="C886" s="70"/>
      <c r="D886" s="42"/>
      <c r="F886" s="46"/>
      <c r="G886" s="47"/>
      <c r="H886" s="46"/>
      <c r="I886" s="58"/>
      <c r="J886" s="42"/>
      <c r="K886" s="47"/>
      <c r="L886" s="46"/>
      <c r="M886" s="58"/>
      <c r="N886" s="42"/>
      <c r="O886" s="47"/>
      <c r="P886" s="46"/>
      <c r="Q886" s="58"/>
      <c r="R886" s="42"/>
      <c r="S886" s="47"/>
      <c r="T886" s="46"/>
      <c r="U886" s="58"/>
      <c r="V886" s="42"/>
      <c r="W886" s="46"/>
      <c r="X886" s="47"/>
      <c r="Y886" s="48"/>
    </row>
    <row r="887" spans="2:25" s="38" customFormat="1" x14ac:dyDescent="0.25">
      <c r="B887" s="49"/>
      <c r="C887" s="70"/>
      <c r="D887" s="42"/>
      <c r="F887" s="46"/>
      <c r="G887" s="47"/>
      <c r="H887" s="46"/>
      <c r="I887" s="58"/>
      <c r="J887" s="42"/>
      <c r="K887" s="47"/>
      <c r="L887" s="46"/>
      <c r="M887" s="58"/>
      <c r="N887" s="42"/>
      <c r="O887" s="47"/>
      <c r="P887" s="46"/>
      <c r="Q887" s="58"/>
      <c r="R887" s="42"/>
      <c r="S887" s="47"/>
      <c r="T887" s="46"/>
      <c r="U887" s="58"/>
      <c r="V887" s="42"/>
      <c r="W887" s="46"/>
      <c r="X887" s="47"/>
      <c r="Y887" s="48"/>
    </row>
    <row r="888" spans="2:25" s="38" customFormat="1" x14ac:dyDescent="0.25">
      <c r="B888" s="49"/>
      <c r="C888" s="70"/>
      <c r="D888" s="42"/>
      <c r="F888" s="46"/>
      <c r="G888" s="47"/>
      <c r="H888" s="46"/>
      <c r="I888" s="58"/>
      <c r="J888" s="42"/>
      <c r="K888" s="47"/>
      <c r="L888" s="46"/>
      <c r="M888" s="58"/>
      <c r="N888" s="42"/>
      <c r="O888" s="47"/>
      <c r="P888" s="46"/>
      <c r="Q888" s="58"/>
      <c r="R888" s="42"/>
      <c r="S888" s="47"/>
      <c r="T888" s="46"/>
      <c r="U888" s="58"/>
      <c r="V888" s="42"/>
      <c r="W888" s="46"/>
      <c r="X888" s="47"/>
      <c r="Y888" s="48"/>
    </row>
    <row r="889" spans="2:25" s="38" customFormat="1" x14ac:dyDescent="0.25">
      <c r="B889" s="49"/>
      <c r="C889" s="70"/>
      <c r="D889" s="42"/>
      <c r="F889" s="46"/>
      <c r="G889" s="47"/>
      <c r="H889" s="46"/>
      <c r="I889" s="58"/>
      <c r="J889" s="42"/>
      <c r="K889" s="47"/>
      <c r="L889" s="46"/>
      <c r="M889" s="58"/>
      <c r="N889" s="42"/>
      <c r="O889" s="47"/>
      <c r="P889" s="46"/>
      <c r="Q889" s="58"/>
      <c r="R889" s="42"/>
      <c r="S889" s="47"/>
      <c r="T889" s="46"/>
      <c r="U889" s="58"/>
      <c r="V889" s="42"/>
      <c r="W889" s="46"/>
      <c r="X889" s="47"/>
      <c r="Y889" s="48"/>
    </row>
    <row r="890" spans="2:25" s="38" customFormat="1" x14ac:dyDescent="0.25">
      <c r="B890" s="49"/>
      <c r="C890" s="70"/>
      <c r="D890" s="42"/>
      <c r="F890" s="46"/>
      <c r="G890" s="47"/>
      <c r="H890" s="46"/>
      <c r="I890" s="58"/>
      <c r="J890" s="42"/>
      <c r="K890" s="47"/>
      <c r="L890" s="46"/>
      <c r="M890" s="58"/>
      <c r="N890" s="42"/>
      <c r="O890" s="47"/>
      <c r="P890" s="46"/>
      <c r="Q890" s="58"/>
      <c r="R890" s="42"/>
      <c r="S890" s="47"/>
      <c r="T890" s="46"/>
      <c r="U890" s="58"/>
      <c r="V890" s="42"/>
      <c r="W890" s="46"/>
      <c r="X890" s="47"/>
      <c r="Y890" s="48"/>
    </row>
    <row r="891" spans="2:25" s="38" customFormat="1" x14ac:dyDescent="0.25">
      <c r="B891" s="49"/>
      <c r="C891" s="70"/>
      <c r="D891" s="42"/>
      <c r="F891" s="46"/>
      <c r="G891" s="47"/>
      <c r="H891" s="46"/>
      <c r="I891" s="58"/>
      <c r="J891" s="42"/>
      <c r="K891" s="47"/>
      <c r="L891" s="46"/>
      <c r="M891" s="58"/>
      <c r="N891" s="42"/>
      <c r="O891" s="47"/>
      <c r="P891" s="46"/>
      <c r="Q891" s="58"/>
      <c r="R891" s="42"/>
      <c r="S891" s="47"/>
      <c r="T891" s="46"/>
      <c r="U891" s="58"/>
      <c r="V891" s="42"/>
      <c r="W891" s="46"/>
      <c r="X891" s="47"/>
      <c r="Y891" s="48"/>
    </row>
    <row r="892" spans="2:25" s="38" customFormat="1" x14ac:dyDescent="0.25">
      <c r="B892" s="49"/>
      <c r="C892" s="70"/>
      <c r="D892" s="42"/>
      <c r="F892" s="46"/>
      <c r="G892" s="47"/>
      <c r="H892" s="46"/>
      <c r="I892" s="58"/>
      <c r="J892" s="42"/>
      <c r="K892" s="47"/>
      <c r="L892" s="46"/>
      <c r="M892" s="58"/>
      <c r="N892" s="42"/>
      <c r="O892" s="47"/>
      <c r="P892" s="46"/>
      <c r="Q892" s="58"/>
      <c r="R892" s="42"/>
      <c r="S892" s="47"/>
      <c r="T892" s="46"/>
      <c r="U892" s="58"/>
      <c r="V892" s="42"/>
      <c r="W892" s="46"/>
      <c r="X892" s="47"/>
      <c r="Y892" s="48"/>
    </row>
    <row r="893" spans="2:25" s="38" customFormat="1" x14ac:dyDescent="0.25">
      <c r="B893" s="49"/>
      <c r="C893" s="70"/>
      <c r="D893" s="42"/>
      <c r="F893" s="46"/>
      <c r="G893" s="47"/>
      <c r="H893" s="46"/>
      <c r="I893" s="58"/>
      <c r="J893" s="42"/>
      <c r="K893" s="47"/>
      <c r="L893" s="46"/>
      <c r="M893" s="58"/>
      <c r="N893" s="42"/>
      <c r="O893" s="47"/>
      <c r="P893" s="46"/>
      <c r="Q893" s="58"/>
      <c r="R893" s="42"/>
      <c r="S893" s="47"/>
      <c r="T893" s="46"/>
      <c r="U893" s="58"/>
      <c r="V893" s="42"/>
      <c r="W893" s="46"/>
      <c r="X893" s="47"/>
      <c r="Y893" s="48"/>
    </row>
    <row r="894" spans="2:25" s="38" customFormat="1" x14ac:dyDescent="0.25">
      <c r="B894" s="49"/>
      <c r="C894" s="70"/>
      <c r="D894" s="42"/>
      <c r="F894" s="46"/>
      <c r="G894" s="47"/>
      <c r="H894" s="46"/>
      <c r="I894" s="58"/>
      <c r="J894" s="42"/>
      <c r="K894" s="47"/>
      <c r="L894" s="46"/>
      <c r="M894" s="58"/>
      <c r="N894" s="42"/>
      <c r="O894" s="47"/>
      <c r="P894" s="46"/>
      <c r="Q894" s="58"/>
      <c r="R894" s="42"/>
      <c r="S894" s="47"/>
      <c r="T894" s="46"/>
      <c r="U894" s="58"/>
      <c r="V894" s="42"/>
      <c r="W894" s="46"/>
      <c r="X894" s="47"/>
      <c r="Y894" s="48"/>
    </row>
    <row r="895" spans="2:25" s="38" customFormat="1" x14ac:dyDescent="0.25">
      <c r="B895" s="49"/>
      <c r="C895" s="70"/>
      <c r="D895" s="42"/>
      <c r="F895" s="46"/>
      <c r="G895" s="47"/>
      <c r="H895" s="46"/>
      <c r="I895" s="58"/>
      <c r="J895" s="42"/>
      <c r="K895" s="47"/>
      <c r="L895" s="46"/>
      <c r="M895" s="58"/>
      <c r="N895" s="42"/>
      <c r="O895" s="47"/>
      <c r="P895" s="46"/>
      <c r="Q895" s="58"/>
      <c r="R895" s="42"/>
      <c r="S895" s="47"/>
      <c r="T895" s="46"/>
      <c r="U895" s="58"/>
      <c r="V895" s="42"/>
      <c r="W895" s="46"/>
      <c r="X895" s="47"/>
      <c r="Y895" s="48"/>
    </row>
    <row r="896" spans="2:25" s="38" customFormat="1" x14ac:dyDescent="0.25">
      <c r="B896" s="49"/>
      <c r="C896" s="70"/>
      <c r="D896" s="42"/>
      <c r="F896" s="46"/>
      <c r="G896" s="47"/>
      <c r="H896" s="46"/>
      <c r="I896" s="58"/>
      <c r="J896" s="42"/>
      <c r="K896" s="47"/>
      <c r="L896" s="46"/>
      <c r="M896" s="58"/>
      <c r="N896" s="42"/>
      <c r="O896" s="47"/>
      <c r="P896" s="46"/>
      <c r="Q896" s="58"/>
      <c r="R896" s="42"/>
      <c r="S896" s="47"/>
      <c r="T896" s="46"/>
      <c r="U896" s="58"/>
      <c r="V896" s="42"/>
      <c r="W896" s="46"/>
      <c r="X896" s="47"/>
      <c r="Y896" s="48"/>
    </row>
    <row r="897" spans="2:25" s="38" customFormat="1" x14ac:dyDescent="0.25">
      <c r="B897" s="49"/>
      <c r="C897" s="70"/>
      <c r="D897" s="42"/>
      <c r="F897" s="46"/>
      <c r="G897" s="47"/>
      <c r="H897" s="46"/>
      <c r="I897" s="58"/>
      <c r="J897" s="42"/>
      <c r="K897" s="47"/>
      <c r="L897" s="46"/>
      <c r="M897" s="58"/>
      <c r="N897" s="42"/>
      <c r="O897" s="47"/>
      <c r="P897" s="46"/>
      <c r="Q897" s="58"/>
      <c r="R897" s="42"/>
      <c r="S897" s="47"/>
      <c r="T897" s="46"/>
      <c r="U897" s="58"/>
      <c r="V897" s="42"/>
      <c r="W897" s="46"/>
      <c r="X897" s="47"/>
      <c r="Y897" s="48"/>
    </row>
    <row r="898" spans="2:25" s="38" customFormat="1" x14ac:dyDescent="0.25">
      <c r="B898" s="49"/>
      <c r="C898" s="70"/>
      <c r="D898" s="42"/>
      <c r="F898" s="46"/>
      <c r="G898" s="47"/>
      <c r="H898" s="46"/>
      <c r="I898" s="58"/>
      <c r="J898" s="42"/>
      <c r="K898" s="47"/>
      <c r="L898" s="46"/>
      <c r="M898" s="58"/>
      <c r="N898" s="42"/>
      <c r="O898" s="47"/>
      <c r="P898" s="46"/>
      <c r="Q898" s="58"/>
      <c r="R898" s="42"/>
      <c r="S898" s="47"/>
      <c r="T898" s="46"/>
      <c r="U898" s="58"/>
      <c r="V898" s="42"/>
      <c r="W898" s="46"/>
      <c r="X898" s="47"/>
      <c r="Y898" s="48"/>
    </row>
    <row r="899" spans="2:25" s="38" customFormat="1" x14ac:dyDescent="0.25">
      <c r="B899" s="49"/>
      <c r="C899" s="70"/>
      <c r="D899" s="42"/>
      <c r="F899" s="46"/>
      <c r="G899" s="47"/>
      <c r="H899" s="46"/>
      <c r="I899" s="58"/>
      <c r="J899" s="42"/>
      <c r="K899" s="47"/>
      <c r="L899" s="46"/>
      <c r="M899" s="58"/>
      <c r="N899" s="42"/>
      <c r="O899" s="47"/>
      <c r="P899" s="46"/>
      <c r="Q899" s="58"/>
      <c r="R899" s="42"/>
      <c r="S899" s="47"/>
      <c r="T899" s="46"/>
      <c r="U899" s="58"/>
      <c r="V899" s="42"/>
      <c r="W899" s="46"/>
      <c r="X899" s="47"/>
      <c r="Y899" s="48"/>
    </row>
    <row r="900" spans="2:25" s="38" customFormat="1" x14ac:dyDescent="0.25">
      <c r="B900" s="49"/>
      <c r="C900" s="70"/>
      <c r="D900" s="42"/>
      <c r="F900" s="46"/>
      <c r="G900" s="47"/>
      <c r="H900" s="46"/>
      <c r="I900" s="58"/>
      <c r="J900" s="42"/>
      <c r="K900" s="47"/>
      <c r="L900" s="46"/>
      <c r="M900" s="58"/>
      <c r="N900" s="42"/>
      <c r="O900" s="47"/>
      <c r="P900" s="46"/>
      <c r="Q900" s="58"/>
      <c r="R900" s="42"/>
      <c r="S900" s="47"/>
      <c r="T900" s="46"/>
      <c r="U900" s="58"/>
      <c r="V900" s="42"/>
      <c r="W900" s="46"/>
      <c r="X900" s="47"/>
      <c r="Y900" s="48"/>
    </row>
    <row r="901" spans="2:25" s="38" customFormat="1" x14ac:dyDescent="0.25">
      <c r="B901" s="49"/>
      <c r="C901" s="70"/>
      <c r="D901" s="42"/>
      <c r="F901" s="46"/>
      <c r="G901" s="47"/>
      <c r="H901" s="46"/>
      <c r="I901" s="58"/>
      <c r="J901" s="42"/>
      <c r="K901" s="47"/>
      <c r="L901" s="46"/>
      <c r="M901" s="58"/>
      <c r="N901" s="42"/>
      <c r="O901" s="47"/>
      <c r="P901" s="46"/>
      <c r="Q901" s="58"/>
      <c r="R901" s="42"/>
      <c r="S901" s="47"/>
      <c r="T901" s="46"/>
      <c r="U901" s="58"/>
      <c r="V901" s="42"/>
      <c r="W901" s="46"/>
      <c r="X901" s="47"/>
      <c r="Y901" s="48"/>
    </row>
    <row r="902" spans="2:25" s="38" customFormat="1" x14ac:dyDescent="0.25">
      <c r="B902" s="49"/>
      <c r="C902" s="70"/>
      <c r="D902" s="42"/>
      <c r="F902" s="46"/>
      <c r="G902" s="47"/>
      <c r="H902" s="46"/>
      <c r="I902" s="58"/>
      <c r="J902" s="42"/>
      <c r="K902" s="47"/>
      <c r="L902" s="46"/>
      <c r="M902" s="58"/>
      <c r="N902" s="42"/>
      <c r="O902" s="47"/>
      <c r="P902" s="46"/>
      <c r="Q902" s="58"/>
      <c r="R902" s="42"/>
      <c r="S902" s="47"/>
      <c r="T902" s="46"/>
      <c r="U902" s="58"/>
      <c r="V902" s="42"/>
      <c r="W902" s="46"/>
      <c r="X902" s="47"/>
      <c r="Y902" s="48"/>
    </row>
    <row r="903" spans="2:25" s="38" customFormat="1" x14ac:dyDescent="0.25">
      <c r="B903" s="49"/>
      <c r="C903" s="70"/>
      <c r="D903" s="42"/>
      <c r="F903" s="46"/>
      <c r="G903" s="47"/>
      <c r="H903" s="46"/>
      <c r="I903" s="58"/>
      <c r="J903" s="42"/>
      <c r="K903" s="47"/>
      <c r="L903" s="46"/>
      <c r="M903" s="58"/>
      <c r="N903" s="42"/>
      <c r="O903" s="47"/>
      <c r="P903" s="46"/>
      <c r="Q903" s="58"/>
      <c r="R903" s="42"/>
      <c r="S903" s="47"/>
      <c r="T903" s="46"/>
      <c r="U903" s="58"/>
      <c r="V903" s="42"/>
      <c r="W903" s="46"/>
      <c r="X903" s="47"/>
      <c r="Y903" s="48"/>
    </row>
    <row r="904" spans="2:25" s="38" customFormat="1" x14ac:dyDescent="0.25">
      <c r="B904" s="49"/>
      <c r="C904" s="70"/>
      <c r="D904" s="42"/>
      <c r="F904" s="46"/>
      <c r="G904" s="47"/>
      <c r="H904" s="46"/>
      <c r="I904" s="58"/>
      <c r="J904" s="42"/>
      <c r="K904" s="47"/>
      <c r="L904" s="46"/>
      <c r="M904" s="58"/>
      <c r="N904" s="42"/>
      <c r="O904" s="47"/>
      <c r="P904" s="46"/>
      <c r="Q904" s="58"/>
      <c r="R904" s="42"/>
      <c r="S904" s="47"/>
      <c r="T904" s="46"/>
      <c r="U904" s="58"/>
      <c r="V904" s="42"/>
      <c r="W904" s="46"/>
      <c r="X904" s="47"/>
      <c r="Y904" s="48"/>
    </row>
    <row r="905" spans="2:25" s="38" customFormat="1" x14ac:dyDescent="0.25">
      <c r="B905" s="49"/>
      <c r="C905" s="70"/>
      <c r="D905" s="42"/>
      <c r="F905" s="46"/>
      <c r="G905" s="47"/>
      <c r="H905" s="46"/>
      <c r="I905" s="58"/>
      <c r="J905" s="42"/>
      <c r="K905" s="47"/>
      <c r="L905" s="46"/>
      <c r="M905" s="58"/>
      <c r="N905" s="42"/>
      <c r="O905" s="47"/>
      <c r="P905" s="46"/>
      <c r="Q905" s="58"/>
      <c r="R905" s="42"/>
      <c r="S905" s="47"/>
      <c r="T905" s="46"/>
      <c r="U905" s="58"/>
      <c r="V905" s="42"/>
      <c r="W905" s="46"/>
      <c r="X905" s="47"/>
      <c r="Y905" s="48"/>
    </row>
    <row r="906" spans="2:25" s="38" customFormat="1" x14ac:dyDescent="0.25">
      <c r="B906" s="49"/>
      <c r="C906" s="70"/>
      <c r="D906" s="42"/>
      <c r="F906" s="46"/>
      <c r="G906" s="47"/>
      <c r="H906" s="46"/>
      <c r="I906" s="58"/>
      <c r="J906" s="42"/>
      <c r="K906" s="47"/>
      <c r="L906" s="46"/>
      <c r="M906" s="58"/>
      <c r="N906" s="42"/>
      <c r="O906" s="47"/>
      <c r="P906" s="46"/>
      <c r="Q906" s="58"/>
      <c r="R906" s="42"/>
      <c r="S906" s="47"/>
      <c r="T906" s="46"/>
      <c r="U906" s="58"/>
      <c r="V906" s="42"/>
      <c r="W906" s="46"/>
      <c r="X906" s="47"/>
      <c r="Y906" s="48"/>
    </row>
    <row r="907" spans="2:25" s="38" customFormat="1" x14ac:dyDescent="0.25">
      <c r="B907" s="49"/>
      <c r="C907" s="70"/>
      <c r="D907" s="42"/>
      <c r="F907" s="46"/>
      <c r="G907" s="47"/>
      <c r="H907" s="46"/>
      <c r="I907" s="58"/>
      <c r="J907" s="42"/>
      <c r="K907" s="47"/>
      <c r="L907" s="46"/>
      <c r="M907" s="58"/>
      <c r="N907" s="42"/>
      <c r="O907" s="47"/>
      <c r="P907" s="46"/>
      <c r="Q907" s="58"/>
      <c r="R907" s="42"/>
      <c r="S907" s="47"/>
      <c r="T907" s="46"/>
      <c r="U907" s="58"/>
      <c r="V907" s="42"/>
      <c r="W907" s="46"/>
      <c r="X907" s="47"/>
      <c r="Y907" s="48"/>
    </row>
    <row r="908" spans="2:25" s="38" customFormat="1" x14ac:dyDescent="0.25">
      <c r="B908" s="49"/>
      <c r="C908" s="70"/>
      <c r="D908" s="42"/>
      <c r="F908" s="46"/>
      <c r="G908" s="47"/>
      <c r="H908" s="46"/>
      <c r="I908" s="58"/>
      <c r="J908" s="42"/>
      <c r="K908" s="47"/>
      <c r="L908" s="46"/>
      <c r="M908" s="58"/>
      <c r="N908" s="42"/>
      <c r="O908" s="47"/>
      <c r="P908" s="46"/>
      <c r="Q908" s="58"/>
      <c r="R908" s="42"/>
      <c r="S908" s="47"/>
      <c r="T908" s="46"/>
      <c r="U908" s="58"/>
      <c r="V908" s="42"/>
      <c r="W908" s="46"/>
      <c r="X908" s="47"/>
      <c r="Y908" s="48"/>
    </row>
    <row r="909" spans="2:25" s="38" customFormat="1" x14ac:dyDescent="0.25">
      <c r="B909" s="49"/>
      <c r="C909" s="70"/>
      <c r="D909" s="42"/>
      <c r="F909" s="46"/>
      <c r="G909" s="47"/>
      <c r="H909" s="46"/>
      <c r="I909" s="58"/>
      <c r="J909" s="42"/>
      <c r="K909" s="47"/>
      <c r="L909" s="46"/>
      <c r="M909" s="58"/>
      <c r="N909" s="42"/>
      <c r="O909" s="47"/>
      <c r="P909" s="46"/>
      <c r="Q909" s="58"/>
      <c r="R909" s="42"/>
      <c r="S909" s="47"/>
      <c r="T909" s="46"/>
      <c r="U909" s="58"/>
      <c r="V909" s="42"/>
      <c r="W909" s="46"/>
      <c r="X909" s="47"/>
      <c r="Y909" s="48"/>
    </row>
    <row r="910" spans="2:25" s="38" customFormat="1" x14ac:dyDescent="0.25">
      <c r="B910" s="49"/>
      <c r="C910" s="70"/>
      <c r="D910" s="42"/>
      <c r="F910" s="46"/>
      <c r="G910" s="47"/>
      <c r="H910" s="46"/>
      <c r="I910" s="58"/>
      <c r="J910" s="42"/>
      <c r="K910" s="47"/>
      <c r="L910" s="46"/>
      <c r="M910" s="58"/>
      <c r="N910" s="42"/>
      <c r="O910" s="47"/>
      <c r="P910" s="46"/>
      <c r="Q910" s="58"/>
      <c r="R910" s="42"/>
      <c r="S910" s="47"/>
      <c r="T910" s="46"/>
      <c r="U910" s="58"/>
      <c r="V910" s="42"/>
      <c r="W910" s="46"/>
      <c r="X910" s="47"/>
      <c r="Y910" s="48"/>
    </row>
    <row r="911" spans="2:25" s="38" customFormat="1" x14ac:dyDescent="0.25">
      <c r="B911" s="49"/>
      <c r="C911" s="70"/>
      <c r="D911" s="42"/>
      <c r="F911" s="46"/>
      <c r="G911" s="47"/>
      <c r="H911" s="46"/>
      <c r="I911" s="58"/>
      <c r="J911" s="42"/>
      <c r="K911" s="47"/>
      <c r="L911" s="46"/>
      <c r="M911" s="58"/>
      <c r="N911" s="42"/>
      <c r="O911" s="47"/>
      <c r="P911" s="46"/>
      <c r="Q911" s="58"/>
      <c r="R911" s="42"/>
      <c r="S911" s="47"/>
      <c r="T911" s="46"/>
      <c r="U911" s="58"/>
      <c r="V911" s="42"/>
      <c r="W911" s="46"/>
      <c r="X911" s="47"/>
      <c r="Y911" s="48"/>
    </row>
    <row r="912" spans="2:25" s="38" customFormat="1" x14ac:dyDescent="0.25">
      <c r="B912" s="49"/>
      <c r="C912" s="70"/>
      <c r="D912" s="42"/>
      <c r="F912" s="46"/>
      <c r="G912" s="47"/>
      <c r="H912" s="46"/>
      <c r="I912" s="58"/>
      <c r="J912" s="42"/>
      <c r="K912" s="47"/>
      <c r="L912" s="46"/>
      <c r="M912" s="58"/>
      <c r="N912" s="42"/>
      <c r="O912" s="47"/>
      <c r="P912" s="46"/>
      <c r="Q912" s="58"/>
      <c r="R912" s="42"/>
      <c r="S912" s="47"/>
      <c r="T912" s="46"/>
      <c r="U912" s="58"/>
      <c r="V912" s="42"/>
      <c r="W912" s="46"/>
      <c r="X912" s="47"/>
      <c r="Y912" s="48"/>
    </row>
    <row r="913" spans="2:25" s="38" customFormat="1" x14ac:dyDescent="0.25">
      <c r="B913" s="49"/>
      <c r="C913" s="70"/>
      <c r="D913" s="42"/>
      <c r="F913" s="46"/>
      <c r="G913" s="47"/>
      <c r="H913" s="46"/>
      <c r="I913" s="58"/>
      <c r="J913" s="42"/>
      <c r="K913" s="47"/>
      <c r="L913" s="46"/>
      <c r="M913" s="58"/>
      <c r="N913" s="42"/>
      <c r="O913" s="47"/>
      <c r="P913" s="46"/>
      <c r="Q913" s="58"/>
      <c r="R913" s="42"/>
      <c r="S913" s="47"/>
      <c r="T913" s="46"/>
      <c r="U913" s="58"/>
      <c r="V913" s="42"/>
      <c r="W913" s="46"/>
      <c r="X913" s="47"/>
      <c r="Y913" s="48"/>
    </row>
    <row r="914" spans="2:25" s="38" customFormat="1" x14ac:dyDescent="0.25">
      <c r="B914" s="49"/>
      <c r="C914" s="70"/>
      <c r="D914" s="42"/>
      <c r="F914" s="46"/>
      <c r="G914" s="47"/>
      <c r="H914" s="46"/>
      <c r="I914" s="58"/>
      <c r="J914" s="42"/>
      <c r="K914" s="47"/>
      <c r="L914" s="46"/>
      <c r="M914" s="58"/>
      <c r="N914" s="42"/>
      <c r="O914" s="47"/>
      <c r="P914" s="46"/>
      <c r="Q914" s="58"/>
      <c r="R914" s="42"/>
      <c r="S914" s="47"/>
      <c r="T914" s="46"/>
      <c r="U914" s="58"/>
      <c r="V914" s="42"/>
      <c r="W914" s="46"/>
      <c r="X914" s="47"/>
      <c r="Y914" s="48"/>
    </row>
    <row r="915" spans="2:25" s="38" customFormat="1" x14ac:dyDescent="0.25">
      <c r="B915" s="49"/>
      <c r="C915" s="70"/>
      <c r="D915" s="42"/>
      <c r="F915" s="46"/>
      <c r="G915" s="47"/>
      <c r="H915" s="46"/>
      <c r="I915" s="58"/>
      <c r="J915" s="42"/>
      <c r="K915" s="47"/>
      <c r="L915" s="46"/>
      <c r="M915" s="58"/>
      <c r="N915" s="42"/>
      <c r="O915" s="47"/>
      <c r="P915" s="46"/>
      <c r="Q915" s="58"/>
      <c r="R915" s="42"/>
      <c r="S915" s="47"/>
      <c r="T915" s="46"/>
      <c r="U915" s="58"/>
      <c r="V915" s="42"/>
      <c r="W915" s="46"/>
      <c r="X915" s="47"/>
      <c r="Y915" s="48"/>
    </row>
    <row r="916" spans="2:25" s="38" customFormat="1" x14ac:dyDescent="0.25">
      <c r="B916" s="49"/>
      <c r="C916" s="70"/>
      <c r="D916" s="42"/>
      <c r="F916" s="46"/>
      <c r="G916" s="47"/>
      <c r="H916" s="46"/>
      <c r="I916" s="58"/>
      <c r="J916" s="42"/>
      <c r="K916" s="47"/>
      <c r="L916" s="46"/>
      <c r="M916" s="58"/>
      <c r="N916" s="42"/>
      <c r="O916" s="47"/>
      <c r="P916" s="46"/>
      <c r="Q916" s="58"/>
      <c r="R916" s="42"/>
      <c r="S916" s="47"/>
      <c r="T916" s="46"/>
      <c r="U916" s="58"/>
      <c r="V916" s="42"/>
      <c r="W916" s="46"/>
      <c r="X916" s="47"/>
      <c r="Y916" s="48"/>
    </row>
    <row r="917" spans="2:25" s="38" customFormat="1" x14ac:dyDescent="0.25">
      <c r="B917" s="49"/>
      <c r="C917" s="70"/>
      <c r="D917" s="42"/>
      <c r="F917" s="46"/>
      <c r="G917" s="47"/>
      <c r="H917" s="46"/>
      <c r="I917" s="58"/>
      <c r="J917" s="42"/>
      <c r="K917" s="47"/>
      <c r="L917" s="46"/>
      <c r="M917" s="58"/>
      <c r="N917" s="42"/>
      <c r="O917" s="47"/>
      <c r="P917" s="46"/>
      <c r="Q917" s="58"/>
      <c r="R917" s="42"/>
      <c r="S917" s="47"/>
      <c r="T917" s="46"/>
      <c r="U917" s="58"/>
      <c r="V917" s="42"/>
      <c r="W917" s="46"/>
      <c r="X917" s="47"/>
      <c r="Y917" s="48"/>
    </row>
    <row r="918" spans="2:25" s="38" customFormat="1" x14ac:dyDescent="0.25">
      <c r="B918" s="49"/>
      <c r="C918" s="70"/>
      <c r="D918" s="42"/>
      <c r="F918" s="46"/>
      <c r="G918" s="47"/>
      <c r="H918" s="46"/>
      <c r="I918" s="58"/>
      <c r="J918" s="42"/>
      <c r="K918" s="47"/>
      <c r="L918" s="46"/>
      <c r="M918" s="58"/>
      <c r="N918" s="42"/>
      <c r="O918" s="47"/>
      <c r="P918" s="46"/>
      <c r="Q918" s="58"/>
      <c r="R918" s="42"/>
      <c r="S918" s="47"/>
      <c r="T918" s="46"/>
      <c r="U918" s="58"/>
      <c r="V918" s="42"/>
      <c r="W918" s="46"/>
      <c r="X918" s="47"/>
      <c r="Y918" s="48"/>
    </row>
    <row r="919" spans="2:25" s="38" customFormat="1" x14ac:dyDescent="0.25">
      <c r="B919" s="49"/>
      <c r="C919" s="70"/>
      <c r="D919" s="42"/>
      <c r="F919" s="46"/>
      <c r="G919" s="47"/>
      <c r="H919" s="46"/>
      <c r="I919" s="58"/>
      <c r="J919" s="42"/>
      <c r="K919" s="47"/>
      <c r="L919" s="46"/>
      <c r="M919" s="58"/>
      <c r="N919" s="42"/>
      <c r="O919" s="47"/>
      <c r="P919" s="46"/>
      <c r="Q919" s="58"/>
      <c r="R919" s="42"/>
      <c r="S919" s="47"/>
      <c r="T919" s="46"/>
      <c r="U919" s="58"/>
      <c r="V919" s="42"/>
      <c r="W919" s="46"/>
      <c r="X919" s="47"/>
      <c r="Y919" s="48"/>
    </row>
    <row r="920" spans="2:25" s="38" customFormat="1" x14ac:dyDescent="0.25">
      <c r="B920" s="49"/>
      <c r="C920" s="70"/>
      <c r="D920" s="42"/>
      <c r="F920" s="46"/>
      <c r="G920" s="47"/>
      <c r="H920" s="46"/>
      <c r="I920" s="58"/>
      <c r="J920" s="42"/>
      <c r="K920" s="47"/>
      <c r="L920" s="46"/>
      <c r="M920" s="58"/>
      <c r="N920" s="42"/>
      <c r="O920" s="47"/>
      <c r="P920" s="46"/>
      <c r="Q920" s="58"/>
      <c r="R920" s="42"/>
      <c r="S920" s="47"/>
      <c r="T920" s="46"/>
      <c r="U920" s="58"/>
      <c r="V920" s="42"/>
      <c r="W920" s="46"/>
      <c r="X920" s="47"/>
      <c r="Y920" s="48"/>
    </row>
    <row r="921" spans="2:25" s="38" customFormat="1" x14ac:dyDescent="0.25">
      <c r="B921" s="49"/>
      <c r="C921" s="70"/>
      <c r="D921" s="42"/>
      <c r="F921" s="46"/>
      <c r="G921" s="47"/>
      <c r="H921" s="46"/>
      <c r="I921" s="58"/>
      <c r="J921" s="42"/>
      <c r="K921" s="47"/>
      <c r="L921" s="46"/>
      <c r="M921" s="58"/>
      <c r="N921" s="42"/>
      <c r="O921" s="47"/>
      <c r="P921" s="46"/>
      <c r="Q921" s="58"/>
      <c r="R921" s="42"/>
      <c r="S921" s="47"/>
      <c r="T921" s="46"/>
      <c r="U921" s="58"/>
      <c r="V921" s="42"/>
      <c r="W921" s="46"/>
      <c r="X921" s="47"/>
      <c r="Y921" s="48"/>
    </row>
    <row r="922" spans="2:25" s="38" customFormat="1" x14ac:dyDescent="0.25">
      <c r="B922" s="49"/>
      <c r="C922" s="70"/>
      <c r="D922" s="42"/>
      <c r="F922" s="46"/>
      <c r="G922" s="47"/>
      <c r="H922" s="46"/>
      <c r="I922" s="58"/>
      <c r="J922" s="42"/>
      <c r="K922" s="47"/>
      <c r="L922" s="46"/>
      <c r="M922" s="58"/>
      <c r="N922" s="42"/>
      <c r="O922" s="47"/>
      <c r="P922" s="46"/>
      <c r="Q922" s="58"/>
      <c r="R922" s="42"/>
      <c r="S922" s="47"/>
      <c r="T922" s="46"/>
      <c r="U922" s="58"/>
      <c r="V922" s="42"/>
      <c r="W922" s="46"/>
      <c r="X922" s="47"/>
      <c r="Y922" s="48"/>
    </row>
    <row r="923" spans="2:25" s="38" customFormat="1" x14ac:dyDescent="0.25">
      <c r="B923" s="49"/>
      <c r="C923" s="70"/>
      <c r="D923" s="42"/>
      <c r="F923" s="46"/>
      <c r="G923" s="47"/>
      <c r="H923" s="46"/>
      <c r="I923" s="58"/>
      <c r="J923" s="42"/>
      <c r="K923" s="47"/>
      <c r="L923" s="46"/>
      <c r="M923" s="58"/>
      <c r="N923" s="42"/>
      <c r="O923" s="47"/>
      <c r="P923" s="46"/>
      <c r="Q923" s="58"/>
      <c r="R923" s="42"/>
      <c r="S923" s="47"/>
      <c r="T923" s="46"/>
      <c r="U923" s="58"/>
      <c r="V923" s="42"/>
      <c r="W923" s="46"/>
      <c r="X923" s="47"/>
      <c r="Y923" s="48"/>
    </row>
    <row r="924" spans="2:25" s="38" customFormat="1" x14ac:dyDescent="0.25">
      <c r="B924" s="49"/>
      <c r="C924" s="70"/>
      <c r="D924" s="42"/>
      <c r="F924" s="46"/>
      <c r="G924" s="47"/>
      <c r="H924" s="46"/>
      <c r="I924" s="58"/>
      <c r="J924" s="42"/>
      <c r="K924" s="47"/>
      <c r="L924" s="46"/>
      <c r="M924" s="58"/>
      <c r="N924" s="42"/>
      <c r="O924" s="47"/>
      <c r="P924" s="46"/>
      <c r="Q924" s="58"/>
      <c r="R924" s="42"/>
      <c r="S924" s="47"/>
      <c r="T924" s="46"/>
      <c r="U924" s="58"/>
      <c r="V924" s="42"/>
      <c r="W924" s="46"/>
      <c r="X924" s="47"/>
      <c r="Y924" s="48"/>
    </row>
    <row r="925" spans="2:25" s="38" customFormat="1" x14ac:dyDescent="0.25">
      <c r="B925" s="49"/>
      <c r="C925" s="70"/>
      <c r="D925" s="42"/>
      <c r="F925" s="46"/>
      <c r="G925" s="47"/>
      <c r="H925" s="46"/>
      <c r="I925" s="58"/>
      <c r="J925" s="42"/>
      <c r="K925" s="47"/>
      <c r="L925" s="46"/>
      <c r="M925" s="58"/>
      <c r="N925" s="42"/>
      <c r="O925" s="47"/>
      <c r="P925" s="46"/>
      <c r="Q925" s="58"/>
      <c r="R925" s="42"/>
      <c r="S925" s="47"/>
      <c r="T925" s="46"/>
      <c r="U925" s="58"/>
      <c r="V925" s="42"/>
      <c r="W925" s="46"/>
      <c r="X925" s="47"/>
      <c r="Y925" s="48"/>
    </row>
    <row r="926" spans="2:25" s="38" customFormat="1" x14ac:dyDescent="0.25">
      <c r="B926" s="49"/>
      <c r="C926" s="70"/>
      <c r="D926" s="42"/>
      <c r="F926" s="46"/>
      <c r="G926" s="47"/>
      <c r="H926" s="46"/>
      <c r="I926" s="58"/>
      <c r="J926" s="42"/>
      <c r="K926" s="47"/>
      <c r="L926" s="46"/>
      <c r="M926" s="58"/>
      <c r="N926" s="42"/>
      <c r="O926" s="47"/>
      <c r="P926" s="46"/>
      <c r="Q926" s="58"/>
      <c r="R926" s="42"/>
      <c r="S926" s="47"/>
      <c r="T926" s="46"/>
      <c r="U926" s="58"/>
      <c r="V926" s="42"/>
      <c r="W926" s="46"/>
      <c r="X926" s="47"/>
      <c r="Y926" s="48"/>
    </row>
    <row r="927" spans="2:25" s="38" customFormat="1" x14ac:dyDescent="0.25">
      <c r="B927" s="49"/>
      <c r="C927" s="70"/>
      <c r="D927" s="42"/>
      <c r="F927" s="46"/>
      <c r="G927" s="47"/>
      <c r="H927" s="46"/>
      <c r="I927" s="58"/>
      <c r="J927" s="42"/>
      <c r="K927" s="47"/>
      <c r="L927" s="46"/>
      <c r="M927" s="58"/>
      <c r="N927" s="42"/>
      <c r="O927" s="47"/>
      <c r="P927" s="46"/>
      <c r="Q927" s="58"/>
      <c r="R927" s="42"/>
      <c r="S927" s="47"/>
      <c r="T927" s="46"/>
      <c r="U927" s="58"/>
      <c r="V927" s="42"/>
      <c r="W927" s="46"/>
      <c r="X927" s="47"/>
      <c r="Y927" s="48"/>
    </row>
    <row r="928" spans="2:25" s="38" customFormat="1" x14ac:dyDescent="0.25">
      <c r="B928" s="49"/>
      <c r="C928" s="70"/>
      <c r="D928" s="42"/>
      <c r="F928" s="46"/>
      <c r="G928" s="47"/>
      <c r="H928" s="46"/>
      <c r="I928" s="58"/>
      <c r="J928" s="42"/>
      <c r="K928" s="47"/>
      <c r="L928" s="46"/>
      <c r="M928" s="58"/>
      <c r="N928" s="42"/>
      <c r="O928" s="47"/>
      <c r="P928" s="46"/>
      <c r="Q928" s="58"/>
      <c r="R928" s="42"/>
      <c r="S928" s="47"/>
      <c r="T928" s="46"/>
      <c r="U928" s="58"/>
      <c r="V928" s="42"/>
      <c r="W928" s="46"/>
      <c r="X928" s="47"/>
      <c r="Y928" s="48"/>
    </row>
    <row r="929" spans="2:25" s="38" customFormat="1" x14ac:dyDescent="0.25">
      <c r="B929" s="49"/>
      <c r="C929" s="70"/>
      <c r="D929" s="42"/>
      <c r="F929" s="46"/>
      <c r="G929" s="47"/>
      <c r="H929" s="46"/>
      <c r="I929" s="58"/>
      <c r="J929" s="42"/>
      <c r="K929" s="47"/>
      <c r="L929" s="46"/>
      <c r="M929" s="58"/>
      <c r="N929" s="42"/>
      <c r="O929" s="47"/>
      <c r="P929" s="46"/>
      <c r="Q929" s="58"/>
      <c r="R929" s="42"/>
      <c r="S929" s="47"/>
      <c r="T929" s="46"/>
      <c r="U929" s="58"/>
      <c r="V929" s="42"/>
      <c r="W929" s="46"/>
      <c r="X929" s="47"/>
      <c r="Y929" s="48"/>
    </row>
    <row r="930" spans="2:25" s="38" customFormat="1" x14ac:dyDescent="0.25">
      <c r="B930" s="49"/>
      <c r="C930" s="70"/>
      <c r="D930" s="42"/>
      <c r="F930" s="46"/>
      <c r="G930" s="47"/>
      <c r="H930" s="46"/>
      <c r="I930" s="58"/>
      <c r="J930" s="42"/>
      <c r="K930" s="47"/>
      <c r="L930" s="46"/>
      <c r="M930" s="58"/>
      <c r="N930" s="42"/>
      <c r="O930" s="47"/>
      <c r="P930" s="46"/>
      <c r="Q930" s="58"/>
      <c r="R930" s="42"/>
      <c r="S930" s="47"/>
      <c r="T930" s="46"/>
      <c r="U930" s="58"/>
      <c r="V930" s="42"/>
      <c r="W930" s="46"/>
      <c r="X930" s="47"/>
      <c r="Y930" s="48"/>
    </row>
    <row r="931" spans="2:25" s="38" customFormat="1" x14ac:dyDescent="0.25">
      <c r="B931" s="49"/>
      <c r="C931" s="70"/>
      <c r="D931" s="42"/>
      <c r="F931" s="46"/>
      <c r="G931" s="47"/>
      <c r="H931" s="46"/>
      <c r="I931" s="58"/>
      <c r="J931" s="42"/>
      <c r="K931" s="47"/>
      <c r="L931" s="46"/>
      <c r="M931" s="58"/>
      <c r="N931" s="42"/>
      <c r="O931" s="47"/>
      <c r="P931" s="46"/>
      <c r="Q931" s="58"/>
      <c r="R931" s="42"/>
      <c r="S931" s="47"/>
      <c r="T931" s="46"/>
      <c r="U931" s="58"/>
      <c r="V931" s="42"/>
      <c r="W931" s="46"/>
      <c r="X931" s="47"/>
      <c r="Y931" s="48"/>
    </row>
    <row r="932" spans="2:25" s="38" customFormat="1" x14ac:dyDescent="0.25">
      <c r="B932" s="49"/>
      <c r="C932" s="70"/>
      <c r="D932" s="42"/>
      <c r="F932" s="46"/>
      <c r="G932" s="47"/>
      <c r="H932" s="46"/>
      <c r="I932" s="58"/>
      <c r="J932" s="42"/>
      <c r="K932" s="47"/>
      <c r="L932" s="46"/>
      <c r="M932" s="58"/>
      <c r="N932" s="42"/>
      <c r="O932" s="47"/>
      <c r="P932" s="46"/>
      <c r="Q932" s="58"/>
      <c r="R932" s="42"/>
      <c r="S932" s="47"/>
      <c r="T932" s="46"/>
      <c r="U932" s="58"/>
      <c r="V932" s="42"/>
      <c r="W932" s="46"/>
      <c r="X932" s="47"/>
      <c r="Y932" s="48"/>
    </row>
    <row r="933" spans="2:25" s="38" customFormat="1" x14ac:dyDescent="0.25">
      <c r="B933" s="49"/>
      <c r="C933" s="70"/>
      <c r="D933" s="42"/>
      <c r="F933" s="46"/>
      <c r="G933" s="47"/>
      <c r="H933" s="46"/>
      <c r="I933" s="58"/>
      <c r="J933" s="42"/>
      <c r="K933" s="47"/>
      <c r="L933" s="46"/>
      <c r="M933" s="58"/>
      <c r="N933" s="42"/>
      <c r="O933" s="47"/>
      <c r="P933" s="46"/>
      <c r="Q933" s="58"/>
      <c r="R933" s="42"/>
      <c r="S933" s="47"/>
      <c r="T933" s="46"/>
      <c r="U933" s="58"/>
      <c r="V933" s="42"/>
      <c r="W933" s="46"/>
      <c r="X933" s="47"/>
      <c r="Y933" s="48"/>
    </row>
    <row r="934" spans="2:25" s="38" customFormat="1" x14ac:dyDescent="0.25">
      <c r="B934" s="49"/>
      <c r="C934" s="70"/>
      <c r="D934" s="42"/>
      <c r="F934" s="46"/>
      <c r="G934" s="47"/>
      <c r="H934" s="46"/>
      <c r="I934" s="58"/>
      <c r="J934" s="42"/>
      <c r="K934" s="47"/>
      <c r="L934" s="46"/>
      <c r="M934" s="58"/>
      <c r="N934" s="42"/>
      <c r="O934" s="47"/>
      <c r="P934" s="46"/>
      <c r="Q934" s="58"/>
      <c r="R934" s="42"/>
      <c r="S934" s="47"/>
      <c r="T934" s="46"/>
      <c r="U934" s="58"/>
      <c r="V934" s="42"/>
      <c r="W934" s="46"/>
      <c r="X934" s="47"/>
      <c r="Y934" s="48"/>
    </row>
    <row r="935" spans="2:25" s="38" customFormat="1" x14ac:dyDescent="0.25">
      <c r="B935" s="49"/>
      <c r="C935" s="70"/>
      <c r="D935" s="42"/>
      <c r="F935" s="46"/>
      <c r="G935" s="47"/>
      <c r="H935" s="46"/>
      <c r="I935" s="58"/>
      <c r="J935" s="42"/>
      <c r="K935" s="47"/>
      <c r="L935" s="46"/>
      <c r="M935" s="58"/>
      <c r="N935" s="42"/>
      <c r="O935" s="47"/>
      <c r="P935" s="46"/>
      <c r="Q935" s="58"/>
      <c r="R935" s="42"/>
      <c r="S935" s="47"/>
      <c r="T935" s="46"/>
      <c r="U935" s="58"/>
      <c r="V935" s="42"/>
      <c r="W935" s="46"/>
      <c r="X935" s="47"/>
      <c r="Y935" s="48"/>
    </row>
    <row r="936" spans="2:25" s="38" customFormat="1" x14ac:dyDescent="0.25">
      <c r="B936" s="49"/>
      <c r="C936" s="70"/>
      <c r="D936" s="42"/>
      <c r="F936" s="46"/>
      <c r="G936" s="47"/>
      <c r="H936" s="46"/>
      <c r="I936" s="58"/>
      <c r="J936" s="42"/>
      <c r="K936" s="47"/>
      <c r="L936" s="46"/>
      <c r="M936" s="58"/>
      <c r="N936" s="42"/>
      <c r="O936" s="47"/>
      <c r="P936" s="46"/>
      <c r="Q936" s="58"/>
      <c r="R936" s="42"/>
      <c r="S936" s="47"/>
      <c r="T936" s="46"/>
      <c r="U936" s="58"/>
      <c r="V936" s="42"/>
      <c r="W936" s="46"/>
      <c r="X936" s="47"/>
      <c r="Y936" s="48"/>
    </row>
    <row r="937" spans="2:25" s="38" customFormat="1" x14ac:dyDescent="0.25">
      <c r="B937" s="49"/>
      <c r="C937" s="70"/>
      <c r="D937" s="42"/>
      <c r="F937" s="46"/>
      <c r="G937" s="47"/>
      <c r="H937" s="46"/>
      <c r="I937" s="58"/>
      <c r="J937" s="42"/>
      <c r="K937" s="47"/>
      <c r="L937" s="46"/>
      <c r="M937" s="58"/>
      <c r="N937" s="42"/>
      <c r="O937" s="47"/>
      <c r="P937" s="46"/>
      <c r="Q937" s="58"/>
      <c r="R937" s="42"/>
      <c r="S937" s="47"/>
      <c r="T937" s="46"/>
      <c r="U937" s="58"/>
      <c r="V937" s="42"/>
      <c r="W937" s="46"/>
      <c r="X937" s="47"/>
      <c r="Y937" s="48"/>
    </row>
    <row r="938" spans="2:25" s="38" customFormat="1" x14ac:dyDescent="0.25">
      <c r="B938" s="49"/>
      <c r="C938" s="70"/>
      <c r="D938" s="42"/>
      <c r="F938" s="46"/>
      <c r="G938" s="47"/>
      <c r="H938" s="46"/>
      <c r="I938" s="58"/>
      <c r="J938" s="42"/>
      <c r="K938" s="47"/>
      <c r="L938" s="46"/>
      <c r="M938" s="58"/>
      <c r="N938" s="42"/>
      <c r="O938" s="47"/>
      <c r="P938" s="46"/>
      <c r="Q938" s="58"/>
      <c r="R938" s="42"/>
      <c r="S938" s="47"/>
      <c r="T938" s="46"/>
      <c r="U938" s="58"/>
      <c r="V938" s="42"/>
      <c r="W938" s="46"/>
      <c r="X938" s="47"/>
      <c r="Y938" s="48"/>
    </row>
    <row r="939" spans="2:25" s="38" customFormat="1" x14ac:dyDescent="0.25">
      <c r="B939" s="49"/>
      <c r="C939" s="70"/>
      <c r="D939" s="42"/>
      <c r="F939" s="46"/>
      <c r="G939" s="47"/>
      <c r="H939" s="46"/>
      <c r="I939" s="58"/>
      <c r="J939" s="42"/>
      <c r="K939" s="47"/>
      <c r="L939" s="46"/>
      <c r="M939" s="58"/>
      <c r="N939" s="42"/>
      <c r="O939" s="47"/>
      <c r="P939" s="46"/>
      <c r="Q939" s="58"/>
      <c r="R939" s="42"/>
      <c r="S939" s="47"/>
      <c r="T939" s="46"/>
      <c r="U939" s="58"/>
      <c r="V939" s="42"/>
      <c r="W939" s="46"/>
      <c r="X939" s="47"/>
      <c r="Y939" s="48"/>
    </row>
    <row r="940" spans="2:25" s="38" customFormat="1" x14ac:dyDescent="0.25">
      <c r="B940" s="49"/>
      <c r="C940" s="70"/>
      <c r="D940" s="42"/>
      <c r="F940" s="46"/>
      <c r="G940" s="47"/>
      <c r="H940" s="46"/>
      <c r="I940" s="58"/>
      <c r="J940" s="42"/>
      <c r="K940" s="47"/>
      <c r="L940" s="46"/>
      <c r="M940" s="58"/>
      <c r="N940" s="42"/>
      <c r="O940" s="47"/>
      <c r="P940" s="46"/>
      <c r="Q940" s="58"/>
      <c r="R940" s="42"/>
      <c r="S940" s="47"/>
      <c r="T940" s="46"/>
      <c r="U940" s="58"/>
      <c r="V940" s="42"/>
      <c r="W940" s="46"/>
      <c r="X940" s="47"/>
      <c r="Y940" s="48"/>
    </row>
    <row r="941" spans="2:25" s="38" customFormat="1" x14ac:dyDescent="0.25">
      <c r="B941" s="49"/>
      <c r="C941" s="70"/>
      <c r="D941" s="42"/>
      <c r="F941" s="46"/>
      <c r="G941" s="47"/>
      <c r="H941" s="46"/>
      <c r="I941" s="58"/>
      <c r="J941" s="42"/>
      <c r="K941" s="47"/>
      <c r="L941" s="46"/>
      <c r="M941" s="58"/>
      <c r="N941" s="42"/>
      <c r="O941" s="47"/>
      <c r="P941" s="46"/>
      <c r="Q941" s="58"/>
      <c r="R941" s="42"/>
      <c r="S941" s="47"/>
      <c r="T941" s="46"/>
      <c r="U941" s="58"/>
      <c r="V941" s="42"/>
      <c r="W941" s="46"/>
      <c r="X941" s="47"/>
      <c r="Y941" s="48"/>
    </row>
    <row r="942" spans="2:25" s="38" customFormat="1" x14ac:dyDescent="0.25">
      <c r="B942" s="49"/>
      <c r="C942" s="70"/>
      <c r="D942" s="42"/>
      <c r="F942" s="46"/>
      <c r="G942" s="47"/>
      <c r="H942" s="46"/>
      <c r="I942" s="58"/>
      <c r="J942" s="42"/>
      <c r="K942" s="47"/>
      <c r="L942" s="46"/>
      <c r="M942" s="58"/>
      <c r="N942" s="42"/>
      <c r="O942" s="47"/>
      <c r="P942" s="46"/>
      <c r="Q942" s="58"/>
      <c r="R942" s="42"/>
      <c r="S942" s="47"/>
      <c r="T942" s="46"/>
      <c r="U942" s="58"/>
      <c r="V942" s="42"/>
      <c r="W942" s="46"/>
      <c r="X942" s="47"/>
      <c r="Y942" s="48"/>
    </row>
    <row r="943" spans="2:25" s="38" customFormat="1" x14ac:dyDescent="0.25">
      <c r="B943" s="49"/>
      <c r="C943" s="70"/>
      <c r="D943" s="42"/>
      <c r="F943" s="46"/>
      <c r="G943" s="47"/>
      <c r="H943" s="46"/>
      <c r="I943" s="58"/>
      <c r="J943" s="42"/>
      <c r="K943" s="47"/>
      <c r="L943" s="46"/>
      <c r="M943" s="58"/>
      <c r="N943" s="42"/>
      <c r="O943" s="47"/>
      <c r="P943" s="46"/>
      <c r="Q943" s="58"/>
      <c r="R943" s="42"/>
      <c r="S943" s="47"/>
      <c r="T943" s="46"/>
      <c r="U943" s="58"/>
      <c r="V943" s="42"/>
      <c r="W943" s="46"/>
      <c r="X943" s="47"/>
      <c r="Y943" s="48"/>
    </row>
    <row r="944" spans="2:25" s="38" customFormat="1" x14ac:dyDescent="0.25">
      <c r="B944" s="49"/>
      <c r="C944" s="70"/>
      <c r="D944" s="42"/>
      <c r="F944" s="46"/>
      <c r="G944" s="47"/>
      <c r="H944" s="46"/>
      <c r="I944" s="58"/>
      <c r="J944" s="42"/>
      <c r="K944" s="47"/>
      <c r="L944" s="46"/>
      <c r="M944" s="58"/>
      <c r="N944" s="42"/>
      <c r="O944" s="47"/>
      <c r="P944" s="46"/>
      <c r="Q944" s="58"/>
      <c r="R944" s="42"/>
      <c r="S944" s="47"/>
      <c r="T944" s="46"/>
      <c r="U944" s="58"/>
      <c r="V944" s="42"/>
      <c r="W944" s="46"/>
      <c r="X944" s="47"/>
      <c r="Y944" s="48"/>
    </row>
    <row r="945" spans="2:25" s="38" customFormat="1" x14ac:dyDescent="0.25">
      <c r="B945" s="49"/>
      <c r="C945" s="70"/>
      <c r="D945" s="42"/>
      <c r="F945" s="46"/>
      <c r="G945" s="47"/>
      <c r="H945" s="46"/>
      <c r="I945" s="58"/>
      <c r="J945" s="42"/>
      <c r="K945" s="47"/>
      <c r="L945" s="46"/>
      <c r="M945" s="58"/>
      <c r="N945" s="42"/>
      <c r="O945" s="47"/>
      <c r="P945" s="46"/>
      <c r="Q945" s="58"/>
      <c r="R945" s="42"/>
      <c r="S945" s="47"/>
      <c r="T945" s="46"/>
      <c r="U945" s="58"/>
      <c r="V945" s="42"/>
      <c r="W945" s="46"/>
      <c r="X945" s="47"/>
      <c r="Y945" s="48"/>
    </row>
    <row r="946" spans="2:25" s="38" customFormat="1" x14ac:dyDescent="0.25">
      <c r="B946" s="49"/>
      <c r="C946" s="70"/>
      <c r="D946" s="42"/>
      <c r="F946" s="46"/>
      <c r="G946" s="47"/>
      <c r="H946" s="46"/>
      <c r="I946" s="58"/>
      <c r="J946" s="42"/>
      <c r="K946" s="47"/>
      <c r="L946" s="46"/>
      <c r="M946" s="58"/>
      <c r="N946" s="42"/>
      <c r="O946" s="47"/>
      <c r="P946" s="46"/>
      <c r="Q946" s="58"/>
      <c r="R946" s="42"/>
      <c r="S946" s="47"/>
      <c r="T946" s="46"/>
      <c r="U946" s="58"/>
      <c r="V946" s="42"/>
      <c r="W946" s="46"/>
      <c r="X946" s="47"/>
      <c r="Y946" s="48"/>
    </row>
    <row r="947" spans="2:25" s="38" customFormat="1" x14ac:dyDescent="0.25">
      <c r="B947" s="49"/>
      <c r="C947" s="70"/>
      <c r="D947" s="42"/>
      <c r="F947" s="46"/>
      <c r="G947" s="47"/>
      <c r="H947" s="46"/>
      <c r="I947" s="58"/>
      <c r="J947" s="42"/>
      <c r="K947" s="47"/>
      <c r="L947" s="46"/>
      <c r="M947" s="58"/>
      <c r="N947" s="42"/>
      <c r="O947" s="47"/>
      <c r="P947" s="46"/>
      <c r="Q947" s="58"/>
      <c r="R947" s="42"/>
      <c r="S947" s="47"/>
      <c r="T947" s="46"/>
      <c r="U947" s="58"/>
      <c r="V947" s="42"/>
      <c r="W947" s="46"/>
      <c r="X947" s="47"/>
      <c r="Y947" s="48"/>
    </row>
    <row r="948" spans="2:25" s="38" customFormat="1" x14ac:dyDescent="0.25">
      <c r="B948" s="49"/>
      <c r="C948" s="70"/>
      <c r="D948" s="42"/>
      <c r="F948" s="46"/>
      <c r="G948" s="47"/>
      <c r="H948" s="46"/>
      <c r="I948" s="58"/>
      <c r="J948" s="42"/>
      <c r="K948" s="47"/>
      <c r="L948" s="46"/>
      <c r="M948" s="58"/>
      <c r="N948" s="42"/>
      <c r="O948" s="47"/>
      <c r="P948" s="46"/>
      <c r="Q948" s="58"/>
      <c r="R948" s="42"/>
      <c r="S948" s="47"/>
      <c r="T948" s="46"/>
      <c r="U948" s="58"/>
      <c r="V948" s="42"/>
      <c r="W948" s="46"/>
      <c r="X948" s="47"/>
      <c r="Y948" s="48"/>
    </row>
    <row r="949" spans="2:25" s="38" customFormat="1" x14ac:dyDescent="0.25">
      <c r="B949" s="49"/>
      <c r="C949" s="70"/>
      <c r="D949" s="42"/>
      <c r="F949" s="46"/>
      <c r="G949" s="47"/>
      <c r="H949" s="46"/>
      <c r="I949" s="58"/>
      <c r="J949" s="42"/>
      <c r="K949" s="47"/>
      <c r="L949" s="46"/>
      <c r="M949" s="58"/>
      <c r="N949" s="42"/>
      <c r="O949" s="47"/>
      <c r="P949" s="46"/>
      <c r="Q949" s="58"/>
      <c r="R949" s="42"/>
      <c r="S949" s="47"/>
      <c r="T949" s="46"/>
      <c r="U949" s="58"/>
      <c r="V949" s="42"/>
      <c r="W949" s="46"/>
      <c r="X949" s="47"/>
      <c r="Y949" s="48"/>
    </row>
    <row r="950" spans="2:25" s="38" customFormat="1" x14ac:dyDescent="0.25">
      <c r="B950" s="49"/>
      <c r="C950" s="70"/>
      <c r="D950" s="42"/>
      <c r="F950" s="46"/>
      <c r="G950" s="47"/>
      <c r="H950" s="46"/>
      <c r="I950" s="58"/>
      <c r="J950" s="42"/>
      <c r="K950" s="47"/>
      <c r="L950" s="46"/>
      <c r="M950" s="58"/>
      <c r="N950" s="42"/>
      <c r="O950" s="47"/>
      <c r="P950" s="46"/>
      <c r="Q950" s="58"/>
      <c r="R950" s="42"/>
      <c r="S950" s="47"/>
      <c r="T950" s="46"/>
      <c r="U950" s="58"/>
      <c r="V950" s="42"/>
      <c r="W950" s="46"/>
      <c r="X950" s="47"/>
      <c r="Y950" s="48"/>
    </row>
    <row r="951" spans="2:25" s="38" customFormat="1" x14ac:dyDescent="0.25">
      <c r="B951" s="49"/>
      <c r="C951" s="70"/>
      <c r="D951" s="42"/>
      <c r="F951" s="46"/>
      <c r="G951" s="47"/>
      <c r="H951" s="46"/>
      <c r="I951" s="58"/>
      <c r="J951" s="42"/>
      <c r="K951" s="47"/>
      <c r="L951" s="46"/>
      <c r="M951" s="58"/>
      <c r="N951" s="42"/>
      <c r="O951" s="47"/>
      <c r="P951" s="46"/>
      <c r="Q951" s="58"/>
      <c r="R951" s="42"/>
      <c r="S951" s="47"/>
      <c r="T951" s="46"/>
      <c r="U951" s="58"/>
      <c r="V951" s="42"/>
      <c r="W951" s="46"/>
      <c r="X951" s="47"/>
      <c r="Y951" s="48"/>
    </row>
    <row r="952" spans="2:25" s="38" customFormat="1" x14ac:dyDescent="0.25">
      <c r="B952" s="49"/>
      <c r="C952" s="70"/>
      <c r="D952" s="42"/>
      <c r="F952" s="46"/>
      <c r="G952" s="47"/>
      <c r="H952" s="46"/>
      <c r="I952" s="58"/>
      <c r="J952" s="42"/>
      <c r="K952" s="47"/>
      <c r="L952" s="46"/>
      <c r="M952" s="58"/>
      <c r="N952" s="42"/>
      <c r="O952" s="47"/>
      <c r="P952" s="46"/>
      <c r="Q952" s="58"/>
      <c r="R952" s="42"/>
      <c r="S952" s="47"/>
      <c r="T952" s="46"/>
      <c r="U952" s="58"/>
      <c r="V952" s="42"/>
      <c r="W952" s="46"/>
      <c r="X952" s="47"/>
      <c r="Y952" s="48"/>
    </row>
    <row r="953" spans="2:25" s="38" customFormat="1" x14ac:dyDescent="0.25">
      <c r="B953" s="49"/>
      <c r="C953" s="70"/>
      <c r="D953" s="42"/>
      <c r="F953" s="46"/>
      <c r="G953" s="47"/>
      <c r="H953" s="46"/>
      <c r="I953" s="58"/>
      <c r="J953" s="42"/>
      <c r="K953" s="47"/>
      <c r="L953" s="46"/>
      <c r="M953" s="58"/>
      <c r="N953" s="42"/>
      <c r="O953" s="47"/>
      <c r="P953" s="46"/>
      <c r="Q953" s="58"/>
      <c r="R953" s="42"/>
      <c r="S953" s="47"/>
      <c r="T953" s="46"/>
      <c r="U953" s="58"/>
      <c r="V953" s="42"/>
      <c r="W953" s="46"/>
      <c r="X953" s="47"/>
      <c r="Y953" s="48"/>
    </row>
    <row r="954" spans="2:25" s="38" customFormat="1" x14ac:dyDescent="0.25">
      <c r="B954" s="49"/>
      <c r="C954" s="70"/>
      <c r="D954" s="42"/>
      <c r="F954" s="46"/>
      <c r="G954" s="47"/>
      <c r="H954" s="46"/>
      <c r="I954" s="58"/>
      <c r="J954" s="42"/>
      <c r="K954" s="47"/>
      <c r="L954" s="46"/>
      <c r="M954" s="58"/>
      <c r="N954" s="42"/>
      <c r="O954" s="47"/>
      <c r="P954" s="46"/>
      <c r="Q954" s="58"/>
      <c r="R954" s="42"/>
      <c r="S954" s="47"/>
      <c r="T954" s="46"/>
      <c r="U954" s="58"/>
      <c r="V954" s="42"/>
      <c r="W954" s="46"/>
      <c r="X954" s="47"/>
      <c r="Y954" s="48"/>
    </row>
    <row r="955" spans="2:25" s="38" customFormat="1" x14ac:dyDescent="0.25">
      <c r="B955" s="49"/>
      <c r="C955" s="70"/>
      <c r="D955" s="42"/>
      <c r="F955" s="46"/>
      <c r="G955" s="47"/>
      <c r="H955" s="46"/>
      <c r="I955" s="58"/>
      <c r="J955" s="42"/>
      <c r="K955" s="47"/>
      <c r="L955" s="46"/>
      <c r="M955" s="58"/>
      <c r="N955" s="42"/>
      <c r="O955" s="47"/>
      <c r="P955" s="46"/>
      <c r="Q955" s="58"/>
      <c r="R955" s="42"/>
      <c r="S955" s="47"/>
      <c r="T955" s="46"/>
      <c r="U955" s="58"/>
      <c r="V955" s="42"/>
      <c r="W955" s="46"/>
      <c r="X955" s="47"/>
      <c r="Y955" s="48"/>
    </row>
    <row r="956" spans="2:25" s="38" customFormat="1" x14ac:dyDescent="0.25">
      <c r="B956" s="49"/>
      <c r="C956" s="70"/>
      <c r="D956" s="42"/>
      <c r="F956" s="46"/>
      <c r="G956" s="47"/>
      <c r="H956" s="46"/>
      <c r="I956" s="58"/>
      <c r="J956" s="42"/>
      <c r="K956" s="47"/>
      <c r="L956" s="46"/>
      <c r="M956" s="58"/>
      <c r="N956" s="42"/>
      <c r="O956" s="47"/>
      <c r="P956" s="46"/>
      <c r="Q956" s="58"/>
      <c r="R956" s="42"/>
      <c r="S956" s="47"/>
      <c r="T956" s="46"/>
      <c r="U956" s="58"/>
      <c r="V956" s="42"/>
      <c r="W956" s="46"/>
      <c r="X956" s="47"/>
      <c r="Y956" s="48"/>
    </row>
    <row r="957" spans="2:25" s="38" customFormat="1" x14ac:dyDescent="0.25">
      <c r="B957" s="49"/>
      <c r="C957" s="70"/>
      <c r="D957" s="42"/>
      <c r="F957" s="46"/>
      <c r="G957" s="47"/>
      <c r="H957" s="46"/>
      <c r="I957" s="58"/>
      <c r="J957" s="42"/>
      <c r="K957" s="47"/>
      <c r="L957" s="46"/>
      <c r="M957" s="58"/>
      <c r="N957" s="42"/>
      <c r="O957" s="47"/>
      <c r="P957" s="46"/>
      <c r="Q957" s="58"/>
      <c r="R957" s="42"/>
      <c r="S957" s="47"/>
      <c r="T957" s="46"/>
      <c r="U957" s="58"/>
      <c r="V957" s="42"/>
      <c r="W957" s="46"/>
      <c r="X957" s="47"/>
      <c r="Y957" s="48"/>
    </row>
    <row r="958" spans="2:25" s="38" customFormat="1" x14ac:dyDescent="0.25">
      <c r="B958" s="49"/>
      <c r="C958" s="70"/>
      <c r="D958" s="42"/>
      <c r="F958" s="46"/>
      <c r="G958" s="47"/>
      <c r="H958" s="46"/>
      <c r="I958" s="58"/>
      <c r="J958" s="42"/>
      <c r="K958" s="47"/>
      <c r="L958" s="46"/>
      <c r="M958" s="58"/>
      <c r="N958" s="42"/>
      <c r="O958" s="47"/>
      <c r="P958" s="46"/>
      <c r="Q958" s="58"/>
      <c r="R958" s="42"/>
      <c r="S958" s="47"/>
      <c r="T958" s="46"/>
      <c r="U958" s="58"/>
      <c r="V958" s="42"/>
      <c r="W958" s="46"/>
      <c r="X958" s="47"/>
      <c r="Y958" s="48"/>
    </row>
    <row r="959" spans="2:25" s="38" customFormat="1" x14ac:dyDescent="0.25">
      <c r="B959" s="49"/>
      <c r="C959" s="70"/>
      <c r="D959" s="42"/>
      <c r="F959" s="46"/>
      <c r="G959" s="47"/>
      <c r="H959" s="46"/>
      <c r="I959" s="58"/>
      <c r="J959" s="42"/>
      <c r="K959" s="47"/>
      <c r="L959" s="46"/>
      <c r="M959" s="58"/>
      <c r="N959" s="42"/>
      <c r="O959" s="47"/>
      <c r="P959" s="46"/>
      <c r="Q959" s="58"/>
      <c r="R959" s="42"/>
      <c r="S959" s="47"/>
      <c r="T959" s="46"/>
      <c r="U959" s="58"/>
      <c r="V959" s="42"/>
      <c r="W959" s="46"/>
      <c r="X959" s="47"/>
      <c r="Y959" s="48"/>
    </row>
    <row r="960" spans="2:25" s="38" customFormat="1" x14ac:dyDescent="0.25">
      <c r="B960" s="49"/>
      <c r="C960" s="70"/>
      <c r="D960" s="42"/>
      <c r="F960" s="46"/>
      <c r="G960" s="47"/>
      <c r="H960" s="46"/>
      <c r="I960" s="58"/>
      <c r="J960" s="42"/>
      <c r="K960" s="47"/>
      <c r="L960" s="46"/>
      <c r="M960" s="58"/>
      <c r="N960" s="42"/>
      <c r="O960" s="47"/>
      <c r="P960" s="46"/>
      <c r="Q960" s="58"/>
      <c r="R960" s="42"/>
      <c r="S960" s="47"/>
      <c r="T960" s="46"/>
      <c r="U960" s="58"/>
      <c r="V960" s="42"/>
      <c r="W960" s="46"/>
      <c r="X960" s="47"/>
      <c r="Y960" s="48"/>
    </row>
    <row r="961" spans="2:25" s="38" customFormat="1" x14ac:dyDescent="0.25">
      <c r="B961" s="49"/>
      <c r="C961" s="70"/>
      <c r="D961" s="42"/>
      <c r="F961" s="46"/>
      <c r="G961" s="47"/>
      <c r="H961" s="46"/>
      <c r="I961" s="58"/>
      <c r="J961" s="42"/>
      <c r="K961" s="47"/>
      <c r="L961" s="46"/>
      <c r="M961" s="58"/>
      <c r="N961" s="42"/>
      <c r="O961" s="47"/>
      <c r="P961" s="46"/>
      <c r="Q961" s="58"/>
      <c r="R961" s="42"/>
      <c r="S961" s="47"/>
      <c r="T961" s="46"/>
      <c r="U961" s="58"/>
      <c r="V961" s="42"/>
      <c r="W961" s="46"/>
      <c r="X961" s="47"/>
      <c r="Y961" s="48"/>
    </row>
    <row r="962" spans="2:25" s="38" customFormat="1" x14ac:dyDescent="0.25">
      <c r="B962" s="49"/>
      <c r="C962" s="70"/>
      <c r="D962" s="42"/>
      <c r="F962" s="46"/>
      <c r="G962" s="47"/>
      <c r="H962" s="46"/>
      <c r="I962" s="58"/>
      <c r="J962" s="42"/>
      <c r="K962" s="47"/>
      <c r="L962" s="46"/>
      <c r="M962" s="58"/>
      <c r="N962" s="42"/>
      <c r="O962" s="47"/>
      <c r="P962" s="46"/>
      <c r="Q962" s="58"/>
      <c r="R962" s="42"/>
      <c r="S962" s="47"/>
      <c r="T962" s="46"/>
      <c r="U962" s="58"/>
      <c r="V962" s="42"/>
      <c r="W962" s="46"/>
      <c r="X962" s="47"/>
      <c r="Y962" s="48"/>
    </row>
    <row r="963" spans="2:25" s="38" customFormat="1" x14ac:dyDescent="0.25">
      <c r="B963" s="49"/>
      <c r="C963" s="70"/>
      <c r="D963" s="42"/>
      <c r="F963" s="46"/>
      <c r="G963" s="47"/>
      <c r="H963" s="46"/>
      <c r="I963" s="58"/>
      <c r="J963" s="42"/>
      <c r="K963" s="47"/>
      <c r="L963" s="46"/>
      <c r="M963" s="58"/>
      <c r="N963" s="42"/>
      <c r="O963" s="47"/>
      <c r="P963" s="46"/>
      <c r="Q963" s="58"/>
      <c r="R963" s="42"/>
      <c r="S963" s="47"/>
      <c r="T963" s="46"/>
      <c r="U963" s="58"/>
      <c r="V963" s="42"/>
      <c r="W963" s="46"/>
      <c r="X963" s="47"/>
      <c r="Y963" s="48"/>
    </row>
    <row r="964" spans="2:25" s="38" customFormat="1" x14ac:dyDescent="0.25">
      <c r="B964" s="49"/>
      <c r="C964" s="70"/>
      <c r="D964" s="42"/>
      <c r="F964" s="46"/>
      <c r="G964" s="47"/>
      <c r="H964" s="46"/>
      <c r="I964" s="58"/>
      <c r="J964" s="42"/>
      <c r="K964" s="47"/>
      <c r="L964" s="46"/>
      <c r="M964" s="58"/>
      <c r="N964" s="42"/>
      <c r="O964" s="47"/>
      <c r="P964" s="46"/>
      <c r="Q964" s="58"/>
      <c r="R964" s="42"/>
      <c r="S964" s="47"/>
      <c r="T964" s="46"/>
      <c r="U964" s="58"/>
      <c r="V964" s="42"/>
      <c r="W964" s="46"/>
      <c r="X964" s="47"/>
      <c r="Y964" s="48"/>
    </row>
    <row r="965" spans="2:25" s="38" customFormat="1" x14ac:dyDescent="0.25">
      <c r="B965" s="49"/>
      <c r="C965" s="70"/>
      <c r="D965" s="42"/>
      <c r="F965" s="46"/>
      <c r="G965" s="47"/>
      <c r="H965" s="46"/>
      <c r="I965" s="58"/>
      <c r="J965" s="42"/>
      <c r="K965" s="47"/>
      <c r="L965" s="46"/>
      <c r="M965" s="58"/>
      <c r="N965" s="42"/>
      <c r="O965" s="47"/>
      <c r="P965" s="46"/>
      <c r="Q965" s="58"/>
      <c r="R965" s="42"/>
      <c r="S965" s="47"/>
      <c r="T965" s="46"/>
      <c r="U965" s="58"/>
      <c r="V965" s="42"/>
      <c r="W965" s="46"/>
      <c r="X965" s="47"/>
      <c r="Y965" s="48"/>
    </row>
    <row r="966" spans="2:25" s="38" customFormat="1" x14ac:dyDescent="0.25">
      <c r="B966" s="49"/>
      <c r="C966" s="70"/>
      <c r="D966" s="42"/>
      <c r="F966" s="46"/>
      <c r="G966" s="47"/>
      <c r="H966" s="46"/>
      <c r="I966" s="58"/>
      <c r="J966" s="42"/>
      <c r="K966" s="47"/>
      <c r="L966" s="46"/>
      <c r="M966" s="58"/>
      <c r="N966" s="42"/>
      <c r="O966" s="47"/>
      <c r="P966" s="46"/>
      <c r="Q966" s="58"/>
      <c r="R966" s="42"/>
      <c r="S966" s="47"/>
      <c r="T966" s="46"/>
      <c r="U966" s="58"/>
      <c r="V966" s="42"/>
      <c r="W966" s="46"/>
      <c r="X966" s="47"/>
      <c r="Y966" s="48"/>
    </row>
    <row r="967" spans="2:25" s="38" customFormat="1" x14ac:dyDescent="0.25">
      <c r="B967" s="49"/>
      <c r="C967" s="70"/>
      <c r="D967" s="42"/>
      <c r="F967" s="46"/>
      <c r="G967" s="47"/>
      <c r="H967" s="46"/>
      <c r="I967" s="58"/>
      <c r="J967" s="42"/>
      <c r="K967" s="47"/>
      <c r="L967" s="46"/>
      <c r="M967" s="58"/>
      <c r="N967" s="42"/>
      <c r="O967" s="47"/>
      <c r="P967" s="46"/>
      <c r="Q967" s="58"/>
      <c r="R967" s="42"/>
      <c r="S967" s="47"/>
      <c r="T967" s="46"/>
      <c r="U967" s="58"/>
      <c r="V967" s="42"/>
      <c r="W967" s="46"/>
      <c r="X967" s="47"/>
      <c r="Y967" s="48"/>
    </row>
    <row r="968" spans="2:25" s="38" customFormat="1" x14ac:dyDescent="0.25">
      <c r="B968" s="49"/>
      <c r="C968" s="70"/>
      <c r="D968" s="42"/>
      <c r="F968" s="46"/>
      <c r="G968" s="47"/>
      <c r="H968" s="46"/>
      <c r="I968" s="58"/>
      <c r="J968" s="42"/>
      <c r="K968" s="47"/>
      <c r="L968" s="46"/>
      <c r="M968" s="58"/>
      <c r="N968" s="42"/>
      <c r="O968" s="47"/>
      <c r="P968" s="46"/>
      <c r="Q968" s="58"/>
      <c r="R968" s="42"/>
      <c r="S968" s="47"/>
      <c r="T968" s="46"/>
      <c r="U968" s="58"/>
      <c r="V968" s="42"/>
      <c r="W968" s="46"/>
      <c r="X968" s="47"/>
      <c r="Y968" s="48"/>
    </row>
    <row r="969" spans="2:25" s="38" customFormat="1" x14ac:dyDescent="0.25">
      <c r="B969" s="49"/>
      <c r="C969" s="70"/>
      <c r="D969" s="42"/>
      <c r="F969" s="46"/>
      <c r="G969" s="47"/>
      <c r="H969" s="46"/>
      <c r="I969" s="58"/>
      <c r="J969" s="42"/>
      <c r="K969" s="47"/>
      <c r="L969" s="46"/>
      <c r="M969" s="58"/>
      <c r="N969" s="42"/>
      <c r="O969" s="47"/>
      <c r="P969" s="46"/>
      <c r="Q969" s="58"/>
      <c r="R969" s="42"/>
      <c r="S969" s="47"/>
      <c r="T969" s="46"/>
      <c r="U969" s="58"/>
      <c r="V969" s="42"/>
      <c r="W969" s="46"/>
      <c r="X969" s="47"/>
      <c r="Y969" s="48"/>
    </row>
    <row r="970" spans="2:25" s="38" customFormat="1" x14ac:dyDescent="0.25">
      <c r="B970" s="49"/>
      <c r="C970" s="70"/>
      <c r="D970" s="42"/>
      <c r="F970" s="46"/>
      <c r="G970" s="47"/>
      <c r="H970" s="46"/>
      <c r="I970" s="58"/>
      <c r="J970" s="42"/>
      <c r="K970" s="47"/>
      <c r="L970" s="46"/>
      <c r="M970" s="58"/>
      <c r="N970" s="42"/>
      <c r="O970" s="47"/>
      <c r="P970" s="46"/>
      <c r="Q970" s="58"/>
      <c r="R970" s="42"/>
      <c r="S970" s="47"/>
      <c r="T970" s="46"/>
      <c r="U970" s="58"/>
      <c r="V970" s="42"/>
      <c r="W970" s="46"/>
      <c r="X970" s="47"/>
      <c r="Y970" s="48"/>
    </row>
    <row r="971" spans="2:25" s="38" customFormat="1" x14ac:dyDescent="0.25">
      <c r="B971" s="49"/>
      <c r="C971" s="70"/>
      <c r="D971" s="42"/>
      <c r="F971" s="46"/>
      <c r="G971" s="47"/>
      <c r="H971" s="46"/>
      <c r="I971" s="58"/>
      <c r="J971" s="42"/>
      <c r="K971" s="47"/>
      <c r="L971" s="46"/>
      <c r="M971" s="58"/>
      <c r="N971" s="42"/>
      <c r="O971" s="47"/>
      <c r="P971" s="46"/>
      <c r="Q971" s="58"/>
      <c r="R971" s="42"/>
      <c r="S971" s="47"/>
      <c r="T971" s="46"/>
      <c r="U971" s="58"/>
      <c r="V971" s="42"/>
      <c r="W971" s="46"/>
      <c r="X971" s="47"/>
      <c r="Y971" s="48"/>
    </row>
    <row r="972" spans="2:25" s="38" customFormat="1" x14ac:dyDescent="0.25">
      <c r="B972" s="49"/>
      <c r="C972" s="70"/>
      <c r="D972" s="42"/>
      <c r="F972" s="46"/>
      <c r="G972" s="47"/>
      <c r="H972" s="46"/>
      <c r="I972" s="58"/>
      <c r="J972" s="42"/>
      <c r="K972" s="47"/>
      <c r="L972" s="46"/>
      <c r="M972" s="58"/>
      <c r="N972" s="42"/>
      <c r="O972" s="47"/>
      <c r="P972" s="46"/>
      <c r="Q972" s="58"/>
      <c r="R972" s="42"/>
      <c r="S972" s="47"/>
      <c r="T972" s="46"/>
      <c r="U972" s="58"/>
      <c r="V972" s="42"/>
      <c r="W972" s="46"/>
      <c r="X972" s="47"/>
      <c r="Y972" s="48"/>
    </row>
    <row r="973" spans="2:25" s="38" customFormat="1" x14ac:dyDescent="0.25">
      <c r="B973" s="49"/>
      <c r="C973" s="70"/>
      <c r="D973" s="42"/>
      <c r="F973" s="46"/>
      <c r="G973" s="47"/>
      <c r="H973" s="46"/>
      <c r="I973" s="58"/>
      <c r="J973" s="42"/>
      <c r="K973" s="47"/>
      <c r="L973" s="46"/>
      <c r="M973" s="58"/>
      <c r="N973" s="42"/>
      <c r="O973" s="47"/>
      <c r="P973" s="46"/>
      <c r="Q973" s="58"/>
      <c r="R973" s="42"/>
      <c r="S973" s="47"/>
      <c r="T973" s="46"/>
      <c r="U973" s="58"/>
      <c r="V973" s="42"/>
      <c r="W973" s="46"/>
      <c r="X973" s="47"/>
      <c r="Y973" s="48"/>
    </row>
    <row r="974" spans="2:25" s="38" customFormat="1" x14ac:dyDescent="0.25">
      <c r="B974" s="49"/>
      <c r="C974" s="70"/>
      <c r="D974" s="42"/>
      <c r="F974" s="46"/>
      <c r="G974" s="47"/>
      <c r="H974" s="46"/>
      <c r="I974" s="58"/>
      <c r="J974" s="42"/>
      <c r="K974" s="47"/>
      <c r="L974" s="46"/>
      <c r="M974" s="58"/>
      <c r="N974" s="42"/>
      <c r="O974" s="47"/>
      <c r="P974" s="46"/>
      <c r="Q974" s="58"/>
      <c r="R974" s="42"/>
      <c r="S974" s="47"/>
      <c r="T974" s="46"/>
      <c r="U974" s="58"/>
      <c r="V974" s="42"/>
      <c r="W974" s="46"/>
      <c r="X974" s="47"/>
      <c r="Y974" s="48"/>
    </row>
    <row r="975" spans="2:25" s="38" customFormat="1" x14ac:dyDescent="0.25">
      <c r="B975" s="49"/>
      <c r="C975" s="70"/>
      <c r="D975" s="42"/>
      <c r="F975" s="46"/>
      <c r="G975" s="47"/>
      <c r="H975" s="46"/>
      <c r="I975" s="58"/>
      <c r="J975" s="42"/>
      <c r="K975" s="47"/>
      <c r="L975" s="46"/>
      <c r="M975" s="58"/>
      <c r="N975" s="42"/>
      <c r="O975" s="47"/>
      <c r="P975" s="46"/>
      <c r="Q975" s="58"/>
      <c r="R975" s="42"/>
      <c r="S975" s="47"/>
      <c r="T975" s="46"/>
      <c r="U975" s="58"/>
      <c r="V975" s="42"/>
      <c r="W975" s="46"/>
      <c r="X975" s="47"/>
      <c r="Y975" s="48"/>
    </row>
    <row r="976" spans="2:25" s="38" customFormat="1" x14ac:dyDescent="0.25">
      <c r="B976" s="49"/>
      <c r="C976" s="70"/>
      <c r="D976" s="42"/>
      <c r="F976" s="46"/>
      <c r="G976" s="47"/>
      <c r="H976" s="46"/>
      <c r="I976" s="58"/>
      <c r="J976" s="42"/>
      <c r="K976" s="47"/>
      <c r="L976" s="46"/>
      <c r="M976" s="58"/>
      <c r="N976" s="42"/>
      <c r="O976" s="47"/>
      <c r="P976" s="46"/>
      <c r="Q976" s="58"/>
      <c r="R976" s="42"/>
      <c r="S976" s="47"/>
      <c r="T976" s="46"/>
      <c r="U976" s="58"/>
      <c r="V976" s="42"/>
      <c r="W976" s="46"/>
      <c r="X976" s="47"/>
      <c r="Y976" s="48"/>
    </row>
    <row r="977" spans="2:25" s="38" customFormat="1" x14ac:dyDescent="0.25">
      <c r="B977" s="49"/>
      <c r="C977" s="70"/>
      <c r="D977" s="42"/>
      <c r="F977" s="46"/>
      <c r="G977" s="47"/>
      <c r="H977" s="46"/>
      <c r="I977" s="58"/>
      <c r="J977" s="42"/>
      <c r="K977" s="47"/>
      <c r="L977" s="46"/>
      <c r="M977" s="58"/>
      <c r="N977" s="42"/>
      <c r="O977" s="47"/>
      <c r="P977" s="46"/>
      <c r="Q977" s="58"/>
      <c r="R977" s="42"/>
      <c r="S977" s="47"/>
      <c r="T977" s="46"/>
      <c r="U977" s="58"/>
      <c r="V977" s="42"/>
      <c r="W977" s="46"/>
      <c r="X977" s="47"/>
      <c r="Y977" s="48"/>
    </row>
    <row r="978" spans="2:25" s="38" customFormat="1" x14ac:dyDescent="0.25">
      <c r="B978" s="49"/>
      <c r="C978" s="70"/>
      <c r="D978" s="42"/>
      <c r="F978" s="46"/>
      <c r="G978" s="47"/>
      <c r="H978" s="46"/>
      <c r="I978" s="58"/>
      <c r="J978" s="42"/>
      <c r="K978" s="47"/>
      <c r="L978" s="46"/>
      <c r="M978" s="58"/>
      <c r="N978" s="42"/>
      <c r="O978" s="47"/>
      <c r="P978" s="46"/>
      <c r="Q978" s="58"/>
      <c r="R978" s="42"/>
      <c r="S978" s="47"/>
      <c r="T978" s="46"/>
      <c r="U978" s="58"/>
      <c r="V978" s="42"/>
      <c r="W978" s="46"/>
      <c r="X978" s="47"/>
      <c r="Y978" s="48"/>
    </row>
    <row r="979" spans="2:25" s="38" customFormat="1" x14ac:dyDescent="0.25">
      <c r="B979" s="49"/>
      <c r="C979" s="70"/>
      <c r="D979" s="42"/>
      <c r="F979" s="46"/>
      <c r="G979" s="47"/>
      <c r="H979" s="46"/>
      <c r="I979" s="58"/>
      <c r="J979" s="42"/>
      <c r="K979" s="47"/>
      <c r="L979" s="46"/>
      <c r="M979" s="58"/>
      <c r="N979" s="42"/>
      <c r="O979" s="47"/>
      <c r="P979" s="46"/>
      <c r="Q979" s="58"/>
      <c r="R979" s="42"/>
      <c r="S979" s="47"/>
      <c r="T979" s="46"/>
      <c r="U979" s="58"/>
      <c r="V979" s="42"/>
      <c r="W979" s="46"/>
      <c r="X979" s="47"/>
      <c r="Y979" s="48"/>
    </row>
    <row r="980" spans="2:25" s="38" customFormat="1" x14ac:dyDescent="0.25">
      <c r="B980" s="49"/>
      <c r="C980" s="70"/>
      <c r="D980" s="42"/>
      <c r="F980" s="46"/>
      <c r="G980" s="47"/>
      <c r="H980" s="46"/>
      <c r="I980" s="58"/>
      <c r="J980" s="42"/>
      <c r="K980" s="47"/>
      <c r="L980" s="46"/>
      <c r="M980" s="58"/>
      <c r="N980" s="42"/>
      <c r="O980" s="47"/>
      <c r="P980" s="46"/>
      <c r="Q980" s="58"/>
      <c r="R980" s="42"/>
      <c r="S980" s="47"/>
      <c r="T980" s="46"/>
      <c r="U980" s="58"/>
      <c r="V980" s="42"/>
      <c r="W980" s="46"/>
      <c r="X980" s="47"/>
      <c r="Y980" s="48"/>
    </row>
    <row r="981" spans="2:25" s="38" customFormat="1" x14ac:dyDescent="0.25">
      <c r="B981" s="49"/>
      <c r="C981" s="70"/>
      <c r="D981" s="42"/>
      <c r="F981" s="46"/>
      <c r="G981" s="47"/>
      <c r="H981" s="46"/>
      <c r="I981" s="58"/>
      <c r="J981" s="42"/>
      <c r="K981" s="47"/>
      <c r="L981" s="46"/>
      <c r="M981" s="58"/>
      <c r="N981" s="42"/>
      <c r="O981" s="47"/>
      <c r="P981" s="46"/>
      <c r="Q981" s="58"/>
      <c r="R981" s="42"/>
      <c r="S981" s="47"/>
      <c r="T981" s="46"/>
      <c r="U981" s="58"/>
      <c r="V981" s="42"/>
      <c r="W981" s="46"/>
      <c r="X981" s="47"/>
      <c r="Y981" s="48"/>
    </row>
    <row r="982" spans="2:25" s="38" customFormat="1" x14ac:dyDescent="0.25">
      <c r="B982" s="49"/>
      <c r="C982" s="70"/>
      <c r="D982" s="42"/>
      <c r="F982" s="46"/>
      <c r="G982" s="47"/>
      <c r="H982" s="46"/>
      <c r="I982" s="58"/>
      <c r="J982" s="42"/>
      <c r="K982" s="47"/>
      <c r="L982" s="46"/>
      <c r="M982" s="58"/>
      <c r="N982" s="42"/>
      <c r="O982" s="47"/>
      <c r="P982" s="46"/>
      <c r="Q982" s="58"/>
      <c r="R982" s="42"/>
      <c r="S982" s="47"/>
      <c r="T982" s="46"/>
      <c r="U982" s="58"/>
      <c r="V982" s="42"/>
      <c r="W982" s="46"/>
      <c r="X982" s="47"/>
      <c r="Y982" s="48"/>
    </row>
    <row r="983" spans="2:25" s="38" customFormat="1" x14ac:dyDescent="0.25">
      <c r="B983" s="49"/>
      <c r="C983" s="70"/>
      <c r="D983" s="42"/>
      <c r="F983" s="46"/>
      <c r="G983" s="47"/>
      <c r="H983" s="46"/>
      <c r="I983" s="58"/>
      <c r="J983" s="42"/>
      <c r="K983" s="47"/>
      <c r="L983" s="46"/>
      <c r="M983" s="58"/>
      <c r="N983" s="42"/>
      <c r="O983" s="47"/>
      <c r="P983" s="46"/>
      <c r="Q983" s="58"/>
      <c r="R983" s="42"/>
      <c r="S983" s="47"/>
      <c r="T983" s="46"/>
      <c r="U983" s="58"/>
      <c r="V983" s="42"/>
      <c r="W983" s="46"/>
      <c r="X983" s="47"/>
      <c r="Y983" s="48"/>
    </row>
    <row r="984" spans="2:25" s="38" customFormat="1" x14ac:dyDescent="0.25">
      <c r="B984" s="49"/>
      <c r="C984" s="70"/>
      <c r="D984" s="42"/>
      <c r="F984" s="46"/>
      <c r="G984" s="47"/>
      <c r="H984" s="46"/>
      <c r="I984" s="58"/>
      <c r="J984" s="42"/>
      <c r="K984" s="47"/>
      <c r="L984" s="46"/>
      <c r="M984" s="58"/>
      <c r="N984" s="42"/>
      <c r="O984" s="47"/>
      <c r="P984" s="46"/>
      <c r="Q984" s="58"/>
      <c r="R984" s="42"/>
      <c r="S984" s="47"/>
      <c r="T984" s="46"/>
      <c r="U984" s="58"/>
      <c r="V984" s="42"/>
      <c r="W984" s="46"/>
      <c r="X984" s="47"/>
      <c r="Y984" s="48"/>
    </row>
    <row r="985" spans="2:25" s="38" customFormat="1" x14ac:dyDescent="0.25">
      <c r="B985" s="49"/>
      <c r="C985" s="70"/>
      <c r="D985" s="42"/>
      <c r="F985" s="46"/>
      <c r="G985" s="47"/>
      <c r="H985" s="46"/>
      <c r="I985" s="58"/>
      <c r="J985" s="42"/>
      <c r="K985" s="47"/>
      <c r="L985" s="46"/>
      <c r="M985" s="58"/>
      <c r="N985" s="42"/>
      <c r="O985" s="47"/>
      <c r="P985" s="46"/>
      <c r="Q985" s="58"/>
      <c r="R985" s="42"/>
      <c r="S985" s="47"/>
      <c r="T985" s="46"/>
      <c r="U985" s="58"/>
      <c r="V985" s="42"/>
      <c r="W985" s="46"/>
      <c r="X985" s="47"/>
      <c r="Y985" s="48"/>
    </row>
    <row r="986" spans="2:25" s="38" customFormat="1" x14ac:dyDescent="0.25">
      <c r="B986" s="49"/>
      <c r="C986" s="70"/>
      <c r="D986" s="42"/>
      <c r="F986" s="46"/>
      <c r="G986" s="47"/>
      <c r="H986" s="46"/>
      <c r="I986" s="58"/>
      <c r="J986" s="42"/>
      <c r="K986" s="47"/>
      <c r="L986" s="46"/>
      <c r="M986" s="58"/>
      <c r="N986" s="42"/>
      <c r="O986" s="47"/>
      <c r="P986" s="46"/>
      <c r="Q986" s="58"/>
      <c r="R986" s="42"/>
      <c r="S986" s="47"/>
      <c r="T986" s="46"/>
      <c r="U986" s="58"/>
      <c r="V986" s="42"/>
      <c r="W986" s="46"/>
      <c r="X986" s="47"/>
      <c r="Y986" s="48"/>
    </row>
    <row r="987" spans="2:25" s="38" customFormat="1" x14ac:dyDescent="0.25">
      <c r="B987" s="49"/>
      <c r="C987" s="70"/>
      <c r="D987" s="42"/>
      <c r="F987" s="46"/>
      <c r="G987" s="47"/>
      <c r="H987" s="46"/>
      <c r="I987" s="58"/>
      <c r="J987" s="42"/>
      <c r="K987" s="47"/>
      <c r="L987" s="46"/>
      <c r="M987" s="58"/>
      <c r="N987" s="42"/>
      <c r="O987" s="47"/>
      <c r="P987" s="46"/>
      <c r="Q987" s="58"/>
      <c r="R987" s="42"/>
      <c r="S987" s="47"/>
      <c r="T987" s="46"/>
      <c r="U987" s="58"/>
      <c r="V987" s="42"/>
      <c r="W987" s="46"/>
      <c r="X987" s="47"/>
      <c r="Y987" s="48"/>
    </row>
    <row r="988" spans="2:25" s="38" customFormat="1" x14ac:dyDescent="0.25">
      <c r="B988" s="49"/>
      <c r="C988" s="70"/>
      <c r="D988" s="42"/>
      <c r="F988" s="46"/>
      <c r="G988" s="47"/>
      <c r="H988" s="46"/>
      <c r="I988" s="58"/>
      <c r="J988" s="42"/>
      <c r="K988" s="47"/>
      <c r="L988" s="46"/>
      <c r="M988" s="58"/>
      <c r="N988" s="42"/>
      <c r="O988" s="47"/>
      <c r="P988" s="46"/>
      <c r="Q988" s="58"/>
      <c r="R988" s="42"/>
      <c r="S988" s="47"/>
      <c r="T988" s="46"/>
      <c r="U988" s="58"/>
      <c r="V988" s="42"/>
      <c r="W988" s="46"/>
      <c r="X988" s="47"/>
      <c r="Y988" s="48"/>
    </row>
    <row r="989" spans="2:25" s="38" customFormat="1" x14ac:dyDescent="0.25">
      <c r="B989" s="49"/>
      <c r="C989" s="70"/>
      <c r="D989" s="42"/>
      <c r="F989" s="46"/>
      <c r="G989" s="47"/>
      <c r="H989" s="46"/>
      <c r="I989" s="58"/>
      <c r="J989" s="42"/>
      <c r="K989" s="47"/>
      <c r="L989" s="46"/>
      <c r="M989" s="58"/>
      <c r="N989" s="42"/>
      <c r="O989" s="47"/>
      <c r="P989" s="46"/>
      <c r="Q989" s="58"/>
      <c r="R989" s="42"/>
      <c r="S989" s="47"/>
      <c r="T989" s="46"/>
      <c r="U989" s="58"/>
      <c r="V989" s="42"/>
      <c r="W989" s="46"/>
      <c r="X989" s="47"/>
      <c r="Y989" s="48"/>
    </row>
    <row r="990" spans="2:25" s="38" customFormat="1" x14ac:dyDescent="0.25">
      <c r="B990" s="49"/>
      <c r="C990" s="70"/>
      <c r="D990" s="42"/>
      <c r="F990" s="46"/>
      <c r="G990" s="47"/>
      <c r="H990" s="46"/>
      <c r="I990" s="58"/>
      <c r="J990" s="42"/>
      <c r="K990" s="47"/>
      <c r="L990" s="46"/>
      <c r="M990" s="58"/>
      <c r="N990" s="42"/>
      <c r="O990" s="47"/>
      <c r="P990" s="46"/>
      <c r="Q990" s="58"/>
      <c r="R990" s="42"/>
      <c r="S990" s="47"/>
      <c r="T990" s="46"/>
      <c r="U990" s="58"/>
      <c r="V990" s="42"/>
      <c r="W990" s="46"/>
      <c r="X990" s="47"/>
      <c r="Y990" s="48"/>
    </row>
    <row r="991" spans="2:25" s="38" customFormat="1" x14ac:dyDescent="0.25">
      <c r="B991" s="49"/>
      <c r="C991" s="70"/>
      <c r="D991" s="42"/>
      <c r="F991" s="46"/>
      <c r="G991" s="47"/>
      <c r="H991" s="46"/>
      <c r="I991" s="58"/>
      <c r="J991" s="42"/>
      <c r="K991" s="47"/>
      <c r="L991" s="46"/>
      <c r="M991" s="58"/>
      <c r="N991" s="42"/>
      <c r="O991" s="47"/>
      <c r="P991" s="46"/>
      <c r="Q991" s="58"/>
      <c r="R991" s="42"/>
      <c r="S991" s="47"/>
      <c r="T991" s="46"/>
      <c r="U991" s="58"/>
      <c r="V991" s="42"/>
      <c r="W991" s="46"/>
      <c r="X991" s="47"/>
      <c r="Y991" s="48"/>
    </row>
    <row r="992" spans="2:25" s="38" customFormat="1" x14ac:dyDescent="0.25">
      <c r="B992" s="49"/>
      <c r="C992" s="70"/>
      <c r="D992" s="42"/>
      <c r="F992" s="46"/>
      <c r="G992" s="47"/>
      <c r="H992" s="46"/>
      <c r="I992" s="58"/>
      <c r="J992" s="42"/>
      <c r="K992" s="47"/>
      <c r="L992" s="46"/>
      <c r="M992" s="58"/>
      <c r="N992" s="42"/>
      <c r="O992" s="47"/>
      <c r="P992" s="46"/>
      <c r="Q992" s="58"/>
      <c r="R992" s="42"/>
      <c r="S992" s="47"/>
      <c r="T992" s="46"/>
      <c r="U992" s="58"/>
      <c r="V992" s="42"/>
      <c r="W992" s="46"/>
      <c r="X992" s="47"/>
      <c r="Y992" s="48"/>
    </row>
    <row r="993" spans="2:25" s="38" customFormat="1" x14ac:dyDescent="0.25">
      <c r="B993" s="49"/>
      <c r="C993" s="70"/>
      <c r="D993" s="42"/>
      <c r="F993" s="46"/>
      <c r="G993" s="47"/>
      <c r="H993" s="46"/>
      <c r="I993" s="58"/>
      <c r="J993" s="42"/>
      <c r="K993" s="47"/>
      <c r="L993" s="46"/>
      <c r="M993" s="58"/>
      <c r="N993" s="42"/>
      <c r="O993" s="47"/>
      <c r="P993" s="46"/>
      <c r="Q993" s="58"/>
      <c r="R993" s="42"/>
      <c r="S993" s="47"/>
      <c r="T993" s="46"/>
      <c r="U993" s="58"/>
      <c r="V993" s="42"/>
      <c r="W993" s="46"/>
      <c r="X993" s="47"/>
      <c r="Y993" s="48"/>
    </row>
    <row r="994" spans="2:25" s="38" customFormat="1" x14ac:dyDescent="0.25">
      <c r="B994" s="49"/>
      <c r="C994" s="70"/>
      <c r="D994" s="42"/>
      <c r="F994" s="46"/>
      <c r="G994" s="47"/>
      <c r="H994" s="46"/>
      <c r="I994" s="58"/>
      <c r="J994" s="42"/>
      <c r="K994" s="47"/>
      <c r="L994" s="46"/>
      <c r="M994" s="58"/>
      <c r="N994" s="42"/>
      <c r="O994" s="47"/>
      <c r="P994" s="46"/>
      <c r="Q994" s="58"/>
      <c r="R994" s="42"/>
      <c r="S994" s="47"/>
      <c r="T994" s="46"/>
      <c r="U994" s="58"/>
      <c r="V994" s="42"/>
      <c r="W994" s="46"/>
      <c r="X994" s="47"/>
      <c r="Y994" s="48"/>
    </row>
    <row r="995" spans="2:25" s="38" customFormat="1" x14ac:dyDescent="0.25">
      <c r="B995" s="49"/>
      <c r="C995" s="70"/>
      <c r="D995" s="42"/>
      <c r="F995" s="46"/>
      <c r="G995" s="47"/>
      <c r="H995" s="46"/>
      <c r="I995" s="58"/>
      <c r="J995" s="42"/>
      <c r="K995" s="47"/>
      <c r="L995" s="46"/>
      <c r="M995" s="58"/>
      <c r="N995" s="42"/>
      <c r="O995" s="47"/>
      <c r="P995" s="46"/>
      <c r="Q995" s="58"/>
      <c r="R995" s="42"/>
      <c r="S995" s="47"/>
      <c r="T995" s="46"/>
      <c r="U995" s="58"/>
      <c r="V995" s="42"/>
      <c r="W995" s="46"/>
      <c r="X995" s="47"/>
      <c r="Y995" s="48"/>
    </row>
    <row r="996" spans="2:25" s="38" customFormat="1" x14ac:dyDescent="0.25">
      <c r="B996" s="49"/>
      <c r="C996" s="70"/>
      <c r="D996" s="42"/>
      <c r="F996" s="46"/>
      <c r="G996" s="47"/>
      <c r="H996" s="46"/>
      <c r="I996" s="58"/>
      <c r="J996" s="42"/>
      <c r="K996" s="47"/>
      <c r="L996" s="46"/>
      <c r="M996" s="58"/>
      <c r="N996" s="42"/>
      <c r="O996" s="47"/>
      <c r="P996" s="46"/>
      <c r="Q996" s="58"/>
      <c r="R996" s="42"/>
      <c r="S996" s="47"/>
      <c r="T996" s="46"/>
      <c r="U996" s="58"/>
      <c r="V996" s="42"/>
      <c r="W996" s="46"/>
      <c r="X996" s="47"/>
      <c r="Y996" s="48"/>
    </row>
    <row r="997" spans="2:25" s="38" customFormat="1" x14ac:dyDescent="0.25">
      <c r="B997" s="49"/>
      <c r="C997" s="70"/>
      <c r="D997" s="42"/>
      <c r="F997" s="46"/>
      <c r="G997" s="47"/>
      <c r="H997" s="46"/>
      <c r="I997" s="58"/>
      <c r="J997" s="42"/>
      <c r="K997" s="47"/>
      <c r="L997" s="46"/>
      <c r="M997" s="58"/>
      <c r="N997" s="42"/>
      <c r="O997" s="47"/>
      <c r="P997" s="46"/>
      <c r="Q997" s="58"/>
      <c r="R997" s="42"/>
      <c r="S997" s="47"/>
      <c r="T997" s="46"/>
      <c r="U997" s="58"/>
      <c r="V997" s="42"/>
      <c r="W997" s="46"/>
      <c r="X997" s="47"/>
      <c r="Y997" s="48"/>
    </row>
    <row r="998" spans="2:25" s="38" customFormat="1" x14ac:dyDescent="0.25">
      <c r="B998" s="49"/>
      <c r="C998" s="70"/>
      <c r="D998" s="42"/>
      <c r="F998" s="46"/>
      <c r="G998" s="47"/>
      <c r="H998" s="46"/>
      <c r="I998" s="58"/>
      <c r="J998" s="42"/>
      <c r="K998" s="47"/>
      <c r="L998" s="46"/>
      <c r="M998" s="58"/>
      <c r="N998" s="42"/>
      <c r="O998" s="47"/>
      <c r="P998" s="46"/>
      <c r="Q998" s="58"/>
      <c r="R998" s="42"/>
      <c r="S998" s="47"/>
      <c r="T998" s="46"/>
      <c r="U998" s="58"/>
      <c r="V998" s="42"/>
      <c r="W998" s="46"/>
      <c r="X998" s="47"/>
      <c r="Y998" s="48"/>
    </row>
    <row r="999" spans="2:25" s="38" customFormat="1" x14ac:dyDescent="0.25">
      <c r="B999" s="49"/>
      <c r="C999" s="70"/>
      <c r="D999" s="42"/>
      <c r="F999" s="46"/>
      <c r="G999" s="47"/>
      <c r="H999" s="46"/>
      <c r="I999" s="58"/>
      <c r="J999" s="42"/>
      <c r="K999" s="47"/>
      <c r="L999" s="46"/>
      <c r="M999" s="58"/>
      <c r="N999" s="42"/>
      <c r="O999" s="47"/>
      <c r="P999" s="46"/>
      <c r="Q999" s="58"/>
      <c r="R999" s="42"/>
      <c r="S999" s="47"/>
      <c r="T999" s="46"/>
      <c r="U999" s="58"/>
      <c r="V999" s="42"/>
      <c r="W999" s="46"/>
      <c r="X999" s="47"/>
      <c r="Y999" s="48"/>
    </row>
    <row r="1000" spans="2:25" s="38" customFormat="1" x14ac:dyDescent="0.25">
      <c r="B1000" s="49"/>
      <c r="C1000" s="70"/>
      <c r="D1000" s="42"/>
      <c r="F1000" s="46"/>
      <c r="G1000" s="47"/>
      <c r="H1000" s="46"/>
      <c r="I1000" s="58"/>
      <c r="J1000" s="42"/>
      <c r="K1000" s="47"/>
      <c r="L1000" s="46"/>
      <c r="M1000" s="58"/>
      <c r="N1000" s="42"/>
      <c r="O1000" s="47"/>
      <c r="P1000" s="46"/>
      <c r="Q1000" s="58"/>
      <c r="R1000" s="42"/>
      <c r="S1000" s="47"/>
      <c r="T1000" s="46"/>
      <c r="U1000" s="58"/>
      <c r="V1000" s="42"/>
      <c r="W1000" s="46"/>
      <c r="X1000" s="47"/>
      <c r="Y1000" s="48"/>
    </row>
    <row r="1001" spans="2:25" s="38" customFormat="1" x14ac:dyDescent="0.25">
      <c r="B1001" s="49"/>
      <c r="C1001" s="70"/>
      <c r="D1001" s="42"/>
      <c r="F1001" s="46"/>
      <c r="G1001" s="47"/>
      <c r="H1001" s="46"/>
      <c r="I1001" s="58"/>
      <c r="J1001" s="42"/>
      <c r="K1001" s="47"/>
      <c r="L1001" s="46"/>
      <c r="M1001" s="58"/>
      <c r="N1001" s="42"/>
      <c r="O1001" s="47"/>
      <c r="P1001" s="46"/>
      <c r="Q1001" s="58"/>
      <c r="R1001" s="42"/>
      <c r="S1001" s="47"/>
      <c r="T1001" s="46"/>
      <c r="U1001" s="58"/>
      <c r="V1001" s="42"/>
      <c r="W1001" s="46"/>
      <c r="X1001" s="47"/>
      <c r="Y1001" s="48"/>
    </row>
    <row r="1002" spans="2:25" s="38" customFormat="1" x14ac:dyDescent="0.25">
      <c r="B1002" s="49"/>
      <c r="C1002" s="70"/>
      <c r="D1002" s="42"/>
      <c r="F1002" s="46"/>
      <c r="G1002" s="47"/>
      <c r="H1002" s="46"/>
      <c r="I1002" s="58"/>
      <c r="J1002" s="42"/>
      <c r="K1002" s="47"/>
      <c r="L1002" s="46"/>
      <c r="M1002" s="58"/>
      <c r="N1002" s="42"/>
      <c r="O1002" s="47"/>
      <c r="P1002" s="46"/>
      <c r="Q1002" s="58"/>
      <c r="R1002" s="42"/>
      <c r="S1002" s="47"/>
      <c r="T1002" s="46"/>
      <c r="U1002" s="58"/>
      <c r="V1002" s="42"/>
      <c r="W1002" s="46"/>
      <c r="X1002" s="47"/>
      <c r="Y1002" s="48"/>
    </row>
    <row r="1003" spans="2:25" s="38" customFormat="1" x14ac:dyDescent="0.25">
      <c r="B1003" s="49"/>
      <c r="C1003" s="70"/>
      <c r="D1003" s="42"/>
      <c r="F1003" s="46"/>
      <c r="G1003" s="47"/>
      <c r="H1003" s="46"/>
      <c r="I1003" s="58"/>
      <c r="J1003" s="42"/>
      <c r="K1003" s="47"/>
      <c r="L1003" s="46"/>
      <c r="M1003" s="58"/>
      <c r="N1003" s="42"/>
      <c r="O1003" s="47"/>
      <c r="P1003" s="46"/>
      <c r="Q1003" s="58"/>
      <c r="R1003" s="42"/>
      <c r="S1003" s="47"/>
      <c r="T1003" s="46"/>
      <c r="U1003" s="58"/>
      <c r="V1003" s="42"/>
      <c r="W1003" s="46"/>
      <c r="X1003" s="47"/>
      <c r="Y1003" s="48"/>
    </row>
    <row r="1004" spans="2:25" s="38" customFormat="1" x14ac:dyDescent="0.25">
      <c r="B1004" s="49"/>
      <c r="C1004" s="70"/>
      <c r="D1004" s="42"/>
      <c r="F1004" s="46"/>
      <c r="G1004" s="47"/>
      <c r="H1004" s="46"/>
      <c r="I1004" s="58"/>
      <c r="J1004" s="42"/>
      <c r="K1004" s="47"/>
      <c r="L1004" s="46"/>
      <c r="M1004" s="58"/>
      <c r="N1004" s="42"/>
      <c r="O1004" s="47"/>
      <c r="P1004" s="46"/>
      <c r="Q1004" s="58"/>
      <c r="R1004" s="42"/>
      <c r="S1004" s="47"/>
      <c r="T1004" s="46"/>
      <c r="U1004" s="58"/>
      <c r="V1004" s="42"/>
      <c r="W1004" s="46"/>
      <c r="X1004" s="47"/>
      <c r="Y1004" s="48"/>
    </row>
    <row r="1005" spans="2:25" s="38" customFormat="1" x14ac:dyDescent="0.25">
      <c r="B1005" s="49"/>
      <c r="C1005" s="70"/>
      <c r="D1005" s="42"/>
      <c r="F1005" s="46"/>
      <c r="G1005" s="47"/>
      <c r="H1005" s="46"/>
      <c r="I1005" s="58"/>
      <c r="J1005" s="42"/>
      <c r="K1005" s="47"/>
      <c r="L1005" s="46"/>
      <c r="M1005" s="58"/>
      <c r="N1005" s="42"/>
      <c r="O1005" s="47"/>
      <c r="P1005" s="46"/>
      <c r="Q1005" s="58"/>
      <c r="R1005" s="42"/>
      <c r="S1005" s="47"/>
      <c r="T1005" s="46"/>
      <c r="U1005" s="58"/>
      <c r="V1005" s="42"/>
      <c r="W1005" s="46"/>
      <c r="X1005" s="47"/>
      <c r="Y1005" s="48"/>
    </row>
    <row r="1006" spans="2:25" s="38" customFormat="1" x14ac:dyDescent="0.25">
      <c r="B1006" s="49"/>
      <c r="C1006" s="70"/>
      <c r="D1006" s="42"/>
      <c r="F1006" s="46"/>
      <c r="G1006" s="47"/>
      <c r="H1006" s="46"/>
      <c r="I1006" s="58"/>
      <c r="J1006" s="42"/>
      <c r="K1006" s="47"/>
      <c r="L1006" s="46"/>
      <c r="M1006" s="58"/>
      <c r="N1006" s="42"/>
      <c r="O1006" s="47"/>
      <c r="P1006" s="46"/>
      <c r="Q1006" s="58"/>
      <c r="R1006" s="42"/>
      <c r="S1006" s="47"/>
      <c r="T1006" s="46"/>
      <c r="U1006" s="58"/>
      <c r="V1006" s="42"/>
      <c r="W1006" s="46"/>
      <c r="X1006" s="47"/>
      <c r="Y1006" s="48"/>
    </row>
    <row r="1007" spans="2:25" s="38" customFormat="1" x14ac:dyDescent="0.25">
      <c r="B1007" s="49"/>
      <c r="C1007" s="70"/>
      <c r="D1007" s="42"/>
      <c r="F1007" s="46"/>
      <c r="G1007" s="47"/>
      <c r="H1007" s="46"/>
      <c r="I1007" s="58"/>
      <c r="J1007" s="42"/>
      <c r="K1007" s="47"/>
      <c r="L1007" s="46"/>
      <c r="M1007" s="58"/>
      <c r="N1007" s="42"/>
      <c r="O1007" s="47"/>
      <c r="P1007" s="46"/>
      <c r="Q1007" s="58"/>
      <c r="R1007" s="42"/>
      <c r="S1007" s="47"/>
      <c r="T1007" s="46"/>
      <c r="U1007" s="58"/>
      <c r="V1007" s="42"/>
      <c r="W1007" s="46"/>
      <c r="X1007" s="47"/>
      <c r="Y1007" s="48"/>
    </row>
    <row r="1008" spans="2:25" s="38" customFormat="1" x14ac:dyDescent="0.25">
      <c r="B1008" s="49"/>
      <c r="C1008" s="70"/>
      <c r="D1008" s="42"/>
      <c r="F1008" s="46"/>
      <c r="G1008" s="47"/>
      <c r="H1008" s="46"/>
      <c r="I1008" s="58"/>
      <c r="J1008" s="42"/>
      <c r="K1008" s="47"/>
      <c r="L1008" s="46"/>
      <c r="M1008" s="58"/>
      <c r="N1008" s="42"/>
      <c r="O1008" s="47"/>
      <c r="P1008" s="46"/>
      <c r="Q1008" s="58"/>
      <c r="R1008" s="42"/>
      <c r="S1008" s="47"/>
      <c r="T1008" s="46"/>
      <c r="U1008" s="58"/>
      <c r="V1008" s="42"/>
      <c r="W1008" s="46"/>
      <c r="X1008" s="47"/>
      <c r="Y1008" s="48"/>
    </row>
    <row r="1009" spans="2:25" s="38" customFormat="1" x14ac:dyDescent="0.25">
      <c r="B1009" s="49"/>
      <c r="C1009" s="70"/>
      <c r="D1009" s="42"/>
      <c r="F1009" s="46"/>
      <c r="G1009" s="47"/>
      <c r="H1009" s="46"/>
      <c r="I1009" s="58"/>
      <c r="J1009" s="42"/>
      <c r="K1009" s="47"/>
      <c r="L1009" s="46"/>
      <c r="M1009" s="58"/>
      <c r="N1009" s="42"/>
      <c r="O1009" s="47"/>
      <c r="P1009" s="46"/>
      <c r="Q1009" s="58"/>
      <c r="R1009" s="42"/>
      <c r="S1009" s="47"/>
      <c r="T1009" s="46"/>
      <c r="U1009" s="58"/>
      <c r="V1009" s="42"/>
      <c r="W1009" s="46"/>
      <c r="X1009" s="47"/>
      <c r="Y1009" s="48"/>
    </row>
    <row r="1010" spans="2:25" s="38" customFormat="1" x14ac:dyDescent="0.25">
      <c r="B1010" s="49"/>
      <c r="C1010" s="70"/>
      <c r="D1010" s="42"/>
      <c r="F1010" s="46"/>
      <c r="G1010" s="47"/>
      <c r="H1010" s="46"/>
      <c r="I1010" s="58"/>
      <c r="J1010" s="42"/>
      <c r="K1010" s="47"/>
      <c r="L1010" s="46"/>
      <c r="M1010" s="58"/>
      <c r="N1010" s="42"/>
      <c r="O1010" s="47"/>
      <c r="P1010" s="46"/>
      <c r="Q1010" s="58"/>
      <c r="R1010" s="42"/>
      <c r="S1010" s="47"/>
      <c r="T1010" s="46"/>
      <c r="U1010" s="58"/>
      <c r="V1010" s="42"/>
      <c r="W1010" s="46"/>
      <c r="X1010" s="47"/>
      <c r="Y1010" s="48"/>
    </row>
    <row r="1011" spans="2:25" s="38" customFormat="1" x14ac:dyDescent="0.25">
      <c r="B1011" s="49"/>
      <c r="C1011" s="70"/>
      <c r="D1011" s="42"/>
      <c r="F1011" s="46"/>
      <c r="G1011" s="47"/>
      <c r="H1011" s="46"/>
      <c r="I1011" s="58"/>
      <c r="J1011" s="42"/>
      <c r="K1011" s="47"/>
      <c r="L1011" s="46"/>
      <c r="M1011" s="58"/>
      <c r="N1011" s="42"/>
      <c r="O1011" s="47"/>
      <c r="P1011" s="46"/>
      <c r="Q1011" s="58"/>
      <c r="R1011" s="42"/>
      <c r="S1011" s="47"/>
      <c r="T1011" s="46"/>
      <c r="U1011" s="58"/>
      <c r="V1011" s="42"/>
      <c r="W1011" s="46"/>
      <c r="X1011" s="47"/>
      <c r="Y1011" s="48"/>
    </row>
    <row r="1012" spans="2:25" s="38" customFormat="1" x14ac:dyDescent="0.25">
      <c r="B1012" s="49"/>
      <c r="C1012" s="70"/>
      <c r="D1012" s="42"/>
      <c r="F1012" s="46"/>
      <c r="G1012" s="47"/>
      <c r="H1012" s="46"/>
      <c r="I1012" s="58"/>
      <c r="J1012" s="42"/>
      <c r="K1012" s="47"/>
      <c r="L1012" s="46"/>
      <c r="M1012" s="58"/>
      <c r="N1012" s="42"/>
      <c r="O1012" s="47"/>
      <c r="P1012" s="46"/>
      <c r="Q1012" s="58"/>
      <c r="R1012" s="42"/>
      <c r="S1012" s="47"/>
      <c r="T1012" s="46"/>
      <c r="U1012" s="58"/>
      <c r="V1012" s="42"/>
      <c r="W1012" s="46"/>
      <c r="X1012" s="47"/>
      <c r="Y1012" s="48"/>
    </row>
    <row r="1013" spans="2:25" s="38" customFormat="1" x14ac:dyDescent="0.25">
      <c r="B1013" s="49"/>
      <c r="C1013" s="70"/>
      <c r="D1013" s="42"/>
      <c r="F1013" s="46"/>
      <c r="G1013" s="47"/>
      <c r="H1013" s="46"/>
      <c r="I1013" s="58"/>
      <c r="J1013" s="42"/>
      <c r="K1013" s="47"/>
      <c r="L1013" s="46"/>
      <c r="M1013" s="58"/>
      <c r="N1013" s="42"/>
      <c r="O1013" s="47"/>
      <c r="P1013" s="46"/>
      <c r="Q1013" s="58"/>
      <c r="R1013" s="42"/>
      <c r="S1013" s="47"/>
      <c r="T1013" s="46"/>
      <c r="U1013" s="58"/>
      <c r="V1013" s="42"/>
      <c r="W1013" s="46"/>
      <c r="X1013" s="47"/>
      <c r="Y1013" s="48"/>
    </row>
    <row r="1014" spans="2:25" s="38" customFormat="1" x14ac:dyDescent="0.25">
      <c r="B1014" s="49"/>
      <c r="C1014" s="70"/>
      <c r="D1014" s="42"/>
      <c r="F1014" s="46"/>
      <c r="G1014" s="47"/>
      <c r="H1014" s="46"/>
      <c r="I1014" s="58"/>
      <c r="J1014" s="42"/>
      <c r="K1014" s="47"/>
      <c r="L1014" s="46"/>
      <c r="M1014" s="58"/>
      <c r="N1014" s="42"/>
      <c r="O1014" s="47"/>
      <c r="P1014" s="46"/>
      <c r="Q1014" s="58"/>
      <c r="R1014" s="42"/>
      <c r="S1014" s="47"/>
      <c r="T1014" s="46"/>
      <c r="U1014" s="58"/>
      <c r="V1014" s="42"/>
      <c r="W1014" s="46"/>
      <c r="X1014" s="47"/>
      <c r="Y1014" s="48"/>
    </row>
    <row r="1015" spans="2:25" s="38" customFormat="1" x14ac:dyDescent="0.25">
      <c r="B1015" s="49"/>
      <c r="C1015" s="70"/>
      <c r="D1015" s="42"/>
      <c r="F1015" s="46"/>
      <c r="G1015" s="47"/>
      <c r="H1015" s="46"/>
      <c r="I1015" s="58"/>
      <c r="J1015" s="42"/>
      <c r="K1015" s="47"/>
      <c r="L1015" s="46"/>
      <c r="M1015" s="58"/>
      <c r="N1015" s="42"/>
      <c r="O1015" s="47"/>
      <c r="P1015" s="46"/>
      <c r="Q1015" s="58"/>
      <c r="R1015" s="42"/>
      <c r="S1015" s="47"/>
      <c r="T1015" s="46"/>
      <c r="U1015" s="58"/>
      <c r="V1015" s="42"/>
      <c r="W1015" s="46"/>
      <c r="X1015" s="47"/>
      <c r="Y1015" s="48"/>
    </row>
    <row r="1016" spans="2:25" s="38" customFormat="1" x14ac:dyDescent="0.25">
      <c r="B1016" s="49"/>
      <c r="C1016" s="70"/>
      <c r="D1016" s="42"/>
      <c r="F1016" s="46"/>
      <c r="G1016" s="47"/>
      <c r="H1016" s="46"/>
      <c r="I1016" s="58"/>
      <c r="J1016" s="42"/>
      <c r="K1016" s="47"/>
      <c r="L1016" s="46"/>
      <c r="M1016" s="58"/>
      <c r="N1016" s="42"/>
      <c r="O1016" s="47"/>
      <c r="P1016" s="46"/>
      <c r="Q1016" s="58"/>
      <c r="R1016" s="42"/>
      <c r="S1016" s="47"/>
      <c r="T1016" s="46"/>
      <c r="U1016" s="58"/>
      <c r="V1016" s="42"/>
      <c r="W1016" s="46"/>
      <c r="X1016" s="47"/>
      <c r="Y1016" s="48"/>
    </row>
    <row r="1017" spans="2:25" s="38" customFormat="1" x14ac:dyDescent="0.25">
      <c r="B1017" s="49"/>
      <c r="C1017" s="70"/>
      <c r="D1017" s="42"/>
      <c r="F1017" s="46"/>
      <c r="G1017" s="47"/>
      <c r="H1017" s="46"/>
      <c r="I1017" s="58"/>
      <c r="J1017" s="42"/>
      <c r="K1017" s="47"/>
      <c r="L1017" s="46"/>
      <c r="M1017" s="58"/>
      <c r="N1017" s="42"/>
      <c r="O1017" s="47"/>
      <c r="P1017" s="46"/>
      <c r="Q1017" s="58"/>
      <c r="R1017" s="42"/>
      <c r="S1017" s="47"/>
      <c r="T1017" s="46"/>
      <c r="U1017" s="58"/>
      <c r="V1017" s="42"/>
      <c r="W1017" s="46"/>
      <c r="X1017" s="47"/>
      <c r="Y1017" s="48"/>
    </row>
    <row r="1018" spans="2:25" s="38" customFormat="1" x14ac:dyDescent="0.25">
      <c r="B1018" s="49"/>
      <c r="C1018" s="70"/>
      <c r="D1018" s="42"/>
      <c r="F1018" s="46"/>
      <c r="G1018" s="47"/>
      <c r="H1018" s="46"/>
      <c r="I1018" s="58"/>
      <c r="J1018" s="42"/>
      <c r="K1018" s="47"/>
      <c r="L1018" s="46"/>
      <c r="M1018" s="58"/>
      <c r="N1018" s="42"/>
      <c r="O1018" s="47"/>
      <c r="P1018" s="46"/>
      <c r="Q1018" s="58"/>
      <c r="R1018" s="42"/>
      <c r="S1018" s="47"/>
      <c r="T1018" s="46"/>
      <c r="U1018" s="58"/>
      <c r="V1018" s="42"/>
      <c r="W1018" s="46"/>
      <c r="X1018" s="47"/>
      <c r="Y1018" s="48"/>
    </row>
    <row r="1019" spans="2:25" s="38" customFormat="1" x14ac:dyDescent="0.25">
      <c r="B1019" s="49"/>
      <c r="C1019" s="70"/>
      <c r="D1019" s="42"/>
      <c r="F1019" s="46"/>
      <c r="G1019" s="47"/>
      <c r="H1019" s="46"/>
      <c r="I1019" s="58"/>
      <c r="J1019" s="42"/>
      <c r="K1019" s="47"/>
      <c r="L1019" s="46"/>
      <c r="M1019" s="58"/>
      <c r="N1019" s="42"/>
      <c r="O1019" s="47"/>
      <c r="P1019" s="46"/>
      <c r="Q1019" s="58"/>
      <c r="R1019" s="42"/>
      <c r="S1019" s="47"/>
      <c r="T1019" s="46"/>
      <c r="U1019" s="58"/>
      <c r="V1019" s="42"/>
      <c r="W1019" s="46"/>
      <c r="X1019" s="47"/>
      <c r="Y1019" s="48"/>
    </row>
    <row r="1020" spans="2:25" s="38" customFormat="1" x14ac:dyDescent="0.25">
      <c r="B1020" s="49"/>
      <c r="C1020" s="70"/>
      <c r="D1020" s="42"/>
      <c r="F1020" s="46"/>
      <c r="G1020" s="47"/>
      <c r="H1020" s="46"/>
      <c r="I1020" s="58"/>
      <c r="J1020" s="42"/>
      <c r="K1020" s="47"/>
      <c r="L1020" s="46"/>
      <c r="M1020" s="58"/>
      <c r="N1020" s="42"/>
      <c r="O1020" s="47"/>
      <c r="P1020" s="46"/>
      <c r="Q1020" s="58"/>
      <c r="R1020" s="42"/>
      <c r="S1020" s="47"/>
      <c r="T1020" s="46"/>
      <c r="U1020" s="58"/>
      <c r="V1020" s="42"/>
      <c r="W1020" s="46"/>
      <c r="X1020" s="47"/>
      <c r="Y1020" s="48"/>
    </row>
    <row r="1021" spans="2:25" s="38" customFormat="1" x14ac:dyDescent="0.25">
      <c r="B1021" s="49"/>
      <c r="C1021" s="70"/>
      <c r="D1021" s="42"/>
      <c r="F1021" s="46"/>
      <c r="G1021" s="47"/>
      <c r="H1021" s="46"/>
      <c r="I1021" s="58"/>
      <c r="J1021" s="42"/>
      <c r="K1021" s="47"/>
      <c r="L1021" s="46"/>
      <c r="M1021" s="58"/>
      <c r="N1021" s="42"/>
      <c r="O1021" s="47"/>
      <c r="P1021" s="46"/>
      <c r="Q1021" s="58"/>
      <c r="R1021" s="42"/>
      <c r="S1021" s="47"/>
      <c r="T1021" s="46"/>
      <c r="U1021" s="58"/>
      <c r="V1021" s="42"/>
      <c r="W1021" s="46"/>
      <c r="X1021" s="47"/>
      <c r="Y1021" s="48"/>
    </row>
    <row r="1022" spans="2:25" s="38" customFormat="1" x14ac:dyDescent="0.25">
      <c r="B1022" s="49"/>
      <c r="C1022" s="70"/>
      <c r="D1022" s="42"/>
      <c r="F1022" s="46"/>
      <c r="G1022" s="47"/>
      <c r="H1022" s="46"/>
      <c r="I1022" s="58"/>
      <c r="J1022" s="42"/>
      <c r="K1022" s="47"/>
      <c r="L1022" s="46"/>
      <c r="M1022" s="58"/>
      <c r="N1022" s="42"/>
      <c r="O1022" s="47"/>
      <c r="P1022" s="46"/>
      <c r="Q1022" s="58"/>
      <c r="R1022" s="42"/>
      <c r="S1022" s="47"/>
      <c r="T1022" s="46"/>
      <c r="U1022" s="58"/>
      <c r="V1022" s="42"/>
      <c r="W1022" s="46"/>
      <c r="X1022" s="47"/>
      <c r="Y1022" s="48"/>
    </row>
    <row r="1023" spans="2:25" s="38" customFormat="1" x14ac:dyDescent="0.25">
      <c r="B1023" s="49"/>
      <c r="C1023" s="70"/>
      <c r="D1023" s="42"/>
      <c r="F1023" s="46"/>
      <c r="G1023" s="47"/>
      <c r="H1023" s="46"/>
      <c r="I1023" s="58"/>
      <c r="J1023" s="42"/>
      <c r="K1023" s="47"/>
      <c r="L1023" s="46"/>
      <c r="M1023" s="58"/>
      <c r="N1023" s="42"/>
      <c r="O1023" s="47"/>
      <c r="P1023" s="46"/>
      <c r="Q1023" s="58"/>
      <c r="R1023" s="42"/>
      <c r="S1023" s="47"/>
      <c r="T1023" s="46"/>
      <c r="U1023" s="58"/>
      <c r="V1023" s="42"/>
      <c r="W1023" s="46"/>
      <c r="X1023" s="47"/>
      <c r="Y1023" s="48"/>
    </row>
    <row r="1024" spans="2:25" s="38" customFormat="1" x14ac:dyDescent="0.25">
      <c r="B1024" s="49"/>
      <c r="C1024" s="70"/>
      <c r="D1024" s="42"/>
      <c r="F1024" s="46"/>
      <c r="G1024" s="47"/>
      <c r="H1024" s="46"/>
      <c r="I1024" s="58"/>
      <c r="J1024" s="42"/>
      <c r="K1024" s="47"/>
      <c r="L1024" s="46"/>
      <c r="M1024" s="58"/>
      <c r="N1024" s="42"/>
      <c r="O1024" s="47"/>
      <c r="P1024" s="46"/>
      <c r="Q1024" s="58"/>
      <c r="R1024" s="42"/>
      <c r="S1024" s="47"/>
      <c r="T1024" s="46"/>
      <c r="U1024" s="58"/>
      <c r="V1024" s="42"/>
      <c r="W1024" s="46"/>
      <c r="X1024" s="47"/>
      <c r="Y1024" s="48"/>
    </row>
    <row r="1025" spans="2:25" s="38" customFormat="1" x14ac:dyDescent="0.25">
      <c r="B1025" s="49"/>
      <c r="C1025" s="70"/>
      <c r="D1025" s="42"/>
      <c r="F1025" s="46"/>
      <c r="G1025" s="47"/>
      <c r="H1025" s="46"/>
      <c r="I1025" s="58"/>
      <c r="J1025" s="42"/>
      <c r="K1025" s="47"/>
      <c r="L1025" s="46"/>
      <c r="M1025" s="58"/>
      <c r="N1025" s="42"/>
      <c r="O1025" s="47"/>
      <c r="P1025" s="46"/>
      <c r="Q1025" s="58"/>
      <c r="R1025" s="42"/>
      <c r="S1025" s="47"/>
      <c r="T1025" s="46"/>
      <c r="U1025" s="58"/>
      <c r="V1025" s="42"/>
      <c r="W1025" s="46"/>
      <c r="X1025" s="47"/>
      <c r="Y1025" s="48"/>
    </row>
    <row r="1026" spans="2:25" s="38" customFormat="1" x14ac:dyDescent="0.25">
      <c r="B1026" s="49"/>
      <c r="C1026" s="70"/>
      <c r="D1026" s="42"/>
      <c r="F1026" s="46"/>
      <c r="G1026" s="47"/>
      <c r="H1026" s="46"/>
      <c r="I1026" s="58"/>
      <c r="J1026" s="42"/>
      <c r="K1026" s="47"/>
      <c r="L1026" s="46"/>
      <c r="M1026" s="58"/>
      <c r="N1026" s="42"/>
      <c r="O1026" s="47"/>
      <c r="P1026" s="46"/>
      <c r="Q1026" s="58"/>
      <c r="R1026" s="42"/>
      <c r="S1026" s="47"/>
      <c r="T1026" s="46"/>
      <c r="U1026" s="58"/>
      <c r="V1026" s="42"/>
      <c r="W1026" s="46"/>
      <c r="X1026" s="47"/>
      <c r="Y1026" s="48"/>
    </row>
    <row r="1027" spans="2:25" s="38" customFormat="1" x14ac:dyDescent="0.25">
      <c r="B1027" s="49"/>
      <c r="C1027" s="70"/>
      <c r="D1027" s="42"/>
      <c r="F1027" s="46"/>
      <c r="G1027" s="47"/>
      <c r="H1027" s="46"/>
      <c r="I1027" s="58"/>
      <c r="J1027" s="42"/>
      <c r="K1027" s="47"/>
      <c r="L1027" s="46"/>
      <c r="M1027" s="58"/>
      <c r="N1027" s="42"/>
      <c r="O1027" s="47"/>
      <c r="P1027" s="46"/>
      <c r="Q1027" s="58"/>
      <c r="R1027" s="42"/>
      <c r="S1027" s="47"/>
      <c r="T1027" s="46"/>
      <c r="U1027" s="58"/>
      <c r="V1027" s="42"/>
      <c r="W1027" s="46"/>
      <c r="X1027" s="47"/>
      <c r="Y1027" s="48"/>
    </row>
    <row r="1028" spans="2:25" s="38" customFormat="1" x14ac:dyDescent="0.25">
      <c r="B1028" s="49"/>
      <c r="C1028" s="70"/>
      <c r="D1028" s="42"/>
      <c r="F1028" s="46"/>
      <c r="G1028" s="47"/>
      <c r="H1028" s="46"/>
      <c r="I1028" s="58"/>
      <c r="J1028" s="42"/>
      <c r="K1028" s="47"/>
      <c r="L1028" s="46"/>
      <c r="M1028" s="58"/>
      <c r="N1028" s="42"/>
      <c r="O1028" s="47"/>
      <c r="P1028" s="46"/>
      <c r="Q1028" s="58"/>
      <c r="R1028" s="42"/>
      <c r="S1028" s="47"/>
      <c r="T1028" s="46"/>
      <c r="U1028" s="58"/>
      <c r="V1028" s="42"/>
      <c r="W1028" s="46"/>
      <c r="X1028" s="47"/>
      <c r="Y1028" s="48"/>
    </row>
    <row r="1029" spans="2:25" s="38" customFormat="1" x14ac:dyDescent="0.25">
      <c r="B1029" s="49"/>
      <c r="C1029" s="70"/>
      <c r="D1029" s="42"/>
      <c r="F1029" s="46"/>
      <c r="G1029" s="47"/>
      <c r="H1029" s="46"/>
      <c r="I1029" s="58"/>
      <c r="J1029" s="42"/>
      <c r="K1029" s="47"/>
      <c r="L1029" s="46"/>
      <c r="M1029" s="58"/>
      <c r="N1029" s="42"/>
      <c r="O1029" s="47"/>
      <c r="P1029" s="46"/>
      <c r="Q1029" s="58"/>
      <c r="R1029" s="42"/>
      <c r="S1029" s="47"/>
      <c r="T1029" s="46"/>
      <c r="U1029" s="58"/>
      <c r="V1029" s="42"/>
      <c r="W1029" s="46"/>
      <c r="X1029" s="47"/>
      <c r="Y1029" s="48"/>
    </row>
    <row r="1030" spans="2:25" s="38" customFormat="1" x14ac:dyDescent="0.25">
      <c r="B1030" s="49"/>
      <c r="C1030" s="70"/>
      <c r="D1030" s="42"/>
      <c r="F1030" s="46"/>
      <c r="G1030" s="47"/>
      <c r="H1030" s="46"/>
      <c r="I1030" s="58"/>
      <c r="J1030" s="42"/>
      <c r="K1030" s="47"/>
      <c r="L1030" s="46"/>
      <c r="M1030" s="58"/>
      <c r="N1030" s="42"/>
      <c r="O1030" s="47"/>
      <c r="P1030" s="46"/>
      <c r="Q1030" s="58"/>
      <c r="R1030" s="42"/>
      <c r="S1030" s="47"/>
      <c r="T1030" s="46"/>
      <c r="U1030" s="58"/>
      <c r="V1030" s="42"/>
      <c r="W1030" s="46"/>
      <c r="X1030" s="47"/>
      <c r="Y1030" s="48"/>
    </row>
    <row r="1031" spans="2:25" s="38" customFormat="1" x14ac:dyDescent="0.25">
      <c r="B1031" s="49"/>
      <c r="C1031" s="70"/>
      <c r="D1031" s="42"/>
      <c r="F1031" s="46"/>
      <c r="G1031" s="47"/>
      <c r="H1031" s="46"/>
      <c r="I1031" s="58"/>
      <c r="J1031" s="42"/>
      <c r="K1031" s="47"/>
      <c r="L1031" s="46"/>
      <c r="M1031" s="58"/>
      <c r="N1031" s="42"/>
      <c r="O1031" s="47"/>
      <c r="P1031" s="46"/>
      <c r="Q1031" s="58"/>
      <c r="R1031" s="42"/>
      <c r="S1031" s="47"/>
      <c r="T1031" s="46"/>
      <c r="U1031" s="58"/>
      <c r="V1031" s="42"/>
      <c r="W1031" s="46"/>
      <c r="X1031" s="47"/>
      <c r="Y1031" s="48"/>
    </row>
    <row r="1032" spans="2:25" s="38" customFormat="1" x14ac:dyDescent="0.25">
      <c r="B1032" s="49"/>
      <c r="C1032" s="70"/>
      <c r="D1032" s="42"/>
      <c r="F1032" s="46"/>
      <c r="G1032" s="47"/>
      <c r="H1032" s="46"/>
      <c r="I1032" s="58"/>
      <c r="J1032" s="42"/>
      <c r="K1032" s="47"/>
      <c r="L1032" s="46"/>
      <c r="M1032" s="58"/>
      <c r="N1032" s="42"/>
      <c r="O1032" s="47"/>
      <c r="P1032" s="46"/>
      <c r="Q1032" s="58"/>
      <c r="R1032" s="42"/>
      <c r="S1032" s="47"/>
      <c r="T1032" s="46"/>
      <c r="U1032" s="58"/>
      <c r="V1032" s="42"/>
      <c r="W1032" s="46"/>
      <c r="X1032" s="47"/>
      <c r="Y1032" s="48"/>
    </row>
    <row r="1033" spans="2:25" s="38" customFormat="1" x14ac:dyDescent="0.25">
      <c r="B1033" s="49"/>
      <c r="C1033" s="70"/>
      <c r="D1033" s="42"/>
      <c r="F1033" s="46"/>
      <c r="G1033" s="47"/>
      <c r="H1033" s="46"/>
      <c r="I1033" s="58"/>
      <c r="J1033" s="42"/>
      <c r="K1033" s="47"/>
      <c r="L1033" s="46"/>
      <c r="M1033" s="58"/>
      <c r="N1033" s="42"/>
      <c r="O1033" s="47"/>
      <c r="P1033" s="46"/>
      <c r="Q1033" s="58"/>
      <c r="R1033" s="42"/>
      <c r="S1033" s="47"/>
      <c r="T1033" s="46"/>
      <c r="U1033" s="58"/>
      <c r="V1033" s="42"/>
      <c r="W1033" s="46"/>
      <c r="X1033" s="47"/>
      <c r="Y1033" s="48"/>
    </row>
    <row r="1034" spans="2:25" s="38" customFormat="1" x14ac:dyDescent="0.25">
      <c r="B1034" s="49"/>
      <c r="C1034" s="70"/>
      <c r="D1034" s="42"/>
      <c r="F1034" s="46"/>
      <c r="G1034" s="47"/>
      <c r="H1034" s="46"/>
      <c r="I1034" s="58"/>
      <c r="J1034" s="42"/>
      <c r="K1034" s="47"/>
      <c r="L1034" s="46"/>
      <c r="M1034" s="58"/>
      <c r="N1034" s="42"/>
      <c r="O1034" s="47"/>
      <c r="P1034" s="46"/>
      <c r="Q1034" s="58"/>
      <c r="R1034" s="42"/>
      <c r="S1034" s="47"/>
      <c r="T1034" s="46"/>
      <c r="U1034" s="58"/>
      <c r="V1034" s="42"/>
      <c r="W1034" s="46"/>
      <c r="X1034" s="47"/>
      <c r="Y1034" s="48"/>
    </row>
    <row r="1035" spans="2:25" s="38" customFormat="1" x14ac:dyDescent="0.25">
      <c r="B1035" s="49"/>
      <c r="C1035" s="70"/>
      <c r="D1035" s="42"/>
      <c r="F1035" s="46"/>
      <c r="G1035" s="47"/>
      <c r="H1035" s="46"/>
      <c r="I1035" s="58"/>
      <c r="J1035" s="42"/>
      <c r="K1035" s="47"/>
      <c r="L1035" s="46"/>
      <c r="M1035" s="58"/>
      <c r="N1035" s="42"/>
      <c r="O1035" s="47"/>
      <c r="P1035" s="46"/>
      <c r="Q1035" s="58"/>
      <c r="R1035" s="42"/>
      <c r="S1035" s="47"/>
      <c r="T1035" s="46"/>
      <c r="U1035" s="58"/>
      <c r="V1035" s="42"/>
      <c r="W1035" s="46"/>
      <c r="X1035" s="47"/>
      <c r="Y1035" s="48"/>
    </row>
    <row r="1036" spans="2:25" s="38" customFormat="1" x14ac:dyDescent="0.25">
      <c r="B1036" s="49"/>
      <c r="C1036" s="70"/>
      <c r="D1036" s="42"/>
      <c r="F1036" s="46"/>
      <c r="G1036" s="47"/>
      <c r="H1036" s="46"/>
      <c r="I1036" s="58"/>
      <c r="J1036" s="42"/>
      <c r="K1036" s="47"/>
      <c r="L1036" s="46"/>
      <c r="M1036" s="58"/>
      <c r="N1036" s="42"/>
      <c r="O1036" s="47"/>
      <c r="P1036" s="46"/>
      <c r="Q1036" s="58"/>
      <c r="R1036" s="42"/>
      <c r="S1036" s="47"/>
      <c r="T1036" s="46"/>
      <c r="U1036" s="58"/>
      <c r="V1036" s="42"/>
      <c r="W1036" s="46"/>
      <c r="X1036" s="47"/>
      <c r="Y1036" s="48"/>
    </row>
    <row r="1037" spans="2:25" s="38" customFormat="1" x14ac:dyDescent="0.25">
      <c r="B1037" s="49"/>
      <c r="C1037" s="70"/>
      <c r="D1037" s="42"/>
      <c r="F1037" s="46"/>
      <c r="G1037" s="47"/>
      <c r="H1037" s="46"/>
      <c r="I1037" s="58"/>
      <c r="J1037" s="42"/>
      <c r="K1037" s="47"/>
      <c r="L1037" s="46"/>
      <c r="M1037" s="58"/>
      <c r="N1037" s="42"/>
      <c r="O1037" s="47"/>
      <c r="P1037" s="46"/>
      <c r="Q1037" s="58"/>
      <c r="R1037" s="42"/>
      <c r="S1037" s="47"/>
      <c r="T1037" s="46"/>
      <c r="U1037" s="58"/>
      <c r="V1037" s="42"/>
      <c r="W1037" s="46"/>
      <c r="X1037" s="47"/>
      <c r="Y1037" s="48"/>
    </row>
    <row r="1038" spans="2:25" s="38" customFormat="1" x14ac:dyDescent="0.25">
      <c r="B1038" s="49"/>
      <c r="C1038" s="70"/>
      <c r="D1038" s="42"/>
      <c r="F1038" s="46"/>
      <c r="G1038" s="47"/>
      <c r="H1038" s="46"/>
      <c r="I1038" s="58"/>
      <c r="J1038" s="42"/>
      <c r="K1038" s="47"/>
      <c r="L1038" s="46"/>
      <c r="M1038" s="58"/>
      <c r="N1038" s="42"/>
      <c r="O1038" s="47"/>
      <c r="P1038" s="46"/>
      <c r="Q1038" s="58"/>
      <c r="R1038" s="42"/>
      <c r="S1038" s="47"/>
      <c r="T1038" s="46"/>
      <c r="U1038" s="58"/>
      <c r="V1038" s="42"/>
      <c r="W1038" s="46"/>
      <c r="X1038" s="47"/>
      <c r="Y1038" s="48"/>
    </row>
    <row r="1039" spans="2:25" s="38" customFormat="1" x14ac:dyDescent="0.25">
      <c r="B1039" s="49"/>
      <c r="C1039" s="70"/>
      <c r="D1039" s="42"/>
      <c r="F1039" s="46"/>
      <c r="G1039" s="47"/>
      <c r="H1039" s="46"/>
      <c r="I1039" s="58"/>
      <c r="J1039" s="42"/>
      <c r="K1039" s="47"/>
      <c r="L1039" s="46"/>
      <c r="M1039" s="58"/>
      <c r="N1039" s="42"/>
      <c r="O1039" s="47"/>
      <c r="P1039" s="46"/>
      <c r="Q1039" s="58"/>
      <c r="R1039" s="42"/>
      <c r="S1039" s="47"/>
      <c r="T1039" s="46"/>
      <c r="U1039" s="58"/>
      <c r="V1039" s="42"/>
      <c r="W1039" s="46"/>
      <c r="X1039" s="47"/>
      <c r="Y1039" s="48"/>
    </row>
    <row r="1040" spans="2:25" s="38" customFormat="1" x14ac:dyDescent="0.25">
      <c r="B1040" s="49"/>
      <c r="C1040" s="70"/>
      <c r="D1040" s="42"/>
      <c r="F1040" s="46"/>
      <c r="G1040" s="47"/>
      <c r="H1040" s="46"/>
      <c r="I1040" s="58"/>
      <c r="J1040" s="42"/>
      <c r="K1040" s="47"/>
      <c r="L1040" s="46"/>
      <c r="M1040" s="58"/>
      <c r="N1040" s="42"/>
      <c r="O1040" s="47"/>
      <c r="P1040" s="46"/>
      <c r="Q1040" s="58"/>
      <c r="R1040" s="42"/>
      <c r="S1040" s="47"/>
      <c r="T1040" s="46"/>
      <c r="U1040" s="58"/>
      <c r="V1040" s="42"/>
      <c r="W1040" s="46"/>
      <c r="X1040" s="47"/>
      <c r="Y1040" s="48"/>
    </row>
    <row r="1041" spans="2:25" s="38" customFormat="1" x14ac:dyDescent="0.25">
      <c r="B1041" s="49"/>
      <c r="C1041" s="70"/>
      <c r="D1041" s="42"/>
      <c r="F1041" s="46"/>
      <c r="G1041" s="47"/>
      <c r="H1041" s="46"/>
      <c r="I1041" s="58"/>
      <c r="J1041" s="42"/>
      <c r="K1041" s="47"/>
      <c r="L1041" s="46"/>
      <c r="M1041" s="58"/>
      <c r="N1041" s="42"/>
      <c r="O1041" s="47"/>
      <c r="P1041" s="46"/>
      <c r="Q1041" s="58"/>
      <c r="R1041" s="42"/>
      <c r="S1041" s="47"/>
      <c r="T1041" s="46"/>
      <c r="U1041" s="58"/>
      <c r="V1041" s="42"/>
      <c r="W1041" s="46"/>
      <c r="X1041" s="47"/>
      <c r="Y1041" s="48"/>
    </row>
    <row r="1042" spans="2:25" s="38" customFormat="1" x14ac:dyDescent="0.25">
      <c r="B1042" s="49"/>
      <c r="C1042" s="70"/>
      <c r="D1042" s="42"/>
      <c r="F1042" s="46"/>
      <c r="G1042" s="47"/>
      <c r="H1042" s="46"/>
      <c r="I1042" s="58"/>
      <c r="J1042" s="42"/>
      <c r="K1042" s="47"/>
      <c r="L1042" s="46"/>
      <c r="M1042" s="58"/>
      <c r="N1042" s="42"/>
      <c r="O1042" s="47"/>
      <c r="P1042" s="46"/>
      <c r="Q1042" s="58"/>
      <c r="R1042" s="42"/>
      <c r="S1042" s="47"/>
      <c r="T1042" s="46"/>
      <c r="U1042" s="58"/>
      <c r="V1042" s="42"/>
      <c r="W1042" s="46"/>
      <c r="X1042" s="47"/>
      <c r="Y1042" s="48"/>
    </row>
    <row r="1043" spans="2:25" s="38" customFormat="1" x14ac:dyDescent="0.25">
      <c r="B1043" s="49"/>
      <c r="C1043" s="70"/>
      <c r="D1043" s="42"/>
      <c r="F1043" s="46"/>
      <c r="G1043" s="47"/>
      <c r="H1043" s="46"/>
      <c r="I1043" s="58"/>
      <c r="J1043" s="42"/>
      <c r="K1043" s="47"/>
      <c r="L1043" s="46"/>
      <c r="M1043" s="58"/>
      <c r="N1043" s="42"/>
      <c r="O1043" s="47"/>
      <c r="P1043" s="46"/>
      <c r="Q1043" s="58"/>
      <c r="R1043" s="42"/>
      <c r="S1043" s="47"/>
      <c r="T1043" s="46"/>
      <c r="U1043" s="58"/>
      <c r="V1043" s="42"/>
      <c r="W1043" s="46"/>
      <c r="X1043" s="47"/>
      <c r="Y1043" s="48"/>
    </row>
    <row r="1044" spans="2:25" s="38" customFormat="1" x14ac:dyDescent="0.25">
      <c r="B1044" s="49"/>
      <c r="C1044" s="70"/>
      <c r="D1044" s="42"/>
      <c r="F1044" s="46"/>
      <c r="G1044" s="47"/>
      <c r="H1044" s="46"/>
      <c r="I1044" s="58"/>
      <c r="J1044" s="42"/>
      <c r="K1044" s="47"/>
      <c r="L1044" s="46"/>
      <c r="M1044" s="58"/>
      <c r="N1044" s="42"/>
      <c r="O1044" s="47"/>
      <c r="P1044" s="46"/>
      <c r="Q1044" s="58"/>
      <c r="R1044" s="42"/>
      <c r="S1044" s="47"/>
      <c r="T1044" s="46"/>
      <c r="U1044" s="58"/>
      <c r="V1044" s="42"/>
      <c r="W1044" s="46"/>
      <c r="X1044" s="47"/>
      <c r="Y1044" s="48"/>
    </row>
    <row r="1045" spans="2:25" s="38" customFormat="1" x14ac:dyDescent="0.25">
      <c r="B1045" s="49"/>
      <c r="C1045" s="70"/>
      <c r="D1045" s="42"/>
      <c r="F1045" s="46"/>
      <c r="G1045" s="47"/>
      <c r="H1045" s="46"/>
      <c r="I1045" s="58"/>
      <c r="J1045" s="42"/>
      <c r="K1045" s="47"/>
      <c r="L1045" s="46"/>
      <c r="M1045" s="58"/>
      <c r="N1045" s="42"/>
      <c r="O1045" s="47"/>
      <c r="P1045" s="46"/>
      <c r="Q1045" s="58"/>
      <c r="R1045" s="42"/>
      <c r="S1045" s="47"/>
      <c r="T1045" s="46"/>
      <c r="U1045" s="58"/>
      <c r="V1045" s="42"/>
      <c r="W1045" s="46"/>
      <c r="X1045" s="47"/>
      <c r="Y1045" s="48"/>
    </row>
    <row r="1046" spans="2:25" s="38" customFormat="1" x14ac:dyDescent="0.25">
      <c r="B1046" s="49"/>
      <c r="C1046" s="70"/>
      <c r="D1046" s="42"/>
      <c r="F1046" s="46"/>
      <c r="G1046" s="47"/>
      <c r="H1046" s="46"/>
      <c r="I1046" s="58"/>
      <c r="J1046" s="42"/>
      <c r="K1046" s="47"/>
      <c r="L1046" s="46"/>
      <c r="M1046" s="58"/>
      <c r="N1046" s="42"/>
      <c r="O1046" s="47"/>
      <c r="P1046" s="46"/>
      <c r="Q1046" s="58"/>
      <c r="R1046" s="42"/>
      <c r="S1046" s="47"/>
      <c r="T1046" s="46"/>
      <c r="U1046" s="58"/>
      <c r="V1046" s="42"/>
      <c r="W1046" s="46"/>
      <c r="X1046" s="47"/>
      <c r="Y1046" s="48"/>
    </row>
    <row r="1047" spans="2:25" s="38" customFormat="1" x14ac:dyDescent="0.25">
      <c r="B1047" s="49"/>
      <c r="C1047" s="70"/>
      <c r="D1047" s="42"/>
      <c r="F1047" s="46"/>
      <c r="G1047" s="47"/>
      <c r="H1047" s="46"/>
      <c r="I1047" s="58"/>
      <c r="J1047" s="42"/>
      <c r="K1047" s="47"/>
      <c r="L1047" s="46"/>
      <c r="M1047" s="58"/>
      <c r="N1047" s="42"/>
      <c r="O1047" s="47"/>
      <c r="P1047" s="46"/>
      <c r="Q1047" s="58"/>
      <c r="R1047" s="42"/>
      <c r="S1047" s="47"/>
      <c r="T1047" s="46"/>
      <c r="U1047" s="58"/>
      <c r="V1047" s="42"/>
      <c r="W1047" s="46"/>
      <c r="X1047" s="47"/>
      <c r="Y1047" s="48"/>
    </row>
    <row r="1048" spans="2:25" s="38" customFormat="1" x14ac:dyDescent="0.25">
      <c r="B1048" s="49"/>
      <c r="C1048" s="70"/>
      <c r="D1048" s="42"/>
      <c r="F1048" s="46"/>
      <c r="G1048" s="47"/>
      <c r="H1048" s="46"/>
      <c r="I1048" s="58"/>
      <c r="J1048" s="42"/>
      <c r="K1048" s="47"/>
      <c r="L1048" s="46"/>
      <c r="M1048" s="58"/>
      <c r="N1048" s="42"/>
      <c r="O1048" s="47"/>
      <c r="P1048" s="46"/>
      <c r="Q1048" s="58"/>
      <c r="R1048" s="42"/>
      <c r="S1048" s="47"/>
      <c r="T1048" s="46"/>
      <c r="U1048" s="58"/>
      <c r="V1048" s="42"/>
      <c r="W1048" s="46"/>
      <c r="X1048" s="47"/>
      <c r="Y1048" s="48"/>
    </row>
    <row r="1049" spans="2:25" s="38" customFormat="1" x14ac:dyDescent="0.25">
      <c r="B1049" s="49"/>
      <c r="C1049" s="70"/>
      <c r="D1049" s="42"/>
      <c r="F1049" s="46"/>
      <c r="G1049" s="47"/>
      <c r="H1049" s="46"/>
      <c r="I1049" s="58"/>
      <c r="J1049" s="42"/>
      <c r="K1049" s="47"/>
      <c r="L1049" s="46"/>
      <c r="M1049" s="58"/>
      <c r="N1049" s="42"/>
      <c r="O1049" s="47"/>
      <c r="P1049" s="46"/>
      <c r="Q1049" s="58"/>
      <c r="R1049" s="42"/>
      <c r="S1049" s="47"/>
      <c r="T1049" s="46"/>
      <c r="U1049" s="58"/>
      <c r="V1049" s="42"/>
      <c r="W1049" s="46"/>
      <c r="X1049" s="47"/>
      <c r="Y1049" s="48"/>
    </row>
    <row r="1050" spans="2:25" s="38" customFormat="1" x14ac:dyDescent="0.25">
      <c r="B1050" s="49"/>
      <c r="C1050" s="70"/>
      <c r="D1050" s="42"/>
      <c r="F1050" s="46"/>
      <c r="G1050" s="47"/>
      <c r="H1050" s="46"/>
      <c r="I1050" s="58"/>
      <c r="J1050" s="42"/>
      <c r="K1050" s="47"/>
      <c r="L1050" s="46"/>
      <c r="M1050" s="58"/>
      <c r="N1050" s="42"/>
      <c r="O1050" s="47"/>
      <c r="P1050" s="46"/>
      <c r="Q1050" s="58"/>
      <c r="R1050" s="42"/>
      <c r="S1050" s="47"/>
      <c r="T1050" s="46"/>
      <c r="U1050" s="58"/>
      <c r="V1050" s="42"/>
      <c r="W1050" s="46"/>
      <c r="X1050" s="47"/>
      <c r="Y1050" s="48"/>
    </row>
    <row r="1051" spans="2:25" s="38" customFormat="1" x14ac:dyDescent="0.25">
      <c r="B1051" s="49"/>
      <c r="C1051" s="70"/>
      <c r="D1051" s="42"/>
      <c r="F1051" s="46"/>
      <c r="G1051" s="47"/>
      <c r="H1051" s="46"/>
      <c r="I1051" s="58"/>
      <c r="J1051" s="42"/>
      <c r="K1051" s="47"/>
      <c r="L1051" s="46"/>
      <c r="M1051" s="58"/>
      <c r="N1051" s="42"/>
      <c r="O1051" s="47"/>
      <c r="P1051" s="46"/>
      <c r="Q1051" s="58"/>
      <c r="R1051" s="42"/>
      <c r="S1051" s="47"/>
      <c r="T1051" s="46"/>
      <c r="U1051" s="58"/>
      <c r="V1051" s="42"/>
      <c r="W1051" s="46"/>
      <c r="X1051" s="47"/>
      <c r="Y1051" s="48"/>
    </row>
    <row r="1052" spans="2:25" s="38" customFormat="1" x14ac:dyDescent="0.25">
      <c r="B1052" s="49"/>
      <c r="C1052" s="70"/>
      <c r="D1052" s="42"/>
      <c r="F1052" s="46"/>
      <c r="G1052" s="47"/>
      <c r="H1052" s="46"/>
      <c r="I1052" s="58"/>
      <c r="J1052" s="42"/>
      <c r="K1052" s="47"/>
      <c r="L1052" s="46"/>
      <c r="M1052" s="58"/>
      <c r="N1052" s="42"/>
      <c r="O1052" s="47"/>
      <c r="P1052" s="46"/>
      <c r="Q1052" s="58"/>
      <c r="R1052" s="42"/>
      <c r="S1052" s="47"/>
      <c r="T1052" s="46"/>
      <c r="U1052" s="58"/>
      <c r="V1052" s="42"/>
      <c r="W1052" s="46"/>
      <c r="X1052" s="47"/>
      <c r="Y1052" s="48"/>
    </row>
    <row r="1053" spans="2:25" s="38" customFormat="1" x14ac:dyDescent="0.25">
      <c r="B1053" s="49"/>
      <c r="C1053" s="70"/>
      <c r="D1053" s="42"/>
      <c r="F1053" s="46"/>
      <c r="G1053" s="47"/>
      <c r="H1053" s="46"/>
      <c r="I1053" s="58"/>
      <c r="J1053" s="42"/>
      <c r="K1053" s="47"/>
      <c r="L1053" s="46"/>
      <c r="M1053" s="58"/>
      <c r="N1053" s="42"/>
      <c r="O1053" s="47"/>
      <c r="P1053" s="46"/>
      <c r="Q1053" s="58"/>
      <c r="R1053" s="42"/>
      <c r="S1053" s="47"/>
      <c r="T1053" s="46"/>
      <c r="U1053" s="58"/>
      <c r="V1053" s="42"/>
      <c r="W1053" s="46"/>
      <c r="X1053" s="47"/>
      <c r="Y1053" s="48"/>
    </row>
    <row r="1054" spans="2:25" s="38" customFormat="1" x14ac:dyDescent="0.25">
      <c r="B1054" s="49"/>
      <c r="C1054" s="70"/>
      <c r="D1054" s="42"/>
      <c r="F1054" s="46"/>
      <c r="G1054" s="47"/>
      <c r="H1054" s="46"/>
      <c r="I1054" s="58"/>
      <c r="J1054" s="42"/>
      <c r="K1054" s="47"/>
      <c r="L1054" s="46"/>
      <c r="M1054" s="58"/>
      <c r="N1054" s="42"/>
      <c r="O1054" s="47"/>
      <c r="P1054" s="46"/>
      <c r="Q1054" s="58"/>
      <c r="R1054" s="42"/>
      <c r="S1054" s="47"/>
      <c r="T1054" s="46"/>
      <c r="U1054" s="58"/>
      <c r="V1054" s="42"/>
      <c r="W1054" s="46"/>
      <c r="X1054" s="47"/>
      <c r="Y1054" s="48"/>
    </row>
    <row r="1055" spans="2:25" s="38" customFormat="1" x14ac:dyDescent="0.25">
      <c r="B1055" s="49"/>
      <c r="C1055" s="70"/>
      <c r="D1055" s="42"/>
      <c r="F1055" s="46"/>
      <c r="G1055" s="47"/>
      <c r="H1055" s="46"/>
      <c r="I1055" s="58"/>
      <c r="J1055" s="42"/>
      <c r="K1055" s="47"/>
      <c r="L1055" s="46"/>
      <c r="M1055" s="58"/>
      <c r="N1055" s="42"/>
      <c r="O1055" s="47"/>
      <c r="P1055" s="46"/>
      <c r="Q1055" s="58"/>
      <c r="R1055" s="42"/>
      <c r="S1055" s="47"/>
      <c r="T1055" s="46"/>
      <c r="U1055" s="58"/>
      <c r="V1055" s="42"/>
      <c r="W1055" s="46"/>
      <c r="X1055" s="47"/>
      <c r="Y1055" s="48"/>
    </row>
    <row r="1056" spans="2:25" s="38" customFormat="1" x14ac:dyDescent="0.25">
      <c r="B1056" s="49"/>
      <c r="C1056" s="70"/>
      <c r="D1056" s="42"/>
      <c r="F1056" s="46"/>
      <c r="G1056" s="47"/>
      <c r="H1056" s="46"/>
      <c r="I1056" s="58"/>
      <c r="J1056" s="42"/>
      <c r="K1056" s="47"/>
      <c r="L1056" s="46"/>
      <c r="M1056" s="58"/>
      <c r="N1056" s="42"/>
      <c r="O1056" s="47"/>
      <c r="P1056" s="46"/>
      <c r="Q1056" s="58"/>
      <c r="R1056" s="42"/>
      <c r="S1056" s="47"/>
      <c r="T1056" s="46"/>
      <c r="U1056" s="58"/>
      <c r="V1056" s="42"/>
      <c r="W1056" s="46"/>
      <c r="X1056" s="47"/>
      <c r="Y1056" s="48"/>
    </row>
    <row r="1057" spans="2:25" s="38" customFormat="1" x14ac:dyDescent="0.25">
      <c r="B1057" s="49"/>
      <c r="C1057" s="70"/>
      <c r="D1057" s="42"/>
      <c r="F1057" s="46"/>
      <c r="G1057" s="47"/>
      <c r="H1057" s="46"/>
      <c r="I1057" s="58"/>
      <c r="J1057" s="42"/>
      <c r="K1057" s="47"/>
      <c r="L1057" s="46"/>
      <c r="M1057" s="58"/>
      <c r="N1057" s="42"/>
      <c r="O1057" s="47"/>
      <c r="P1057" s="46"/>
      <c r="Q1057" s="58"/>
      <c r="R1057" s="42"/>
      <c r="S1057" s="47"/>
      <c r="T1057" s="46"/>
      <c r="U1057" s="58"/>
      <c r="V1057" s="42"/>
      <c r="W1057" s="46"/>
      <c r="X1057" s="47"/>
      <c r="Y1057" s="48"/>
    </row>
    <row r="1058" spans="2:25" s="38" customFormat="1" x14ac:dyDescent="0.25">
      <c r="B1058" s="49"/>
      <c r="C1058" s="70"/>
      <c r="D1058" s="42"/>
      <c r="F1058" s="46"/>
      <c r="G1058" s="47"/>
      <c r="H1058" s="46"/>
      <c r="I1058" s="58"/>
      <c r="J1058" s="42"/>
      <c r="K1058" s="47"/>
      <c r="L1058" s="46"/>
      <c r="M1058" s="58"/>
      <c r="N1058" s="42"/>
      <c r="O1058" s="47"/>
      <c r="P1058" s="46"/>
      <c r="Q1058" s="58"/>
      <c r="R1058" s="42"/>
      <c r="S1058" s="47"/>
      <c r="T1058" s="46"/>
      <c r="U1058" s="58"/>
      <c r="V1058" s="42"/>
      <c r="W1058" s="46"/>
      <c r="X1058" s="47"/>
      <c r="Y1058" s="48"/>
    </row>
    <row r="1059" spans="2:25" s="38" customFormat="1" x14ac:dyDescent="0.25">
      <c r="B1059" s="49"/>
      <c r="C1059" s="70"/>
      <c r="D1059" s="42"/>
      <c r="F1059" s="46"/>
      <c r="G1059" s="47"/>
      <c r="H1059" s="46"/>
      <c r="I1059" s="58"/>
      <c r="J1059" s="42"/>
      <c r="K1059" s="47"/>
      <c r="L1059" s="46"/>
      <c r="M1059" s="58"/>
      <c r="N1059" s="42"/>
      <c r="O1059" s="47"/>
      <c r="P1059" s="46"/>
      <c r="Q1059" s="58"/>
      <c r="R1059" s="42"/>
      <c r="S1059" s="47"/>
      <c r="T1059" s="46"/>
      <c r="U1059" s="58"/>
      <c r="V1059" s="42"/>
      <c r="W1059" s="46"/>
      <c r="X1059" s="47"/>
      <c r="Y1059" s="48"/>
    </row>
    <row r="1060" spans="2:25" s="38" customFormat="1" x14ac:dyDescent="0.25">
      <c r="B1060" s="49"/>
      <c r="C1060" s="70"/>
      <c r="D1060" s="42"/>
      <c r="F1060" s="46"/>
      <c r="G1060" s="47"/>
      <c r="H1060" s="46"/>
      <c r="I1060" s="58"/>
      <c r="J1060" s="42"/>
      <c r="K1060" s="47"/>
      <c r="L1060" s="46"/>
      <c r="M1060" s="58"/>
      <c r="N1060" s="42"/>
      <c r="O1060" s="47"/>
      <c r="P1060" s="46"/>
      <c r="Q1060" s="58"/>
      <c r="R1060" s="42"/>
      <c r="S1060" s="47"/>
      <c r="T1060" s="46"/>
      <c r="U1060" s="58"/>
      <c r="V1060" s="42"/>
      <c r="W1060" s="46"/>
      <c r="X1060" s="47"/>
      <c r="Y1060" s="48"/>
    </row>
    <row r="1061" spans="2:25" s="38" customFormat="1" x14ac:dyDescent="0.25">
      <c r="B1061" s="49"/>
      <c r="C1061" s="70"/>
      <c r="D1061" s="42"/>
      <c r="F1061" s="46"/>
      <c r="G1061" s="47"/>
      <c r="H1061" s="46"/>
      <c r="I1061" s="58"/>
      <c r="J1061" s="42"/>
      <c r="K1061" s="47"/>
      <c r="L1061" s="46"/>
      <c r="M1061" s="58"/>
      <c r="N1061" s="42"/>
      <c r="O1061" s="47"/>
      <c r="P1061" s="46"/>
      <c r="Q1061" s="58"/>
      <c r="R1061" s="42"/>
      <c r="S1061" s="47"/>
      <c r="T1061" s="46"/>
      <c r="U1061" s="58"/>
      <c r="V1061" s="42"/>
      <c r="W1061" s="46"/>
      <c r="X1061" s="47"/>
      <c r="Y1061" s="48"/>
    </row>
    <row r="1062" spans="2:25" s="38" customFormat="1" x14ac:dyDescent="0.25">
      <c r="B1062" s="49"/>
      <c r="C1062" s="70"/>
      <c r="D1062" s="42"/>
      <c r="F1062" s="46"/>
      <c r="G1062" s="47"/>
      <c r="H1062" s="46"/>
      <c r="I1062" s="58"/>
      <c r="J1062" s="42"/>
      <c r="K1062" s="47"/>
      <c r="L1062" s="46"/>
      <c r="M1062" s="58"/>
      <c r="N1062" s="42"/>
      <c r="O1062" s="47"/>
      <c r="P1062" s="46"/>
      <c r="Q1062" s="58"/>
      <c r="R1062" s="42"/>
      <c r="S1062" s="47"/>
      <c r="T1062" s="46"/>
      <c r="U1062" s="58"/>
      <c r="V1062" s="42"/>
      <c r="W1062" s="46"/>
      <c r="X1062" s="47"/>
      <c r="Y1062" s="48"/>
    </row>
    <row r="1063" spans="2:25" s="38" customFormat="1" x14ac:dyDescent="0.25">
      <c r="B1063" s="49"/>
      <c r="C1063" s="70"/>
      <c r="D1063" s="42"/>
      <c r="F1063" s="46"/>
      <c r="G1063" s="47"/>
      <c r="H1063" s="46"/>
      <c r="I1063" s="58"/>
      <c r="J1063" s="42"/>
      <c r="K1063" s="47"/>
      <c r="L1063" s="46"/>
      <c r="M1063" s="58"/>
      <c r="N1063" s="42"/>
      <c r="O1063" s="47"/>
      <c r="P1063" s="46"/>
      <c r="Q1063" s="58"/>
      <c r="R1063" s="42"/>
      <c r="S1063" s="47"/>
      <c r="T1063" s="46"/>
      <c r="U1063" s="58"/>
      <c r="V1063" s="42"/>
      <c r="W1063" s="46"/>
      <c r="X1063" s="47"/>
      <c r="Y1063" s="48"/>
    </row>
    <row r="1064" spans="2:25" s="38" customFormat="1" x14ac:dyDescent="0.25">
      <c r="B1064" s="49"/>
      <c r="C1064" s="70"/>
      <c r="D1064" s="42"/>
      <c r="F1064" s="46"/>
      <c r="G1064" s="47"/>
      <c r="H1064" s="46"/>
      <c r="I1064" s="58"/>
      <c r="J1064" s="42"/>
      <c r="K1064" s="47"/>
      <c r="L1064" s="46"/>
      <c r="M1064" s="58"/>
      <c r="N1064" s="42"/>
      <c r="O1064" s="47"/>
      <c r="P1064" s="46"/>
      <c r="Q1064" s="58"/>
      <c r="R1064" s="42"/>
      <c r="S1064" s="47"/>
      <c r="T1064" s="46"/>
      <c r="U1064" s="58"/>
      <c r="V1064" s="42"/>
      <c r="W1064" s="46"/>
      <c r="X1064" s="47"/>
      <c r="Y1064" s="48"/>
    </row>
    <row r="1065" spans="2:25" s="38" customFormat="1" x14ac:dyDescent="0.25">
      <c r="B1065" s="49"/>
      <c r="C1065" s="70"/>
      <c r="D1065" s="42"/>
      <c r="F1065" s="46"/>
      <c r="G1065" s="47"/>
      <c r="H1065" s="46"/>
      <c r="I1065" s="58"/>
      <c r="J1065" s="42"/>
      <c r="K1065" s="47"/>
      <c r="L1065" s="46"/>
      <c r="M1065" s="58"/>
      <c r="N1065" s="42"/>
      <c r="O1065" s="47"/>
      <c r="P1065" s="46"/>
      <c r="Q1065" s="58"/>
      <c r="R1065" s="42"/>
      <c r="S1065" s="47"/>
      <c r="T1065" s="46"/>
      <c r="U1065" s="58"/>
      <c r="V1065" s="42"/>
      <c r="W1065" s="46"/>
      <c r="X1065" s="47"/>
      <c r="Y1065" s="48"/>
    </row>
    <row r="1066" spans="2:25" s="38" customFormat="1" x14ac:dyDescent="0.25">
      <c r="B1066" s="49"/>
      <c r="C1066" s="70"/>
      <c r="D1066" s="42"/>
      <c r="F1066" s="46"/>
      <c r="G1066" s="47"/>
      <c r="H1066" s="46"/>
      <c r="I1066" s="58"/>
      <c r="J1066" s="42"/>
      <c r="K1066" s="47"/>
      <c r="L1066" s="46"/>
      <c r="M1066" s="58"/>
      <c r="N1066" s="42"/>
      <c r="O1066" s="47"/>
      <c r="P1066" s="46"/>
      <c r="Q1066" s="58"/>
      <c r="R1066" s="42"/>
      <c r="S1066" s="47"/>
      <c r="T1066" s="46"/>
      <c r="U1066" s="58"/>
      <c r="V1066" s="42"/>
      <c r="W1066" s="46"/>
      <c r="X1066" s="47"/>
      <c r="Y1066" s="48"/>
    </row>
    <row r="1067" spans="2:25" s="38" customFormat="1" x14ac:dyDescent="0.25">
      <c r="B1067" s="49"/>
      <c r="C1067" s="70"/>
      <c r="D1067" s="42"/>
      <c r="F1067" s="46"/>
      <c r="G1067" s="47"/>
      <c r="H1067" s="46"/>
      <c r="I1067" s="58"/>
      <c r="J1067" s="42"/>
      <c r="K1067" s="47"/>
      <c r="L1067" s="46"/>
      <c r="M1067" s="58"/>
      <c r="N1067" s="42"/>
      <c r="O1067" s="47"/>
      <c r="P1067" s="46"/>
      <c r="Q1067" s="58"/>
      <c r="R1067" s="42"/>
      <c r="S1067" s="47"/>
      <c r="T1067" s="46"/>
      <c r="U1067" s="58"/>
      <c r="V1067" s="42"/>
      <c r="W1067" s="46"/>
      <c r="X1067" s="47"/>
      <c r="Y1067" s="48"/>
    </row>
    <row r="1068" spans="2:25" s="38" customFormat="1" x14ac:dyDescent="0.25">
      <c r="B1068" s="49"/>
      <c r="C1068" s="70"/>
      <c r="D1068" s="42"/>
      <c r="F1068" s="46"/>
      <c r="G1068" s="47"/>
      <c r="H1068" s="46"/>
      <c r="I1068" s="58"/>
      <c r="J1068" s="42"/>
      <c r="K1068" s="47"/>
      <c r="L1068" s="46"/>
      <c r="M1068" s="58"/>
      <c r="N1068" s="42"/>
      <c r="O1068" s="47"/>
      <c r="P1068" s="46"/>
      <c r="Q1068" s="58"/>
      <c r="R1068" s="42"/>
      <c r="S1068" s="47"/>
      <c r="T1068" s="46"/>
      <c r="U1068" s="58"/>
      <c r="V1068" s="42"/>
      <c r="W1068" s="46"/>
      <c r="X1068" s="47"/>
      <c r="Y1068" s="48"/>
    </row>
    <row r="1069" spans="2:25" s="38" customFormat="1" x14ac:dyDescent="0.25">
      <c r="B1069" s="49"/>
      <c r="C1069" s="70"/>
      <c r="D1069" s="42"/>
      <c r="F1069" s="46"/>
      <c r="G1069" s="47"/>
      <c r="H1069" s="46"/>
      <c r="I1069" s="58"/>
      <c r="J1069" s="42"/>
      <c r="K1069" s="47"/>
      <c r="L1069" s="46"/>
      <c r="M1069" s="58"/>
      <c r="N1069" s="42"/>
      <c r="O1069" s="47"/>
      <c r="P1069" s="46"/>
      <c r="Q1069" s="58"/>
      <c r="R1069" s="42"/>
      <c r="S1069" s="47"/>
      <c r="T1069" s="46"/>
      <c r="U1069" s="58"/>
      <c r="V1069" s="42"/>
      <c r="W1069" s="46"/>
      <c r="X1069" s="47"/>
      <c r="Y1069" s="48"/>
    </row>
    <row r="1070" spans="2:25" s="38" customFormat="1" x14ac:dyDescent="0.25">
      <c r="B1070" s="49"/>
      <c r="C1070" s="70"/>
      <c r="D1070" s="42"/>
      <c r="F1070" s="46"/>
      <c r="G1070" s="47"/>
      <c r="H1070" s="46"/>
      <c r="I1070" s="58"/>
      <c r="J1070" s="42"/>
      <c r="K1070" s="47"/>
      <c r="L1070" s="46"/>
      <c r="M1070" s="58"/>
      <c r="N1070" s="42"/>
      <c r="O1070" s="47"/>
      <c r="P1070" s="46"/>
      <c r="Q1070" s="58"/>
      <c r="R1070" s="42"/>
      <c r="S1070" s="47"/>
      <c r="T1070" s="46"/>
      <c r="U1070" s="58"/>
      <c r="V1070" s="42"/>
      <c r="W1070" s="46"/>
      <c r="X1070" s="47"/>
      <c r="Y1070" s="48"/>
    </row>
    <row r="1071" spans="2:25" s="38" customFormat="1" x14ac:dyDescent="0.25">
      <c r="B1071" s="49"/>
      <c r="C1071" s="70"/>
      <c r="D1071" s="42"/>
      <c r="F1071" s="46"/>
      <c r="G1071" s="47"/>
      <c r="H1071" s="46"/>
      <c r="I1071" s="58"/>
      <c r="J1071" s="42"/>
      <c r="K1071" s="47"/>
      <c r="L1071" s="46"/>
      <c r="M1071" s="58"/>
      <c r="N1071" s="42"/>
      <c r="O1071" s="47"/>
      <c r="P1071" s="46"/>
      <c r="Q1071" s="58"/>
      <c r="R1071" s="42"/>
      <c r="S1071" s="47"/>
      <c r="T1071" s="46"/>
      <c r="U1071" s="58"/>
      <c r="V1071" s="42"/>
      <c r="W1071" s="46"/>
      <c r="X1071" s="47"/>
      <c r="Y1071" s="48"/>
    </row>
    <row r="1072" spans="2:25" s="38" customFormat="1" x14ac:dyDescent="0.25">
      <c r="B1072" s="49"/>
      <c r="C1072" s="70"/>
      <c r="D1072" s="42"/>
      <c r="F1072" s="46"/>
      <c r="G1072" s="47"/>
      <c r="H1072" s="46"/>
      <c r="I1072" s="58"/>
      <c r="J1072" s="42"/>
      <c r="K1072" s="47"/>
      <c r="L1072" s="46"/>
      <c r="M1072" s="58"/>
      <c r="N1072" s="42"/>
      <c r="O1072" s="47"/>
      <c r="P1072" s="46"/>
      <c r="Q1072" s="58"/>
      <c r="R1072" s="42"/>
      <c r="S1072" s="47"/>
      <c r="T1072" s="46"/>
      <c r="U1072" s="58"/>
      <c r="V1072" s="42"/>
      <c r="W1072" s="46"/>
      <c r="X1072" s="47"/>
      <c r="Y1072" s="48"/>
    </row>
    <row r="1073" spans="2:25" s="38" customFormat="1" x14ac:dyDescent="0.25">
      <c r="B1073" s="49"/>
      <c r="C1073" s="70"/>
      <c r="D1073" s="42"/>
      <c r="F1073" s="46"/>
      <c r="G1073" s="47"/>
      <c r="H1073" s="46"/>
      <c r="I1073" s="58"/>
      <c r="J1073" s="42"/>
      <c r="K1073" s="47"/>
      <c r="L1073" s="46"/>
      <c r="M1073" s="58"/>
      <c r="N1073" s="42"/>
      <c r="O1073" s="47"/>
      <c r="P1073" s="46"/>
      <c r="Q1073" s="58"/>
      <c r="R1073" s="42"/>
      <c r="S1073" s="47"/>
      <c r="T1073" s="46"/>
      <c r="U1073" s="58"/>
      <c r="V1073" s="42"/>
      <c r="W1073" s="46"/>
      <c r="X1073" s="47"/>
      <c r="Y1073" s="48"/>
    </row>
    <row r="1074" spans="2:25" s="38" customFormat="1" x14ac:dyDescent="0.25">
      <c r="B1074" s="49"/>
      <c r="C1074" s="70"/>
      <c r="D1074" s="42"/>
      <c r="F1074" s="46"/>
      <c r="G1074" s="47"/>
      <c r="H1074" s="46"/>
      <c r="I1074" s="58"/>
      <c r="J1074" s="42"/>
      <c r="K1074" s="47"/>
      <c r="L1074" s="46"/>
      <c r="M1074" s="58"/>
      <c r="N1074" s="42"/>
      <c r="O1074" s="47"/>
      <c r="P1074" s="46"/>
      <c r="Q1074" s="58"/>
      <c r="R1074" s="42"/>
      <c r="S1074" s="47"/>
      <c r="T1074" s="46"/>
      <c r="U1074" s="58"/>
      <c r="V1074" s="42"/>
      <c r="W1074" s="46"/>
      <c r="X1074" s="47"/>
      <c r="Y1074" s="48"/>
    </row>
    <row r="1075" spans="2:25" s="38" customFormat="1" x14ac:dyDescent="0.25">
      <c r="B1075" s="49"/>
      <c r="C1075" s="70"/>
      <c r="D1075" s="42"/>
      <c r="F1075" s="46"/>
      <c r="G1075" s="47"/>
      <c r="H1075" s="46"/>
      <c r="I1075" s="58"/>
      <c r="J1075" s="42"/>
      <c r="K1075" s="47"/>
      <c r="L1075" s="46"/>
      <c r="M1075" s="58"/>
      <c r="N1075" s="42"/>
      <c r="O1075" s="47"/>
      <c r="P1075" s="46"/>
      <c r="Q1075" s="58"/>
      <c r="R1075" s="42"/>
      <c r="S1075" s="47"/>
      <c r="T1075" s="46"/>
      <c r="U1075" s="58"/>
      <c r="V1075" s="42"/>
      <c r="W1075" s="46"/>
      <c r="X1075" s="47"/>
      <c r="Y1075" s="48"/>
    </row>
    <row r="1076" spans="2:25" s="38" customFormat="1" x14ac:dyDescent="0.25">
      <c r="B1076" s="49"/>
      <c r="C1076" s="70"/>
      <c r="D1076" s="42"/>
      <c r="F1076" s="46"/>
      <c r="G1076" s="47"/>
      <c r="H1076" s="46"/>
      <c r="I1076" s="58"/>
      <c r="J1076" s="42"/>
      <c r="K1076" s="47"/>
      <c r="L1076" s="46"/>
      <c r="M1076" s="58"/>
      <c r="N1076" s="42"/>
      <c r="O1076" s="47"/>
      <c r="P1076" s="46"/>
      <c r="Q1076" s="58"/>
      <c r="R1076" s="42"/>
      <c r="S1076" s="47"/>
      <c r="T1076" s="46"/>
      <c r="U1076" s="58"/>
      <c r="V1076" s="42"/>
      <c r="W1076" s="46"/>
      <c r="X1076" s="47"/>
      <c r="Y1076" s="48"/>
    </row>
    <row r="1077" spans="2:25" s="38" customFormat="1" x14ac:dyDescent="0.25">
      <c r="B1077" s="49"/>
      <c r="C1077" s="70"/>
      <c r="D1077" s="42"/>
      <c r="F1077" s="46"/>
      <c r="G1077" s="47"/>
      <c r="H1077" s="46"/>
      <c r="I1077" s="58"/>
      <c r="J1077" s="42"/>
      <c r="K1077" s="47"/>
      <c r="L1077" s="46"/>
      <c r="M1077" s="58"/>
      <c r="N1077" s="42"/>
      <c r="O1077" s="47"/>
      <c r="P1077" s="46"/>
      <c r="Q1077" s="58"/>
      <c r="R1077" s="42"/>
      <c r="S1077" s="47"/>
      <c r="T1077" s="46"/>
      <c r="U1077" s="58"/>
      <c r="V1077" s="42"/>
      <c r="W1077" s="46"/>
      <c r="X1077" s="47"/>
      <c r="Y1077" s="48"/>
    </row>
    <row r="1078" spans="2:25" s="38" customFormat="1" x14ac:dyDescent="0.25">
      <c r="B1078" s="49"/>
      <c r="C1078" s="70"/>
      <c r="D1078" s="42"/>
      <c r="F1078" s="46"/>
      <c r="G1078" s="47"/>
      <c r="H1078" s="46"/>
      <c r="I1078" s="58"/>
      <c r="J1078" s="42"/>
      <c r="K1078" s="47"/>
      <c r="L1078" s="46"/>
      <c r="M1078" s="58"/>
      <c r="N1078" s="42"/>
      <c r="O1078" s="47"/>
      <c r="P1078" s="46"/>
      <c r="Q1078" s="58"/>
      <c r="R1078" s="42"/>
      <c r="S1078" s="47"/>
      <c r="T1078" s="46"/>
      <c r="U1078" s="58"/>
      <c r="V1078" s="42"/>
      <c r="W1078" s="46"/>
      <c r="X1078" s="47"/>
      <c r="Y1078" s="48"/>
    </row>
    <row r="1079" spans="2:25" s="38" customFormat="1" x14ac:dyDescent="0.25">
      <c r="B1079" s="49"/>
      <c r="C1079" s="70"/>
      <c r="D1079" s="42"/>
      <c r="F1079" s="46"/>
      <c r="G1079" s="47"/>
      <c r="H1079" s="46"/>
      <c r="I1079" s="58"/>
      <c r="J1079" s="42"/>
      <c r="K1079" s="47"/>
      <c r="L1079" s="46"/>
      <c r="M1079" s="58"/>
      <c r="N1079" s="42"/>
      <c r="O1079" s="47"/>
      <c r="P1079" s="46"/>
      <c r="Q1079" s="58"/>
      <c r="R1079" s="42"/>
      <c r="S1079" s="47"/>
      <c r="T1079" s="46"/>
      <c r="U1079" s="58"/>
      <c r="V1079" s="42"/>
      <c r="W1079" s="46"/>
      <c r="X1079" s="47"/>
      <c r="Y1079" s="48"/>
    </row>
    <row r="1080" spans="2:25" s="38" customFormat="1" x14ac:dyDescent="0.25">
      <c r="B1080" s="49"/>
      <c r="C1080" s="70"/>
      <c r="D1080" s="42"/>
      <c r="F1080" s="46"/>
      <c r="G1080" s="47"/>
      <c r="H1080" s="46"/>
      <c r="I1080" s="58"/>
      <c r="J1080" s="42"/>
      <c r="K1080" s="47"/>
      <c r="L1080" s="46"/>
      <c r="M1080" s="58"/>
      <c r="N1080" s="42"/>
      <c r="O1080" s="47"/>
      <c r="P1080" s="46"/>
      <c r="Q1080" s="58"/>
      <c r="R1080" s="42"/>
      <c r="S1080" s="47"/>
      <c r="T1080" s="46"/>
      <c r="U1080" s="58"/>
      <c r="V1080" s="42"/>
      <c r="W1080" s="46"/>
      <c r="X1080" s="47"/>
      <c r="Y1080" s="48"/>
    </row>
    <row r="1081" spans="2:25" s="38" customFormat="1" x14ac:dyDescent="0.25">
      <c r="B1081" s="49"/>
      <c r="C1081" s="70"/>
      <c r="D1081" s="42"/>
      <c r="F1081" s="46"/>
      <c r="G1081" s="47"/>
      <c r="H1081" s="46"/>
      <c r="I1081" s="58"/>
      <c r="J1081" s="42"/>
      <c r="K1081" s="47"/>
      <c r="L1081" s="46"/>
      <c r="M1081" s="58"/>
      <c r="N1081" s="42"/>
      <c r="O1081" s="47"/>
      <c r="P1081" s="46"/>
      <c r="Q1081" s="58"/>
      <c r="R1081" s="42"/>
      <c r="S1081" s="47"/>
      <c r="T1081" s="46"/>
      <c r="U1081" s="58"/>
      <c r="V1081" s="42"/>
      <c r="W1081" s="46"/>
      <c r="X1081" s="47"/>
      <c r="Y1081" s="48"/>
    </row>
    <row r="1082" spans="2:25" s="38" customFormat="1" x14ac:dyDescent="0.25">
      <c r="B1082" s="49"/>
      <c r="C1082" s="70"/>
      <c r="D1082" s="42"/>
      <c r="F1082" s="46"/>
      <c r="G1082" s="47"/>
      <c r="H1082" s="46"/>
      <c r="I1082" s="58"/>
      <c r="J1082" s="42"/>
      <c r="K1082" s="47"/>
      <c r="L1082" s="46"/>
      <c r="M1082" s="58"/>
      <c r="N1082" s="42"/>
      <c r="O1082" s="47"/>
      <c r="P1082" s="46"/>
      <c r="Q1082" s="58"/>
      <c r="R1082" s="42"/>
      <c r="S1082" s="47"/>
      <c r="T1082" s="46"/>
      <c r="U1082" s="58"/>
      <c r="V1082" s="42"/>
      <c r="W1082" s="46"/>
      <c r="X1082" s="47"/>
      <c r="Y1082" s="48"/>
    </row>
    <row r="1083" spans="2:25" s="38" customFormat="1" x14ac:dyDescent="0.25">
      <c r="B1083" s="49"/>
      <c r="C1083" s="70"/>
      <c r="D1083" s="42"/>
      <c r="F1083" s="46"/>
      <c r="G1083" s="47"/>
      <c r="H1083" s="46"/>
      <c r="I1083" s="58"/>
      <c r="J1083" s="42"/>
      <c r="K1083" s="47"/>
      <c r="L1083" s="46"/>
      <c r="M1083" s="58"/>
      <c r="N1083" s="42"/>
      <c r="O1083" s="47"/>
      <c r="P1083" s="46"/>
      <c r="Q1083" s="58"/>
      <c r="R1083" s="42"/>
      <c r="S1083" s="47"/>
      <c r="T1083" s="46"/>
      <c r="U1083" s="58"/>
      <c r="V1083" s="42"/>
      <c r="W1083" s="46"/>
      <c r="X1083" s="47"/>
      <c r="Y1083" s="48"/>
    </row>
    <row r="1084" spans="2:25" s="38" customFormat="1" x14ac:dyDescent="0.25">
      <c r="B1084" s="49"/>
      <c r="C1084" s="70"/>
      <c r="D1084" s="42"/>
      <c r="F1084" s="46"/>
      <c r="G1084" s="47"/>
      <c r="H1084" s="46"/>
      <c r="I1084" s="58"/>
      <c r="J1084" s="42"/>
      <c r="K1084" s="47"/>
      <c r="L1084" s="46"/>
      <c r="M1084" s="58"/>
      <c r="N1084" s="42"/>
      <c r="O1084" s="47"/>
      <c r="P1084" s="46"/>
      <c r="Q1084" s="58"/>
      <c r="R1084" s="42"/>
      <c r="S1084" s="47"/>
      <c r="T1084" s="46"/>
      <c r="U1084" s="58"/>
      <c r="V1084" s="42"/>
      <c r="W1084" s="46"/>
      <c r="X1084" s="47"/>
      <c r="Y1084" s="48"/>
    </row>
    <row r="1085" spans="2:25" s="38" customFormat="1" x14ac:dyDescent="0.25">
      <c r="B1085" s="49"/>
      <c r="C1085" s="70"/>
      <c r="D1085" s="42"/>
      <c r="F1085" s="46"/>
      <c r="G1085" s="47"/>
      <c r="H1085" s="46"/>
      <c r="I1085" s="58"/>
      <c r="J1085" s="42"/>
      <c r="K1085" s="47"/>
      <c r="L1085" s="46"/>
      <c r="M1085" s="58"/>
      <c r="N1085" s="42"/>
      <c r="O1085" s="47"/>
      <c r="P1085" s="46"/>
      <c r="Q1085" s="58"/>
      <c r="R1085" s="42"/>
      <c r="S1085" s="47"/>
      <c r="T1085" s="46"/>
      <c r="U1085" s="58"/>
      <c r="V1085" s="42"/>
      <c r="W1085" s="46"/>
      <c r="X1085" s="47"/>
      <c r="Y1085" s="48"/>
    </row>
    <row r="1086" spans="2:25" s="38" customFormat="1" x14ac:dyDescent="0.25">
      <c r="B1086" s="49"/>
      <c r="C1086" s="70"/>
      <c r="D1086" s="42"/>
      <c r="F1086" s="46"/>
      <c r="G1086" s="47"/>
      <c r="H1086" s="46"/>
      <c r="I1086" s="58"/>
      <c r="J1086" s="42"/>
      <c r="K1086" s="47"/>
      <c r="L1086" s="46"/>
      <c r="M1086" s="58"/>
      <c r="N1086" s="42"/>
      <c r="O1086" s="47"/>
      <c r="P1086" s="46"/>
      <c r="Q1086" s="58"/>
      <c r="R1086" s="42"/>
      <c r="S1086" s="47"/>
      <c r="T1086" s="46"/>
      <c r="U1086" s="58"/>
      <c r="V1086" s="42"/>
      <c r="W1086" s="46"/>
      <c r="X1086" s="47"/>
      <c r="Y1086" s="48"/>
    </row>
    <row r="1087" spans="2:25" s="38" customFormat="1" x14ac:dyDescent="0.25">
      <c r="B1087" s="49"/>
      <c r="C1087" s="70"/>
      <c r="D1087" s="42"/>
      <c r="F1087" s="46"/>
      <c r="G1087" s="47"/>
      <c r="H1087" s="46"/>
      <c r="I1087" s="58"/>
      <c r="J1087" s="42"/>
      <c r="K1087" s="47"/>
      <c r="L1087" s="46"/>
      <c r="M1087" s="58"/>
      <c r="N1087" s="42"/>
      <c r="O1087" s="47"/>
      <c r="P1087" s="46"/>
      <c r="Q1087" s="58"/>
      <c r="R1087" s="42"/>
      <c r="S1087" s="47"/>
      <c r="T1087" s="46"/>
      <c r="U1087" s="58"/>
      <c r="V1087" s="42"/>
      <c r="W1087" s="46"/>
      <c r="X1087" s="47"/>
      <c r="Y1087" s="48"/>
    </row>
    <row r="1088" spans="2:25" s="38" customFormat="1" x14ac:dyDescent="0.25">
      <c r="B1088" s="49"/>
      <c r="C1088" s="70"/>
      <c r="D1088" s="42"/>
      <c r="F1088" s="46"/>
      <c r="G1088" s="47"/>
      <c r="H1088" s="46"/>
      <c r="I1088" s="58"/>
      <c r="J1088" s="42"/>
      <c r="K1088" s="47"/>
      <c r="L1088" s="46"/>
      <c r="M1088" s="58"/>
      <c r="N1088" s="42"/>
      <c r="O1088" s="47"/>
      <c r="P1088" s="46"/>
      <c r="Q1088" s="58"/>
      <c r="R1088" s="42"/>
      <c r="S1088" s="47"/>
      <c r="T1088" s="46"/>
      <c r="U1088" s="58"/>
      <c r="V1088" s="42"/>
      <c r="W1088" s="46"/>
      <c r="X1088" s="47"/>
      <c r="Y1088" s="48"/>
    </row>
    <row r="1089" spans="2:25" s="38" customFormat="1" x14ac:dyDescent="0.25">
      <c r="B1089" s="49"/>
      <c r="C1089" s="70"/>
      <c r="D1089" s="42"/>
      <c r="F1089" s="46"/>
      <c r="G1089" s="47"/>
      <c r="H1089" s="46"/>
      <c r="I1089" s="58"/>
      <c r="J1089" s="42"/>
      <c r="K1089" s="47"/>
      <c r="L1089" s="46"/>
      <c r="M1089" s="58"/>
      <c r="N1089" s="42"/>
      <c r="O1089" s="47"/>
      <c r="P1089" s="46"/>
      <c r="Q1089" s="58"/>
      <c r="R1089" s="42"/>
      <c r="S1089" s="47"/>
      <c r="T1089" s="46"/>
      <c r="U1089" s="58"/>
      <c r="V1089" s="42"/>
      <c r="W1089" s="46"/>
      <c r="X1089" s="47"/>
      <c r="Y1089" s="48"/>
    </row>
    <row r="1090" spans="2:25" s="38" customFormat="1" x14ac:dyDescent="0.25">
      <c r="B1090" s="49"/>
      <c r="C1090" s="70"/>
      <c r="D1090" s="42"/>
      <c r="F1090" s="46"/>
      <c r="G1090" s="47"/>
      <c r="H1090" s="46"/>
      <c r="I1090" s="58"/>
      <c r="J1090" s="42"/>
      <c r="K1090" s="47"/>
      <c r="L1090" s="46"/>
      <c r="M1090" s="58"/>
      <c r="N1090" s="42"/>
      <c r="O1090" s="47"/>
      <c r="P1090" s="46"/>
      <c r="Q1090" s="58"/>
      <c r="R1090" s="42"/>
      <c r="S1090" s="47"/>
      <c r="T1090" s="46"/>
      <c r="U1090" s="58"/>
      <c r="V1090" s="42"/>
      <c r="W1090" s="46"/>
      <c r="X1090" s="47"/>
      <c r="Y1090" s="48"/>
    </row>
    <row r="1091" spans="2:25" s="38" customFormat="1" x14ac:dyDescent="0.25">
      <c r="B1091" s="49"/>
      <c r="C1091" s="70"/>
      <c r="D1091" s="42"/>
      <c r="F1091" s="46"/>
      <c r="G1091" s="47"/>
      <c r="H1091" s="46"/>
      <c r="I1091" s="58"/>
      <c r="J1091" s="42"/>
      <c r="K1091" s="47"/>
      <c r="L1091" s="46"/>
      <c r="M1091" s="58"/>
      <c r="N1091" s="42"/>
      <c r="O1091" s="47"/>
      <c r="P1091" s="46"/>
      <c r="Q1091" s="58"/>
      <c r="R1091" s="42"/>
      <c r="S1091" s="47"/>
      <c r="T1091" s="46"/>
      <c r="U1091" s="58"/>
      <c r="V1091" s="42"/>
      <c r="W1091" s="46"/>
      <c r="X1091" s="47"/>
      <c r="Y1091" s="48"/>
    </row>
    <row r="1092" spans="2:25" s="38" customFormat="1" x14ac:dyDescent="0.25">
      <c r="B1092" s="49"/>
      <c r="C1092" s="70"/>
      <c r="D1092" s="42"/>
      <c r="F1092" s="46"/>
      <c r="G1092" s="47"/>
      <c r="H1092" s="46"/>
      <c r="I1092" s="58"/>
      <c r="J1092" s="42"/>
      <c r="K1092" s="47"/>
      <c r="L1092" s="46"/>
      <c r="M1092" s="58"/>
      <c r="N1092" s="42"/>
      <c r="O1092" s="47"/>
      <c r="P1092" s="46"/>
      <c r="Q1092" s="58"/>
      <c r="R1092" s="42"/>
      <c r="S1092" s="47"/>
      <c r="T1092" s="46"/>
      <c r="U1092" s="58"/>
      <c r="V1092" s="42"/>
      <c r="W1092" s="46"/>
      <c r="X1092" s="47"/>
      <c r="Y1092" s="48"/>
    </row>
    <row r="1093" spans="2:25" s="38" customFormat="1" x14ac:dyDescent="0.25">
      <c r="B1093" s="49"/>
      <c r="C1093" s="70"/>
      <c r="D1093" s="42"/>
      <c r="F1093" s="46"/>
      <c r="G1093" s="47"/>
      <c r="H1093" s="46"/>
      <c r="I1093" s="58"/>
      <c r="J1093" s="42"/>
      <c r="K1093" s="47"/>
      <c r="L1093" s="46"/>
      <c r="M1093" s="58"/>
      <c r="N1093" s="42"/>
      <c r="O1093" s="47"/>
      <c r="P1093" s="46"/>
      <c r="Q1093" s="58"/>
      <c r="R1093" s="42"/>
      <c r="S1093" s="47"/>
      <c r="T1093" s="46"/>
      <c r="U1093" s="58"/>
      <c r="V1093" s="42"/>
      <c r="W1093" s="46"/>
      <c r="X1093" s="47"/>
      <c r="Y1093" s="48"/>
    </row>
    <row r="1094" spans="2:25" s="38" customFormat="1" x14ac:dyDescent="0.25">
      <c r="B1094" s="49"/>
      <c r="C1094" s="70"/>
      <c r="D1094" s="42"/>
      <c r="F1094" s="46"/>
      <c r="G1094" s="47"/>
      <c r="H1094" s="46"/>
      <c r="I1094" s="58"/>
      <c r="J1094" s="42"/>
      <c r="K1094" s="47"/>
      <c r="L1094" s="46"/>
      <c r="M1094" s="58"/>
      <c r="N1094" s="42"/>
      <c r="O1094" s="47"/>
      <c r="P1094" s="46"/>
      <c r="Q1094" s="58"/>
      <c r="R1094" s="42"/>
      <c r="S1094" s="47"/>
      <c r="T1094" s="46"/>
      <c r="U1094" s="58"/>
      <c r="V1094" s="42"/>
      <c r="W1094" s="46"/>
      <c r="X1094" s="47"/>
      <c r="Y1094" s="48"/>
    </row>
    <row r="1095" spans="2:25" s="38" customFormat="1" x14ac:dyDescent="0.25">
      <c r="B1095" s="49"/>
      <c r="C1095" s="70"/>
      <c r="D1095" s="42"/>
      <c r="F1095" s="46"/>
      <c r="G1095" s="47"/>
      <c r="H1095" s="46"/>
      <c r="I1095" s="58"/>
      <c r="J1095" s="42"/>
      <c r="K1095" s="47"/>
      <c r="L1095" s="46"/>
      <c r="M1095" s="58"/>
      <c r="N1095" s="42"/>
      <c r="O1095" s="47"/>
      <c r="P1095" s="46"/>
      <c r="Q1095" s="58"/>
      <c r="R1095" s="42"/>
      <c r="S1095" s="47"/>
      <c r="T1095" s="46"/>
      <c r="U1095" s="58"/>
      <c r="V1095" s="42"/>
      <c r="W1095" s="46"/>
      <c r="X1095" s="47"/>
      <c r="Y1095" s="48"/>
    </row>
    <row r="1096" spans="2:25" s="38" customFormat="1" x14ac:dyDescent="0.25">
      <c r="B1096" s="49"/>
      <c r="C1096" s="70"/>
      <c r="D1096" s="42"/>
      <c r="F1096" s="46"/>
      <c r="G1096" s="47"/>
      <c r="H1096" s="46"/>
      <c r="I1096" s="58"/>
      <c r="J1096" s="42"/>
      <c r="K1096" s="47"/>
      <c r="L1096" s="46"/>
      <c r="M1096" s="58"/>
      <c r="N1096" s="42"/>
      <c r="O1096" s="47"/>
      <c r="P1096" s="46"/>
      <c r="Q1096" s="58"/>
      <c r="R1096" s="42"/>
      <c r="S1096" s="47"/>
      <c r="T1096" s="46"/>
      <c r="U1096" s="58"/>
      <c r="V1096" s="42"/>
      <c r="W1096" s="46"/>
      <c r="X1096" s="47"/>
      <c r="Y1096" s="48"/>
    </row>
    <row r="1097" spans="2:25" s="38" customFormat="1" x14ac:dyDescent="0.25">
      <c r="B1097" s="49"/>
      <c r="C1097" s="70"/>
      <c r="D1097" s="42"/>
      <c r="F1097" s="46"/>
      <c r="G1097" s="47"/>
      <c r="H1097" s="46"/>
      <c r="I1097" s="58"/>
      <c r="J1097" s="42"/>
      <c r="K1097" s="47"/>
      <c r="L1097" s="46"/>
      <c r="M1097" s="58"/>
      <c r="N1097" s="42"/>
      <c r="O1097" s="47"/>
      <c r="P1097" s="46"/>
      <c r="Q1097" s="58"/>
      <c r="R1097" s="42"/>
      <c r="S1097" s="47"/>
      <c r="T1097" s="46"/>
      <c r="U1097" s="58"/>
      <c r="V1097" s="42"/>
      <c r="W1097" s="46"/>
      <c r="X1097" s="47"/>
      <c r="Y1097" s="48"/>
    </row>
    <row r="1098" spans="2:25" s="38" customFormat="1" x14ac:dyDescent="0.25">
      <c r="B1098" s="49"/>
      <c r="C1098" s="70"/>
      <c r="D1098" s="42"/>
      <c r="F1098" s="46"/>
      <c r="G1098" s="47"/>
      <c r="H1098" s="46"/>
      <c r="I1098" s="58"/>
      <c r="J1098" s="42"/>
      <c r="K1098" s="47"/>
      <c r="L1098" s="46"/>
      <c r="M1098" s="58"/>
      <c r="N1098" s="42"/>
      <c r="O1098" s="47"/>
      <c r="P1098" s="46"/>
      <c r="Q1098" s="58"/>
      <c r="R1098" s="42"/>
      <c r="S1098" s="47"/>
      <c r="T1098" s="46"/>
      <c r="U1098" s="58"/>
      <c r="V1098" s="42"/>
      <c r="W1098" s="46"/>
      <c r="X1098" s="47"/>
      <c r="Y1098" s="48"/>
    </row>
    <row r="1099" spans="2:25" s="38" customFormat="1" x14ac:dyDescent="0.25">
      <c r="B1099" s="49"/>
      <c r="C1099" s="70"/>
      <c r="D1099" s="42"/>
      <c r="F1099" s="46"/>
      <c r="G1099" s="47"/>
      <c r="H1099" s="46"/>
      <c r="I1099" s="58"/>
      <c r="J1099" s="42"/>
      <c r="K1099" s="47"/>
      <c r="L1099" s="46"/>
      <c r="M1099" s="58"/>
      <c r="N1099" s="42"/>
      <c r="O1099" s="47"/>
      <c r="P1099" s="46"/>
      <c r="Q1099" s="58"/>
      <c r="R1099" s="42"/>
      <c r="S1099" s="47"/>
      <c r="T1099" s="46"/>
      <c r="U1099" s="58"/>
      <c r="V1099" s="42"/>
      <c r="W1099" s="46"/>
      <c r="X1099" s="47"/>
      <c r="Y1099" s="48"/>
    </row>
    <row r="1100" spans="2:25" s="38" customFormat="1" x14ac:dyDescent="0.25">
      <c r="B1100" s="49"/>
      <c r="C1100" s="70"/>
      <c r="D1100" s="42"/>
      <c r="F1100" s="46"/>
      <c r="G1100" s="47"/>
      <c r="H1100" s="46"/>
      <c r="I1100" s="58"/>
      <c r="J1100" s="42"/>
      <c r="K1100" s="47"/>
      <c r="L1100" s="46"/>
      <c r="M1100" s="58"/>
      <c r="N1100" s="42"/>
      <c r="O1100" s="47"/>
      <c r="P1100" s="46"/>
      <c r="Q1100" s="58"/>
      <c r="R1100" s="42"/>
      <c r="S1100" s="47"/>
      <c r="T1100" s="46"/>
      <c r="U1100" s="58"/>
      <c r="V1100" s="42"/>
      <c r="W1100" s="46"/>
      <c r="X1100" s="47"/>
      <c r="Y1100" s="48"/>
    </row>
    <row r="1101" spans="2:25" s="38" customFormat="1" x14ac:dyDescent="0.25">
      <c r="B1101" s="49"/>
      <c r="C1101" s="70"/>
      <c r="D1101" s="42"/>
      <c r="F1101" s="46"/>
      <c r="G1101" s="47"/>
      <c r="H1101" s="46"/>
      <c r="I1101" s="58"/>
      <c r="J1101" s="42"/>
      <c r="K1101" s="47"/>
      <c r="L1101" s="46"/>
      <c r="M1101" s="58"/>
      <c r="N1101" s="42"/>
      <c r="O1101" s="47"/>
      <c r="P1101" s="46"/>
      <c r="Q1101" s="58"/>
      <c r="R1101" s="42"/>
      <c r="S1101" s="47"/>
      <c r="T1101" s="46"/>
      <c r="U1101" s="58"/>
      <c r="V1101" s="42"/>
      <c r="W1101" s="46"/>
      <c r="X1101" s="47"/>
      <c r="Y1101" s="48"/>
    </row>
    <row r="1102" spans="2:25" s="38" customFormat="1" x14ac:dyDescent="0.25">
      <c r="B1102" s="49"/>
      <c r="C1102" s="70"/>
      <c r="D1102" s="42"/>
      <c r="F1102" s="46"/>
      <c r="G1102" s="47"/>
      <c r="H1102" s="46"/>
      <c r="I1102" s="58"/>
      <c r="J1102" s="42"/>
      <c r="K1102" s="47"/>
      <c r="L1102" s="46"/>
      <c r="M1102" s="58"/>
      <c r="N1102" s="42"/>
      <c r="O1102" s="47"/>
      <c r="P1102" s="46"/>
      <c r="Q1102" s="58"/>
      <c r="R1102" s="42"/>
      <c r="S1102" s="47"/>
      <c r="T1102" s="46"/>
      <c r="U1102" s="58"/>
      <c r="V1102" s="42"/>
      <c r="W1102" s="46"/>
      <c r="X1102" s="47"/>
      <c r="Y1102" s="48"/>
    </row>
    <row r="1103" spans="2:25" s="38" customFormat="1" x14ac:dyDescent="0.25">
      <c r="B1103" s="49"/>
      <c r="C1103" s="70"/>
      <c r="D1103" s="42"/>
      <c r="F1103" s="46"/>
      <c r="G1103" s="47"/>
      <c r="H1103" s="46"/>
      <c r="I1103" s="58"/>
      <c r="J1103" s="42"/>
      <c r="K1103" s="47"/>
      <c r="L1103" s="46"/>
      <c r="M1103" s="58"/>
      <c r="N1103" s="42"/>
      <c r="O1103" s="47"/>
      <c r="P1103" s="46"/>
      <c r="Q1103" s="58"/>
      <c r="R1103" s="42"/>
      <c r="S1103" s="47"/>
      <c r="T1103" s="46"/>
      <c r="U1103" s="58"/>
      <c r="V1103" s="42"/>
      <c r="W1103" s="46"/>
      <c r="X1103" s="47"/>
      <c r="Y1103" s="48"/>
    </row>
    <row r="1104" spans="2:25" s="38" customFormat="1" x14ac:dyDescent="0.25">
      <c r="B1104" s="49"/>
      <c r="C1104" s="70"/>
      <c r="D1104" s="42"/>
      <c r="F1104" s="46"/>
      <c r="G1104" s="47"/>
      <c r="H1104" s="46"/>
      <c r="I1104" s="58"/>
      <c r="J1104" s="42"/>
      <c r="K1104" s="47"/>
      <c r="L1104" s="46"/>
      <c r="M1104" s="58"/>
      <c r="N1104" s="42"/>
      <c r="O1104" s="47"/>
      <c r="P1104" s="46"/>
      <c r="Q1104" s="58"/>
      <c r="R1104" s="42"/>
      <c r="S1104" s="47"/>
      <c r="T1104" s="46"/>
      <c r="U1104" s="58"/>
      <c r="V1104" s="42"/>
      <c r="W1104" s="46"/>
      <c r="X1104" s="47"/>
      <c r="Y1104" s="48"/>
    </row>
    <row r="1105" spans="2:25" s="38" customFormat="1" x14ac:dyDescent="0.25">
      <c r="B1105" s="49"/>
      <c r="C1105" s="70"/>
      <c r="D1105" s="42"/>
      <c r="F1105" s="46"/>
      <c r="G1105" s="47"/>
      <c r="H1105" s="46"/>
      <c r="I1105" s="58"/>
      <c r="J1105" s="42"/>
      <c r="K1105" s="47"/>
      <c r="L1105" s="46"/>
      <c r="M1105" s="58"/>
      <c r="N1105" s="42"/>
      <c r="O1105" s="47"/>
      <c r="P1105" s="46"/>
      <c r="Q1105" s="58"/>
      <c r="R1105" s="42"/>
      <c r="S1105" s="47"/>
      <c r="T1105" s="46"/>
      <c r="U1105" s="58"/>
      <c r="V1105" s="42"/>
      <c r="W1105" s="46"/>
      <c r="X1105" s="47"/>
      <c r="Y1105" s="48"/>
    </row>
    <row r="1106" spans="2:25" s="38" customFormat="1" x14ac:dyDescent="0.25">
      <c r="B1106" s="49"/>
      <c r="C1106" s="70"/>
      <c r="D1106" s="42"/>
      <c r="F1106" s="46"/>
      <c r="G1106" s="47"/>
      <c r="H1106" s="46"/>
      <c r="I1106" s="58"/>
      <c r="J1106" s="42"/>
      <c r="K1106" s="47"/>
      <c r="L1106" s="46"/>
      <c r="M1106" s="58"/>
      <c r="N1106" s="42"/>
      <c r="O1106" s="47"/>
      <c r="P1106" s="46"/>
      <c r="Q1106" s="58"/>
      <c r="R1106" s="42"/>
      <c r="S1106" s="47"/>
      <c r="T1106" s="46"/>
      <c r="U1106" s="58"/>
      <c r="V1106" s="42"/>
      <c r="W1106" s="46"/>
      <c r="X1106" s="47"/>
      <c r="Y1106" s="48"/>
    </row>
    <row r="1107" spans="2:25" s="38" customFormat="1" x14ac:dyDescent="0.25">
      <c r="B1107" s="49"/>
      <c r="C1107" s="70"/>
      <c r="D1107" s="42"/>
      <c r="F1107" s="46"/>
      <c r="G1107" s="47"/>
      <c r="H1107" s="46"/>
      <c r="I1107" s="58"/>
      <c r="J1107" s="42"/>
      <c r="K1107" s="47"/>
      <c r="L1107" s="46"/>
      <c r="M1107" s="58"/>
      <c r="N1107" s="42"/>
      <c r="O1107" s="47"/>
      <c r="P1107" s="46"/>
      <c r="Q1107" s="58"/>
      <c r="R1107" s="42"/>
      <c r="S1107" s="47"/>
      <c r="T1107" s="46"/>
      <c r="U1107" s="58"/>
      <c r="V1107" s="42"/>
      <c r="W1107" s="46"/>
      <c r="X1107" s="47"/>
      <c r="Y1107" s="48"/>
    </row>
    <row r="1108" spans="2:25" s="38" customFormat="1" x14ac:dyDescent="0.25">
      <c r="B1108" s="49"/>
      <c r="C1108" s="70"/>
      <c r="D1108" s="42"/>
      <c r="F1108" s="46"/>
      <c r="G1108" s="47"/>
      <c r="H1108" s="46"/>
      <c r="I1108" s="58"/>
      <c r="J1108" s="42"/>
      <c r="K1108" s="47"/>
      <c r="L1108" s="46"/>
      <c r="M1108" s="58"/>
      <c r="N1108" s="42"/>
      <c r="O1108" s="47"/>
      <c r="P1108" s="46"/>
      <c r="Q1108" s="58"/>
      <c r="R1108" s="42"/>
      <c r="S1108" s="47"/>
      <c r="T1108" s="46"/>
      <c r="U1108" s="58"/>
      <c r="V1108" s="42"/>
      <c r="W1108" s="46"/>
      <c r="X1108" s="47"/>
      <c r="Y1108" s="48"/>
    </row>
    <row r="1109" spans="2:25" s="38" customFormat="1" x14ac:dyDescent="0.25">
      <c r="B1109" s="49"/>
      <c r="C1109" s="70"/>
      <c r="D1109" s="42"/>
      <c r="F1109" s="46"/>
      <c r="G1109" s="47"/>
      <c r="H1109" s="46"/>
      <c r="I1109" s="58"/>
      <c r="J1109" s="42"/>
      <c r="K1109" s="47"/>
      <c r="L1109" s="46"/>
      <c r="M1109" s="58"/>
      <c r="N1109" s="42"/>
      <c r="O1109" s="47"/>
      <c r="P1109" s="46"/>
      <c r="Q1109" s="58"/>
      <c r="R1109" s="42"/>
      <c r="S1109" s="47"/>
      <c r="T1109" s="46"/>
      <c r="U1109" s="58"/>
      <c r="V1109" s="42"/>
      <c r="W1109" s="46"/>
      <c r="X1109" s="47"/>
      <c r="Y1109" s="48"/>
    </row>
    <row r="1110" spans="2:25" s="38" customFormat="1" x14ac:dyDescent="0.25">
      <c r="B1110" s="49"/>
      <c r="C1110" s="70"/>
      <c r="D1110" s="42"/>
      <c r="F1110" s="46"/>
      <c r="G1110" s="47"/>
      <c r="H1110" s="46"/>
      <c r="I1110" s="58"/>
      <c r="J1110" s="42"/>
      <c r="K1110" s="47"/>
      <c r="L1110" s="46"/>
      <c r="M1110" s="58"/>
      <c r="N1110" s="42"/>
      <c r="O1110" s="47"/>
      <c r="P1110" s="46"/>
      <c r="Q1110" s="58"/>
      <c r="R1110" s="42"/>
      <c r="S1110" s="47"/>
      <c r="T1110" s="46"/>
      <c r="U1110" s="58"/>
      <c r="V1110" s="42"/>
      <c r="W1110" s="46"/>
      <c r="X1110" s="47"/>
      <c r="Y1110" s="48"/>
    </row>
    <row r="1111" spans="2:25" s="38" customFormat="1" x14ac:dyDescent="0.25">
      <c r="B1111" s="49"/>
      <c r="C1111" s="70"/>
      <c r="D1111" s="42"/>
      <c r="F1111" s="46"/>
      <c r="G1111" s="47"/>
      <c r="H1111" s="46"/>
      <c r="I1111" s="58"/>
      <c r="J1111" s="42"/>
      <c r="K1111" s="47"/>
      <c r="L1111" s="46"/>
      <c r="M1111" s="58"/>
      <c r="N1111" s="42"/>
      <c r="O1111" s="47"/>
      <c r="P1111" s="46"/>
      <c r="Q1111" s="58"/>
      <c r="R1111" s="42"/>
      <c r="S1111" s="47"/>
      <c r="T1111" s="46"/>
      <c r="U1111" s="58"/>
      <c r="V1111" s="42"/>
      <c r="W1111" s="46"/>
      <c r="X1111" s="47"/>
      <c r="Y1111" s="48"/>
    </row>
    <row r="1112" spans="2:25" s="38" customFormat="1" x14ac:dyDescent="0.25">
      <c r="B1112" s="49"/>
      <c r="C1112" s="70"/>
      <c r="D1112" s="42"/>
      <c r="F1112" s="46"/>
      <c r="G1112" s="47"/>
      <c r="H1112" s="46"/>
      <c r="I1112" s="58"/>
      <c r="J1112" s="42"/>
      <c r="K1112" s="47"/>
      <c r="L1112" s="46"/>
      <c r="M1112" s="58"/>
      <c r="N1112" s="42"/>
      <c r="O1112" s="47"/>
      <c r="P1112" s="46"/>
      <c r="Q1112" s="58"/>
      <c r="R1112" s="42"/>
      <c r="S1112" s="47"/>
      <c r="T1112" s="46"/>
      <c r="U1112" s="58"/>
      <c r="V1112" s="42"/>
      <c r="W1112" s="46"/>
      <c r="X1112" s="47"/>
      <c r="Y1112" s="48"/>
    </row>
    <row r="1113" spans="2:25" s="38" customFormat="1" x14ac:dyDescent="0.25">
      <c r="B1113" s="49"/>
      <c r="C1113" s="70"/>
      <c r="D1113" s="42"/>
      <c r="F1113" s="46"/>
      <c r="G1113" s="47"/>
      <c r="H1113" s="46"/>
      <c r="I1113" s="58"/>
      <c r="J1113" s="42"/>
      <c r="K1113" s="47"/>
      <c r="L1113" s="46"/>
      <c r="M1113" s="58"/>
      <c r="N1113" s="42"/>
      <c r="O1113" s="47"/>
      <c r="P1113" s="46"/>
      <c r="Q1113" s="58"/>
      <c r="R1113" s="42"/>
      <c r="S1113" s="47"/>
      <c r="T1113" s="46"/>
      <c r="U1113" s="58"/>
      <c r="V1113" s="42"/>
      <c r="W1113" s="46"/>
      <c r="X1113" s="47"/>
      <c r="Y1113" s="48"/>
    </row>
    <row r="1114" spans="2:25" s="38" customFormat="1" x14ac:dyDescent="0.25">
      <c r="B1114" s="49"/>
      <c r="C1114" s="70"/>
      <c r="D1114" s="42"/>
      <c r="F1114" s="46"/>
      <c r="G1114" s="47"/>
      <c r="H1114" s="46"/>
      <c r="I1114" s="58"/>
      <c r="J1114" s="42"/>
      <c r="K1114" s="47"/>
      <c r="L1114" s="46"/>
      <c r="M1114" s="58"/>
      <c r="N1114" s="42"/>
      <c r="O1114" s="47"/>
      <c r="P1114" s="46"/>
      <c r="Q1114" s="58"/>
      <c r="R1114" s="42"/>
      <c r="S1114" s="47"/>
      <c r="T1114" s="46"/>
      <c r="U1114" s="58"/>
      <c r="V1114" s="42"/>
      <c r="W1114" s="46"/>
      <c r="X1114" s="47"/>
      <c r="Y1114" s="48"/>
    </row>
    <row r="1115" spans="2:25" s="38" customFormat="1" x14ac:dyDescent="0.25">
      <c r="B1115" s="49"/>
      <c r="C1115" s="70"/>
      <c r="D1115" s="42"/>
      <c r="F1115" s="46"/>
      <c r="G1115" s="47"/>
      <c r="H1115" s="46"/>
      <c r="I1115" s="58"/>
      <c r="J1115" s="42"/>
      <c r="K1115" s="47"/>
      <c r="L1115" s="46"/>
      <c r="M1115" s="58"/>
      <c r="N1115" s="42"/>
      <c r="O1115" s="47"/>
      <c r="P1115" s="46"/>
      <c r="Q1115" s="58"/>
      <c r="R1115" s="42"/>
      <c r="S1115" s="47"/>
      <c r="T1115" s="46"/>
      <c r="U1115" s="58"/>
      <c r="V1115" s="42"/>
      <c r="W1115" s="46"/>
      <c r="X1115" s="47"/>
      <c r="Y1115" s="48"/>
    </row>
    <row r="1116" spans="2:25" s="38" customFormat="1" x14ac:dyDescent="0.25">
      <c r="B1116" s="49"/>
      <c r="C1116" s="70"/>
      <c r="D1116" s="42"/>
      <c r="F1116" s="46"/>
      <c r="G1116" s="47"/>
      <c r="H1116" s="46"/>
      <c r="I1116" s="58"/>
      <c r="J1116" s="42"/>
      <c r="K1116" s="47"/>
      <c r="L1116" s="46"/>
      <c r="M1116" s="58"/>
      <c r="N1116" s="42"/>
      <c r="O1116" s="47"/>
      <c r="P1116" s="46"/>
      <c r="Q1116" s="58"/>
      <c r="R1116" s="42"/>
      <c r="S1116" s="47"/>
      <c r="T1116" s="46"/>
      <c r="U1116" s="58"/>
      <c r="V1116" s="42"/>
      <c r="W1116" s="46"/>
      <c r="X1116" s="47"/>
      <c r="Y1116" s="48"/>
    </row>
    <row r="1117" spans="2:25" s="38" customFormat="1" x14ac:dyDescent="0.25">
      <c r="B1117" s="49"/>
      <c r="C1117" s="70"/>
      <c r="D1117" s="42"/>
      <c r="F1117" s="46"/>
      <c r="G1117" s="47"/>
      <c r="H1117" s="46"/>
      <c r="I1117" s="58"/>
      <c r="J1117" s="42"/>
      <c r="K1117" s="47"/>
      <c r="L1117" s="46"/>
      <c r="M1117" s="58"/>
      <c r="N1117" s="42"/>
      <c r="O1117" s="47"/>
      <c r="P1117" s="46"/>
      <c r="Q1117" s="58"/>
      <c r="R1117" s="42"/>
      <c r="S1117" s="47"/>
      <c r="T1117" s="46"/>
      <c r="U1117" s="58"/>
      <c r="V1117" s="42"/>
      <c r="W1117" s="46"/>
      <c r="X1117" s="47"/>
      <c r="Y1117" s="48"/>
    </row>
    <row r="1118" spans="2:25" s="38" customFormat="1" x14ac:dyDescent="0.25">
      <c r="B1118" s="49"/>
      <c r="C1118" s="70"/>
      <c r="D1118" s="42"/>
      <c r="F1118" s="46"/>
      <c r="G1118" s="47"/>
      <c r="H1118" s="46"/>
      <c r="I1118" s="58"/>
      <c r="J1118" s="42"/>
      <c r="K1118" s="47"/>
      <c r="L1118" s="46"/>
      <c r="M1118" s="58"/>
      <c r="N1118" s="42"/>
      <c r="O1118" s="47"/>
      <c r="P1118" s="46"/>
      <c r="Q1118" s="58"/>
      <c r="R1118" s="42"/>
      <c r="S1118" s="47"/>
      <c r="T1118" s="46"/>
      <c r="U1118" s="58"/>
      <c r="V1118" s="42"/>
      <c r="W1118" s="46"/>
      <c r="X1118" s="47"/>
      <c r="Y1118" s="48"/>
    </row>
    <row r="1119" spans="2:25" s="38" customFormat="1" x14ac:dyDescent="0.25">
      <c r="B1119" s="49"/>
      <c r="C1119" s="70"/>
      <c r="D1119" s="42"/>
      <c r="F1119" s="46"/>
      <c r="G1119" s="47"/>
      <c r="H1119" s="46"/>
      <c r="I1119" s="58"/>
      <c r="J1119" s="42"/>
      <c r="K1119" s="47"/>
      <c r="L1119" s="46"/>
      <c r="M1119" s="58"/>
      <c r="N1119" s="42"/>
      <c r="O1119" s="47"/>
      <c r="P1119" s="46"/>
      <c r="Q1119" s="58"/>
      <c r="R1119" s="42"/>
      <c r="S1119" s="47"/>
      <c r="T1119" s="46"/>
      <c r="U1119" s="58"/>
      <c r="V1119" s="42"/>
      <c r="W1119" s="46"/>
      <c r="X1119" s="47"/>
      <c r="Y1119" s="48"/>
    </row>
    <row r="1120" spans="2:25" s="38" customFormat="1" x14ac:dyDescent="0.25">
      <c r="B1120" s="49"/>
      <c r="C1120" s="70"/>
      <c r="D1120" s="42"/>
      <c r="F1120" s="46"/>
      <c r="G1120" s="47"/>
      <c r="H1120" s="46"/>
      <c r="I1120" s="58"/>
      <c r="J1120" s="42"/>
      <c r="K1120" s="47"/>
      <c r="L1120" s="46"/>
      <c r="M1120" s="58"/>
      <c r="N1120" s="42"/>
      <c r="O1120" s="47"/>
      <c r="P1120" s="46"/>
      <c r="Q1120" s="58"/>
      <c r="R1120" s="42"/>
      <c r="S1120" s="47"/>
      <c r="T1120" s="46"/>
      <c r="U1120" s="58"/>
      <c r="V1120" s="42"/>
      <c r="W1120" s="46"/>
      <c r="X1120" s="47"/>
      <c r="Y1120" s="48"/>
    </row>
    <row r="1121" spans="2:25" s="38" customFormat="1" x14ac:dyDescent="0.25">
      <c r="B1121" s="49"/>
      <c r="C1121" s="70"/>
      <c r="D1121" s="42"/>
      <c r="F1121" s="46"/>
      <c r="G1121" s="47"/>
      <c r="H1121" s="46"/>
      <c r="I1121" s="58"/>
      <c r="J1121" s="42"/>
      <c r="K1121" s="47"/>
      <c r="L1121" s="46"/>
      <c r="M1121" s="58"/>
      <c r="N1121" s="42"/>
      <c r="O1121" s="47"/>
      <c r="P1121" s="46"/>
      <c r="Q1121" s="58"/>
      <c r="R1121" s="42"/>
      <c r="S1121" s="47"/>
      <c r="T1121" s="46"/>
      <c r="U1121" s="58"/>
      <c r="V1121" s="42"/>
      <c r="W1121" s="46"/>
      <c r="X1121" s="47"/>
      <c r="Y1121" s="48"/>
    </row>
    <row r="1122" spans="2:25" s="38" customFormat="1" x14ac:dyDescent="0.25">
      <c r="B1122" s="49"/>
      <c r="C1122" s="70"/>
      <c r="D1122" s="42"/>
      <c r="F1122" s="46"/>
      <c r="G1122" s="47"/>
      <c r="H1122" s="46"/>
      <c r="I1122" s="58"/>
      <c r="J1122" s="42"/>
      <c r="K1122" s="47"/>
      <c r="L1122" s="46"/>
      <c r="M1122" s="58"/>
      <c r="N1122" s="42"/>
      <c r="O1122" s="47"/>
      <c r="P1122" s="46"/>
      <c r="Q1122" s="58"/>
      <c r="R1122" s="42"/>
      <c r="S1122" s="47"/>
      <c r="T1122" s="46"/>
      <c r="U1122" s="58"/>
      <c r="V1122" s="42"/>
      <c r="W1122" s="46"/>
      <c r="X1122" s="47"/>
      <c r="Y1122" s="48"/>
    </row>
    <row r="1123" spans="2:25" s="38" customFormat="1" x14ac:dyDescent="0.25">
      <c r="B1123" s="49"/>
      <c r="C1123" s="70"/>
      <c r="D1123" s="42"/>
      <c r="F1123" s="46"/>
      <c r="G1123" s="47"/>
      <c r="H1123" s="46"/>
      <c r="I1123" s="58"/>
      <c r="J1123" s="42"/>
      <c r="K1123" s="47"/>
      <c r="L1123" s="46"/>
      <c r="M1123" s="58"/>
      <c r="N1123" s="42"/>
      <c r="O1123" s="47"/>
      <c r="P1123" s="46"/>
      <c r="Q1123" s="58"/>
      <c r="R1123" s="42"/>
      <c r="S1123" s="47"/>
      <c r="T1123" s="46"/>
      <c r="U1123" s="58"/>
      <c r="V1123" s="42"/>
      <c r="W1123" s="46"/>
      <c r="X1123" s="47"/>
      <c r="Y1123" s="48"/>
    </row>
    <row r="1124" spans="2:25" s="38" customFormat="1" x14ac:dyDescent="0.25">
      <c r="B1124" s="49"/>
      <c r="C1124" s="70"/>
      <c r="D1124" s="42"/>
      <c r="F1124" s="46"/>
      <c r="G1124" s="47"/>
      <c r="H1124" s="46"/>
      <c r="I1124" s="58"/>
      <c r="J1124" s="42"/>
      <c r="K1124" s="47"/>
      <c r="L1124" s="46"/>
      <c r="M1124" s="58"/>
      <c r="N1124" s="42"/>
      <c r="O1124" s="47"/>
      <c r="P1124" s="46"/>
      <c r="Q1124" s="58"/>
      <c r="R1124" s="42"/>
      <c r="S1124" s="47"/>
      <c r="T1124" s="46"/>
      <c r="U1124" s="58"/>
      <c r="V1124" s="42"/>
      <c r="W1124" s="46"/>
      <c r="X1124" s="47"/>
      <c r="Y1124" s="48"/>
    </row>
    <row r="1125" spans="2:25" s="38" customFormat="1" x14ac:dyDescent="0.25">
      <c r="B1125" s="49"/>
      <c r="C1125" s="70"/>
      <c r="D1125" s="42"/>
      <c r="F1125" s="46"/>
      <c r="G1125" s="47"/>
      <c r="H1125" s="46"/>
      <c r="I1125" s="58"/>
      <c r="J1125" s="42"/>
      <c r="K1125" s="47"/>
      <c r="L1125" s="46"/>
      <c r="M1125" s="58"/>
      <c r="N1125" s="42"/>
      <c r="O1125" s="47"/>
      <c r="P1125" s="46"/>
      <c r="Q1125" s="58"/>
      <c r="R1125" s="42"/>
      <c r="S1125" s="47"/>
      <c r="T1125" s="46"/>
      <c r="U1125" s="58"/>
      <c r="V1125" s="42"/>
      <c r="W1125" s="46"/>
      <c r="X1125" s="47"/>
      <c r="Y1125" s="48"/>
    </row>
    <row r="1126" spans="2:25" s="38" customFormat="1" x14ac:dyDescent="0.25">
      <c r="B1126" s="49"/>
      <c r="C1126" s="70"/>
      <c r="D1126" s="42"/>
      <c r="F1126" s="46"/>
      <c r="G1126" s="47"/>
      <c r="H1126" s="46"/>
      <c r="I1126" s="58"/>
      <c r="J1126" s="42"/>
      <c r="K1126" s="47"/>
      <c r="L1126" s="46"/>
      <c r="M1126" s="58"/>
      <c r="N1126" s="42"/>
      <c r="O1126" s="47"/>
      <c r="P1126" s="46"/>
      <c r="Q1126" s="58"/>
      <c r="R1126" s="42"/>
      <c r="S1126" s="47"/>
      <c r="T1126" s="46"/>
      <c r="U1126" s="58"/>
      <c r="V1126" s="42"/>
      <c r="W1126" s="46"/>
      <c r="X1126" s="47"/>
      <c r="Y1126" s="48"/>
    </row>
    <row r="1127" spans="2:25" s="38" customFormat="1" x14ac:dyDescent="0.25">
      <c r="B1127" s="49"/>
      <c r="C1127" s="70"/>
      <c r="D1127" s="42"/>
      <c r="F1127" s="46"/>
      <c r="G1127" s="47"/>
      <c r="H1127" s="46"/>
      <c r="I1127" s="58"/>
      <c r="J1127" s="42"/>
      <c r="K1127" s="47"/>
      <c r="L1127" s="46"/>
      <c r="M1127" s="58"/>
      <c r="N1127" s="42"/>
      <c r="O1127" s="47"/>
      <c r="P1127" s="46"/>
      <c r="Q1127" s="58"/>
      <c r="R1127" s="42"/>
      <c r="S1127" s="47"/>
      <c r="T1127" s="46"/>
      <c r="U1127" s="58"/>
      <c r="V1127" s="42"/>
      <c r="W1127" s="46"/>
      <c r="X1127" s="47"/>
      <c r="Y1127" s="48"/>
    </row>
    <row r="1128" spans="2:25" s="38" customFormat="1" x14ac:dyDescent="0.25">
      <c r="B1128" s="49"/>
      <c r="C1128" s="70"/>
      <c r="D1128" s="42"/>
      <c r="F1128" s="46"/>
      <c r="G1128" s="47"/>
      <c r="H1128" s="46"/>
      <c r="I1128" s="58"/>
      <c r="J1128" s="42"/>
      <c r="K1128" s="47"/>
      <c r="L1128" s="46"/>
      <c r="M1128" s="58"/>
      <c r="N1128" s="42"/>
      <c r="O1128" s="47"/>
      <c r="P1128" s="46"/>
      <c r="Q1128" s="58"/>
      <c r="R1128" s="42"/>
      <c r="S1128" s="47"/>
      <c r="T1128" s="46"/>
      <c r="U1128" s="58"/>
      <c r="V1128" s="42"/>
      <c r="W1128" s="46"/>
      <c r="X1128" s="47"/>
      <c r="Y1128" s="48"/>
    </row>
    <row r="1129" spans="2:25" s="38" customFormat="1" x14ac:dyDescent="0.25">
      <c r="B1129" s="49"/>
      <c r="C1129" s="70"/>
      <c r="D1129" s="42"/>
      <c r="F1129" s="46"/>
      <c r="G1129" s="47"/>
      <c r="H1129" s="46"/>
      <c r="I1129" s="58"/>
      <c r="J1129" s="42"/>
      <c r="K1129" s="47"/>
      <c r="L1129" s="46"/>
      <c r="M1129" s="58"/>
      <c r="N1129" s="42"/>
      <c r="O1129" s="47"/>
      <c r="P1129" s="46"/>
      <c r="Q1129" s="58"/>
      <c r="R1129" s="42"/>
      <c r="S1129" s="47"/>
      <c r="T1129" s="46"/>
      <c r="U1129" s="58"/>
      <c r="V1129" s="42"/>
      <c r="W1129" s="46"/>
      <c r="X1129" s="47"/>
      <c r="Y1129" s="48"/>
    </row>
    <row r="1130" spans="2:25" s="38" customFormat="1" x14ac:dyDescent="0.25">
      <c r="B1130" s="49"/>
      <c r="C1130" s="70"/>
      <c r="D1130" s="42"/>
      <c r="F1130" s="46"/>
      <c r="G1130" s="47"/>
      <c r="H1130" s="46"/>
      <c r="I1130" s="58"/>
      <c r="J1130" s="42"/>
      <c r="K1130" s="47"/>
      <c r="L1130" s="46"/>
      <c r="M1130" s="58"/>
      <c r="N1130" s="42"/>
      <c r="O1130" s="47"/>
      <c r="P1130" s="46"/>
      <c r="Q1130" s="58"/>
      <c r="R1130" s="42"/>
      <c r="S1130" s="47"/>
      <c r="T1130" s="46"/>
      <c r="U1130" s="58"/>
      <c r="V1130" s="42"/>
      <c r="W1130" s="46"/>
      <c r="X1130" s="47"/>
      <c r="Y1130" s="48"/>
    </row>
    <row r="1131" spans="2:25" s="38" customFormat="1" x14ac:dyDescent="0.25">
      <c r="B1131" s="49"/>
      <c r="C1131" s="70"/>
      <c r="D1131" s="42"/>
      <c r="F1131" s="46"/>
      <c r="G1131" s="47"/>
      <c r="H1131" s="46"/>
      <c r="I1131" s="58"/>
      <c r="J1131" s="42"/>
      <c r="K1131" s="47"/>
      <c r="L1131" s="46"/>
      <c r="M1131" s="58"/>
      <c r="N1131" s="42"/>
      <c r="O1131" s="47"/>
      <c r="P1131" s="46"/>
      <c r="Q1131" s="58"/>
      <c r="R1131" s="42"/>
      <c r="S1131" s="47"/>
      <c r="T1131" s="46"/>
      <c r="U1131" s="58"/>
      <c r="V1131" s="42"/>
      <c r="W1131" s="46"/>
      <c r="X1131" s="47"/>
      <c r="Y1131" s="48"/>
    </row>
    <row r="1132" spans="2:25" s="38" customFormat="1" x14ac:dyDescent="0.25">
      <c r="B1132" s="49"/>
      <c r="C1132" s="70"/>
      <c r="D1132" s="42"/>
      <c r="F1132" s="46"/>
      <c r="G1132" s="47"/>
      <c r="H1132" s="46"/>
      <c r="I1132" s="58"/>
      <c r="J1132" s="42"/>
      <c r="K1132" s="47"/>
      <c r="L1132" s="46"/>
      <c r="M1132" s="58"/>
      <c r="N1132" s="42"/>
      <c r="O1132" s="47"/>
      <c r="P1132" s="46"/>
      <c r="Q1132" s="58"/>
      <c r="R1132" s="42"/>
      <c r="S1132" s="47"/>
      <c r="T1132" s="46"/>
      <c r="U1132" s="58"/>
      <c r="V1132" s="42"/>
      <c r="W1132" s="46"/>
      <c r="X1132" s="47"/>
      <c r="Y1132" s="48"/>
    </row>
    <row r="1133" spans="2:25" s="38" customFormat="1" x14ac:dyDescent="0.25">
      <c r="B1133" s="49"/>
      <c r="C1133" s="70"/>
      <c r="D1133" s="42"/>
      <c r="F1133" s="46"/>
      <c r="G1133" s="47"/>
      <c r="H1133" s="46"/>
      <c r="I1133" s="58"/>
      <c r="J1133" s="42"/>
      <c r="K1133" s="47"/>
      <c r="L1133" s="46"/>
      <c r="M1133" s="58"/>
      <c r="N1133" s="42"/>
      <c r="O1133" s="47"/>
      <c r="P1133" s="46"/>
      <c r="Q1133" s="58"/>
      <c r="R1133" s="42"/>
      <c r="S1133" s="47"/>
      <c r="T1133" s="46"/>
      <c r="U1133" s="58"/>
      <c r="V1133" s="42"/>
      <c r="W1133" s="46"/>
      <c r="X1133" s="47"/>
      <c r="Y1133" s="48"/>
    </row>
    <row r="1134" spans="2:25" s="38" customFormat="1" x14ac:dyDescent="0.25">
      <c r="B1134" s="49"/>
      <c r="C1134" s="70"/>
      <c r="D1134" s="42"/>
      <c r="F1134" s="46"/>
      <c r="G1134" s="47"/>
      <c r="H1134" s="46"/>
      <c r="I1134" s="58"/>
      <c r="J1134" s="42"/>
      <c r="K1134" s="47"/>
      <c r="L1134" s="46"/>
      <c r="M1134" s="58"/>
      <c r="N1134" s="42"/>
      <c r="O1134" s="47"/>
      <c r="P1134" s="46"/>
      <c r="Q1134" s="58"/>
      <c r="R1134" s="42"/>
      <c r="S1134" s="47"/>
      <c r="T1134" s="46"/>
      <c r="U1134" s="58"/>
      <c r="V1134" s="42"/>
      <c r="W1134" s="46"/>
      <c r="X1134" s="47"/>
      <c r="Y1134" s="48"/>
    </row>
    <row r="1135" spans="2:25" s="38" customFormat="1" x14ac:dyDescent="0.25">
      <c r="B1135" s="49"/>
      <c r="C1135" s="70"/>
      <c r="D1135" s="42"/>
      <c r="F1135" s="46"/>
      <c r="G1135" s="47"/>
      <c r="H1135" s="46"/>
      <c r="I1135" s="58"/>
      <c r="J1135" s="42"/>
      <c r="K1135" s="47"/>
      <c r="L1135" s="46"/>
      <c r="M1135" s="58"/>
      <c r="N1135" s="42"/>
      <c r="O1135" s="47"/>
      <c r="P1135" s="46"/>
      <c r="Q1135" s="58"/>
      <c r="R1135" s="42"/>
      <c r="S1135" s="47"/>
      <c r="T1135" s="46"/>
      <c r="U1135" s="58"/>
      <c r="V1135" s="42"/>
      <c r="W1135" s="46"/>
      <c r="X1135" s="47"/>
      <c r="Y1135" s="48"/>
    </row>
    <row r="1136" spans="2:25" s="38" customFormat="1" x14ac:dyDescent="0.25">
      <c r="B1136" s="49"/>
      <c r="C1136" s="70"/>
      <c r="D1136" s="42"/>
      <c r="F1136" s="46"/>
      <c r="G1136" s="47"/>
      <c r="H1136" s="46"/>
      <c r="I1136" s="58"/>
      <c r="J1136" s="42"/>
      <c r="K1136" s="47"/>
      <c r="L1136" s="46"/>
      <c r="M1136" s="58"/>
      <c r="N1136" s="42"/>
      <c r="O1136" s="47"/>
      <c r="P1136" s="46"/>
      <c r="Q1136" s="58"/>
      <c r="R1136" s="42"/>
      <c r="S1136" s="47"/>
      <c r="T1136" s="46"/>
      <c r="U1136" s="58"/>
      <c r="V1136" s="42"/>
      <c r="W1136" s="46"/>
      <c r="X1136" s="47"/>
      <c r="Y1136" s="48"/>
    </row>
    <row r="1137" spans="2:25" s="38" customFormat="1" x14ac:dyDescent="0.25">
      <c r="B1137" s="49"/>
      <c r="C1137" s="70"/>
      <c r="D1137" s="42"/>
      <c r="F1137" s="46"/>
      <c r="G1137" s="47"/>
      <c r="H1137" s="46"/>
      <c r="I1137" s="58"/>
      <c r="J1137" s="42"/>
      <c r="K1137" s="47"/>
      <c r="L1137" s="46"/>
      <c r="M1137" s="58"/>
      <c r="N1137" s="42"/>
      <c r="O1137" s="47"/>
      <c r="P1137" s="46"/>
      <c r="Q1137" s="58"/>
      <c r="R1137" s="42"/>
      <c r="S1137" s="47"/>
      <c r="T1137" s="46"/>
      <c r="U1137" s="58"/>
      <c r="V1137" s="42"/>
      <c r="W1137" s="46"/>
      <c r="X1137" s="47"/>
      <c r="Y1137" s="48"/>
    </row>
    <row r="1138" spans="2:25" s="38" customFormat="1" x14ac:dyDescent="0.25">
      <c r="B1138" s="49"/>
      <c r="C1138" s="70"/>
      <c r="D1138" s="42"/>
      <c r="F1138" s="46"/>
      <c r="G1138" s="47"/>
      <c r="H1138" s="46"/>
      <c r="I1138" s="58"/>
      <c r="J1138" s="42"/>
      <c r="K1138" s="47"/>
      <c r="L1138" s="46"/>
      <c r="M1138" s="58"/>
      <c r="N1138" s="42"/>
      <c r="O1138" s="47"/>
      <c r="P1138" s="46"/>
      <c r="Q1138" s="58"/>
      <c r="R1138" s="42"/>
      <c r="S1138" s="47"/>
      <c r="T1138" s="46"/>
      <c r="U1138" s="58"/>
      <c r="V1138" s="42"/>
      <c r="W1138" s="46"/>
      <c r="X1138" s="47"/>
      <c r="Y1138" s="48"/>
    </row>
    <row r="1139" spans="2:25" s="38" customFormat="1" x14ac:dyDescent="0.25">
      <c r="B1139" s="49"/>
      <c r="C1139" s="70"/>
      <c r="D1139" s="42"/>
      <c r="F1139" s="46"/>
      <c r="G1139" s="47"/>
      <c r="H1139" s="46"/>
      <c r="I1139" s="58"/>
      <c r="J1139" s="42"/>
      <c r="K1139" s="47"/>
      <c r="L1139" s="46"/>
      <c r="M1139" s="58"/>
      <c r="N1139" s="42"/>
      <c r="O1139" s="47"/>
      <c r="P1139" s="46"/>
      <c r="Q1139" s="58"/>
      <c r="R1139" s="42"/>
      <c r="S1139" s="47"/>
      <c r="T1139" s="46"/>
      <c r="U1139" s="58"/>
      <c r="V1139" s="42"/>
      <c r="W1139" s="46"/>
      <c r="X1139" s="47"/>
      <c r="Y1139" s="48"/>
    </row>
    <row r="1140" spans="2:25" s="38" customFormat="1" x14ac:dyDescent="0.25">
      <c r="B1140" s="49"/>
      <c r="C1140" s="70"/>
      <c r="D1140" s="42"/>
      <c r="F1140" s="46"/>
      <c r="G1140" s="47"/>
      <c r="H1140" s="46"/>
      <c r="I1140" s="58"/>
      <c r="J1140" s="42"/>
      <c r="K1140" s="47"/>
      <c r="L1140" s="46"/>
      <c r="M1140" s="58"/>
      <c r="N1140" s="42"/>
      <c r="O1140" s="47"/>
      <c r="P1140" s="46"/>
      <c r="Q1140" s="58"/>
      <c r="R1140" s="42"/>
      <c r="S1140" s="47"/>
      <c r="T1140" s="46"/>
      <c r="U1140" s="58"/>
      <c r="V1140" s="42"/>
      <c r="W1140" s="46"/>
      <c r="X1140" s="47"/>
      <c r="Y1140" s="48"/>
    </row>
    <row r="1141" spans="2:25" s="38" customFormat="1" x14ac:dyDescent="0.25">
      <c r="B1141" s="49"/>
      <c r="C1141" s="70"/>
      <c r="D1141" s="42"/>
      <c r="F1141" s="46"/>
      <c r="G1141" s="47"/>
      <c r="H1141" s="46"/>
      <c r="I1141" s="58"/>
      <c r="J1141" s="42"/>
      <c r="K1141" s="47"/>
      <c r="L1141" s="46"/>
      <c r="M1141" s="58"/>
      <c r="N1141" s="42"/>
      <c r="O1141" s="47"/>
      <c r="P1141" s="46"/>
      <c r="Q1141" s="58"/>
      <c r="R1141" s="42"/>
      <c r="S1141" s="47"/>
      <c r="T1141" s="46"/>
      <c r="U1141" s="58"/>
      <c r="V1141" s="42"/>
      <c r="W1141" s="46"/>
      <c r="X1141" s="47"/>
      <c r="Y1141" s="48"/>
    </row>
    <row r="1142" spans="2:25" s="38" customFormat="1" x14ac:dyDescent="0.25">
      <c r="B1142" s="49"/>
      <c r="C1142" s="70"/>
      <c r="D1142" s="42"/>
      <c r="F1142" s="46"/>
      <c r="G1142" s="47"/>
      <c r="H1142" s="46"/>
      <c r="I1142" s="58"/>
      <c r="J1142" s="42"/>
      <c r="K1142" s="47"/>
      <c r="L1142" s="46"/>
      <c r="M1142" s="58"/>
      <c r="N1142" s="42"/>
      <c r="O1142" s="47"/>
      <c r="P1142" s="46"/>
      <c r="Q1142" s="58"/>
      <c r="R1142" s="42"/>
      <c r="S1142" s="47"/>
      <c r="T1142" s="46"/>
      <c r="U1142" s="58"/>
      <c r="V1142" s="42"/>
      <c r="W1142" s="46"/>
      <c r="X1142" s="47"/>
      <c r="Y1142" s="48"/>
    </row>
    <row r="1143" spans="2:25" s="38" customFormat="1" x14ac:dyDescent="0.25">
      <c r="B1143" s="49"/>
      <c r="C1143" s="70"/>
      <c r="D1143" s="42"/>
      <c r="F1143" s="46"/>
      <c r="G1143" s="47"/>
      <c r="H1143" s="46"/>
      <c r="I1143" s="58"/>
      <c r="J1143" s="42"/>
      <c r="K1143" s="47"/>
      <c r="L1143" s="46"/>
      <c r="M1143" s="58"/>
      <c r="N1143" s="42"/>
      <c r="O1143" s="47"/>
      <c r="P1143" s="46"/>
      <c r="Q1143" s="58"/>
      <c r="R1143" s="42"/>
      <c r="S1143" s="47"/>
      <c r="T1143" s="46"/>
      <c r="U1143" s="58"/>
      <c r="V1143" s="42"/>
      <c r="W1143" s="46"/>
      <c r="X1143" s="47"/>
      <c r="Y1143" s="48"/>
    </row>
    <row r="1144" spans="2:25" s="38" customFormat="1" x14ac:dyDescent="0.25">
      <c r="B1144" s="49"/>
      <c r="C1144" s="70"/>
      <c r="D1144" s="42"/>
      <c r="F1144" s="46"/>
      <c r="G1144" s="47"/>
      <c r="H1144" s="46"/>
      <c r="I1144" s="58"/>
      <c r="J1144" s="42"/>
      <c r="K1144" s="47"/>
      <c r="L1144" s="46"/>
      <c r="M1144" s="58"/>
      <c r="N1144" s="42"/>
      <c r="O1144" s="47"/>
      <c r="P1144" s="46"/>
      <c r="Q1144" s="58"/>
      <c r="R1144" s="42"/>
      <c r="S1144" s="47"/>
      <c r="T1144" s="46"/>
      <c r="U1144" s="58"/>
      <c r="V1144" s="42"/>
      <c r="W1144" s="46"/>
      <c r="X1144" s="47"/>
      <c r="Y1144" s="48"/>
    </row>
    <row r="1145" spans="2:25" s="38" customFormat="1" x14ac:dyDescent="0.25">
      <c r="B1145" s="49"/>
      <c r="C1145" s="70"/>
      <c r="D1145" s="42"/>
      <c r="F1145" s="46"/>
      <c r="G1145" s="47"/>
      <c r="H1145" s="46"/>
      <c r="I1145" s="58"/>
      <c r="J1145" s="42"/>
      <c r="K1145" s="47"/>
      <c r="L1145" s="46"/>
      <c r="M1145" s="58"/>
      <c r="N1145" s="42"/>
      <c r="O1145" s="47"/>
      <c r="P1145" s="46"/>
      <c r="Q1145" s="58"/>
      <c r="R1145" s="42"/>
      <c r="S1145" s="47"/>
      <c r="T1145" s="46"/>
      <c r="U1145" s="58"/>
      <c r="V1145" s="42"/>
      <c r="W1145" s="46"/>
      <c r="X1145" s="47"/>
      <c r="Y1145" s="48"/>
    </row>
    <row r="1146" spans="2:25" s="38" customFormat="1" x14ac:dyDescent="0.25">
      <c r="B1146" s="49"/>
      <c r="C1146" s="70"/>
      <c r="D1146" s="42"/>
      <c r="F1146" s="46"/>
      <c r="G1146" s="47"/>
      <c r="H1146" s="46"/>
      <c r="I1146" s="58"/>
      <c r="J1146" s="42"/>
      <c r="K1146" s="47"/>
      <c r="L1146" s="46"/>
      <c r="M1146" s="58"/>
      <c r="N1146" s="42"/>
      <c r="O1146" s="47"/>
      <c r="P1146" s="46"/>
      <c r="Q1146" s="58"/>
      <c r="R1146" s="42"/>
      <c r="S1146" s="47"/>
      <c r="T1146" s="46"/>
      <c r="U1146" s="58"/>
      <c r="V1146" s="42"/>
      <c r="W1146" s="46"/>
      <c r="X1146" s="47"/>
      <c r="Y1146" s="48"/>
    </row>
    <row r="1147" spans="2:25" s="38" customFormat="1" x14ac:dyDescent="0.25">
      <c r="B1147" s="49"/>
      <c r="C1147" s="70"/>
      <c r="D1147" s="42"/>
      <c r="F1147" s="46"/>
      <c r="G1147" s="47"/>
      <c r="H1147" s="46"/>
      <c r="I1147" s="58"/>
      <c r="J1147" s="42"/>
      <c r="K1147" s="47"/>
      <c r="L1147" s="46"/>
      <c r="M1147" s="58"/>
      <c r="N1147" s="42"/>
      <c r="O1147" s="47"/>
      <c r="P1147" s="46"/>
      <c r="Q1147" s="58"/>
      <c r="R1147" s="42"/>
      <c r="S1147" s="47"/>
      <c r="T1147" s="46"/>
      <c r="U1147" s="58"/>
      <c r="V1147" s="42"/>
      <c r="W1147" s="46"/>
      <c r="X1147" s="47"/>
      <c r="Y1147" s="48"/>
    </row>
    <row r="1148" spans="2:25" s="38" customFormat="1" x14ac:dyDescent="0.25">
      <c r="B1148" s="49"/>
      <c r="C1148" s="70"/>
      <c r="D1148" s="42"/>
      <c r="F1148" s="46"/>
      <c r="G1148" s="47"/>
      <c r="H1148" s="46"/>
      <c r="I1148" s="58"/>
      <c r="J1148" s="42"/>
      <c r="K1148" s="47"/>
      <c r="L1148" s="46"/>
      <c r="M1148" s="58"/>
      <c r="N1148" s="42"/>
      <c r="O1148" s="47"/>
      <c r="P1148" s="46"/>
      <c r="Q1148" s="58"/>
      <c r="R1148" s="42"/>
      <c r="S1148" s="47"/>
      <c r="T1148" s="46"/>
      <c r="U1148" s="58"/>
      <c r="V1148" s="42"/>
      <c r="W1148" s="46"/>
      <c r="X1148" s="47"/>
      <c r="Y1148" s="48"/>
    </row>
    <row r="1149" spans="2:25" s="38" customFormat="1" x14ac:dyDescent="0.25">
      <c r="B1149" s="49"/>
      <c r="C1149" s="70"/>
      <c r="D1149" s="42"/>
      <c r="F1149" s="46"/>
      <c r="G1149" s="47"/>
      <c r="H1149" s="46"/>
      <c r="I1149" s="58"/>
      <c r="J1149" s="42"/>
      <c r="K1149" s="47"/>
      <c r="L1149" s="46"/>
      <c r="M1149" s="58"/>
      <c r="N1149" s="42"/>
      <c r="O1149" s="47"/>
      <c r="P1149" s="46"/>
      <c r="Q1149" s="58"/>
      <c r="R1149" s="42"/>
      <c r="S1149" s="47"/>
      <c r="T1149" s="46"/>
      <c r="U1149" s="58"/>
      <c r="V1149" s="42"/>
      <c r="W1149" s="46"/>
      <c r="X1149" s="47"/>
      <c r="Y1149" s="48"/>
    </row>
    <row r="1150" spans="2:25" s="38" customFormat="1" x14ac:dyDescent="0.25">
      <c r="B1150" s="49"/>
      <c r="C1150" s="70"/>
      <c r="D1150" s="42"/>
      <c r="F1150" s="46"/>
      <c r="G1150" s="47"/>
      <c r="H1150" s="46"/>
      <c r="I1150" s="58"/>
      <c r="J1150" s="42"/>
      <c r="K1150" s="47"/>
      <c r="L1150" s="46"/>
      <c r="M1150" s="58"/>
      <c r="N1150" s="42"/>
      <c r="O1150" s="47"/>
      <c r="P1150" s="46"/>
      <c r="Q1150" s="58"/>
      <c r="R1150" s="42"/>
      <c r="S1150" s="47"/>
      <c r="T1150" s="46"/>
      <c r="U1150" s="58"/>
      <c r="V1150" s="42"/>
      <c r="W1150" s="46"/>
      <c r="X1150" s="47"/>
      <c r="Y1150" s="48"/>
    </row>
    <row r="1151" spans="2:25" s="38" customFormat="1" x14ac:dyDescent="0.25">
      <c r="B1151" s="49"/>
      <c r="C1151" s="70"/>
      <c r="D1151" s="42"/>
      <c r="F1151" s="46"/>
      <c r="G1151" s="47"/>
      <c r="H1151" s="46"/>
      <c r="I1151" s="58"/>
      <c r="J1151" s="42"/>
      <c r="K1151" s="47"/>
      <c r="L1151" s="46"/>
      <c r="M1151" s="58"/>
      <c r="N1151" s="42"/>
      <c r="O1151" s="47"/>
      <c r="P1151" s="46"/>
      <c r="Q1151" s="58"/>
      <c r="R1151" s="42"/>
      <c r="S1151" s="47"/>
      <c r="T1151" s="46"/>
      <c r="U1151" s="58"/>
      <c r="V1151" s="42"/>
      <c r="W1151" s="46"/>
      <c r="X1151" s="47"/>
      <c r="Y1151" s="48"/>
    </row>
    <row r="1152" spans="2:25" s="38" customFormat="1" x14ac:dyDescent="0.25">
      <c r="B1152" s="49"/>
      <c r="C1152" s="70"/>
      <c r="D1152" s="42"/>
      <c r="F1152" s="46"/>
      <c r="G1152" s="47"/>
      <c r="H1152" s="46"/>
      <c r="I1152" s="58"/>
      <c r="J1152" s="42"/>
      <c r="K1152" s="47"/>
      <c r="L1152" s="46"/>
      <c r="M1152" s="58"/>
      <c r="N1152" s="42"/>
      <c r="O1152" s="47"/>
      <c r="P1152" s="46"/>
      <c r="Q1152" s="58"/>
      <c r="R1152" s="42"/>
      <c r="S1152" s="47"/>
      <c r="T1152" s="46"/>
      <c r="U1152" s="58"/>
      <c r="V1152" s="42"/>
      <c r="W1152" s="46"/>
      <c r="X1152" s="47"/>
      <c r="Y1152" s="48"/>
    </row>
    <row r="1153" spans="2:25" s="38" customFormat="1" x14ac:dyDescent="0.25">
      <c r="B1153" s="49"/>
      <c r="C1153" s="70"/>
      <c r="D1153" s="42"/>
      <c r="F1153" s="46"/>
      <c r="G1153" s="47"/>
      <c r="H1153" s="46"/>
      <c r="I1153" s="58"/>
      <c r="J1153" s="42"/>
      <c r="K1153" s="47"/>
      <c r="L1153" s="46"/>
      <c r="M1153" s="58"/>
      <c r="N1153" s="42"/>
      <c r="O1153" s="47"/>
      <c r="P1153" s="46"/>
      <c r="Q1153" s="58"/>
      <c r="R1153" s="42"/>
      <c r="S1153" s="47"/>
      <c r="T1153" s="46"/>
      <c r="U1153" s="58"/>
      <c r="V1153" s="42"/>
      <c r="W1153" s="46"/>
      <c r="X1153" s="47"/>
      <c r="Y1153" s="48"/>
    </row>
    <row r="1154" spans="2:25" s="38" customFormat="1" x14ac:dyDescent="0.25">
      <c r="B1154" s="49"/>
      <c r="C1154" s="70"/>
      <c r="D1154" s="42"/>
      <c r="F1154" s="46"/>
      <c r="G1154" s="47"/>
      <c r="H1154" s="46"/>
      <c r="I1154" s="58"/>
      <c r="J1154" s="42"/>
      <c r="K1154" s="47"/>
      <c r="L1154" s="46"/>
      <c r="M1154" s="58"/>
      <c r="N1154" s="42"/>
      <c r="O1154" s="47"/>
      <c r="P1154" s="46"/>
      <c r="Q1154" s="58"/>
      <c r="R1154" s="42"/>
      <c r="S1154" s="47"/>
      <c r="T1154" s="46"/>
      <c r="U1154" s="58"/>
      <c r="V1154" s="42"/>
      <c r="W1154" s="46"/>
      <c r="X1154" s="47"/>
      <c r="Y1154" s="48"/>
    </row>
    <row r="1155" spans="2:25" s="38" customFormat="1" x14ac:dyDescent="0.25">
      <c r="B1155" s="49"/>
      <c r="C1155" s="70"/>
      <c r="D1155" s="42"/>
      <c r="F1155" s="46"/>
      <c r="G1155" s="47"/>
      <c r="H1155" s="46"/>
      <c r="I1155" s="58"/>
      <c r="J1155" s="42"/>
      <c r="K1155" s="47"/>
      <c r="L1155" s="46"/>
      <c r="M1155" s="58"/>
      <c r="N1155" s="42"/>
      <c r="O1155" s="47"/>
      <c r="P1155" s="46"/>
      <c r="Q1155" s="58"/>
      <c r="R1155" s="42"/>
      <c r="S1155" s="47"/>
      <c r="T1155" s="46"/>
      <c r="U1155" s="58"/>
      <c r="V1155" s="42"/>
      <c r="W1155" s="46"/>
      <c r="X1155" s="47"/>
      <c r="Y1155" s="48"/>
    </row>
    <row r="1156" spans="2:25" s="38" customFormat="1" x14ac:dyDescent="0.25">
      <c r="B1156" s="49"/>
      <c r="C1156" s="70"/>
      <c r="D1156" s="42"/>
      <c r="F1156" s="46"/>
      <c r="G1156" s="47"/>
      <c r="H1156" s="46"/>
      <c r="I1156" s="58"/>
      <c r="J1156" s="42"/>
      <c r="K1156" s="47"/>
      <c r="L1156" s="46"/>
      <c r="M1156" s="58"/>
      <c r="N1156" s="42"/>
      <c r="O1156" s="47"/>
      <c r="P1156" s="46"/>
      <c r="Q1156" s="58"/>
      <c r="R1156" s="42"/>
      <c r="S1156" s="47"/>
      <c r="T1156" s="46"/>
      <c r="U1156" s="58"/>
      <c r="V1156" s="42"/>
      <c r="W1156" s="46"/>
      <c r="X1156" s="47"/>
      <c r="Y1156" s="48"/>
    </row>
    <row r="1157" spans="2:25" s="38" customFormat="1" x14ac:dyDescent="0.25">
      <c r="B1157" s="49"/>
      <c r="C1157" s="70"/>
      <c r="D1157" s="42"/>
      <c r="F1157" s="46"/>
      <c r="G1157" s="47"/>
      <c r="H1157" s="46"/>
      <c r="I1157" s="58"/>
      <c r="J1157" s="42"/>
      <c r="K1157" s="47"/>
      <c r="L1157" s="46"/>
      <c r="M1157" s="58"/>
      <c r="N1157" s="42"/>
      <c r="O1157" s="47"/>
      <c r="P1157" s="46"/>
      <c r="Q1157" s="58"/>
      <c r="R1157" s="42"/>
      <c r="S1157" s="47"/>
      <c r="T1157" s="46"/>
      <c r="U1157" s="58"/>
      <c r="V1157" s="42"/>
      <c r="W1157" s="46"/>
      <c r="X1157" s="47"/>
      <c r="Y1157" s="48"/>
    </row>
    <row r="1158" spans="2:25" s="38" customFormat="1" x14ac:dyDescent="0.25">
      <c r="B1158" s="49"/>
      <c r="C1158" s="70"/>
      <c r="D1158" s="42"/>
      <c r="F1158" s="46"/>
      <c r="G1158" s="47"/>
      <c r="H1158" s="46"/>
      <c r="I1158" s="58"/>
      <c r="J1158" s="42"/>
      <c r="K1158" s="47"/>
      <c r="L1158" s="46"/>
      <c r="M1158" s="58"/>
      <c r="N1158" s="42"/>
      <c r="O1158" s="47"/>
      <c r="P1158" s="46"/>
      <c r="Q1158" s="58"/>
      <c r="R1158" s="42"/>
      <c r="S1158" s="47"/>
      <c r="T1158" s="46"/>
      <c r="U1158" s="58"/>
      <c r="V1158" s="42"/>
      <c r="W1158" s="46"/>
      <c r="X1158" s="47"/>
      <c r="Y1158" s="48"/>
    </row>
    <row r="1159" spans="2:25" s="38" customFormat="1" x14ac:dyDescent="0.25">
      <c r="B1159" s="49"/>
      <c r="C1159" s="70"/>
      <c r="D1159" s="42"/>
      <c r="F1159" s="46"/>
      <c r="G1159" s="47"/>
      <c r="H1159" s="46"/>
      <c r="I1159" s="58"/>
      <c r="J1159" s="42"/>
      <c r="K1159" s="47"/>
      <c r="L1159" s="46"/>
      <c r="M1159" s="58"/>
      <c r="N1159" s="42"/>
      <c r="O1159" s="47"/>
      <c r="P1159" s="46"/>
      <c r="Q1159" s="58"/>
      <c r="R1159" s="42"/>
      <c r="S1159" s="47"/>
      <c r="T1159" s="46"/>
      <c r="U1159" s="58"/>
      <c r="V1159" s="42"/>
      <c r="W1159" s="46"/>
      <c r="X1159" s="47"/>
      <c r="Y1159" s="48"/>
    </row>
    <row r="1160" spans="2:25" s="38" customFormat="1" x14ac:dyDescent="0.25">
      <c r="B1160" s="49"/>
      <c r="C1160" s="70"/>
      <c r="D1160" s="42"/>
      <c r="F1160" s="46"/>
      <c r="G1160" s="47"/>
      <c r="H1160" s="46"/>
      <c r="I1160" s="58"/>
      <c r="J1160" s="42"/>
      <c r="K1160" s="47"/>
      <c r="L1160" s="46"/>
      <c r="M1160" s="58"/>
      <c r="N1160" s="42"/>
      <c r="O1160" s="47"/>
      <c r="P1160" s="46"/>
      <c r="Q1160" s="58"/>
      <c r="R1160" s="42"/>
      <c r="S1160" s="47"/>
      <c r="T1160" s="46"/>
      <c r="U1160" s="58"/>
      <c r="V1160" s="42"/>
      <c r="W1160" s="46"/>
      <c r="X1160" s="47"/>
      <c r="Y1160" s="48"/>
    </row>
    <row r="1161" spans="2:25" s="38" customFormat="1" x14ac:dyDescent="0.25">
      <c r="B1161" s="49"/>
      <c r="C1161" s="70"/>
      <c r="D1161" s="42"/>
      <c r="F1161" s="46"/>
      <c r="G1161" s="47"/>
      <c r="H1161" s="46"/>
      <c r="I1161" s="58"/>
      <c r="J1161" s="42"/>
      <c r="K1161" s="47"/>
      <c r="L1161" s="46"/>
      <c r="M1161" s="58"/>
      <c r="N1161" s="42"/>
      <c r="O1161" s="47"/>
      <c r="P1161" s="46"/>
      <c r="Q1161" s="58"/>
      <c r="R1161" s="42"/>
      <c r="S1161" s="47"/>
      <c r="T1161" s="46"/>
      <c r="U1161" s="58"/>
      <c r="V1161" s="42"/>
      <c r="W1161" s="46"/>
      <c r="X1161" s="47"/>
      <c r="Y1161" s="48"/>
    </row>
    <row r="1162" spans="2:25" s="38" customFormat="1" x14ac:dyDescent="0.25">
      <c r="B1162" s="49"/>
      <c r="C1162" s="70"/>
      <c r="D1162" s="42"/>
      <c r="F1162" s="46"/>
      <c r="G1162" s="47"/>
      <c r="H1162" s="46"/>
      <c r="I1162" s="58"/>
      <c r="J1162" s="42"/>
      <c r="K1162" s="47"/>
      <c r="L1162" s="46"/>
      <c r="M1162" s="58"/>
      <c r="N1162" s="42"/>
      <c r="O1162" s="47"/>
      <c r="P1162" s="46"/>
      <c r="Q1162" s="58"/>
      <c r="R1162" s="42"/>
      <c r="S1162" s="47"/>
      <c r="T1162" s="46"/>
      <c r="U1162" s="58"/>
      <c r="V1162" s="42"/>
      <c r="W1162" s="46"/>
      <c r="X1162" s="47"/>
      <c r="Y1162" s="48"/>
    </row>
    <row r="1163" spans="2:25" s="38" customFormat="1" x14ac:dyDescent="0.25">
      <c r="B1163" s="49"/>
      <c r="C1163" s="70"/>
      <c r="D1163" s="42"/>
      <c r="F1163" s="46"/>
      <c r="G1163" s="47"/>
      <c r="H1163" s="46"/>
      <c r="I1163" s="58"/>
      <c r="J1163" s="42"/>
      <c r="K1163" s="47"/>
      <c r="L1163" s="46"/>
      <c r="M1163" s="58"/>
      <c r="N1163" s="42"/>
      <c r="O1163" s="47"/>
      <c r="P1163" s="46"/>
      <c r="Q1163" s="58"/>
      <c r="R1163" s="42"/>
      <c r="S1163" s="47"/>
      <c r="T1163" s="46"/>
      <c r="U1163" s="58"/>
      <c r="V1163" s="42"/>
      <c r="W1163" s="46"/>
      <c r="X1163" s="47"/>
      <c r="Y1163" s="48"/>
    </row>
    <row r="1164" spans="2:25" s="38" customFormat="1" x14ac:dyDescent="0.25">
      <c r="B1164" s="49"/>
      <c r="C1164" s="70"/>
      <c r="D1164" s="42"/>
      <c r="F1164" s="46"/>
      <c r="G1164" s="47"/>
      <c r="H1164" s="46"/>
      <c r="I1164" s="58"/>
      <c r="J1164" s="42"/>
      <c r="K1164" s="47"/>
      <c r="L1164" s="46"/>
      <c r="M1164" s="58"/>
      <c r="N1164" s="42"/>
      <c r="O1164" s="47"/>
      <c r="P1164" s="46"/>
      <c r="Q1164" s="58"/>
      <c r="R1164" s="42"/>
      <c r="S1164" s="47"/>
      <c r="T1164" s="46"/>
      <c r="U1164" s="58"/>
      <c r="V1164" s="42"/>
      <c r="W1164" s="46"/>
      <c r="X1164" s="47"/>
      <c r="Y1164" s="48"/>
    </row>
    <row r="1165" spans="2:25" s="38" customFormat="1" x14ac:dyDescent="0.25">
      <c r="B1165" s="49"/>
      <c r="C1165" s="70"/>
      <c r="D1165" s="42"/>
      <c r="F1165" s="46"/>
      <c r="G1165" s="47"/>
      <c r="H1165" s="46"/>
      <c r="I1165" s="58"/>
      <c r="J1165" s="42"/>
      <c r="K1165" s="47"/>
      <c r="L1165" s="46"/>
      <c r="M1165" s="58"/>
      <c r="N1165" s="42"/>
      <c r="O1165" s="47"/>
      <c r="P1165" s="46"/>
      <c r="Q1165" s="58"/>
      <c r="R1165" s="42"/>
      <c r="S1165" s="47"/>
      <c r="T1165" s="46"/>
      <c r="U1165" s="58"/>
      <c r="V1165" s="42"/>
      <c r="W1165" s="46"/>
      <c r="X1165" s="47"/>
      <c r="Y1165" s="48"/>
    </row>
    <row r="1166" spans="2:25" s="38" customFormat="1" x14ac:dyDescent="0.25">
      <c r="B1166" s="49"/>
      <c r="C1166" s="70"/>
      <c r="D1166" s="42"/>
      <c r="F1166" s="46"/>
      <c r="G1166" s="47"/>
      <c r="H1166" s="46"/>
      <c r="I1166" s="58"/>
      <c r="J1166" s="42"/>
      <c r="K1166" s="47"/>
      <c r="L1166" s="46"/>
      <c r="M1166" s="58"/>
      <c r="N1166" s="42"/>
      <c r="O1166" s="47"/>
      <c r="P1166" s="46"/>
      <c r="Q1166" s="58"/>
      <c r="R1166" s="42"/>
      <c r="S1166" s="47"/>
      <c r="T1166" s="46"/>
      <c r="U1166" s="58"/>
      <c r="V1166" s="42"/>
      <c r="W1166" s="46"/>
      <c r="X1166" s="47"/>
      <c r="Y1166" s="48"/>
    </row>
    <row r="1167" spans="2:25" s="38" customFormat="1" x14ac:dyDescent="0.25">
      <c r="B1167" s="49"/>
      <c r="C1167" s="70"/>
      <c r="D1167" s="42"/>
      <c r="F1167" s="46"/>
      <c r="G1167" s="47"/>
      <c r="H1167" s="46"/>
      <c r="I1167" s="58"/>
      <c r="J1167" s="42"/>
      <c r="K1167" s="47"/>
      <c r="L1167" s="46"/>
      <c r="M1167" s="58"/>
      <c r="N1167" s="42"/>
      <c r="O1167" s="47"/>
      <c r="P1167" s="46"/>
      <c r="Q1167" s="58"/>
      <c r="R1167" s="42"/>
      <c r="S1167" s="47"/>
      <c r="T1167" s="46"/>
      <c r="U1167" s="58"/>
      <c r="V1167" s="42"/>
      <c r="W1167" s="46"/>
      <c r="X1167" s="47"/>
      <c r="Y1167" s="48"/>
    </row>
    <row r="1168" spans="2:25" s="38" customFormat="1" x14ac:dyDescent="0.25">
      <c r="B1168" s="49"/>
      <c r="C1168" s="70"/>
      <c r="D1168" s="42"/>
      <c r="F1168" s="46"/>
      <c r="G1168" s="47"/>
      <c r="H1168" s="46"/>
      <c r="I1168" s="58"/>
      <c r="J1168" s="42"/>
      <c r="K1168" s="47"/>
      <c r="L1168" s="46"/>
      <c r="M1168" s="58"/>
      <c r="N1168" s="42"/>
      <c r="O1168" s="47"/>
      <c r="P1168" s="46"/>
      <c r="Q1168" s="58"/>
      <c r="R1168" s="42"/>
      <c r="S1168" s="47"/>
      <c r="T1168" s="46"/>
      <c r="U1168" s="58"/>
      <c r="V1168" s="42"/>
      <c r="W1168" s="46"/>
      <c r="X1168" s="47"/>
      <c r="Y1168" s="48"/>
    </row>
    <row r="1169" spans="2:25" s="38" customFormat="1" x14ac:dyDescent="0.25">
      <c r="B1169" s="49"/>
      <c r="C1169" s="70"/>
      <c r="D1169" s="42"/>
      <c r="F1169" s="46"/>
      <c r="G1169" s="47"/>
      <c r="H1169" s="46"/>
      <c r="I1169" s="58"/>
      <c r="J1169" s="42"/>
      <c r="K1169" s="47"/>
      <c r="L1169" s="46"/>
      <c r="M1169" s="58"/>
      <c r="N1169" s="42"/>
      <c r="O1169" s="47"/>
      <c r="P1169" s="46"/>
      <c r="Q1169" s="58"/>
      <c r="R1169" s="42"/>
      <c r="S1169" s="47"/>
      <c r="T1169" s="46"/>
      <c r="U1169" s="58"/>
      <c r="V1169" s="42"/>
      <c r="W1169" s="46"/>
      <c r="X1169" s="47"/>
      <c r="Y1169" s="48"/>
    </row>
    <row r="1170" spans="2:25" s="38" customFormat="1" x14ac:dyDescent="0.25">
      <c r="B1170" s="49"/>
      <c r="C1170" s="70"/>
      <c r="D1170" s="42"/>
      <c r="F1170" s="46"/>
      <c r="G1170" s="47"/>
      <c r="H1170" s="46"/>
      <c r="I1170" s="58"/>
      <c r="J1170" s="42"/>
      <c r="K1170" s="47"/>
      <c r="L1170" s="46"/>
      <c r="M1170" s="58"/>
      <c r="N1170" s="42"/>
      <c r="O1170" s="47"/>
      <c r="P1170" s="46"/>
      <c r="Q1170" s="58"/>
      <c r="R1170" s="42"/>
      <c r="S1170" s="47"/>
      <c r="T1170" s="46"/>
      <c r="U1170" s="58"/>
      <c r="V1170" s="42"/>
      <c r="W1170" s="46"/>
      <c r="X1170" s="47"/>
      <c r="Y1170" s="48"/>
    </row>
    <row r="1171" spans="2:25" s="38" customFormat="1" x14ac:dyDescent="0.25">
      <c r="B1171" s="49"/>
      <c r="C1171" s="70"/>
      <c r="D1171" s="42"/>
      <c r="F1171" s="46"/>
      <c r="G1171" s="47"/>
      <c r="H1171" s="46"/>
      <c r="I1171" s="58"/>
      <c r="J1171" s="42"/>
      <c r="K1171" s="47"/>
      <c r="L1171" s="46"/>
      <c r="M1171" s="58"/>
      <c r="N1171" s="42"/>
      <c r="O1171" s="47"/>
      <c r="P1171" s="46"/>
      <c r="Q1171" s="58"/>
      <c r="R1171" s="42"/>
      <c r="S1171" s="47"/>
      <c r="T1171" s="46"/>
      <c r="U1171" s="58"/>
      <c r="V1171" s="42"/>
      <c r="W1171" s="46"/>
      <c r="X1171" s="47"/>
      <c r="Y1171" s="48"/>
    </row>
    <row r="1172" spans="2:25" s="38" customFormat="1" x14ac:dyDescent="0.25">
      <c r="B1172" s="49"/>
      <c r="C1172" s="70"/>
      <c r="D1172" s="42"/>
      <c r="F1172" s="46"/>
      <c r="G1172" s="47"/>
      <c r="H1172" s="46"/>
      <c r="I1172" s="58"/>
      <c r="J1172" s="42"/>
      <c r="K1172" s="47"/>
      <c r="L1172" s="46"/>
      <c r="M1172" s="58"/>
      <c r="N1172" s="42"/>
      <c r="O1172" s="47"/>
      <c r="P1172" s="46"/>
      <c r="Q1172" s="58"/>
      <c r="R1172" s="42"/>
      <c r="S1172" s="47"/>
      <c r="T1172" s="46"/>
      <c r="U1172" s="58"/>
      <c r="V1172" s="42"/>
      <c r="W1172" s="46"/>
      <c r="X1172" s="47"/>
      <c r="Y1172" s="48"/>
    </row>
    <row r="1173" spans="2:25" s="38" customFormat="1" x14ac:dyDescent="0.25">
      <c r="B1173" s="49"/>
      <c r="C1173" s="70"/>
      <c r="D1173" s="42"/>
      <c r="F1173" s="46"/>
      <c r="G1173" s="47"/>
      <c r="H1173" s="46"/>
      <c r="I1173" s="58"/>
      <c r="J1173" s="42"/>
      <c r="K1173" s="47"/>
      <c r="L1173" s="46"/>
      <c r="M1173" s="58"/>
      <c r="N1173" s="42"/>
      <c r="O1173" s="47"/>
      <c r="P1173" s="46"/>
      <c r="Q1173" s="58"/>
      <c r="R1173" s="42"/>
      <c r="S1173" s="47"/>
      <c r="T1173" s="46"/>
      <c r="U1173" s="58"/>
      <c r="V1173" s="42"/>
      <c r="W1173" s="46"/>
      <c r="X1173" s="47"/>
      <c r="Y1173" s="48"/>
    </row>
    <row r="1174" spans="2:25" s="38" customFormat="1" x14ac:dyDescent="0.25">
      <c r="B1174" s="49"/>
      <c r="C1174" s="70"/>
      <c r="D1174" s="42"/>
      <c r="F1174" s="46"/>
      <c r="G1174" s="47"/>
      <c r="H1174" s="46"/>
      <c r="I1174" s="58"/>
      <c r="J1174" s="42"/>
      <c r="K1174" s="47"/>
      <c r="L1174" s="46"/>
      <c r="M1174" s="58"/>
      <c r="N1174" s="42"/>
      <c r="O1174" s="47"/>
      <c r="P1174" s="46"/>
      <c r="Q1174" s="58"/>
      <c r="R1174" s="42"/>
      <c r="S1174" s="47"/>
      <c r="T1174" s="46"/>
      <c r="U1174" s="58"/>
      <c r="V1174" s="42"/>
      <c r="W1174" s="46"/>
      <c r="X1174" s="47"/>
      <c r="Y1174" s="48"/>
    </row>
    <row r="1175" spans="2:25" s="38" customFormat="1" x14ac:dyDescent="0.25">
      <c r="B1175" s="49"/>
      <c r="C1175" s="70"/>
      <c r="D1175" s="42"/>
      <c r="F1175" s="46"/>
      <c r="G1175" s="47"/>
      <c r="H1175" s="46"/>
      <c r="I1175" s="58"/>
      <c r="J1175" s="42"/>
      <c r="K1175" s="47"/>
      <c r="L1175" s="46"/>
      <c r="M1175" s="58"/>
      <c r="N1175" s="42"/>
      <c r="O1175" s="47"/>
      <c r="P1175" s="46"/>
      <c r="Q1175" s="58"/>
      <c r="R1175" s="42"/>
      <c r="S1175" s="47"/>
      <c r="T1175" s="46"/>
      <c r="U1175" s="58"/>
      <c r="V1175" s="42"/>
      <c r="W1175" s="46"/>
      <c r="X1175" s="47"/>
      <c r="Y1175" s="48"/>
    </row>
    <row r="1176" spans="2:25" s="38" customFormat="1" x14ac:dyDescent="0.25">
      <c r="B1176" s="49"/>
      <c r="C1176" s="70"/>
      <c r="D1176" s="42"/>
      <c r="F1176" s="46"/>
      <c r="G1176" s="47"/>
      <c r="H1176" s="46"/>
      <c r="I1176" s="58"/>
      <c r="J1176" s="42"/>
      <c r="K1176" s="47"/>
      <c r="L1176" s="46"/>
      <c r="M1176" s="58"/>
      <c r="N1176" s="42"/>
      <c r="O1176" s="47"/>
      <c r="P1176" s="46"/>
      <c r="Q1176" s="58"/>
      <c r="R1176" s="42"/>
      <c r="S1176" s="47"/>
      <c r="T1176" s="46"/>
      <c r="U1176" s="58"/>
      <c r="V1176" s="42"/>
      <c r="W1176" s="46"/>
      <c r="X1176" s="47"/>
      <c r="Y1176" s="48"/>
    </row>
    <row r="1177" spans="2:25" s="38" customFormat="1" x14ac:dyDescent="0.25">
      <c r="B1177" s="49"/>
      <c r="C1177" s="70"/>
      <c r="D1177" s="42"/>
      <c r="F1177" s="46"/>
      <c r="G1177" s="47"/>
      <c r="H1177" s="46"/>
      <c r="I1177" s="58"/>
      <c r="J1177" s="42"/>
      <c r="K1177" s="47"/>
      <c r="L1177" s="46"/>
      <c r="M1177" s="58"/>
      <c r="N1177" s="42"/>
      <c r="O1177" s="47"/>
      <c r="P1177" s="46"/>
      <c r="Q1177" s="58"/>
      <c r="R1177" s="42"/>
      <c r="S1177" s="47"/>
      <c r="T1177" s="46"/>
      <c r="U1177" s="58"/>
      <c r="V1177" s="42"/>
      <c r="W1177" s="46"/>
      <c r="X1177" s="47"/>
      <c r="Y1177" s="48"/>
    </row>
    <row r="1178" spans="2:25" s="38" customFormat="1" x14ac:dyDescent="0.25">
      <c r="B1178" s="49"/>
      <c r="C1178" s="70"/>
      <c r="D1178" s="42"/>
      <c r="F1178" s="46"/>
      <c r="G1178" s="47"/>
      <c r="H1178" s="46"/>
      <c r="I1178" s="58"/>
      <c r="J1178" s="42"/>
      <c r="K1178" s="47"/>
      <c r="L1178" s="46"/>
      <c r="M1178" s="58"/>
      <c r="N1178" s="42"/>
      <c r="O1178" s="47"/>
      <c r="P1178" s="46"/>
      <c r="Q1178" s="58"/>
      <c r="R1178" s="42"/>
      <c r="S1178" s="47"/>
      <c r="T1178" s="46"/>
      <c r="U1178" s="58"/>
      <c r="V1178" s="42"/>
      <c r="W1178" s="46"/>
      <c r="X1178" s="47"/>
      <c r="Y1178" s="48"/>
    </row>
    <row r="1179" spans="2:25" s="38" customFormat="1" x14ac:dyDescent="0.25">
      <c r="B1179" s="49"/>
      <c r="C1179" s="70"/>
      <c r="D1179" s="42"/>
      <c r="F1179" s="46"/>
      <c r="G1179" s="47"/>
      <c r="H1179" s="46"/>
      <c r="I1179" s="58"/>
      <c r="J1179" s="42"/>
      <c r="K1179" s="47"/>
      <c r="L1179" s="46"/>
      <c r="M1179" s="58"/>
      <c r="N1179" s="42"/>
      <c r="O1179" s="47"/>
      <c r="P1179" s="46"/>
      <c r="Q1179" s="58"/>
      <c r="R1179" s="42"/>
      <c r="S1179" s="47"/>
      <c r="T1179" s="46"/>
      <c r="U1179" s="58"/>
      <c r="V1179" s="42"/>
      <c r="W1179" s="46"/>
      <c r="X1179" s="47"/>
      <c r="Y1179" s="48"/>
    </row>
    <row r="1180" spans="2:25" s="38" customFormat="1" x14ac:dyDescent="0.25">
      <c r="B1180" s="49"/>
      <c r="C1180" s="70"/>
      <c r="D1180" s="42"/>
      <c r="F1180" s="46"/>
      <c r="G1180" s="47"/>
      <c r="H1180" s="46"/>
      <c r="I1180" s="58"/>
      <c r="J1180" s="42"/>
      <c r="K1180" s="47"/>
      <c r="L1180" s="46"/>
      <c r="M1180" s="58"/>
      <c r="N1180" s="42"/>
      <c r="O1180" s="47"/>
      <c r="P1180" s="46"/>
      <c r="Q1180" s="58"/>
      <c r="R1180" s="42"/>
      <c r="S1180" s="47"/>
      <c r="T1180" s="46"/>
      <c r="U1180" s="58"/>
      <c r="V1180" s="42"/>
      <c r="W1180" s="46"/>
      <c r="X1180" s="47"/>
      <c r="Y1180" s="48"/>
    </row>
    <row r="1181" spans="2:25" s="38" customFormat="1" x14ac:dyDescent="0.25">
      <c r="B1181" s="49"/>
      <c r="C1181" s="70"/>
      <c r="D1181" s="42"/>
      <c r="F1181" s="46"/>
      <c r="G1181" s="47"/>
      <c r="H1181" s="46"/>
      <c r="I1181" s="58"/>
      <c r="J1181" s="42"/>
      <c r="K1181" s="47"/>
      <c r="L1181" s="46"/>
      <c r="M1181" s="58"/>
      <c r="N1181" s="42"/>
      <c r="O1181" s="47"/>
      <c r="P1181" s="46"/>
      <c r="Q1181" s="58"/>
      <c r="R1181" s="42"/>
      <c r="S1181" s="47"/>
      <c r="T1181" s="46"/>
      <c r="U1181" s="58"/>
      <c r="V1181" s="42"/>
      <c r="W1181" s="46"/>
      <c r="X1181" s="47"/>
      <c r="Y1181" s="48"/>
    </row>
    <row r="1182" spans="2:25" s="38" customFormat="1" x14ac:dyDescent="0.25">
      <c r="B1182" s="49"/>
      <c r="C1182" s="70"/>
      <c r="D1182" s="42"/>
      <c r="F1182" s="46"/>
      <c r="G1182" s="47"/>
      <c r="H1182" s="46"/>
      <c r="I1182" s="58"/>
      <c r="J1182" s="42"/>
      <c r="K1182" s="47"/>
      <c r="L1182" s="46"/>
      <c r="M1182" s="58"/>
      <c r="N1182" s="42"/>
      <c r="O1182" s="47"/>
      <c r="P1182" s="46"/>
      <c r="Q1182" s="58"/>
      <c r="R1182" s="42"/>
      <c r="S1182" s="47"/>
      <c r="T1182" s="46"/>
      <c r="U1182" s="58"/>
      <c r="V1182" s="42"/>
      <c r="W1182" s="46"/>
      <c r="X1182" s="47"/>
      <c r="Y1182" s="48"/>
    </row>
    <row r="1183" spans="2:25" s="38" customFormat="1" x14ac:dyDescent="0.25">
      <c r="B1183" s="49"/>
      <c r="C1183" s="70"/>
      <c r="D1183" s="42"/>
      <c r="F1183" s="46"/>
      <c r="G1183" s="47"/>
      <c r="H1183" s="46"/>
      <c r="I1183" s="58"/>
      <c r="J1183" s="42"/>
      <c r="K1183" s="47"/>
      <c r="L1183" s="46"/>
      <c r="M1183" s="58"/>
      <c r="N1183" s="42"/>
      <c r="O1183" s="47"/>
      <c r="P1183" s="46"/>
      <c r="Q1183" s="58"/>
      <c r="R1183" s="42"/>
      <c r="S1183" s="47"/>
      <c r="T1183" s="46"/>
      <c r="U1183" s="58"/>
      <c r="V1183" s="42"/>
      <c r="W1183" s="46"/>
      <c r="X1183" s="47"/>
      <c r="Y1183" s="48"/>
    </row>
    <row r="1184" spans="2:25" s="38" customFormat="1" x14ac:dyDescent="0.25">
      <c r="B1184" s="49"/>
      <c r="C1184" s="70"/>
      <c r="D1184" s="42"/>
      <c r="F1184" s="46"/>
      <c r="G1184" s="47"/>
      <c r="H1184" s="46"/>
      <c r="I1184" s="58"/>
      <c r="J1184" s="42"/>
      <c r="K1184" s="47"/>
      <c r="L1184" s="46"/>
      <c r="M1184" s="58"/>
      <c r="N1184" s="42"/>
      <c r="O1184" s="47"/>
      <c r="P1184" s="46"/>
      <c r="Q1184" s="58"/>
      <c r="R1184" s="42"/>
      <c r="S1184" s="47"/>
      <c r="T1184" s="46"/>
      <c r="U1184" s="58"/>
      <c r="V1184" s="42"/>
      <c r="W1184" s="46"/>
      <c r="X1184" s="47"/>
      <c r="Y1184" s="48"/>
    </row>
    <row r="1185" spans="2:25" s="38" customFormat="1" x14ac:dyDescent="0.25">
      <c r="B1185" s="49"/>
      <c r="C1185" s="70"/>
      <c r="D1185" s="42"/>
      <c r="F1185" s="46"/>
      <c r="G1185" s="47"/>
      <c r="H1185" s="46"/>
      <c r="I1185" s="58"/>
      <c r="J1185" s="42"/>
      <c r="K1185" s="47"/>
      <c r="L1185" s="46"/>
      <c r="M1185" s="58"/>
      <c r="N1185" s="42"/>
      <c r="O1185" s="47"/>
      <c r="P1185" s="46"/>
      <c r="Q1185" s="58"/>
      <c r="R1185" s="42"/>
      <c r="S1185" s="47"/>
      <c r="T1185" s="46"/>
      <c r="U1185" s="58"/>
      <c r="V1185" s="42"/>
      <c r="W1185" s="46"/>
      <c r="X1185" s="47"/>
      <c r="Y1185" s="48"/>
    </row>
    <row r="1186" spans="2:25" s="38" customFormat="1" x14ac:dyDescent="0.25">
      <c r="B1186" s="49"/>
      <c r="C1186" s="70"/>
      <c r="D1186" s="42"/>
      <c r="F1186" s="46"/>
      <c r="G1186" s="47"/>
      <c r="H1186" s="46"/>
      <c r="I1186" s="58"/>
      <c r="J1186" s="42"/>
      <c r="K1186" s="47"/>
      <c r="L1186" s="46"/>
      <c r="M1186" s="58"/>
      <c r="N1186" s="42"/>
      <c r="O1186" s="47"/>
      <c r="P1186" s="46"/>
      <c r="Q1186" s="58"/>
      <c r="R1186" s="42"/>
      <c r="S1186" s="47"/>
      <c r="T1186" s="46"/>
      <c r="U1186" s="58"/>
      <c r="V1186" s="42"/>
      <c r="W1186" s="46"/>
      <c r="X1186" s="47"/>
      <c r="Y1186" s="48"/>
    </row>
    <row r="1187" spans="2:25" s="38" customFormat="1" x14ac:dyDescent="0.25">
      <c r="B1187" s="49"/>
      <c r="C1187" s="70"/>
      <c r="D1187" s="42"/>
      <c r="F1187" s="46"/>
      <c r="G1187" s="47"/>
      <c r="H1187" s="46"/>
      <c r="I1187" s="58"/>
      <c r="J1187" s="42"/>
      <c r="K1187" s="47"/>
      <c r="L1187" s="46"/>
      <c r="M1187" s="58"/>
      <c r="N1187" s="42"/>
      <c r="O1187" s="47"/>
      <c r="P1187" s="46"/>
      <c r="Q1187" s="58"/>
      <c r="R1187" s="42"/>
      <c r="S1187" s="47"/>
      <c r="T1187" s="46"/>
      <c r="U1187" s="58"/>
      <c r="V1187" s="42"/>
      <c r="W1187" s="46"/>
      <c r="X1187" s="47"/>
      <c r="Y1187" s="48"/>
    </row>
    <row r="1188" spans="2:25" s="38" customFormat="1" x14ac:dyDescent="0.25">
      <c r="B1188" s="49"/>
      <c r="C1188" s="70"/>
      <c r="D1188" s="42"/>
      <c r="F1188" s="46"/>
      <c r="G1188" s="47"/>
      <c r="H1188" s="46"/>
      <c r="I1188" s="58"/>
      <c r="J1188" s="42"/>
      <c r="K1188" s="47"/>
      <c r="L1188" s="46"/>
      <c r="M1188" s="58"/>
      <c r="N1188" s="42"/>
      <c r="O1188" s="47"/>
      <c r="P1188" s="46"/>
      <c r="Q1188" s="58"/>
      <c r="R1188" s="42"/>
      <c r="S1188" s="47"/>
      <c r="T1188" s="46"/>
      <c r="U1188" s="58"/>
      <c r="V1188" s="42"/>
      <c r="W1188" s="46"/>
      <c r="X1188" s="47"/>
      <c r="Y1188" s="48"/>
    </row>
    <row r="1189" spans="2:25" s="38" customFormat="1" x14ac:dyDescent="0.25">
      <c r="B1189" s="49"/>
      <c r="C1189" s="70"/>
      <c r="D1189" s="42"/>
      <c r="F1189" s="46"/>
      <c r="G1189" s="47"/>
      <c r="H1189" s="46"/>
      <c r="I1189" s="58"/>
      <c r="J1189" s="42"/>
      <c r="K1189" s="47"/>
      <c r="L1189" s="46"/>
      <c r="M1189" s="58"/>
      <c r="N1189" s="42"/>
      <c r="O1189" s="47"/>
      <c r="P1189" s="46"/>
      <c r="Q1189" s="58"/>
      <c r="R1189" s="42"/>
      <c r="S1189" s="47"/>
      <c r="T1189" s="46"/>
      <c r="U1189" s="58"/>
      <c r="V1189" s="42"/>
      <c r="W1189" s="46"/>
      <c r="X1189" s="47"/>
      <c r="Y1189" s="48"/>
    </row>
    <row r="1190" spans="2:25" s="38" customFormat="1" x14ac:dyDescent="0.25">
      <c r="B1190" s="49"/>
      <c r="C1190" s="70"/>
      <c r="D1190" s="42"/>
      <c r="F1190" s="46"/>
      <c r="G1190" s="47"/>
      <c r="H1190" s="46"/>
      <c r="I1190" s="58"/>
      <c r="J1190" s="42"/>
      <c r="K1190" s="47"/>
      <c r="L1190" s="46"/>
      <c r="M1190" s="58"/>
      <c r="N1190" s="42"/>
      <c r="O1190" s="47"/>
      <c r="P1190" s="46"/>
      <c r="Q1190" s="58"/>
      <c r="R1190" s="42"/>
      <c r="S1190" s="47"/>
      <c r="T1190" s="46"/>
      <c r="U1190" s="58"/>
      <c r="V1190" s="42"/>
      <c r="W1190" s="46"/>
      <c r="X1190" s="47"/>
      <c r="Y1190" s="48"/>
    </row>
    <row r="1191" spans="2:25" s="38" customFormat="1" x14ac:dyDescent="0.25">
      <c r="B1191" s="49"/>
      <c r="C1191" s="70"/>
      <c r="D1191" s="42"/>
      <c r="F1191" s="46"/>
      <c r="G1191" s="47"/>
      <c r="H1191" s="46"/>
      <c r="I1191" s="58"/>
      <c r="J1191" s="42"/>
      <c r="K1191" s="47"/>
      <c r="L1191" s="46"/>
      <c r="M1191" s="58"/>
      <c r="N1191" s="42"/>
      <c r="O1191" s="47"/>
      <c r="P1191" s="46"/>
      <c r="Q1191" s="58"/>
      <c r="R1191" s="42"/>
      <c r="S1191" s="47"/>
      <c r="T1191" s="46"/>
      <c r="U1191" s="58"/>
      <c r="V1191" s="42"/>
      <c r="W1191" s="46"/>
      <c r="X1191" s="47"/>
      <c r="Y1191" s="48"/>
    </row>
    <row r="1192" spans="2:25" s="38" customFormat="1" x14ac:dyDescent="0.25">
      <c r="B1192" s="49"/>
      <c r="C1192" s="70"/>
      <c r="D1192" s="42"/>
      <c r="F1192" s="46"/>
      <c r="G1192" s="47"/>
      <c r="H1192" s="46"/>
      <c r="I1192" s="58"/>
      <c r="J1192" s="42"/>
      <c r="K1192" s="47"/>
      <c r="L1192" s="46"/>
      <c r="M1192" s="58"/>
      <c r="N1192" s="42"/>
      <c r="O1192" s="47"/>
      <c r="P1192" s="46"/>
      <c r="Q1192" s="58"/>
      <c r="R1192" s="42"/>
      <c r="S1192" s="47"/>
      <c r="T1192" s="46"/>
      <c r="U1192" s="58"/>
      <c r="V1192" s="42"/>
      <c r="W1192" s="46"/>
      <c r="X1192" s="47"/>
      <c r="Y1192" s="48"/>
    </row>
    <row r="1193" spans="2:25" s="38" customFormat="1" x14ac:dyDescent="0.25">
      <c r="B1193" s="49"/>
      <c r="C1193" s="70"/>
      <c r="D1193" s="42"/>
      <c r="F1193" s="46"/>
      <c r="G1193" s="47"/>
      <c r="H1193" s="46"/>
      <c r="I1193" s="58"/>
      <c r="J1193" s="42"/>
      <c r="K1193" s="47"/>
      <c r="L1193" s="46"/>
      <c r="M1193" s="58"/>
      <c r="N1193" s="42"/>
      <c r="O1193" s="47"/>
      <c r="P1193" s="46"/>
      <c r="Q1193" s="58"/>
      <c r="R1193" s="42"/>
      <c r="S1193" s="47"/>
      <c r="T1193" s="46"/>
      <c r="U1193" s="58"/>
      <c r="V1193" s="42"/>
      <c r="W1193" s="46"/>
      <c r="X1193" s="47"/>
      <c r="Y1193" s="48"/>
    </row>
    <row r="1194" spans="2:25" s="38" customFormat="1" x14ac:dyDescent="0.25">
      <c r="B1194" s="49"/>
      <c r="C1194" s="70"/>
      <c r="D1194" s="42"/>
      <c r="F1194" s="46"/>
      <c r="G1194" s="47"/>
      <c r="H1194" s="46"/>
      <c r="I1194" s="58"/>
      <c r="J1194" s="42"/>
      <c r="K1194" s="47"/>
      <c r="L1194" s="46"/>
      <c r="M1194" s="58"/>
      <c r="N1194" s="42"/>
      <c r="O1194" s="47"/>
      <c r="P1194" s="46"/>
      <c r="Q1194" s="58"/>
      <c r="R1194" s="42"/>
      <c r="S1194" s="47"/>
      <c r="T1194" s="46"/>
      <c r="U1194" s="58"/>
      <c r="V1194" s="42"/>
      <c r="W1194" s="46"/>
      <c r="X1194" s="47"/>
      <c r="Y1194" s="48"/>
    </row>
    <row r="1195" spans="2:25" s="38" customFormat="1" x14ac:dyDescent="0.25">
      <c r="B1195" s="49"/>
      <c r="C1195" s="70"/>
      <c r="D1195" s="42"/>
      <c r="F1195" s="46"/>
      <c r="G1195" s="47"/>
      <c r="H1195" s="46"/>
      <c r="I1195" s="58"/>
      <c r="J1195" s="42"/>
      <c r="K1195" s="47"/>
      <c r="L1195" s="46"/>
      <c r="M1195" s="58"/>
      <c r="N1195" s="42"/>
      <c r="O1195" s="47"/>
      <c r="P1195" s="46"/>
      <c r="Q1195" s="58"/>
      <c r="R1195" s="42"/>
      <c r="S1195" s="47"/>
      <c r="T1195" s="46"/>
      <c r="U1195" s="58"/>
      <c r="V1195" s="42"/>
      <c r="W1195" s="46"/>
      <c r="X1195" s="47"/>
      <c r="Y1195" s="48"/>
    </row>
    <row r="1196" spans="2:25" s="38" customFormat="1" x14ac:dyDescent="0.25">
      <c r="B1196" s="49"/>
      <c r="C1196" s="70"/>
      <c r="D1196" s="42"/>
      <c r="F1196" s="46"/>
      <c r="G1196" s="47"/>
      <c r="H1196" s="46"/>
      <c r="I1196" s="58"/>
      <c r="J1196" s="42"/>
      <c r="K1196" s="47"/>
      <c r="L1196" s="46"/>
      <c r="M1196" s="58"/>
      <c r="N1196" s="42"/>
      <c r="O1196" s="47"/>
      <c r="P1196" s="46"/>
      <c r="Q1196" s="58"/>
      <c r="R1196" s="42"/>
      <c r="S1196" s="47"/>
      <c r="T1196" s="46"/>
      <c r="U1196" s="58"/>
      <c r="V1196" s="42"/>
      <c r="W1196" s="46"/>
      <c r="X1196" s="47"/>
      <c r="Y1196" s="48"/>
    </row>
    <row r="1197" spans="2:25" s="38" customFormat="1" x14ac:dyDescent="0.25">
      <c r="B1197" s="49"/>
      <c r="C1197" s="70"/>
      <c r="D1197" s="42"/>
      <c r="F1197" s="46"/>
      <c r="G1197" s="47"/>
      <c r="H1197" s="46"/>
      <c r="I1197" s="58"/>
      <c r="J1197" s="42"/>
      <c r="K1197" s="47"/>
      <c r="L1197" s="46"/>
      <c r="M1197" s="58"/>
      <c r="N1197" s="42"/>
      <c r="O1197" s="47"/>
      <c r="P1197" s="46"/>
      <c r="Q1197" s="58"/>
      <c r="R1197" s="42"/>
      <c r="S1197" s="47"/>
      <c r="T1197" s="46"/>
      <c r="U1197" s="58"/>
      <c r="V1197" s="42"/>
      <c r="W1197" s="46"/>
      <c r="X1197" s="47"/>
      <c r="Y1197" s="48"/>
    </row>
    <row r="1198" spans="2:25" s="38" customFormat="1" x14ac:dyDescent="0.25">
      <c r="B1198" s="49"/>
      <c r="C1198" s="70"/>
      <c r="D1198" s="42"/>
      <c r="F1198" s="46"/>
      <c r="G1198" s="47"/>
      <c r="H1198" s="46"/>
      <c r="I1198" s="58"/>
      <c r="J1198" s="42"/>
      <c r="K1198" s="47"/>
      <c r="L1198" s="46"/>
      <c r="M1198" s="58"/>
      <c r="N1198" s="42"/>
      <c r="O1198" s="47"/>
      <c r="P1198" s="46"/>
      <c r="Q1198" s="58"/>
      <c r="R1198" s="42"/>
      <c r="S1198" s="47"/>
      <c r="T1198" s="46"/>
      <c r="U1198" s="58"/>
      <c r="V1198" s="42"/>
      <c r="W1198" s="46"/>
      <c r="X1198" s="47"/>
      <c r="Y1198" s="48"/>
    </row>
    <row r="1199" spans="2:25" s="38" customFormat="1" x14ac:dyDescent="0.25">
      <c r="B1199" s="49"/>
      <c r="C1199" s="70"/>
      <c r="D1199" s="42"/>
      <c r="F1199" s="46"/>
      <c r="G1199" s="47"/>
      <c r="H1199" s="46"/>
      <c r="I1199" s="58"/>
      <c r="J1199" s="42"/>
      <c r="K1199" s="47"/>
      <c r="L1199" s="46"/>
      <c r="M1199" s="58"/>
      <c r="N1199" s="42"/>
      <c r="O1199" s="47"/>
      <c r="P1199" s="46"/>
      <c r="Q1199" s="58"/>
      <c r="R1199" s="42"/>
      <c r="S1199" s="47"/>
      <c r="T1199" s="46"/>
      <c r="U1199" s="58"/>
      <c r="V1199" s="42"/>
      <c r="W1199" s="46"/>
      <c r="X1199" s="47"/>
      <c r="Y1199" s="48"/>
    </row>
    <row r="1200" spans="2:25" s="38" customFormat="1" x14ac:dyDescent="0.25">
      <c r="B1200" s="49"/>
      <c r="C1200" s="70"/>
      <c r="D1200" s="42"/>
      <c r="F1200" s="46"/>
      <c r="G1200" s="47"/>
      <c r="H1200" s="46"/>
      <c r="I1200" s="58"/>
      <c r="J1200" s="42"/>
      <c r="K1200" s="47"/>
      <c r="L1200" s="46"/>
      <c r="M1200" s="58"/>
      <c r="N1200" s="42"/>
      <c r="O1200" s="47"/>
      <c r="P1200" s="46"/>
      <c r="Q1200" s="58"/>
      <c r="R1200" s="42"/>
      <c r="S1200" s="47"/>
      <c r="T1200" s="46"/>
      <c r="U1200" s="58"/>
      <c r="V1200" s="42"/>
      <c r="W1200" s="46"/>
      <c r="X1200" s="47"/>
      <c r="Y1200" s="48"/>
    </row>
    <row r="1201" spans="2:25" s="38" customFormat="1" x14ac:dyDescent="0.25">
      <c r="B1201" s="49"/>
      <c r="C1201" s="70"/>
      <c r="D1201" s="42"/>
      <c r="F1201" s="46"/>
      <c r="G1201" s="47"/>
      <c r="H1201" s="46"/>
      <c r="I1201" s="58"/>
      <c r="J1201" s="42"/>
      <c r="K1201" s="47"/>
      <c r="L1201" s="46"/>
      <c r="M1201" s="58"/>
      <c r="N1201" s="42"/>
      <c r="O1201" s="47"/>
      <c r="P1201" s="46"/>
      <c r="Q1201" s="58"/>
      <c r="R1201" s="42"/>
      <c r="S1201" s="47"/>
      <c r="T1201" s="46"/>
      <c r="U1201" s="58"/>
      <c r="V1201" s="42"/>
      <c r="W1201" s="46"/>
      <c r="X1201" s="47"/>
      <c r="Y1201" s="48"/>
    </row>
    <row r="1202" spans="2:25" s="38" customFormat="1" x14ac:dyDescent="0.25">
      <c r="B1202" s="49"/>
      <c r="C1202" s="70"/>
      <c r="D1202" s="42"/>
      <c r="F1202" s="46"/>
      <c r="G1202" s="47"/>
      <c r="H1202" s="46"/>
      <c r="I1202" s="58"/>
      <c r="J1202" s="42"/>
      <c r="K1202" s="47"/>
      <c r="L1202" s="46"/>
      <c r="M1202" s="58"/>
      <c r="N1202" s="42"/>
      <c r="O1202" s="47"/>
      <c r="P1202" s="46"/>
      <c r="Q1202" s="58"/>
      <c r="R1202" s="42"/>
      <c r="S1202" s="47"/>
      <c r="T1202" s="46"/>
      <c r="U1202" s="58"/>
      <c r="V1202" s="42"/>
      <c r="W1202" s="46"/>
      <c r="X1202" s="47"/>
      <c r="Y1202" s="48"/>
    </row>
    <row r="1203" spans="2:25" s="38" customFormat="1" x14ac:dyDescent="0.25">
      <c r="B1203" s="49"/>
      <c r="C1203" s="70"/>
      <c r="D1203" s="42"/>
      <c r="F1203" s="46"/>
      <c r="G1203" s="47"/>
      <c r="H1203" s="46"/>
      <c r="I1203" s="58"/>
      <c r="J1203" s="42"/>
      <c r="K1203" s="47"/>
      <c r="L1203" s="46"/>
      <c r="M1203" s="58"/>
      <c r="N1203" s="42"/>
      <c r="O1203" s="47"/>
      <c r="P1203" s="46"/>
      <c r="Q1203" s="58"/>
      <c r="R1203" s="42"/>
      <c r="S1203" s="47"/>
      <c r="T1203" s="46"/>
      <c r="U1203" s="58"/>
      <c r="V1203" s="42"/>
      <c r="W1203" s="46"/>
      <c r="X1203" s="47"/>
      <c r="Y1203" s="48"/>
    </row>
    <row r="1204" spans="2:25" s="38" customFormat="1" x14ac:dyDescent="0.25">
      <c r="B1204" s="49"/>
      <c r="C1204" s="70"/>
      <c r="D1204" s="42"/>
      <c r="F1204" s="46"/>
      <c r="G1204" s="47"/>
      <c r="H1204" s="46"/>
      <c r="I1204" s="58"/>
      <c r="J1204" s="42"/>
      <c r="K1204" s="47"/>
      <c r="L1204" s="46"/>
      <c r="M1204" s="58"/>
      <c r="N1204" s="42"/>
      <c r="O1204" s="47"/>
      <c r="P1204" s="46"/>
      <c r="Q1204" s="58"/>
      <c r="R1204" s="42"/>
      <c r="S1204" s="47"/>
      <c r="T1204" s="46"/>
      <c r="U1204" s="58"/>
      <c r="V1204" s="42"/>
      <c r="W1204" s="46"/>
      <c r="X1204" s="47"/>
      <c r="Y1204" s="48"/>
    </row>
    <row r="1205" spans="2:25" s="38" customFormat="1" x14ac:dyDescent="0.25">
      <c r="B1205" s="49"/>
      <c r="C1205" s="70"/>
      <c r="D1205" s="42"/>
      <c r="F1205" s="46"/>
      <c r="G1205" s="47"/>
      <c r="H1205" s="46"/>
      <c r="I1205" s="58"/>
      <c r="J1205" s="42"/>
      <c r="K1205" s="47"/>
      <c r="L1205" s="46"/>
      <c r="M1205" s="58"/>
      <c r="N1205" s="42"/>
      <c r="O1205" s="47"/>
      <c r="P1205" s="46"/>
      <c r="Q1205" s="58"/>
      <c r="R1205" s="42"/>
      <c r="S1205" s="47"/>
      <c r="T1205" s="46"/>
      <c r="U1205" s="58"/>
      <c r="V1205" s="42"/>
      <c r="W1205" s="46"/>
      <c r="X1205" s="47"/>
      <c r="Y1205" s="48"/>
    </row>
    <row r="1206" spans="2:25" s="38" customFormat="1" x14ac:dyDescent="0.25">
      <c r="B1206" s="49"/>
      <c r="C1206" s="70"/>
      <c r="D1206" s="42"/>
      <c r="F1206" s="46"/>
      <c r="G1206" s="47"/>
      <c r="H1206" s="46"/>
      <c r="I1206" s="58"/>
      <c r="J1206" s="42"/>
      <c r="K1206" s="47"/>
      <c r="L1206" s="46"/>
      <c r="M1206" s="58"/>
      <c r="N1206" s="42"/>
      <c r="O1206" s="47"/>
      <c r="P1206" s="46"/>
      <c r="Q1206" s="58"/>
      <c r="R1206" s="42"/>
      <c r="S1206" s="47"/>
      <c r="T1206" s="46"/>
      <c r="U1206" s="58"/>
      <c r="V1206" s="42"/>
      <c r="W1206" s="46"/>
      <c r="X1206" s="47"/>
      <c r="Y1206" s="48"/>
    </row>
    <row r="1207" spans="2:25" s="38" customFormat="1" x14ac:dyDescent="0.25">
      <c r="B1207" s="49"/>
      <c r="C1207" s="70"/>
      <c r="D1207" s="42"/>
      <c r="F1207" s="46"/>
      <c r="G1207" s="47"/>
      <c r="H1207" s="46"/>
      <c r="I1207" s="58"/>
      <c r="J1207" s="42"/>
      <c r="K1207" s="47"/>
      <c r="L1207" s="46"/>
      <c r="M1207" s="58"/>
      <c r="N1207" s="42"/>
      <c r="O1207" s="47"/>
      <c r="P1207" s="46"/>
      <c r="Q1207" s="58"/>
      <c r="R1207" s="42"/>
      <c r="S1207" s="47"/>
      <c r="T1207" s="46"/>
      <c r="U1207" s="58"/>
      <c r="V1207" s="42"/>
      <c r="W1207" s="46"/>
      <c r="X1207" s="47"/>
      <c r="Y1207" s="48"/>
    </row>
    <row r="1208" spans="2:25" s="38" customFormat="1" x14ac:dyDescent="0.25">
      <c r="B1208" s="49"/>
      <c r="C1208" s="70"/>
      <c r="D1208" s="42"/>
      <c r="F1208" s="46"/>
      <c r="G1208" s="47"/>
      <c r="H1208" s="46"/>
      <c r="I1208" s="58"/>
      <c r="J1208" s="42"/>
      <c r="K1208" s="47"/>
      <c r="L1208" s="46"/>
      <c r="M1208" s="58"/>
      <c r="N1208" s="42"/>
      <c r="O1208" s="47"/>
      <c r="P1208" s="46"/>
      <c r="Q1208" s="58"/>
      <c r="R1208" s="42"/>
      <c r="S1208" s="47"/>
      <c r="T1208" s="46"/>
      <c r="U1208" s="58"/>
      <c r="V1208" s="42"/>
      <c r="W1208" s="46"/>
      <c r="X1208" s="47"/>
      <c r="Y1208" s="48"/>
    </row>
    <row r="1209" spans="2:25" s="38" customFormat="1" x14ac:dyDescent="0.25">
      <c r="B1209" s="49"/>
      <c r="C1209" s="70"/>
      <c r="D1209" s="42"/>
      <c r="F1209" s="46"/>
      <c r="G1209" s="47"/>
      <c r="H1209" s="46"/>
      <c r="I1209" s="58"/>
      <c r="J1209" s="42"/>
      <c r="K1209" s="47"/>
      <c r="L1209" s="46"/>
      <c r="M1209" s="58"/>
      <c r="N1209" s="42"/>
      <c r="O1209" s="47"/>
      <c r="P1209" s="46"/>
      <c r="Q1209" s="58"/>
      <c r="R1209" s="42"/>
      <c r="S1209" s="47"/>
      <c r="T1209" s="46"/>
      <c r="U1209" s="58"/>
      <c r="V1209" s="42"/>
      <c r="W1209" s="46"/>
      <c r="X1209" s="47"/>
      <c r="Y1209" s="48"/>
    </row>
    <row r="1210" spans="2:25" s="38" customFormat="1" x14ac:dyDescent="0.25">
      <c r="B1210" s="49"/>
      <c r="C1210" s="70"/>
      <c r="D1210" s="42"/>
      <c r="F1210" s="46"/>
      <c r="G1210" s="47"/>
      <c r="H1210" s="46"/>
      <c r="I1210" s="58"/>
      <c r="J1210" s="42"/>
      <c r="K1210" s="47"/>
      <c r="L1210" s="46"/>
      <c r="M1210" s="58"/>
      <c r="N1210" s="42"/>
      <c r="O1210" s="47"/>
      <c r="P1210" s="46"/>
      <c r="Q1210" s="58"/>
      <c r="R1210" s="42"/>
      <c r="S1210" s="47"/>
      <c r="T1210" s="46"/>
      <c r="U1210" s="58"/>
      <c r="V1210" s="42"/>
      <c r="W1210" s="46"/>
      <c r="X1210" s="47"/>
      <c r="Y1210" s="48"/>
    </row>
    <row r="1211" spans="2:25" s="38" customFormat="1" x14ac:dyDescent="0.25">
      <c r="B1211" s="49"/>
      <c r="C1211" s="70"/>
      <c r="D1211" s="42"/>
      <c r="F1211" s="46"/>
      <c r="G1211" s="47"/>
      <c r="H1211" s="46"/>
      <c r="I1211" s="58"/>
      <c r="J1211" s="42"/>
      <c r="K1211" s="47"/>
      <c r="L1211" s="46"/>
      <c r="M1211" s="58"/>
      <c r="N1211" s="42"/>
      <c r="O1211" s="47"/>
      <c r="P1211" s="46"/>
      <c r="Q1211" s="58"/>
      <c r="R1211" s="42"/>
      <c r="S1211" s="47"/>
      <c r="T1211" s="46"/>
      <c r="U1211" s="58"/>
      <c r="V1211" s="42"/>
      <c r="W1211" s="46"/>
      <c r="X1211" s="47"/>
      <c r="Y1211" s="48"/>
    </row>
    <row r="1212" spans="2:25" s="38" customFormat="1" x14ac:dyDescent="0.25">
      <c r="B1212" s="49"/>
      <c r="C1212" s="70"/>
      <c r="D1212" s="42"/>
      <c r="F1212" s="46"/>
      <c r="G1212" s="47"/>
      <c r="H1212" s="46"/>
      <c r="I1212" s="58"/>
      <c r="J1212" s="42"/>
      <c r="K1212" s="47"/>
      <c r="L1212" s="46"/>
      <c r="M1212" s="58"/>
      <c r="N1212" s="42"/>
      <c r="O1212" s="47"/>
      <c r="P1212" s="46"/>
      <c r="Q1212" s="58"/>
      <c r="R1212" s="42"/>
      <c r="S1212" s="47"/>
      <c r="T1212" s="46"/>
      <c r="U1212" s="58"/>
      <c r="V1212" s="42"/>
      <c r="W1212" s="46"/>
      <c r="X1212" s="47"/>
      <c r="Y1212" s="48"/>
    </row>
    <row r="1213" spans="2:25" s="38" customFormat="1" x14ac:dyDescent="0.25">
      <c r="B1213" s="49"/>
      <c r="C1213" s="70"/>
      <c r="D1213" s="42"/>
      <c r="F1213" s="46"/>
      <c r="G1213" s="47"/>
      <c r="H1213" s="46"/>
      <c r="I1213" s="58"/>
      <c r="J1213" s="42"/>
      <c r="K1213" s="47"/>
      <c r="L1213" s="46"/>
      <c r="M1213" s="58"/>
      <c r="N1213" s="42"/>
      <c r="O1213" s="47"/>
      <c r="P1213" s="46"/>
      <c r="Q1213" s="58"/>
      <c r="R1213" s="42"/>
      <c r="S1213" s="47"/>
      <c r="T1213" s="46"/>
      <c r="U1213" s="58"/>
      <c r="V1213" s="42"/>
      <c r="W1213" s="46"/>
      <c r="X1213" s="47"/>
      <c r="Y1213" s="48"/>
    </row>
  </sheetData>
  <mergeCells count="1">
    <mergeCell ref="C1:D1"/>
  </mergeCells>
  <conditionalFormatting sqref="I4">
    <cfRule type="cellIs" dxfId="57" priority="419" operator="between">
      <formula>1</formula>
      <formula>59</formula>
    </cfRule>
    <cfRule type="cellIs" dxfId="56" priority="420" operator="greaterThanOrEqual">
      <formula>60</formula>
    </cfRule>
  </conditionalFormatting>
  <conditionalFormatting sqref="I5:I6">
    <cfRule type="cellIs" dxfId="55" priority="413" operator="between">
      <formula>1</formula>
      <formula>59</formula>
    </cfRule>
    <cfRule type="cellIs" dxfId="54" priority="414" operator="greaterThanOrEqual">
      <formula>60</formula>
    </cfRule>
  </conditionalFormatting>
  <conditionalFormatting sqref="M5:M6">
    <cfRule type="cellIs" dxfId="53" priority="407" operator="between">
      <formula>1</formula>
      <formula>59</formula>
    </cfRule>
    <cfRule type="cellIs" dxfId="52" priority="408" operator="greaterThanOrEqual">
      <formula>60</formula>
    </cfRule>
  </conditionalFormatting>
  <conditionalFormatting sqref="M4">
    <cfRule type="cellIs" dxfId="51" priority="411" operator="between">
      <formula>1</formula>
      <formula>59</formula>
    </cfRule>
    <cfRule type="cellIs" dxfId="50" priority="412" operator="greaterThanOrEqual">
      <formula>60</formula>
    </cfRule>
  </conditionalFormatting>
  <conditionalFormatting sqref="Q5:Q6">
    <cfRule type="cellIs" dxfId="49" priority="401" operator="between">
      <formula>1</formula>
      <formula>59</formula>
    </cfRule>
    <cfRule type="cellIs" dxfId="48" priority="402" operator="greaterThanOrEqual">
      <formula>60</formula>
    </cfRule>
  </conditionalFormatting>
  <conditionalFormatting sqref="Q4">
    <cfRule type="cellIs" dxfId="47" priority="405" operator="between">
      <formula>1</formula>
      <formula>59</formula>
    </cfRule>
    <cfRule type="cellIs" dxfId="46" priority="406" operator="greaterThanOrEqual">
      <formula>60</formula>
    </cfRule>
  </conditionalFormatting>
  <conditionalFormatting sqref="U5:U6">
    <cfRule type="cellIs" dxfId="45" priority="395" operator="between">
      <formula>1</formula>
      <formula>59</formula>
    </cfRule>
    <cfRule type="cellIs" dxfId="44" priority="396" operator="greaterThanOrEqual">
      <formula>60</formula>
    </cfRule>
  </conditionalFormatting>
  <conditionalFormatting sqref="U4">
    <cfRule type="cellIs" dxfId="43" priority="399" operator="between">
      <formula>1</formula>
      <formula>59</formula>
    </cfRule>
    <cfRule type="cellIs" dxfId="42" priority="400" operator="greaterThanOrEqual">
      <formula>60</formula>
    </cfRule>
  </conditionalFormatting>
  <conditionalFormatting sqref="I7">
    <cfRule type="cellIs" dxfId="41" priority="41" operator="between">
      <formula>1</formula>
      <formula>59</formula>
    </cfRule>
    <cfRule type="cellIs" dxfId="40" priority="42" operator="greaterThanOrEqual">
      <formula>60</formula>
    </cfRule>
  </conditionalFormatting>
  <conditionalFormatting sqref="M7">
    <cfRule type="cellIs" dxfId="39" priority="39" operator="between">
      <formula>1</formula>
      <formula>59</formula>
    </cfRule>
    <cfRule type="cellIs" dxfId="38" priority="40" operator="greaterThanOrEqual">
      <formula>60</formula>
    </cfRule>
  </conditionalFormatting>
  <conditionalFormatting sqref="Q7">
    <cfRule type="cellIs" dxfId="37" priority="37" operator="between">
      <formula>1</formula>
      <formula>59</formula>
    </cfRule>
    <cfRule type="cellIs" dxfId="36" priority="38" operator="greaterThanOrEqual">
      <formula>60</formula>
    </cfRule>
  </conditionalFormatting>
  <conditionalFormatting sqref="U7">
    <cfRule type="cellIs" dxfId="35" priority="35" operator="between">
      <formula>1</formula>
      <formula>59</formula>
    </cfRule>
    <cfRule type="cellIs" dxfId="34" priority="36" operator="greaterThanOrEqual">
      <formula>60</formula>
    </cfRule>
  </conditionalFormatting>
  <conditionalFormatting sqref="I8">
    <cfRule type="cellIs" dxfId="33" priority="33" operator="between">
      <formula>1</formula>
      <formula>59</formula>
    </cfRule>
    <cfRule type="cellIs" dxfId="32" priority="34" operator="greaterThanOrEqual">
      <formula>60</formula>
    </cfRule>
  </conditionalFormatting>
  <conditionalFormatting sqref="M8">
    <cfRule type="cellIs" dxfId="31" priority="31" operator="between">
      <formula>1</formula>
      <formula>59</formula>
    </cfRule>
    <cfRule type="cellIs" dxfId="30" priority="32" operator="greaterThanOrEqual">
      <formula>60</formula>
    </cfRule>
  </conditionalFormatting>
  <conditionalFormatting sqref="Q8">
    <cfRule type="cellIs" dxfId="29" priority="29" operator="between">
      <formula>1</formula>
      <formula>59</formula>
    </cfRule>
    <cfRule type="cellIs" dxfId="28" priority="30" operator="greaterThanOrEqual">
      <formula>60</formula>
    </cfRule>
  </conditionalFormatting>
  <conditionalFormatting sqref="U8">
    <cfRule type="cellIs" dxfId="27" priority="27" operator="between">
      <formula>1</formula>
      <formula>59</formula>
    </cfRule>
    <cfRule type="cellIs" dxfId="26" priority="28" operator="greaterThanOrEqual">
      <formula>60</formula>
    </cfRule>
  </conditionalFormatting>
  <conditionalFormatting sqref="I9">
    <cfRule type="cellIs" dxfId="25" priority="25" operator="between">
      <formula>1</formula>
      <formula>59</formula>
    </cfRule>
    <cfRule type="cellIs" dxfId="24" priority="26" operator="greaterThanOrEqual">
      <formula>60</formula>
    </cfRule>
  </conditionalFormatting>
  <conditionalFormatting sqref="M9">
    <cfRule type="cellIs" dxfId="23" priority="23" operator="between">
      <formula>1</formula>
      <formula>59</formula>
    </cfRule>
    <cfRule type="cellIs" dxfId="22" priority="24" operator="greaterThanOrEqual">
      <formula>60</formula>
    </cfRule>
  </conditionalFormatting>
  <conditionalFormatting sqref="Q9">
    <cfRule type="cellIs" dxfId="21" priority="21" operator="between">
      <formula>1</formula>
      <formula>59</formula>
    </cfRule>
    <cfRule type="cellIs" dxfId="20" priority="22" operator="greaterThanOrEqual">
      <formula>60</formula>
    </cfRule>
  </conditionalFormatting>
  <conditionalFormatting sqref="U9">
    <cfRule type="cellIs" dxfId="19" priority="19" operator="between">
      <formula>1</formula>
      <formula>59</formula>
    </cfRule>
    <cfRule type="cellIs" dxfId="18" priority="20" operator="greaterThanOrEqual">
      <formula>60</formula>
    </cfRule>
  </conditionalFormatting>
  <conditionalFormatting sqref="I10:I209">
    <cfRule type="cellIs" dxfId="17" priority="17" operator="between">
      <formula>1</formula>
      <formula>59</formula>
    </cfRule>
    <cfRule type="cellIs" dxfId="16" priority="18" operator="greaterThanOrEqual">
      <formula>60</formula>
    </cfRule>
  </conditionalFormatting>
  <conditionalFormatting sqref="M10:M17 M44:M209 M19:M42">
    <cfRule type="cellIs" dxfId="15" priority="15" operator="between">
      <formula>1</formula>
      <formula>59</formula>
    </cfRule>
    <cfRule type="cellIs" dxfId="14" priority="16" operator="greaterThanOrEqual">
      <formula>60</formula>
    </cfRule>
  </conditionalFormatting>
  <conditionalFormatting sqref="Q10:Q17 Q44:Q209 Q19:Q42">
    <cfRule type="cellIs" dxfId="13" priority="13" operator="between">
      <formula>1</formula>
      <formula>59</formula>
    </cfRule>
    <cfRule type="cellIs" dxfId="12" priority="14" operator="greaterThanOrEqual">
      <formula>60</formula>
    </cfRule>
  </conditionalFormatting>
  <conditionalFormatting sqref="U10:U17 U19:U209">
    <cfRule type="cellIs" dxfId="11" priority="11" operator="between">
      <formula>1</formula>
      <formula>59</formula>
    </cfRule>
    <cfRule type="cellIs" dxfId="10" priority="12" operator="greaterThanOrEqual">
      <formula>60</formula>
    </cfRule>
  </conditionalFormatting>
  <conditionalFormatting sqref="M43">
    <cfRule type="cellIs" dxfId="9" priority="9" operator="between">
      <formula>1</formula>
      <formula>59</formula>
    </cfRule>
    <cfRule type="cellIs" dxfId="8" priority="10" operator="greaterThanOrEqual">
      <formula>60</formula>
    </cfRule>
  </conditionalFormatting>
  <conditionalFormatting sqref="Q43">
    <cfRule type="cellIs" dxfId="7" priority="7" operator="between">
      <formula>1</formula>
      <formula>59</formula>
    </cfRule>
    <cfRule type="cellIs" dxfId="6" priority="8" operator="greaterThanOrEqual">
      <formula>60</formula>
    </cfRule>
  </conditionalFormatting>
  <conditionalFormatting sqref="M18">
    <cfRule type="cellIs" dxfId="5" priority="5" operator="between">
      <formula>1</formula>
      <formula>59</formula>
    </cfRule>
    <cfRule type="cellIs" dxfId="4" priority="6" operator="greaterThanOrEqual">
      <formula>60</formula>
    </cfRule>
  </conditionalFormatting>
  <conditionalFormatting sqref="Q18">
    <cfRule type="cellIs" dxfId="3" priority="3" operator="between">
      <formula>1</formula>
      <formula>59</formula>
    </cfRule>
    <cfRule type="cellIs" dxfId="2" priority="4" operator="greaterThanOrEqual">
      <formula>60</formula>
    </cfRule>
  </conditionalFormatting>
  <conditionalFormatting sqref="U18">
    <cfRule type="cellIs" dxfId="1" priority="1" operator="between">
      <formula>1</formula>
      <formula>59</formula>
    </cfRule>
    <cfRule type="cellIs" dxfId="0" priority="2" operator="greaterThanOrEqual">
      <formula>60</formula>
    </cfRule>
  </conditionalFormatting>
  <dataValidations count="3">
    <dataValidation type="list" allowBlank="1" showInputMessage="1" showErrorMessage="1" sqref="B210:D1048576">
      <formula1>Cliente</formula1>
    </dataValidation>
    <dataValidation type="list" allowBlank="1" showInputMessage="1" showErrorMessage="1" sqref="V210:V1048576 N210:N1048576 J210:J1048576 R210:R1048576">
      <formula1>Atendente</formula1>
    </dataValidation>
    <dataValidation type="list" allowBlank="1" showInputMessage="1" showErrorMessage="1" sqref="E4:E1048576">
      <formula1>Motivo</formula1>
    </dataValidation>
  </dataValidations>
  <hyperlinks>
    <hyperlink ref="B2" location="Anexos!A1" display="Anexos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Clientes!$A$3:$A$48</xm:f>
          </x14:formula1>
          <xm:sqref>V4:V209 R4:R209 N4:N209 J4:J209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J81"/>
  <sheetViews>
    <sheetView showGridLines="0" workbookViewId="0">
      <pane xSplit="1" ySplit="2" topLeftCell="B49" activePane="bottomRight" state="frozen"/>
      <selection pane="topRight" activeCell="B1" sqref="B1"/>
      <selection pane="bottomLeft" activeCell="A3" sqref="A3"/>
      <selection pane="bottomRight" activeCell="C88" sqref="C88"/>
    </sheetView>
  </sheetViews>
  <sheetFormatPr defaultRowHeight="15.75" x14ac:dyDescent="0.25"/>
  <cols>
    <col min="1" max="1" width="44.375" style="65" customWidth="1"/>
    <col min="2" max="2" width="17.625" style="68" customWidth="1"/>
    <col min="3" max="3" width="48.125" style="65" customWidth="1"/>
    <col min="4" max="4" width="14.75" style="65" customWidth="1"/>
    <col min="5" max="5" width="65" style="65" bestFit="1" customWidth="1"/>
    <col min="6" max="6" width="18.75" style="65" customWidth="1"/>
    <col min="7" max="7" width="16.875" style="65" customWidth="1"/>
    <col min="8" max="8" width="13.625" style="65" customWidth="1"/>
    <col min="9" max="16384" width="9" style="65"/>
  </cols>
  <sheetData>
    <row r="1" spans="1:10" ht="27.75" customHeight="1" x14ac:dyDescent="0.25">
      <c r="A1" s="63" t="s">
        <v>6</v>
      </c>
      <c r="B1" s="1" t="s">
        <v>11</v>
      </c>
      <c r="C1" s="64" t="s">
        <v>9</v>
      </c>
      <c r="D1" s="1" t="s">
        <v>52</v>
      </c>
      <c r="E1" s="64" t="s">
        <v>140</v>
      </c>
      <c r="F1" s="63" t="s">
        <v>12</v>
      </c>
      <c r="G1" s="63" t="s">
        <v>4</v>
      </c>
      <c r="I1" s="66" t="s">
        <v>8</v>
      </c>
      <c r="J1" s="67" t="s">
        <v>47</v>
      </c>
    </row>
    <row r="2" spans="1:10" hidden="1" x14ac:dyDescent="0.25">
      <c r="A2" s="15" t="str">
        <f t="shared" ref="A2" si="0">B2&amp;" - "&amp;C2</f>
        <v xml:space="preserve"> - </v>
      </c>
      <c r="B2" s="2"/>
      <c r="C2" s="15"/>
      <c r="D2" s="15"/>
      <c r="E2" s="15"/>
      <c r="F2" s="15"/>
      <c r="G2" s="15"/>
    </row>
    <row r="3" spans="1:10" x14ac:dyDescent="0.25">
      <c r="A3" s="15" t="str">
        <f t="shared" ref="A3:A34" si="1">B3&amp;" - "&amp;C3</f>
        <v xml:space="preserve">DIAC/PAR - Airton Araujo de Souza Junior </v>
      </c>
      <c r="B3" s="2" t="s">
        <v>14</v>
      </c>
      <c r="C3" s="15" t="s">
        <v>142</v>
      </c>
      <c r="D3" s="20">
        <v>1724041</v>
      </c>
      <c r="E3" s="15" t="s">
        <v>180</v>
      </c>
      <c r="F3" s="15"/>
      <c r="G3" s="15"/>
    </row>
    <row r="4" spans="1:10" x14ac:dyDescent="0.25">
      <c r="A4" s="15" t="str">
        <f t="shared" si="1"/>
        <v>DIAC/PAR - Alberto Alexandre Lima de Almeida</v>
      </c>
      <c r="B4" s="2" t="s">
        <v>14</v>
      </c>
      <c r="C4" s="15" t="s">
        <v>13</v>
      </c>
      <c r="D4" s="20">
        <v>2363387</v>
      </c>
      <c r="E4" s="15" t="s">
        <v>189</v>
      </c>
      <c r="F4" s="15"/>
      <c r="G4" s="15"/>
    </row>
    <row r="5" spans="1:10" x14ac:dyDescent="0.25">
      <c r="A5" s="15" t="str">
        <f t="shared" si="1"/>
        <v>DIAC/PAR - Aline Gomes da Silva</v>
      </c>
      <c r="B5" s="2" t="s">
        <v>14</v>
      </c>
      <c r="C5" s="15" t="s">
        <v>162</v>
      </c>
      <c r="D5" s="20">
        <v>1776362</v>
      </c>
      <c r="E5" s="15" t="s">
        <v>187</v>
      </c>
      <c r="F5" s="15"/>
      <c r="G5" s="15"/>
    </row>
    <row r="6" spans="1:10" x14ac:dyDescent="0.25">
      <c r="A6" s="15" t="str">
        <f t="shared" si="1"/>
        <v>DIAC/PAR - Alison Pereira Batista</v>
      </c>
      <c r="B6" s="2" t="s">
        <v>14</v>
      </c>
      <c r="C6" s="15" t="s">
        <v>15</v>
      </c>
      <c r="D6" s="20">
        <v>1937941</v>
      </c>
      <c r="E6" s="15" t="s">
        <v>182</v>
      </c>
      <c r="F6" s="15"/>
      <c r="G6" s="15"/>
    </row>
    <row r="7" spans="1:10" x14ac:dyDescent="0.25">
      <c r="A7" s="15" t="str">
        <f t="shared" si="1"/>
        <v>DIAC/PAR - Alvaro Hermano da Silva</v>
      </c>
      <c r="B7" s="2" t="s">
        <v>14</v>
      </c>
      <c r="C7" s="15" t="s">
        <v>17</v>
      </c>
      <c r="D7" s="20">
        <v>2664007</v>
      </c>
      <c r="E7" s="15" t="s">
        <v>198</v>
      </c>
      <c r="F7" s="15"/>
      <c r="G7" s="15"/>
    </row>
    <row r="8" spans="1:10" x14ac:dyDescent="0.25">
      <c r="A8" s="15" t="str">
        <f t="shared" si="1"/>
        <v>DIAC/PAR - Anderson Eugenio Silva da Costa</v>
      </c>
      <c r="B8" s="2" t="s">
        <v>14</v>
      </c>
      <c r="C8" s="15" t="s">
        <v>166</v>
      </c>
      <c r="D8" s="20">
        <v>2860643</v>
      </c>
      <c r="E8" s="15" t="s">
        <v>184</v>
      </c>
      <c r="F8" s="15"/>
      <c r="G8" s="15"/>
    </row>
    <row r="9" spans="1:10" x14ac:dyDescent="0.25">
      <c r="A9" s="15" t="str">
        <f t="shared" si="1"/>
        <v>DIAC/PAR - Andre Gustavo Duarte de Almeida</v>
      </c>
      <c r="B9" s="2" t="s">
        <v>14</v>
      </c>
      <c r="C9" s="15" t="s">
        <v>19</v>
      </c>
      <c r="D9" s="20">
        <v>1577655</v>
      </c>
      <c r="E9" s="15" t="s">
        <v>198</v>
      </c>
      <c r="F9" s="15"/>
      <c r="G9" s="15"/>
    </row>
    <row r="10" spans="1:10" x14ac:dyDescent="0.25">
      <c r="A10" s="15" t="str">
        <f t="shared" si="1"/>
        <v>DIAC/PAR - Andre Quintiliano Bezerra Silva</v>
      </c>
      <c r="B10" s="2" t="s">
        <v>14</v>
      </c>
      <c r="C10" s="15" t="s">
        <v>20</v>
      </c>
      <c r="D10" s="20" t="s">
        <v>173</v>
      </c>
      <c r="E10" s="15" t="s">
        <v>198</v>
      </c>
      <c r="F10" s="15"/>
      <c r="G10" s="15"/>
    </row>
    <row r="11" spans="1:10" x14ac:dyDescent="0.25">
      <c r="A11" s="15" t="str">
        <f t="shared" si="1"/>
        <v>DIAC/PAR - Andrea Pereira da Silva</v>
      </c>
      <c r="B11" s="2" t="s">
        <v>14</v>
      </c>
      <c r="C11" s="15" t="s">
        <v>18</v>
      </c>
      <c r="D11" s="20">
        <v>3330062</v>
      </c>
      <c r="E11" s="15" t="s">
        <v>180</v>
      </c>
      <c r="F11" s="15"/>
      <c r="G11" s="15"/>
    </row>
    <row r="12" spans="1:10" x14ac:dyDescent="0.25">
      <c r="A12" s="15" t="str">
        <f t="shared" si="1"/>
        <v>DIAC/PAR - Anna Catharina da Costa Dantas</v>
      </c>
      <c r="B12" s="2" t="s">
        <v>14</v>
      </c>
      <c r="C12" s="15" t="s">
        <v>136</v>
      </c>
      <c r="D12" s="20">
        <v>1286028</v>
      </c>
      <c r="E12" s="15" t="s">
        <v>185</v>
      </c>
      <c r="F12" s="15"/>
      <c r="G12" s="15"/>
    </row>
    <row r="13" spans="1:10" x14ac:dyDescent="0.25">
      <c r="A13" s="15" t="str">
        <f t="shared" si="1"/>
        <v>DIAC/PAR - Antonio Andre Alves</v>
      </c>
      <c r="B13" s="2" t="s">
        <v>14</v>
      </c>
      <c r="C13" s="15" t="s">
        <v>145</v>
      </c>
      <c r="D13" s="20">
        <v>2577174</v>
      </c>
      <c r="E13" s="15" t="s">
        <v>186</v>
      </c>
      <c r="F13" s="15"/>
      <c r="G13" s="15"/>
    </row>
    <row r="14" spans="1:10" x14ac:dyDescent="0.25">
      <c r="A14" s="15" t="str">
        <f t="shared" si="1"/>
        <v>DIAC/PAR - Antonio Henrique Nepomuceno Coelho</v>
      </c>
      <c r="B14" s="2" t="s">
        <v>14</v>
      </c>
      <c r="C14" s="15" t="s">
        <v>21</v>
      </c>
      <c r="D14" s="20">
        <v>2503681</v>
      </c>
      <c r="E14" s="15" t="s">
        <v>192</v>
      </c>
      <c r="F14" s="15"/>
      <c r="G14" s="15"/>
    </row>
    <row r="15" spans="1:10" x14ac:dyDescent="0.25">
      <c r="A15" s="15" t="str">
        <f t="shared" si="1"/>
        <v>DIAC/PAR - Arlindo Lopes Barbosa</v>
      </c>
      <c r="B15" s="2" t="s">
        <v>14</v>
      </c>
      <c r="C15" s="15" t="s">
        <v>22</v>
      </c>
      <c r="D15" s="20">
        <v>277354</v>
      </c>
      <c r="E15" s="15" t="s">
        <v>193</v>
      </c>
      <c r="F15" s="15"/>
      <c r="G15" s="15"/>
    </row>
    <row r="16" spans="1:10" x14ac:dyDescent="0.25">
      <c r="A16" s="15" t="str">
        <f t="shared" si="1"/>
        <v>DIAC/PAR - Aylanna Raquel da Costa Oliveira</v>
      </c>
      <c r="B16" s="2" t="s">
        <v>14</v>
      </c>
      <c r="C16" s="15" t="s">
        <v>159</v>
      </c>
      <c r="D16" s="20">
        <v>2857362</v>
      </c>
      <c r="E16" s="15" t="s">
        <v>183</v>
      </c>
      <c r="F16" s="15"/>
      <c r="G16" s="15"/>
    </row>
    <row r="17" spans="1:7" x14ac:dyDescent="0.25">
      <c r="A17" s="15" t="str">
        <f t="shared" si="1"/>
        <v>DIAC/PAR - Aylanna Raquel da Costa Oliveira</v>
      </c>
      <c r="B17" s="2" t="s">
        <v>14</v>
      </c>
      <c r="C17" s="15" t="s">
        <v>159</v>
      </c>
      <c r="D17" s="15"/>
      <c r="E17" s="15"/>
      <c r="F17" s="15"/>
      <c r="G17" s="15"/>
    </row>
    <row r="18" spans="1:7" x14ac:dyDescent="0.25">
      <c r="A18" s="15" t="str">
        <f t="shared" si="1"/>
        <v>DIAC/PAR - Bruno Emerson Gurgel Gomes</v>
      </c>
      <c r="B18" s="2" t="s">
        <v>14</v>
      </c>
      <c r="C18" s="15" t="s">
        <v>132</v>
      </c>
      <c r="D18" s="20">
        <v>1582311</v>
      </c>
      <c r="E18" s="15" t="s">
        <v>198</v>
      </c>
      <c r="F18" s="15"/>
      <c r="G18" s="15"/>
    </row>
    <row r="19" spans="1:7" x14ac:dyDescent="0.25">
      <c r="A19" s="15" t="str">
        <f t="shared" si="1"/>
        <v>DIAC/PAR - Carlos Alberto de Negreiro</v>
      </c>
      <c r="B19" s="2" t="s">
        <v>14</v>
      </c>
      <c r="C19" s="15" t="s">
        <v>23</v>
      </c>
      <c r="D19" s="20">
        <v>1455936</v>
      </c>
      <c r="E19" s="15" t="s">
        <v>193</v>
      </c>
      <c r="F19" s="15"/>
      <c r="G19" s="15"/>
    </row>
    <row r="20" spans="1:7" x14ac:dyDescent="0.25">
      <c r="A20" s="15" t="str">
        <f t="shared" si="1"/>
        <v>DIAC/PAR - Carlos Eduardo de Lima Duarte</v>
      </c>
      <c r="B20" s="2" t="s">
        <v>14</v>
      </c>
      <c r="C20" s="15" t="s">
        <v>138</v>
      </c>
      <c r="D20" s="20">
        <v>1456703</v>
      </c>
      <c r="E20" s="15" t="s">
        <v>195</v>
      </c>
      <c r="F20" s="15"/>
      <c r="G20" s="15"/>
    </row>
    <row r="21" spans="1:7" x14ac:dyDescent="0.25">
      <c r="A21" s="15" t="str">
        <f t="shared" si="1"/>
        <v>DIAC/PAR - Carlos Henrique Pessoa Cunha</v>
      </c>
      <c r="B21" s="2" t="s">
        <v>14</v>
      </c>
      <c r="C21" s="15" t="s">
        <v>164</v>
      </c>
      <c r="D21" s="20">
        <v>1745973</v>
      </c>
      <c r="E21" s="15" t="s">
        <v>190</v>
      </c>
      <c r="F21" s="15"/>
      <c r="G21" s="15"/>
    </row>
    <row r="22" spans="1:7" x14ac:dyDescent="0.25">
      <c r="A22" s="15" t="str">
        <f t="shared" si="1"/>
        <v>DIAC/PAR - Carlos Magno Lima Fernandes e Silva</v>
      </c>
      <c r="B22" s="2" t="s">
        <v>14</v>
      </c>
      <c r="C22" s="15" t="s">
        <v>24</v>
      </c>
      <c r="D22" s="20">
        <v>2363451</v>
      </c>
      <c r="E22" s="15" t="s">
        <v>187</v>
      </c>
      <c r="F22" s="15"/>
      <c r="G22" s="15"/>
    </row>
    <row r="23" spans="1:7" x14ac:dyDescent="0.25">
      <c r="A23" s="15" t="str">
        <f t="shared" si="1"/>
        <v>DIAC/PAR - COORDENAÇÃO DE CURSO</v>
      </c>
      <c r="B23" s="2" t="s">
        <v>14</v>
      </c>
      <c r="C23" s="15" t="s">
        <v>205</v>
      </c>
      <c r="D23" s="15"/>
      <c r="E23" s="15"/>
      <c r="F23" s="15"/>
      <c r="G23" s="15"/>
    </row>
    <row r="24" spans="1:7" x14ac:dyDescent="0.25">
      <c r="A24" s="15" t="str">
        <f t="shared" si="1"/>
        <v>DIAC/PAR - Credson Isaac Lopes dos Santos</v>
      </c>
      <c r="B24" s="2" t="s">
        <v>14</v>
      </c>
      <c r="C24" s="15" t="s">
        <v>757</v>
      </c>
      <c r="D24" s="15"/>
      <c r="E24" s="15"/>
      <c r="F24" s="15"/>
      <c r="G24" s="15"/>
    </row>
    <row r="25" spans="1:7" x14ac:dyDescent="0.25">
      <c r="A25" s="15" t="str">
        <f t="shared" si="1"/>
        <v>DIAC/PAR - Deborah Vieira de Alencar Maia</v>
      </c>
      <c r="B25" s="2" t="s">
        <v>14</v>
      </c>
      <c r="C25" s="15" t="s">
        <v>25</v>
      </c>
      <c r="D25" s="20">
        <v>2567833</v>
      </c>
      <c r="E25" s="15" t="s">
        <v>131</v>
      </c>
      <c r="F25" s="15"/>
      <c r="G25" s="15"/>
    </row>
    <row r="26" spans="1:7" x14ac:dyDescent="0.25">
      <c r="A26" s="15" t="str">
        <f t="shared" si="1"/>
        <v>DIAC/PAR - Demostenes Santos de Sena</v>
      </c>
      <c r="B26" s="2" t="s">
        <v>14</v>
      </c>
      <c r="C26" s="15" t="s">
        <v>26</v>
      </c>
      <c r="D26" s="20">
        <v>1524374</v>
      </c>
      <c r="E26" s="15" t="s">
        <v>198</v>
      </c>
      <c r="F26" s="15"/>
      <c r="G26" s="15"/>
    </row>
    <row r="27" spans="1:7" x14ac:dyDescent="0.25">
      <c r="A27" s="15" t="str">
        <f t="shared" si="1"/>
        <v>DIAC/PAR - Diego da Silva Pereira</v>
      </c>
      <c r="B27" s="2" t="s">
        <v>14</v>
      </c>
      <c r="C27" s="15" t="s">
        <v>150</v>
      </c>
      <c r="D27" s="20">
        <v>1730887</v>
      </c>
      <c r="E27" s="15" t="s">
        <v>131</v>
      </c>
      <c r="F27" s="15"/>
      <c r="G27" s="15"/>
    </row>
    <row r="28" spans="1:7" x14ac:dyDescent="0.25">
      <c r="A28" s="15" t="str">
        <f t="shared" si="1"/>
        <v>DIAC/PAR - Diogo Henrique Duarte Bezerra</v>
      </c>
      <c r="B28" s="2" t="s">
        <v>14</v>
      </c>
      <c r="C28" s="15" t="s">
        <v>168</v>
      </c>
      <c r="D28" s="20">
        <v>2135514</v>
      </c>
      <c r="E28" s="15" t="s">
        <v>131</v>
      </c>
      <c r="F28" s="15"/>
      <c r="G28" s="15"/>
    </row>
    <row r="29" spans="1:7" x14ac:dyDescent="0.25">
      <c r="A29" s="15" t="str">
        <f t="shared" si="1"/>
        <v>DIAC/PAR - Eduardo Galvão Ramalho</v>
      </c>
      <c r="B29" s="2" t="s">
        <v>14</v>
      </c>
      <c r="C29" s="15" t="s">
        <v>134</v>
      </c>
      <c r="D29" s="20">
        <v>1669415</v>
      </c>
      <c r="E29" s="15" t="s">
        <v>196</v>
      </c>
      <c r="F29" s="15"/>
      <c r="G29" s="15"/>
    </row>
    <row r="30" spans="1:7" x14ac:dyDescent="0.25">
      <c r="A30" s="15" t="str">
        <f t="shared" si="1"/>
        <v>DIAC/PAR - Eduardo Sergio de Medeiros Pereira</v>
      </c>
      <c r="B30" s="2" t="s">
        <v>14</v>
      </c>
      <c r="C30" s="15" t="s">
        <v>27</v>
      </c>
      <c r="D30" s="20">
        <v>1812277</v>
      </c>
      <c r="E30" s="15" t="s">
        <v>190</v>
      </c>
      <c r="F30" s="15"/>
      <c r="G30" s="15"/>
    </row>
    <row r="31" spans="1:7" x14ac:dyDescent="0.25">
      <c r="A31" s="15" t="str">
        <f t="shared" si="1"/>
        <v>DIAC/*** - ELTHON JOHN RODRIGUES DE MEDEIROS</v>
      </c>
      <c r="B31" s="2" t="s">
        <v>211</v>
      </c>
      <c r="C31" s="15" t="s">
        <v>210</v>
      </c>
      <c r="D31" s="2">
        <v>1724111</v>
      </c>
      <c r="E31" s="15" t="s">
        <v>212</v>
      </c>
      <c r="F31" s="15"/>
      <c r="G31" s="15"/>
    </row>
    <row r="32" spans="1:7" x14ac:dyDescent="0.25">
      <c r="A32" s="15" t="str">
        <f t="shared" si="1"/>
        <v>DIAC/PAR - EMÍDIO JOSÉ GOMES</v>
      </c>
      <c r="B32" s="2" t="s">
        <v>14</v>
      </c>
      <c r="C32" s="15" t="s">
        <v>208</v>
      </c>
      <c r="D32" s="2">
        <v>2984538</v>
      </c>
      <c r="E32" s="15" t="s">
        <v>209</v>
      </c>
      <c r="F32" s="15"/>
      <c r="G32" s="15"/>
    </row>
    <row r="33" spans="1:7" x14ac:dyDescent="0.25">
      <c r="A33" s="15" t="str">
        <f t="shared" si="1"/>
        <v>DIAC/PAR - Fabia Maria Gomes de Meneses</v>
      </c>
      <c r="B33" s="2" t="s">
        <v>14</v>
      </c>
      <c r="C33" s="15" t="s">
        <v>28</v>
      </c>
      <c r="D33" s="20">
        <v>1551572</v>
      </c>
      <c r="E33" s="15" t="s">
        <v>197</v>
      </c>
      <c r="F33" s="15"/>
      <c r="G33" s="15"/>
    </row>
    <row r="34" spans="1:7" x14ac:dyDescent="0.25">
      <c r="A34" s="15" t="str">
        <f t="shared" si="1"/>
        <v>DIAC/PAR - Fabio Augusto Procópio de Paiva</v>
      </c>
      <c r="B34" s="2" t="s">
        <v>14</v>
      </c>
      <c r="C34" s="15" t="s">
        <v>151</v>
      </c>
      <c r="D34" s="20">
        <v>1724013</v>
      </c>
      <c r="E34" s="15" t="s">
        <v>198</v>
      </c>
      <c r="F34" s="15"/>
      <c r="G34" s="15"/>
    </row>
    <row r="35" spans="1:7" x14ac:dyDescent="0.25">
      <c r="A35" s="15" t="str">
        <f t="shared" ref="A35:A66" si="2">B35&amp;" - "&amp;C35</f>
        <v>DIAC/PAR - Filipe Campos de Alcantara Lins</v>
      </c>
      <c r="B35" s="2" t="s">
        <v>14</v>
      </c>
      <c r="C35" s="15" t="s">
        <v>161</v>
      </c>
      <c r="D35" s="20">
        <v>1918384</v>
      </c>
      <c r="E35" s="15" t="s">
        <v>194</v>
      </c>
      <c r="F35" s="15"/>
      <c r="G35" s="15"/>
    </row>
    <row r="36" spans="1:7" x14ac:dyDescent="0.25">
      <c r="A36" s="15" t="str">
        <f t="shared" si="2"/>
        <v>DIAC/PAR - Filipe de Oliveira Quintaes</v>
      </c>
      <c r="B36" s="2" t="s">
        <v>14</v>
      </c>
      <c r="C36" s="15" t="s">
        <v>29</v>
      </c>
      <c r="D36" s="20">
        <v>1638322</v>
      </c>
      <c r="E36" s="15" t="s">
        <v>185</v>
      </c>
      <c r="F36" s="15"/>
      <c r="G36" s="15"/>
    </row>
    <row r="37" spans="1:7" x14ac:dyDescent="0.25">
      <c r="A37" s="15" t="str">
        <f t="shared" si="2"/>
        <v>DIAC/PAR - Francarlos Martins de Carvalho</v>
      </c>
      <c r="B37" s="2" t="s">
        <v>14</v>
      </c>
      <c r="C37" s="15" t="s">
        <v>30</v>
      </c>
      <c r="D37" s="20" t="s">
        <v>178</v>
      </c>
      <c r="E37" s="15" t="s">
        <v>187</v>
      </c>
      <c r="F37" s="15"/>
      <c r="G37" s="15"/>
    </row>
    <row r="38" spans="1:7" x14ac:dyDescent="0.25">
      <c r="A38" s="15" t="str">
        <f t="shared" si="2"/>
        <v>DIAC/PAR - Francy Izanny de Brito Barbosa Martins</v>
      </c>
      <c r="B38" s="2" t="s">
        <v>14</v>
      </c>
      <c r="C38" s="15" t="s">
        <v>155</v>
      </c>
      <c r="D38" s="20" t="s">
        <v>171</v>
      </c>
      <c r="E38" s="15" t="s">
        <v>200</v>
      </c>
      <c r="F38" s="15"/>
      <c r="G38" s="15"/>
    </row>
    <row r="39" spans="1:7" x14ac:dyDescent="0.25">
      <c r="A39" s="15" t="str">
        <f t="shared" si="2"/>
        <v>DIAC/PAR - Frank Victor Amorim</v>
      </c>
      <c r="B39" s="2" t="s">
        <v>14</v>
      </c>
      <c r="C39" s="15" t="s">
        <v>148</v>
      </c>
      <c r="D39" s="20">
        <v>1626800</v>
      </c>
      <c r="E39" s="15" t="s">
        <v>195</v>
      </c>
      <c r="F39" s="15"/>
      <c r="G39" s="15"/>
    </row>
    <row r="40" spans="1:7" x14ac:dyDescent="0.25">
      <c r="A40" s="15" t="str">
        <f t="shared" si="2"/>
        <v>DIAC/PAR - Gilmara Coutinho Pereira</v>
      </c>
      <c r="B40" s="2" t="s">
        <v>14</v>
      </c>
      <c r="C40" s="15" t="s">
        <v>31</v>
      </c>
      <c r="D40" s="20" t="s">
        <v>176</v>
      </c>
      <c r="E40" s="15" t="s">
        <v>186</v>
      </c>
      <c r="F40" s="15"/>
      <c r="G40" s="15"/>
    </row>
    <row r="41" spans="1:7" x14ac:dyDescent="0.25">
      <c r="A41" s="15" t="str">
        <f t="shared" si="2"/>
        <v>DIAC/PAR - Givanaldo Rocha de Souza</v>
      </c>
      <c r="B41" s="2" t="s">
        <v>14</v>
      </c>
      <c r="C41" s="15" t="s">
        <v>93</v>
      </c>
      <c r="D41" s="20">
        <v>1551933</v>
      </c>
      <c r="E41" s="15" t="s">
        <v>198</v>
      </c>
      <c r="F41" s="15"/>
      <c r="G41" s="15"/>
    </row>
    <row r="42" spans="1:7" x14ac:dyDescent="0.25">
      <c r="A42" s="15" t="str">
        <f t="shared" si="2"/>
        <v>DIAC/PAR - Glenda Michelle Marques Fonseca Ferreira Dantas</v>
      </c>
      <c r="B42" s="2" t="s">
        <v>14</v>
      </c>
      <c r="C42" s="15" t="s">
        <v>141</v>
      </c>
      <c r="D42" s="20">
        <v>1937483</v>
      </c>
      <c r="E42" s="15" t="s">
        <v>179</v>
      </c>
      <c r="F42" s="15"/>
      <c r="G42" s="15"/>
    </row>
    <row r="43" spans="1:7" x14ac:dyDescent="0.25">
      <c r="A43" s="15" t="str">
        <f t="shared" si="2"/>
        <v>DIAC/PAR - Gustavo Fernandes de Lima</v>
      </c>
      <c r="B43" s="2" t="s">
        <v>14</v>
      </c>
      <c r="C43" s="15" t="s">
        <v>157</v>
      </c>
      <c r="D43" s="20">
        <v>2672994</v>
      </c>
      <c r="E43" s="15" t="s">
        <v>201</v>
      </c>
      <c r="F43" s="15"/>
      <c r="G43" s="15"/>
    </row>
    <row r="44" spans="1:7" x14ac:dyDescent="0.25">
      <c r="A44" s="15" t="str">
        <f t="shared" si="2"/>
        <v>DIAC/PAR - Gustavo Fontoura de Souza</v>
      </c>
      <c r="B44" s="2" t="s">
        <v>14</v>
      </c>
      <c r="C44" s="15" t="s">
        <v>32</v>
      </c>
      <c r="D44" s="20">
        <v>2377314</v>
      </c>
      <c r="E44" s="15" t="s">
        <v>188</v>
      </c>
      <c r="F44" s="15"/>
      <c r="G44" s="15"/>
    </row>
    <row r="45" spans="1:7" x14ac:dyDescent="0.25">
      <c r="A45" s="15" t="str">
        <f t="shared" si="2"/>
        <v> DIAC/PAR - Irapuan Medeiros de Lucena</v>
      </c>
      <c r="B45" s="2" t="s">
        <v>16</v>
      </c>
      <c r="C45" s="15" t="s">
        <v>33</v>
      </c>
      <c r="D45" s="20">
        <v>1446408</v>
      </c>
      <c r="E45" s="15" t="s">
        <v>182</v>
      </c>
      <c r="F45" s="15"/>
      <c r="G45" s="15"/>
    </row>
    <row r="46" spans="1:7" x14ac:dyDescent="0.25">
      <c r="A46" s="15" t="str">
        <f t="shared" si="2"/>
        <v>DIAC/PAR - Jaciana Silva de Santana</v>
      </c>
      <c r="B46" s="2" t="s">
        <v>14</v>
      </c>
      <c r="C46" s="15" t="s">
        <v>167</v>
      </c>
      <c r="D46" s="20">
        <v>1894709</v>
      </c>
      <c r="E46" s="15" t="s">
        <v>196</v>
      </c>
      <c r="F46" s="15"/>
      <c r="G46" s="15"/>
    </row>
    <row r="47" spans="1:7" x14ac:dyDescent="0.25">
      <c r="A47" s="15" t="str">
        <f t="shared" si="2"/>
        <v xml:space="preserve">DIAC/PAR - Jefferson Doolan Fernandes </v>
      </c>
      <c r="B47" s="2" t="s">
        <v>14</v>
      </c>
      <c r="C47" s="15" t="s">
        <v>144</v>
      </c>
      <c r="D47" s="20">
        <v>1466561</v>
      </c>
      <c r="E47" s="15" t="s">
        <v>185</v>
      </c>
      <c r="F47" s="15"/>
      <c r="G47" s="15"/>
    </row>
    <row r="48" spans="1:7" x14ac:dyDescent="0.25">
      <c r="A48" s="15" t="str">
        <f t="shared" si="2"/>
        <v>DIAC/PAR - Joao Domingues Guimaraes Mesquita</v>
      </c>
      <c r="B48" s="2" t="s">
        <v>14</v>
      </c>
      <c r="C48" s="15" t="s">
        <v>758</v>
      </c>
      <c r="D48" s="15"/>
      <c r="E48" s="15"/>
      <c r="F48" s="15"/>
      <c r="G48" s="15"/>
    </row>
    <row r="49" spans="1:7" x14ac:dyDescent="0.25">
      <c r="A49" s="15" t="str">
        <f t="shared" si="2"/>
        <v>DIAC/PAR - Joao Maria Araujo do Nascimento</v>
      </c>
      <c r="B49" s="2" t="s">
        <v>14</v>
      </c>
      <c r="C49" s="15" t="s">
        <v>152</v>
      </c>
      <c r="D49" s="20">
        <v>1724026</v>
      </c>
      <c r="E49" s="15" t="s">
        <v>198</v>
      </c>
      <c r="F49" s="15"/>
      <c r="G49" s="15"/>
    </row>
    <row r="50" spans="1:7" x14ac:dyDescent="0.25">
      <c r="A50" s="15" t="str">
        <f t="shared" si="2"/>
        <v>DIAC/PAR - Jose Everaldo Pereira</v>
      </c>
      <c r="B50" s="2" t="s">
        <v>14</v>
      </c>
      <c r="C50" s="15" t="s">
        <v>156</v>
      </c>
      <c r="D50" s="20" t="s">
        <v>172</v>
      </c>
      <c r="E50" s="15" t="s">
        <v>195</v>
      </c>
      <c r="F50" s="15"/>
      <c r="G50" s="15"/>
    </row>
    <row r="51" spans="1:7" x14ac:dyDescent="0.25">
      <c r="A51" s="15" t="str">
        <f t="shared" si="2"/>
        <v>DIAC/PAR - Jose Soares Batista Lopes</v>
      </c>
      <c r="B51" s="2" t="s">
        <v>14</v>
      </c>
      <c r="C51" s="15" t="s">
        <v>34</v>
      </c>
      <c r="D51" s="20">
        <v>2504762</v>
      </c>
      <c r="E51" s="15" t="s">
        <v>201</v>
      </c>
      <c r="F51" s="15"/>
      <c r="G51" s="15"/>
    </row>
    <row r="52" spans="1:7" x14ac:dyDescent="0.25">
      <c r="A52" s="15" t="str">
        <f t="shared" si="2"/>
        <v>DIAC/PAR - Jurandy Martins Soares Junior</v>
      </c>
      <c r="B52" s="2" t="s">
        <v>14</v>
      </c>
      <c r="C52" s="15" t="s">
        <v>35</v>
      </c>
      <c r="D52" s="20">
        <v>1577142</v>
      </c>
      <c r="E52" s="15" t="s">
        <v>131</v>
      </c>
      <c r="F52" s="15"/>
      <c r="G52" s="15"/>
    </row>
    <row r="53" spans="1:7" x14ac:dyDescent="0.25">
      <c r="A53" s="15" t="str">
        <f t="shared" si="2"/>
        <v>DIAC/PAR - Lucia de Fatima Vieira da Costa</v>
      </c>
      <c r="B53" s="2" t="s">
        <v>14</v>
      </c>
      <c r="C53" s="15" t="s">
        <v>154</v>
      </c>
      <c r="D53" s="20">
        <v>2476638</v>
      </c>
      <c r="E53" s="15" t="s">
        <v>199</v>
      </c>
      <c r="F53" s="15"/>
      <c r="G53" s="15"/>
    </row>
    <row r="54" spans="1:7" x14ac:dyDescent="0.25">
      <c r="A54" s="15" t="str">
        <f t="shared" si="2"/>
        <v>DIAC/PAR - Lucifrance Figueredo da Cunha</v>
      </c>
      <c r="B54" s="2" t="s">
        <v>14</v>
      </c>
      <c r="C54" s="15" t="s">
        <v>36</v>
      </c>
      <c r="D54" s="20" t="s">
        <v>177</v>
      </c>
      <c r="E54" s="15" t="s">
        <v>200</v>
      </c>
      <c r="F54" s="15"/>
      <c r="G54" s="15"/>
    </row>
    <row r="55" spans="1:7" x14ac:dyDescent="0.25">
      <c r="A55" s="15" t="str">
        <f t="shared" si="2"/>
        <v>DIAC/PAR - Luiz Ricardo Rodrigues Araujo</v>
      </c>
      <c r="B55" s="2" t="s">
        <v>14</v>
      </c>
      <c r="C55" s="15" t="s">
        <v>149</v>
      </c>
      <c r="D55" s="20">
        <v>1730193</v>
      </c>
      <c r="E55" s="15" t="s">
        <v>196</v>
      </c>
      <c r="F55" s="15"/>
      <c r="G55" s="15"/>
    </row>
    <row r="56" spans="1:7" x14ac:dyDescent="0.25">
      <c r="A56" s="15" t="str">
        <f t="shared" si="2"/>
        <v>DIAC/PAR - Marcelo Varela de Souza</v>
      </c>
      <c r="B56" s="2" t="s">
        <v>14</v>
      </c>
      <c r="C56" s="15" t="s">
        <v>37</v>
      </c>
      <c r="D56" s="20">
        <v>2568288</v>
      </c>
      <c r="E56" s="15" t="s">
        <v>198</v>
      </c>
      <c r="F56" s="15"/>
      <c r="G56" s="15"/>
    </row>
    <row r="57" spans="1:7" x14ac:dyDescent="0.25">
      <c r="A57" s="15" t="str">
        <f t="shared" si="2"/>
        <v>DIAC/PAR - Maria Aparecida da Silva Fernandes Trindade</v>
      </c>
      <c r="B57" s="2" t="s">
        <v>14</v>
      </c>
      <c r="C57" s="15" t="s">
        <v>146</v>
      </c>
      <c r="D57" s="20">
        <v>1722650</v>
      </c>
      <c r="E57" s="15" t="s">
        <v>193</v>
      </c>
      <c r="F57" s="15"/>
      <c r="G57" s="15"/>
    </row>
    <row r="58" spans="1:7" x14ac:dyDescent="0.25">
      <c r="A58" s="15" t="str">
        <f t="shared" si="2"/>
        <v>DIAC/PAR - Marta Helena Feitosa Silva</v>
      </c>
      <c r="B58" s="2" t="s">
        <v>14</v>
      </c>
      <c r="C58" s="15" t="s">
        <v>137</v>
      </c>
      <c r="D58" s="20">
        <v>2635715</v>
      </c>
      <c r="E58" s="15" t="s">
        <v>193</v>
      </c>
      <c r="F58" s="15"/>
      <c r="G58" s="15"/>
    </row>
    <row r="59" spans="1:7" x14ac:dyDescent="0.25">
      <c r="A59" s="15" t="str">
        <f t="shared" si="2"/>
        <v>DIAC/PAR - Moroni Neres Vieira</v>
      </c>
      <c r="B59" s="2" t="s">
        <v>14</v>
      </c>
      <c r="C59" s="15" t="s">
        <v>38</v>
      </c>
      <c r="D59" s="20" t="s">
        <v>174</v>
      </c>
      <c r="E59" s="15" t="s">
        <v>203</v>
      </c>
      <c r="F59" s="15"/>
      <c r="G59" s="15"/>
    </row>
    <row r="60" spans="1:7" x14ac:dyDescent="0.25">
      <c r="A60" s="15" t="str">
        <f t="shared" si="2"/>
        <v>DIAC/PAR - Paulo Vitor Silva</v>
      </c>
      <c r="B60" s="2" t="s">
        <v>14</v>
      </c>
      <c r="C60" s="15" t="s">
        <v>39</v>
      </c>
      <c r="D60" s="20">
        <v>2691107</v>
      </c>
      <c r="E60" s="15" t="s">
        <v>184</v>
      </c>
      <c r="F60" s="15"/>
      <c r="G60" s="15"/>
    </row>
    <row r="61" spans="1:7" x14ac:dyDescent="0.25">
      <c r="A61" s="15" t="str">
        <f t="shared" si="2"/>
        <v>DIAC/PAR - PEDAGOGIA</v>
      </c>
      <c r="B61" s="2" t="s">
        <v>14</v>
      </c>
      <c r="C61" s="15" t="s">
        <v>204</v>
      </c>
      <c r="D61" s="15"/>
      <c r="E61" s="15"/>
      <c r="F61" s="15"/>
      <c r="G61" s="15"/>
    </row>
    <row r="62" spans="1:7" x14ac:dyDescent="0.25">
      <c r="A62" s="15" t="str">
        <f t="shared" si="2"/>
        <v>DIAC/PAR - Priscila Tiziana Seabra Marques da Silva</v>
      </c>
      <c r="B62" s="2" t="s">
        <v>14</v>
      </c>
      <c r="C62" s="15" t="s">
        <v>40</v>
      </c>
      <c r="D62" s="20">
        <v>2636332</v>
      </c>
      <c r="E62" s="15" t="s">
        <v>191</v>
      </c>
      <c r="F62" s="15"/>
      <c r="G62" s="15"/>
    </row>
    <row r="63" spans="1:7" x14ac:dyDescent="0.25">
      <c r="A63" s="15" t="str">
        <f t="shared" si="2"/>
        <v>DIAC/PAR - Raoni Gomes de Sousa</v>
      </c>
      <c r="B63" s="2" t="s">
        <v>14</v>
      </c>
      <c r="C63" s="15" t="s">
        <v>759</v>
      </c>
      <c r="D63" s="15"/>
      <c r="E63" s="15"/>
      <c r="F63" s="15"/>
      <c r="G63" s="15"/>
    </row>
    <row r="64" spans="1:7" x14ac:dyDescent="0.25">
      <c r="A64" s="15" t="str">
        <f t="shared" si="2"/>
        <v>DIAC/PAR - Raphael Siqueira Fontes</v>
      </c>
      <c r="B64" s="2" t="s">
        <v>14</v>
      </c>
      <c r="C64" s="15" t="s">
        <v>135</v>
      </c>
      <c r="D64" s="20" t="s">
        <v>170</v>
      </c>
      <c r="E64" s="15" t="s">
        <v>196</v>
      </c>
      <c r="F64" s="15"/>
      <c r="G64" s="15"/>
    </row>
    <row r="65" spans="1:7" x14ac:dyDescent="0.25">
      <c r="A65" s="15" t="str">
        <f t="shared" si="2"/>
        <v>DIAC/PAR - Ricardo Fernandes de Souza</v>
      </c>
      <c r="B65" s="2" t="s">
        <v>14</v>
      </c>
      <c r="C65" s="15" t="s">
        <v>169</v>
      </c>
      <c r="D65" s="20">
        <v>2138319</v>
      </c>
      <c r="E65" s="15" t="s">
        <v>185</v>
      </c>
      <c r="F65" s="15"/>
      <c r="G65" s="15"/>
    </row>
    <row r="66" spans="1:7" x14ac:dyDescent="0.25">
      <c r="A66" s="15" t="str">
        <f t="shared" si="2"/>
        <v>DIAC/PAR - Roberto Klecius Mendonca Fernandes</v>
      </c>
      <c r="B66" s="2" t="s">
        <v>14</v>
      </c>
      <c r="C66" s="15" t="s">
        <v>41</v>
      </c>
      <c r="D66" s="20">
        <v>1586407</v>
      </c>
      <c r="E66" s="15" t="s">
        <v>196</v>
      </c>
      <c r="F66" s="15"/>
      <c r="G66" s="15"/>
    </row>
    <row r="67" spans="1:7" x14ac:dyDescent="0.25">
      <c r="A67" s="15" t="str">
        <f t="shared" ref="A67:A81" si="3">B67&amp;" - "&amp;C67</f>
        <v>DIAC/PAR - Rodrigo Siqueira Martins</v>
      </c>
      <c r="B67" s="2" t="s">
        <v>14</v>
      </c>
      <c r="C67" s="15" t="s">
        <v>158</v>
      </c>
      <c r="D67" s="20">
        <v>1723808</v>
      </c>
      <c r="E67" s="15" t="s">
        <v>131</v>
      </c>
      <c r="F67" s="15"/>
      <c r="G67" s="15"/>
    </row>
    <row r="68" spans="1:7" x14ac:dyDescent="0.25">
      <c r="A68" s="15" t="str">
        <f t="shared" si="3"/>
        <v>DIAC/PAR - Rogerio Gomes Alves</v>
      </c>
      <c r="B68" s="2" t="s">
        <v>14</v>
      </c>
      <c r="C68" s="15" t="s">
        <v>139</v>
      </c>
      <c r="D68" s="20">
        <v>1551634</v>
      </c>
      <c r="E68" s="15" t="s">
        <v>197</v>
      </c>
      <c r="F68" s="15"/>
      <c r="G68" s="15"/>
    </row>
    <row r="69" spans="1:7" x14ac:dyDescent="0.25">
      <c r="A69" s="15" t="str">
        <f t="shared" si="3"/>
        <v>DIAC/PAR - Romero Rossano Tertulino da Silva</v>
      </c>
      <c r="B69" s="2" t="s">
        <v>14</v>
      </c>
      <c r="C69" s="15" t="s">
        <v>42</v>
      </c>
      <c r="D69" s="20">
        <v>2503693</v>
      </c>
      <c r="E69" s="15" t="s">
        <v>189</v>
      </c>
      <c r="F69" s="15"/>
      <c r="G69" s="15"/>
    </row>
    <row r="70" spans="1:7" x14ac:dyDescent="0.25">
      <c r="A70" s="15" t="str">
        <f t="shared" si="3"/>
        <v>DIAC/PAR - Rosineide Soares Silva Ferreira</v>
      </c>
      <c r="B70" s="2" t="s">
        <v>14</v>
      </c>
      <c r="C70" s="15" t="s">
        <v>206</v>
      </c>
      <c r="D70" s="2">
        <v>2180345</v>
      </c>
      <c r="E70" s="15" t="s">
        <v>207</v>
      </c>
      <c r="F70" s="15"/>
      <c r="G70" s="15"/>
    </row>
    <row r="71" spans="1:7" x14ac:dyDescent="0.25">
      <c r="A71" s="15" t="str">
        <f t="shared" si="3"/>
        <v>DIAC/PAR - Rubenigue de Souza Silva</v>
      </c>
      <c r="B71" s="2" t="s">
        <v>14</v>
      </c>
      <c r="C71" s="15" t="s">
        <v>43</v>
      </c>
      <c r="D71" s="20" t="s">
        <v>175</v>
      </c>
      <c r="E71" s="15" t="s">
        <v>197</v>
      </c>
      <c r="F71" s="15"/>
      <c r="G71" s="15"/>
    </row>
    <row r="72" spans="1:7" x14ac:dyDescent="0.25">
      <c r="A72" s="15" t="str">
        <f t="shared" si="3"/>
        <v>DIAC/PAR - Tadeu Ferreira Oliveira</v>
      </c>
      <c r="B72" s="2" t="s">
        <v>14</v>
      </c>
      <c r="C72" s="15" t="s">
        <v>163</v>
      </c>
      <c r="D72" s="20">
        <v>2780796</v>
      </c>
      <c r="E72" s="15" t="s">
        <v>131</v>
      </c>
      <c r="F72" s="15"/>
      <c r="G72" s="15"/>
    </row>
    <row r="73" spans="1:7" x14ac:dyDescent="0.25">
      <c r="A73" s="15" t="str">
        <f t="shared" si="3"/>
        <v>DIAC/PAR - Thayse Azevedo da Silva</v>
      </c>
      <c r="B73" s="2" t="s">
        <v>14</v>
      </c>
      <c r="C73" s="15" t="s">
        <v>760</v>
      </c>
      <c r="D73" s="15"/>
      <c r="E73" s="15"/>
      <c r="F73" s="15"/>
      <c r="G73" s="15"/>
    </row>
    <row r="74" spans="1:7" x14ac:dyDescent="0.25">
      <c r="A74" s="15" t="str">
        <f t="shared" si="3"/>
        <v>DIAC/PAR - Tiago Costa de Araujo</v>
      </c>
      <c r="B74" s="2" t="s">
        <v>14</v>
      </c>
      <c r="C74" s="15" t="s">
        <v>160</v>
      </c>
      <c r="D74" s="20">
        <v>1733039</v>
      </c>
      <c r="E74" s="15" t="s">
        <v>183</v>
      </c>
      <c r="F74" s="15"/>
      <c r="G74" s="15"/>
    </row>
    <row r="75" spans="1:7" x14ac:dyDescent="0.25">
      <c r="A75" s="15" t="str">
        <f t="shared" si="3"/>
        <v>DIAC/PAR - Valdemiro Severiano Junior</v>
      </c>
      <c r="B75" s="2" t="s">
        <v>14</v>
      </c>
      <c r="C75" s="15" t="s">
        <v>44</v>
      </c>
      <c r="D75" s="20">
        <v>2476049</v>
      </c>
      <c r="E75" s="15" t="s">
        <v>195</v>
      </c>
      <c r="F75" s="15"/>
      <c r="G75" s="15"/>
    </row>
    <row r="76" spans="1:7" x14ac:dyDescent="0.25">
      <c r="A76" s="15" t="str">
        <f t="shared" si="3"/>
        <v>DIAC/PAR - Valerio Gutemberg de Medeiros Junior</v>
      </c>
      <c r="B76" s="2" t="s">
        <v>14</v>
      </c>
      <c r="C76" s="15" t="s">
        <v>153</v>
      </c>
      <c r="D76" s="20">
        <v>1724019</v>
      </c>
      <c r="E76" s="15" t="s">
        <v>198</v>
      </c>
      <c r="F76" s="15"/>
      <c r="G76" s="15"/>
    </row>
    <row r="77" spans="1:7" x14ac:dyDescent="0.25">
      <c r="A77" s="15" t="str">
        <f t="shared" si="3"/>
        <v>DIAC/PAR - Victor Costa de Andrade Pimentel</v>
      </c>
      <c r="B77" s="2" t="s">
        <v>14</v>
      </c>
      <c r="C77" s="15" t="s">
        <v>45</v>
      </c>
      <c r="D77" s="20">
        <v>2690867</v>
      </c>
      <c r="E77" s="15" t="s">
        <v>131</v>
      </c>
      <c r="F77" s="15"/>
      <c r="G77" s="15"/>
    </row>
    <row r="78" spans="1:7" x14ac:dyDescent="0.25">
      <c r="A78" s="15" t="str">
        <f t="shared" si="3"/>
        <v>DIAC/PAR - Washington Luiz da Silva Martins</v>
      </c>
      <c r="B78" s="2" t="s">
        <v>14</v>
      </c>
      <c r="C78" s="15" t="s">
        <v>133</v>
      </c>
      <c r="D78" s="20">
        <v>1337910</v>
      </c>
      <c r="E78" s="15" t="s">
        <v>196</v>
      </c>
      <c r="F78" s="15"/>
      <c r="G78" s="15"/>
    </row>
    <row r="79" spans="1:7" x14ac:dyDescent="0.25">
      <c r="A79" s="15" t="str">
        <f t="shared" si="3"/>
        <v>DIAC/PAR - Wigna Eriony Aparecida de Morais Lustosa</v>
      </c>
      <c r="B79" s="2" t="s">
        <v>14</v>
      </c>
      <c r="C79" s="15" t="s">
        <v>165</v>
      </c>
      <c r="D79" s="20">
        <v>1935214</v>
      </c>
      <c r="E79" s="15" t="s">
        <v>202</v>
      </c>
      <c r="F79" s="15"/>
      <c r="G79" s="15"/>
    </row>
    <row r="80" spans="1:7" x14ac:dyDescent="0.25">
      <c r="A80" s="15" t="str">
        <f t="shared" si="3"/>
        <v>DIAC/PAR - Xenia Silva Gomes Brandao</v>
      </c>
      <c r="B80" s="2" t="s">
        <v>14</v>
      </c>
      <c r="C80" s="15" t="s">
        <v>143</v>
      </c>
      <c r="D80" s="20">
        <v>1668605</v>
      </c>
      <c r="E80" s="15" t="s">
        <v>181</v>
      </c>
      <c r="F80" s="15"/>
      <c r="G80" s="15"/>
    </row>
    <row r="81" spans="1:7" x14ac:dyDescent="0.25">
      <c r="A81" s="15" t="str">
        <f t="shared" si="3"/>
        <v>DIAC/PAR - Zulmar Jofli dos Santos Junior</v>
      </c>
      <c r="B81" s="2" t="s">
        <v>14</v>
      </c>
      <c r="C81" s="15" t="s">
        <v>147</v>
      </c>
      <c r="D81" s="20">
        <v>1815949</v>
      </c>
      <c r="E81" s="15" t="s">
        <v>194</v>
      </c>
      <c r="F81" s="15"/>
      <c r="G81" s="15"/>
    </row>
  </sheetData>
  <autoFilter ref="A1:G48">
    <sortState ref="A3:G81">
      <sortCondition ref="C1:C48"/>
    </sortState>
  </autoFilter>
  <sortState ref="A3:F63">
    <sortCondition ref="C1"/>
  </sortState>
  <hyperlinks>
    <hyperlink ref="I1" location="Menu!A1" display="Menu"/>
    <hyperlink ref="J1" location="Registros!A1" display="Registros"/>
  </hyperlink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I29"/>
  <sheetViews>
    <sheetView showGridLines="0" workbookViewId="0">
      <selection activeCell="G2" sqref="G2"/>
    </sheetView>
  </sheetViews>
  <sheetFormatPr defaultRowHeight="15.75" x14ac:dyDescent="0.25"/>
  <cols>
    <col min="1" max="1" width="11.25" customWidth="1"/>
    <col min="2" max="2" width="6.25" customWidth="1"/>
    <col min="3" max="3" width="32.75" bestFit="1" customWidth="1"/>
    <col min="4" max="4" width="6.25" customWidth="1"/>
    <col min="5" max="5" width="23.875" bestFit="1" customWidth="1"/>
    <col min="6" max="6" width="7.125" customWidth="1"/>
    <col min="7" max="7" width="44.125" customWidth="1"/>
    <col min="9" max="9" width="5.5" bestFit="1" customWidth="1"/>
  </cols>
  <sheetData>
    <row r="1" spans="1:9" x14ac:dyDescent="0.25">
      <c r="A1" t="s">
        <v>3</v>
      </c>
      <c r="C1" s="9" t="s">
        <v>2</v>
      </c>
      <c r="E1" s="9" t="s">
        <v>7</v>
      </c>
      <c r="F1" s="14"/>
      <c r="G1" s="10" t="s">
        <v>10</v>
      </c>
      <c r="I1" s="7"/>
    </row>
    <row r="2" spans="1:9" x14ac:dyDescent="0.25">
      <c r="A2" t="s">
        <v>81</v>
      </c>
      <c r="C2" s="8" t="s">
        <v>72</v>
      </c>
      <c r="E2" s="72" t="s">
        <v>214</v>
      </c>
      <c r="F2" s="13"/>
      <c r="G2" s="11" t="s">
        <v>56</v>
      </c>
    </row>
    <row r="3" spans="1:9" x14ac:dyDescent="0.25">
      <c r="A3" t="s">
        <v>82</v>
      </c>
      <c r="C3" s="8" t="s">
        <v>73</v>
      </c>
      <c r="E3" s="72" t="s">
        <v>215</v>
      </c>
      <c r="F3" s="13"/>
      <c r="G3" s="12" t="s">
        <v>57</v>
      </c>
    </row>
    <row r="4" spans="1:9" x14ac:dyDescent="0.25">
      <c r="A4" t="s">
        <v>1232</v>
      </c>
      <c r="C4" s="8" t="s">
        <v>74</v>
      </c>
      <c r="E4" s="72" t="s">
        <v>216</v>
      </c>
      <c r="F4" s="13"/>
      <c r="G4" s="11" t="s">
        <v>58</v>
      </c>
    </row>
    <row r="5" spans="1:9" x14ac:dyDescent="0.25">
      <c r="A5" t="s">
        <v>83</v>
      </c>
      <c r="C5" s="8" t="s">
        <v>75</v>
      </c>
      <c r="E5" s="72" t="s">
        <v>217</v>
      </c>
      <c r="F5" s="13"/>
      <c r="G5" s="11" t="s">
        <v>64</v>
      </c>
    </row>
    <row r="6" spans="1:9" x14ac:dyDescent="0.25">
      <c r="A6" t="s">
        <v>1</v>
      </c>
      <c r="C6" s="19" t="s">
        <v>76</v>
      </c>
      <c r="E6" s="72" t="s">
        <v>218</v>
      </c>
      <c r="F6" s="13"/>
      <c r="G6" s="11" t="s">
        <v>65</v>
      </c>
    </row>
    <row r="7" spans="1:9" x14ac:dyDescent="0.25">
      <c r="C7" s="19" t="s">
        <v>77</v>
      </c>
      <c r="E7" s="72" t="s">
        <v>219</v>
      </c>
      <c r="F7" s="13"/>
      <c r="G7" s="11" t="s">
        <v>66</v>
      </c>
    </row>
    <row r="8" spans="1:9" x14ac:dyDescent="0.25">
      <c r="C8" s="19" t="s">
        <v>1192</v>
      </c>
      <c r="E8" s="72" t="s">
        <v>220</v>
      </c>
      <c r="F8" s="13"/>
      <c r="G8" s="12" t="s">
        <v>59</v>
      </c>
    </row>
    <row r="9" spans="1:9" x14ac:dyDescent="0.25">
      <c r="E9" s="72" t="s">
        <v>221</v>
      </c>
      <c r="F9" s="13"/>
      <c r="G9" s="12" t="s">
        <v>60</v>
      </c>
    </row>
    <row r="10" spans="1:9" x14ac:dyDescent="0.25">
      <c r="E10" s="72" t="s">
        <v>222</v>
      </c>
      <c r="F10" s="13"/>
      <c r="G10" s="12" t="s">
        <v>61</v>
      </c>
    </row>
    <row r="11" spans="1:9" x14ac:dyDescent="0.25">
      <c r="E11" s="77" t="s">
        <v>1238</v>
      </c>
      <c r="F11" s="13"/>
      <c r="G11" s="12" t="s">
        <v>62</v>
      </c>
    </row>
    <row r="12" spans="1:9" x14ac:dyDescent="0.25">
      <c r="E12" s="77" t="s">
        <v>1239</v>
      </c>
      <c r="G12" s="12" t="s">
        <v>63</v>
      </c>
    </row>
    <row r="13" spans="1:9" x14ac:dyDescent="0.25">
      <c r="E13" s="77" t="s">
        <v>1240</v>
      </c>
      <c r="G13" s="12" t="s">
        <v>67</v>
      </c>
    </row>
    <row r="14" spans="1:9" x14ac:dyDescent="0.25">
      <c r="E14" s="72" t="s">
        <v>225</v>
      </c>
      <c r="G14" s="12" t="s">
        <v>68</v>
      </c>
    </row>
    <row r="15" spans="1:9" x14ac:dyDescent="0.25">
      <c r="E15" s="72" t="s">
        <v>226</v>
      </c>
      <c r="G15" s="12" t="s">
        <v>69</v>
      </c>
    </row>
    <row r="16" spans="1:9" x14ac:dyDescent="0.25">
      <c r="E16" s="72" t="s">
        <v>227</v>
      </c>
      <c r="G16" s="12" t="s">
        <v>70</v>
      </c>
    </row>
    <row r="17" spans="5:7" x14ac:dyDescent="0.25">
      <c r="E17" s="72" t="s">
        <v>228</v>
      </c>
      <c r="G17" s="12" t="s">
        <v>1191</v>
      </c>
    </row>
    <row r="18" spans="5:7" x14ac:dyDescent="0.25">
      <c r="E18" s="72" t="s">
        <v>229</v>
      </c>
    </row>
    <row r="19" spans="5:7" x14ac:dyDescent="0.25">
      <c r="E19" s="72" t="s">
        <v>230</v>
      </c>
    </row>
    <row r="20" spans="5:7" x14ac:dyDescent="0.25">
      <c r="E20" s="72" t="s">
        <v>231</v>
      </c>
    </row>
    <row r="21" spans="5:7" x14ac:dyDescent="0.25">
      <c r="E21" s="72" t="s">
        <v>232</v>
      </c>
    </row>
    <row r="22" spans="5:7" x14ac:dyDescent="0.25">
      <c r="E22" s="73" t="s">
        <v>233</v>
      </c>
    </row>
    <row r="23" spans="5:7" x14ac:dyDescent="0.25">
      <c r="E23" s="73" t="s">
        <v>1233</v>
      </c>
    </row>
    <row r="24" spans="5:7" x14ac:dyDescent="0.25">
      <c r="E24" s="73" t="s">
        <v>1226</v>
      </c>
    </row>
    <row r="25" spans="5:7" x14ac:dyDescent="0.25">
      <c r="E25" s="73" t="s">
        <v>1234</v>
      </c>
    </row>
    <row r="26" spans="5:7" x14ac:dyDescent="0.25">
      <c r="E26" s="73" t="s">
        <v>1235</v>
      </c>
    </row>
    <row r="27" spans="5:7" x14ac:dyDescent="0.25">
      <c r="E27" s="73" t="s">
        <v>1236</v>
      </c>
    </row>
    <row r="28" spans="5:7" x14ac:dyDescent="0.25">
      <c r="E28" s="73" t="s">
        <v>1237</v>
      </c>
    </row>
    <row r="29" spans="5:7" x14ac:dyDescent="0.25">
      <c r="E29" s="73" t="s">
        <v>1241</v>
      </c>
    </row>
  </sheetData>
  <pageMargins left="0.511811024" right="0.511811024" top="0.78740157499999996" bottom="0.78740157499999996" header="0.31496062000000002" footer="0.31496062000000002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Registros</vt:lpstr>
      <vt:lpstr>Aproveitamento</vt:lpstr>
      <vt:lpstr>Certificação</vt:lpstr>
      <vt:lpstr>Clientes</vt:lpstr>
      <vt:lpstr>Configurações</vt:lpstr>
    </vt:vector>
  </TitlesOfParts>
  <Company>A minha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Rieper</dc:creator>
  <cp:keywords>Guia do Excel</cp:keywords>
  <cp:lastModifiedBy>Mateus Azevedo Bezerra</cp:lastModifiedBy>
  <cp:lastPrinted>2015-11-17T18:31:28Z</cp:lastPrinted>
  <dcterms:created xsi:type="dcterms:W3CDTF">2013-01-06T17:57:27Z</dcterms:created>
  <dcterms:modified xsi:type="dcterms:W3CDTF">2016-01-07T13:36:59Z</dcterms:modified>
</cp:coreProperties>
</file>